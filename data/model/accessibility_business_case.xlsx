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https://strath-my.sharepoint.com/personal/vedant_audichya_2025_uni_strath_ac_uk/Documents/"/>
    </mc:Choice>
  </mc:AlternateContent>
  <xr:revisionPtr revIDLastSave="0" documentId="8_{DF8C01E6-FF92-F446-82E1-2B6957813FF5}" xr6:coauthVersionLast="47" xr6:coauthVersionMax="47" xr10:uidLastSave="{00000000-0000-0000-0000-000000000000}"/>
  <bookViews>
    <workbookView xWindow="0" yWindow="660" windowWidth="29400" windowHeight="18460" xr2:uid="{00000000-000D-0000-FFFF-FFFF00000000}"/>
  </bookViews>
  <sheets>
    <sheet name="README_Control" sheetId="1" r:id="rId1"/>
    <sheet name="Dashboard" sheetId="2" r:id="rId2"/>
    <sheet name="Sources_Assumptions" sheetId="3" r:id="rId3"/>
    <sheet name="Case_Data" sheetId="4" r:id="rId4"/>
    <sheet name="MCDA_Prioritisation" sheetId="5" r:id="rId5"/>
    <sheet name="MCDA_Stress_Test" sheetId="11" r:id="rId6"/>
    <sheet name="Audit_Backlog" sheetId="6" r:id="rId7"/>
    <sheet name="Cost_Benefit" sheetId="7" r:id="rId8"/>
    <sheet name="Scenario_Uncertainty" sheetId="8" r:id="rId9"/>
    <sheet name="Test_Strategy" sheetId="9" r:id="rId10"/>
    <sheet name="Monte_Carlo"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5" i="5" l="1"/>
  <c r="I4" i="5"/>
  <c r="B5" i="2"/>
  <c r="B9" i="2"/>
  <c r="G14" i="2"/>
  <c r="G13" i="2"/>
  <c r="G12" i="2"/>
  <c r="G11" i="2"/>
  <c r="B15" i="2"/>
  <c r="B14" i="2"/>
  <c r="B13" i="2"/>
  <c r="B11" i="2"/>
  <c r="B10" i="2"/>
  <c r="B8" i="2"/>
  <c r="B7" i="2"/>
  <c r="B4" i="2"/>
  <c r="I3" i="5"/>
  <c r="I2" i="5"/>
  <c r="X1023" i="11"/>
  <c r="W1023" i="11"/>
  <c r="V1023" i="11"/>
  <c r="U1023" i="11"/>
  <c r="T1023" i="11"/>
  <c r="S1023" i="11"/>
  <c r="R1023" i="11"/>
  <c r="Q1023" i="11"/>
  <c r="P1023" i="11"/>
  <c r="O1023" i="11"/>
  <c r="N1023" i="11"/>
  <c r="M1023" i="11"/>
  <c r="F1023" i="11"/>
  <c r="E1023" i="11"/>
  <c r="D1023" i="11"/>
  <c r="C1023" i="11"/>
  <c r="B1023" i="11"/>
  <c r="X1022" i="11"/>
  <c r="W1022" i="11"/>
  <c r="V1022" i="11"/>
  <c r="U1022" i="11"/>
  <c r="T1022" i="11"/>
  <c r="S1022" i="11"/>
  <c r="R1022" i="11"/>
  <c r="Q1022" i="11"/>
  <c r="P1022" i="11"/>
  <c r="O1022" i="11"/>
  <c r="N1022" i="11"/>
  <c r="M1022" i="11"/>
  <c r="F1022" i="11"/>
  <c r="E1022" i="11"/>
  <c r="D1022" i="11"/>
  <c r="C1022" i="11"/>
  <c r="B1022" i="11"/>
  <c r="X1021" i="11"/>
  <c r="W1021" i="11"/>
  <c r="V1021" i="11"/>
  <c r="U1021" i="11"/>
  <c r="T1021" i="11"/>
  <c r="S1021" i="11"/>
  <c r="R1021" i="11"/>
  <c r="Q1021" i="11"/>
  <c r="P1021" i="11"/>
  <c r="O1021" i="11"/>
  <c r="N1021" i="11"/>
  <c r="M1021" i="11"/>
  <c r="F1021" i="11"/>
  <c r="E1021" i="11"/>
  <c r="D1021" i="11"/>
  <c r="C1021" i="11"/>
  <c r="B1021" i="11"/>
  <c r="X1020" i="11"/>
  <c r="W1020" i="11"/>
  <c r="V1020" i="11"/>
  <c r="U1020" i="11"/>
  <c r="T1020" i="11"/>
  <c r="S1020" i="11"/>
  <c r="R1020" i="11"/>
  <c r="Q1020" i="11"/>
  <c r="P1020" i="11"/>
  <c r="O1020" i="11"/>
  <c r="N1020" i="11"/>
  <c r="M1020" i="11"/>
  <c r="F1020" i="11"/>
  <c r="E1020" i="11"/>
  <c r="D1020" i="11"/>
  <c r="C1020" i="11"/>
  <c r="B1020" i="11"/>
  <c r="X1019" i="11"/>
  <c r="W1019" i="11"/>
  <c r="V1019" i="11"/>
  <c r="U1019" i="11"/>
  <c r="T1019" i="11"/>
  <c r="S1019" i="11"/>
  <c r="R1019" i="11"/>
  <c r="Q1019" i="11"/>
  <c r="P1019" i="11"/>
  <c r="O1019" i="11"/>
  <c r="N1019" i="11"/>
  <c r="M1019" i="11"/>
  <c r="F1019" i="11"/>
  <c r="E1019" i="11"/>
  <c r="D1019" i="11"/>
  <c r="C1019" i="11"/>
  <c r="B1019" i="11"/>
  <c r="X1018" i="11"/>
  <c r="W1018" i="11"/>
  <c r="V1018" i="11"/>
  <c r="U1018" i="11"/>
  <c r="T1018" i="11"/>
  <c r="S1018" i="11"/>
  <c r="R1018" i="11"/>
  <c r="Q1018" i="11"/>
  <c r="P1018" i="11"/>
  <c r="O1018" i="11"/>
  <c r="N1018" i="11"/>
  <c r="M1018" i="11"/>
  <c r="F1018" i="11"/>
  <c r="E1018" i="11"/>
  <c r="D1018" i="11"/>
  <c r="C1018" i="11"/>
  <c r="B1018" i="11"/>
  <c r="X1017" i="11"/>
  <c r="W1017" i="11"/>
  <c r="V1017" i="11"/>
  <c r="U1017" i="11"/>
  <c r="T1017" i="11"/>
  <c r="S1017" i="11"/>
  <c r="R1017" i="11"/>
  <c r="Q1017" i="11"/>
  <c r="P1017" i="11"/>
  <c r="O1017" i="11"/>
  <c r="N1017" i="11"/>
  <c r="M1017" i="11"/>
  <c r="F1017" i="11"/>
  <c r="E1017" i="11"/>
  <c r="D1017" i="11"/>
  <c r="C1017" i="11"/>
  <c r="B1017" i="11"/>
  <c r="X1016" i="11"/>
  <c r="W1016" i="11"/>
  <c r="V1016" i="11"/>
  <c r="U1016" i="11"/>
  <c r="T1016" i="11"/>
  <c r="S1016" i="11"/>
  <c r="R1016" i="11"/>
  <c r="Q1016" i="11"/>
  <c r="P1016" i="11"/>
  <c r="O1016" i="11"/>
  <c r="N1016" i="11"/>
  <c r="M1016" i="11"/>
  <c r="F1016" i="11"/>
  <c r="E1016" i="11"/>
  <c r="D1016" i="11"/>
  <c r="C1016" i="11"/>
  <c r="B1016" i="11"/>
  <c r="X1015" i="11"/>
  <c r="W1015" i="11"/>
  <c r="V1015" i="11"/>
  <c r="U1015" i="11"/>
  <c r="T1015" i="11"/>
  <c r="S1015" i="11"/>
  <c r="R1015" i="11"/>
  <c r="Q1015" i="11"/>
  <c r="P1015" i="11"/>
  <c r="O1015" i="11"/>
  <c r="N1015" i="11"/>
  <c r="M1015" i="11"/>
  <c r="F1015" i="11"/>
  <c r="E1015" i="11"/>
  <c r="D1015" i="11"/>
  <c r="C1015" i="11"/>
  <c r="B1015" i="11"/>
  <c r="X1014" i="11"/>
  <c r="W1014" i="11"/>
  <c r="V1014" i="11"/>
  <c r="U1014" i="11"/>
  <c r="T1014" i="11"/>
  <c r="S1014" i="11"/>
  <c r="R1014" i="11"/>
  <c r="Q1014" i="11"/>
  <c r="P1014" i="11"/>
  <c r="O1014" i="11"/>
  <c r="N1014" i="11"/>
  <c r="M1014" i="11"/>
  <c r="F1014" i="11"/>
  <c r="E1014" i="11"/>
  <c r="D1014" i="11"/>
  <c r="C1014" i="11"/>
  <c r="B1014" i="11"/>
  <c r="X1013" i="11"/>
  <c r="W1013" i="11"/>
  <c r="V1013" i="11"/>
  <c r="U1013" i="11"/>
  <c r="T1013" i="11"/>
  <c r="S1013" i="11"/>
  <c r="R1013" i="11"/>
  <c r="Q1013" i="11"/>
  <c r="P1013" i="11"/>
  <c r="O1013" i="11"/>
  <c r="N1013" i="11"/>
  <c r="M1013" i="11"/>
  <c r="F1013" i="11"/>
  <c r="E1013" i="11"/>
  <c r="D1013" i="11"/>
  <c r="C1013" i="11"/>
  <c r="B1013" i="11"/>
  <c r="X1012" i="11"/>
  <c r="W1012" i="11"/>
  <c r="V1012" i="11"/>
  <c r="U1012" i="11"/>
  <c r="T1012" i="11"/>
  <c r="S1012" i="11"/>
  <c r="R1012" i="11"/>
  <c r="Q1012" i="11"/>
  <c r="P1012" i="11"/>
  <c r="O1012" i="11"/>
  <c r="N1012" i="11"/>
  <c r="M1012" i="11"/>
  <c r="F1012" i="11"/>
  <c r="E1012" i="11"/>
  <c r="D1012" i="11"/>
  <c r="C1012" i="11"/>
  <c r="B1012" i="11"/>
  <c r="X1011" i="11"/>
  <c r="W1011" i="11"/>
  <c r="V1011" i="11"/>
  <c r="U1011" i="11"/>
  <c r="T1011" i="11"/>
  <c r="S1011" i="11"/>
  <c r="R1011" i="11"/>
  <c r="Q1011" i="11"/>
  <c r="P1011" i="11"/>
  <c r="O1011" i="11"/>
  <c r="N1011" i="11"/>
  <c r="M1011" i="11"/>
  <c r="F1011" i="11"/>
  <c r="E1011" i="11"/>
  <c r="D1011" i="11"/>
  <c r="C1011" i="11"/>
  <c r="B1011" i="11"/>
  <c r="X1010" i="11"/>
  <c r="W1010" i="11"/>
  <c r="V1010" i="11"/>
  <c r="U1010" i="11"/>
  <c r="T1010" i="11"/>
  <c r="S1010" i="11"/>
  <c r="R1010" i="11"/>
  <c r="Q1010" i="11"/>
  <c r="P1010" i="11"/>
  <c r="O1010" i="11"/>
  <c r="N1010" i="11"/>
  <c r="M1010" i="11"/>
  <c r="F1010" i="11"/>
  <c r="E1010" i="11"/>
  <c r="D1010" i="11"/>
  <c r="C1010" i="11"/>
  <c r="B1010" i="11"/>
  <c r="X1009" i="11"/>
  <c r="W1009" i="11"/>
  <c r="V1009" i="11"/>
  <c r="U1009" i="11"/>
  <c r="T1009" i="11"/>
  <c r="S1009" i="11"/>
  <c r="R1009" i="11"/>
  <c r="Q1009" i="11"/>
  <c r="P1009" i="11"/>
  <c r="O1009" i="11"/>
  <c r="N1009" i="11"/>
  <c r="M1009" i="11"/>
  <c r="F1009" i="11"/>
  <c r="E1009" i="11"/>
  <c r="D1009" i="11"/>
  <c r="C1009" i="11"/>
  <c r="B1009" i="11"/>
  <c r="X1008" i="11"/>
  <c r="W1008" i="11"/>
  <c r="V1008" i="11"/>
  <c r="U1008" i="11"/>
  <c r="T1008" i="11"/>
  <c r="S1008" i="11"/>
  <c r="R1008" i="11"/>
  <c r="Q1008" i="11"/>
  <c r="P1008" i="11"/>
  <c r="O1008" i="11"/>
  <c r="N1008" i="11"/>
  <c r="M1008" i="11"/>
  <c r="F1008" i="11"/>
  <c r="E1008" i="11"/>
  <c r="D1008" i="11"/>
  <c r="C1008" i="11"/>
  <c r="B1008" i="11"/>
  <c r="X1007" i="11"/>
  <c r="W1007" i="11"/>
  <c r="V1007" i="11"/>
  <c r="U1007" i="11"/>
  <c r="T1007" i="11"/>
  <c r="S1007" i="11"/>
  <c r="R1007" i="11"/>
  <c r="Q1007" i="11"/>
  <c r="P1007" i="11"/>
  <c r="O1007" i="11"/>
  <c r="N1007" i="11"/>
  <c r="M1007" i="11"/>
  <c r="F1007" i="11"/>
  <c r="E1007" i="11"/>
  <c r="D1007" i="11"/>
  <c r="C1007" i="11"/>
  <c r="B1007" i="11"/>
  <c r="X1006" i="11"/>
  <c r="W1006" i="11"/>
  <c r="V1006" i="11"/>
  <c r="U1006" i="11"/>
  <c r="T1006" i="11"/>
  <c r="S1006" i="11"/>
  <c r="R1006" i="11"/>
  <c r="Q1006" i="11"/>
  <c r="P1006" i="11"/>
  <c r="O1006" i="11"/>
  <c r="N1006" i="11"/>
  <c r="M1006" i="11"/>
  <c r="F1006" i="11"/>
  <c r="E1006" i="11"/>
  <c r="D1006" i="11"/>
  <c r="C1006" i="11"/>
  <c r="B1006" i="11"/>
  <c r="X1005" i="11"/>
  <c r="W1005" i="11"/>
  <c r="V1005" i="11"/>
  <c r="U1005" i="11"/>
  <c r="T1005" i="11"/>
  <c r="S1005" i="11"/>
  <c r="R1005" i="11"/>
  <c r="Q1005" i="11"/>
  <c r="P1005" i="11"/>
  <c r="O1005" i="11"/>
  <c r="N1005" i="11"/>
  <c r="M1005" i="11"/>
  <c r="F1005" i="11"/>
  <c r="E1005" i="11"/>
  <c r="D1005" i="11"/>
  <c r="C1005" i="11"/>
  <c r="B1005" i="11"/>
  <c r="X1004" i="11"/>
  <c r="W1004" i="11"/>
  <c r="V1004" i="11"/>
  <c r="U1004" i="11"/>
  <c r="T1004" i="11"/>
  <c r="S1004" i="11"/>
  <c r="R1004" i="11"/>
  <c r="Q1004" i="11"/>
  <c r="P1004" i="11"/>
  <c r="O1004" i="11"/>
  <c r="N1004" i="11"/>
  <c r="M1004" i="11"/>
  <c r="F1004" i="11"/>
  <c r="E1004" i="11"/>
  <c r="D1004" i="11"/>
  <c r="C1004" i="11"/>
  <c r="B1004" i="11"/>
  <c r="X1003" i="11"/>
  <c r="W1003" i="11"/>
  <c r="V1003" i="11"/>
  <c r="U1003" i="11"/>
  <c r="T1003" i="11"/>
  <c r="S1003" i="11"/>
  <c r="R1003" i="11"/>
  <c r="Q1003" i="11"/>
  <c r="P1003" i="11"/>
  <c r="O1003" i="11"/>
  <c r="N1003" i="11"/>
  <c r="M1003" i="11"/>
  <c r="F1003" i="11"/>
  <c r="E1003" i="11"/>
  <c r="D1003" i="11"/>
  <c r="C1003" i="11"/>
  <c r="B1003" i="11"/>
  <c r="X1002" i="11"/>
  <c r="W1002" i="11"/>
  <c r="V1002" i="11"/>
  <c r="U1002" i="11"/>
  <c r="T1002" i="11"/>
  <c r="S1002" i="11"/>
  <c r="R1002" i="11"/>
  <c r="Q1002" i="11"/>
  <c r="P1002" i="11"/>
  <c r="O1002" i="11"/>
  <c r="N1002" i="11"/>
  <c r="M1002" i="11"/>
  <c r="F1002" i="11"/>
  <c r="E1002" i="11"/>
  <c r="D1002" i="11"/>
  <c r="C1002" i="11"/>
  <c r="B1002" i="11"/>
  <c r="X1001" i="11"/>
  <c r="W1001" i="11"/>
  <c r="V1001" i="11"/>
  <c r="U1001" i="11"/>
  <c r="T1001" i="11"/>
  <c r="S1001" i="11"/>
  <c r="R1001" i="11"/>
  <c r="Q1001" i="11"/>
  <c r="P1001" i="11"/>
  <c r="O1001" i="11"/>
  <c r="N1001" i="11"/>
  <c r="M1001" i="11"/>
  <c r="F1001" i="11"/>
  <c r="E1001" i="11"/>
  <c r="D1001" i="11"/>
  <c r="C1001" i="11"/>
  <c r="B1001" i="11"/>
  <c r="X1000" i="11"/>
  <c r="W1000" i="11"/>
  <c r="V1000" i="11"/>
  <c r="U1000" i="11"/>
  <c r="T1000" i="11"/>
  <c r="S1000" i="11"/>
  <c r="R1000" i="11"/>
  <c r="Q1000" i="11"/>
  <c r="P1000" i="11"/>
  <c r="O1000" i="11"/>
  <c r="N1000" i="11"/>
  <c r="M1000" i="11"/>
  <c r="F1000" i="11"/>
  <c r="E1000" i="11"/>
  <c r="D1000" i="11"/>
  <c r="C1000" i="11"/>
  <c r="B1000" i="11"/>
  <c r="X999" i="11"/>
  <c r="W999" i="11"/>
  <c r="V999" i="11"/>
  <c r="U999" i="11"/>
  <c r="T999" i="11"/>
  <c r="S999" i="11"/>
  <c r="R999" i="11"/>
  <c r="Q999" i="11"/>
  <c r="P999" i="11"/>
  <c r="O999" i="11"/>
  <c r="N999" i="11"/>
  <c r="M999" i="11"/>
  <c r="F999" i="11"/>
  <c r="E999" i="11"/>
  <c r="D999" i="11"/>
  <c r="C999" i="11"/>
  <c r="B999" i="11"/>
  <c r="X998" i="11"/>
  <c r="W998" i="11"/>
  <c r="V998" i="11"/>
  <c r="U998" i="11"/>
  <c r="T998" i="11"/>
  <c r="S998" i="11"/>
  <c r="R998" i="11"/>
  <c r="Q998" i="11"/>
  <c r="P998" i="11"/>
  <c r="O998" i="11"/>
  <c r="N998" i="11"/>
  <c r="M998" i="11"/>
  <c r="F998" i="11"/>
  <c r="E998" i="11"/>
  <c r="D998" i="11"/>
  <c r="C998" i="11"/>
  <c r="B998" i="11"/>
  <c r="X997" i="11"/>
  <c r="W997" i="11"/>
  <c r="V997" i="11"/>
  <c r="U997" i="11"/>
  <c r="T997" i="11"/>
  <c r="S997" i="11"/>
  <c r="R997" i="11"/>
  <c r="Q997" i="11"/>
  <c r="P997" i="11"/>
  <c r="O997" i="11"/>
  <c r="N997" i="11"/>
  <c r="M997" i="11"/>
  <c r="F997" i="11"/>
  <c r="E997" i="11"/>
  <c r="D997" i="11"/>
  <c r="C997" i="11"/>
  <c r="B997" i="11"/>
  <c r="X996" i="11"/>
  <c r="W996" i="11"/>
  <c r="V996" i="11"/>
  <c r="U996" i="11"/>
  <c r="T996" i="11"/>
  <c r="S996" i="11"/>
  <c r="R996" i="11"/>
  <c r="Q996" i="11"/>
  <c r="P996" i="11"/>
  <c r="O996" i="11"/>
  <c r="N996" i="11"/>
  <c r="M996" i="11"/>
  <c r="F996" i="11"/>
  <c r="E996" i="11"/>
  <c r="D996" i="11"/>
  <c r="C996" i="11"/>
  <c r="B996" i="11"/>
  <c r="X995" i="11"/>
  <c r="W995" i="11"/>
  <c r="V995" i="11"/>
  <c r="U995" i="11"/>
  <c r="T995" i="11"/>
  <c r="S995" i="11"/>
  <c r="R995" i="11"/>
  <c r="Q995" i="11"/>
  <c r="P995" i="11"/>
  <c r="O995" i="11"/>
  <c r="N995" i="11"/>
  <c r="M995" i="11"/>
  <c r="F995" i="11"/>
  <c r="E995" i="11"/>
  <c r="D995" i="11"/>
  <c r="C995" i="11"/>
  <c r="B995" i="11"/>
  <c r="X994" i="11"/>
  <c r="W994" i="11"/>
  <c r="V994" i="11"/>
  <c r="U994" i="11"/>
  <c r="T994" i="11"/>
  <c r="S994" i="11"/>
  <c r="R994" i="11"/>
  <c r="Q994" i="11"/>
  <c r="P994" i="11"/>
  <c r="O994" i="11"/>
  <c r="N994" i="11"/>
  <c r="M994" i="11"/>
  <c r="F994" i="11"/>
  <c r="E994" i="11"/>
  <c r="D994" i="11"/>
  <c r="C994" i="11"/>
  <c r="B994" i="11"/>
  <c r="X993" i="11"/>
  <c r="W993" i="11"/>
  <c r="V993" i="11"/>
  <c r="U993" i="11"/>
  <c r="T993" i="11"/>
  <c r="S993" i="11"/>
  <c r="R993" i="11"/>
  <c r="Q993" i="11"/>
  <c r="P993" i="11"/>
  <c r="O993" i="11"/>
  <c r="N993" i="11"/>
  <c r="M993" i="11"/>
  <c r="F993" i="11"/>
  <c r="E993" i="11"/>
  <c r="D993" i="11"/>
  <c r="C993" i="11"/>
  <c r="B993" i="11"/>
  <c r="X992" i="11"/>
  <c r="W992" i="11"/>
  <c r="V992" i="11"/>
  <c r="U992" i="11"/>
  <c r="T992" i="11"/>
  <c r="S992" i="11"/>
  <c r="R992" i="11"/>
  <c r="Q992" i="11"/>
  <c r="P992" i="11"/>
  <c r="O992" i="11"/>
  <c r="N992" i="11"/>
  <c r="M992" i="11"/>
  <c r="F992" i="11"/>
  <c r="E992" i="11"/>
  <c r="D992" i="11"/>
  <c r="C992" i="11"/>
  <c r="B992" i="11"/>
  <c r="X991" i="11"/>
  <c r="W991" i="11"/>
  <c r="V991" i="11"/>
  <c r="U991" i="11"/>
  <c r="T991" i="11"/>
  <c r="S991" i="11"/>
  <c r="R991" i="11"/>
  <c r="Q991" i="11"/>
  <c r="P991" i="11"/>
  <c r="O991" i="11"/>
  <c r="N991" i="11"/>
  <c r="M991" i="11"/>
  <c r="F991" i="11"/>
  <c r="E991" i="11"/>
  <c r="D991" i="11"/>
  <c r="C991" i="11"/>
  <c r="B991" i="11"/>
  <c r="X990" i="11"/>
  <c r="W990" i="11"/>
  <c r="V990" i="11"/>
  <c r="U990" i="11"/>
  <c r="T990" i="11"/>
  <c r="S990" i="11"/>
  <c r="R990" i="11"/>
  <c r="Q990" i="11"/>
  <c r="P990" i="11"/>
  <c r="O990" i="11"/>
  <c r="N990" i="11"/>
  <c r="M990" i="11"/>
  <c r="F990" i="11"/>
  <c r="E990" i="11"/>
  <c r="D990" i="11"/>
  <c r="C990" i="11"/>
  <c r="B990" i="11"/>
  <c r="X989" i="11"/>
  <c r="W989" i="11"/>
  <c r="V989" i="11"/>
  <c r="U989" i="11"/>
  <c r="T989" i="11"/>
  <c r="S989" i="11"/>
  <c r="R989" i="11"/>
  <c r="Q989" i="11"/>
  <c r="P989" i="11"/>
  <c r="O989" i="11"/>
  <c r="N989" i="11"/>
  <c r="M989" i="11"/>
  <c r="F989" i="11"/>
  <c r="E989" i="11"/>
  <c r="D989" i="11"/>
  <c r="C989" i="11"/>
  <c r="B989" i="11"/>
  <c r="X988" i="11"/>
  <c r="W988" i="11"/>
  <c r="V988" i="11"/>
  <c r="U988" i="11"/>
  <c r="T988" i="11"/>
  <c r="S988" i="11"/>
  <c r="R988" i="11"/>
  <c r="Q988" i="11"/>
  <c r="P988" i="11"/>
  <c r="O988" i="11"/>
  <c r="N988" i="11"/>
  <c r="M988" i="11"/>
  <c r="F988" i="11"/>
  <c r="E988" i="11"/>
  <c r="D988" i="11"/>
  <c r="C988" i="11"/>
  <c r="B988" i="11"/>
  <c r="X987" i="11"/>
  <c r="W987" i="11"/>
  <c r="V987" i="11"/>
  <c r="U987" i="11"/>
  <c r="T987" i="11"/>
  <c r="S987" i="11"/>
  <c r="R987" i="11"/>
  <c r="Q987" i="11"/>
  <c r="P987" i="11"/>
  <c r="O987" i="11"/>
  <c r="N987" i="11"/>
  <c r="M987" i="11"/>
  <c r="F987" i="11"/>
  <c r="E987" i="11"/>
  <c r="D987" i="11"/>
  <c r="C987" i="11"/>
  <c r="B987" i="11"/>
  <c r="X986" i="11"/>
  <c r="W986" i="11"/>
  <c r="V986" i="11"/>
  <c r="U986" i="11"/>
  <c r="T986" i="11"/>
  <c r="S986" i="11"/>
  <c r="R986" i="11"/>
  <c r="Q986" i="11"/>
  <c r="P986" i="11"/>
  <c r="O986" i="11"/>
  <c r="N986" i="11"/>
  <c r="M986" i="11"/>
  <c r="F986" i="11"/>
  <c r="E986" i="11"/>
  <c r="D986" i="11"/>
  <c r="C986" i="11"/>
  <c r="B986" i="11"/>
  <c r="X985" i="11"/>
  <c r="W985" i="11"/>
  <c r="V985" i="11"/>
  <c r="U985" i="11"/>
  <c r="T985" i="11"/>
  <c r="S985" i="11"/>
  <c r="R985" i="11"/>
  <c r="Q985" i="11"/>
  <c r="P985" i="11"/>
  <c r="O985" i="11"/>
  <c r="N985" i="11"/>
  <c r="M985" i="11"/>
  <c r="F985" i="11"/>
  <c r="E985" i="11"/>
  <c r="D985" i="11"/>
  <c r="C985" i="11"/>
  <c r="B985" i="11"/>
  <c r="X984" i="11"/>
  <c r="W984" i="11"/>
  <c r="V984" i="11"/>
  <c r="U984" i="11"/>
  <c r="T984" i="11"/>
  <c r="S984" i="11"/>
  <c r="R984" i="11"/>
  <c r="Q984" i="11"/>
  <c r="P984" i="11"/>
  <c r="O984" i="11"/>
  <c r="N984" i="11"/>
  <c r="M984" i="11"/>
  <c r="F984" i="11"/>
  <c r="E984" i="11"/>
  <c r="D984" i="11"/>
  <c r="C984" i="11"/>
  <c r="B984" i="11"/>
  <c r="X983" i="11"/>
  <c r="W983" i="11"/>
  <c r="V983" i="11"/>
  <c r="U983" i="11"/>
  <c r="T983" i="11"/>
  <c r="S983" i="11"/>
  <c r="R983" i="11"/>
  <c r="Q983" i="11"/>
  <c r="P983" i="11"/>
  <c r="O983" i="11"/>
  <c r="N983" i="11"/>
  <c r="M983" i="11"/>
  <c r="F983" i="11"/>
  <c r="E983" i="11"/>
  <c r="D983" i="11"/>
  <c r="C983" i="11"/>
  <c r="B983" i="11"/>
  <c r="X982" i="11"/>
  <c r="W982" i="11"/>
  <c r="V982" i="11"/>
  <c r="U982" i="11"/>
  <c r="T982" i="11"/>
  <c r="S982" i="11"/>
  <c r="R982" i="11"/>
  <c r="Q982" i="11"/>
  <c r="P982" i="11"/>
  <c r="O982" i="11"/>
  <c r="N982" i="11"/>
  <c r="M982" i="11"/>
  <c r="F982" i="11"/>
  <c r="E982" i="11"/>
  <c r="D982" i="11"/>
  <c r="C982" i="11"/>
  <c r="B982" i="11"/>
  <c r="X981" i="11"/>
  <c r="W981" i="11"/>
  <c r="V981" i="11"/>
  <c r="U981" i="11"/>
  <c r="T981" i="11"/>
  <c r="S981" i="11"/>
  <c r="R981" i="11"/>
  <c r="Q981" i="11"/>
  <c r="P981" i="11"/>
  <c r="O981" i="11"/>
  <c r="N981" i="11"/>
  <c r="M981" i="11"/>
  <c r="F981" i="11"/>
  <c r="E981" i="11"/>
  <c r="D981" i="11"/>
  <c r="C981" i="11"/>
  <c r="B981" i="11"/>
  <c r="X980" i="11"/>
  <c r="W980" i="11"/>
  <c r="V980" i="11"/>
  <c r="U980" i="11"/>
  <c r="T980" i="11"/>
  <c r="S980" i="11"/>
  <c r="R980" i="11"/>
  <c r="Q980" i="11"/>
  <c r="P980" i="11"/>
  <c r="O980" i="11"/>
  <c r="N980" i="11"/>
  <c r="M980" i="11"/>
  <c r="F980" i="11"/>
  <c r="E980" i="11"/>
  <c r="D980" i="11"/>
  <c r="C980" i="11"/>
  <c r="B980" i="11"/>
  <c r="X979" i="11"/>
  <c r="W979" i="11"/>
  <c r="V979" i="11"/>
  <c r="U979" i="11"/>
  <c r="T979" i="11"/>
  <c r="S979" i="11"/>
  <c r="R979" i="11"/>
  <c r="Q979" i="11"/>
  <c r="P979" i="11"/>
  <c r="O979" i="11"/>
  <c r="N979" i="11"/>
  <c r="M979" i="11"/>
  <c r="F979" i="11"/>
  <c r="E979" i="11"/>
  <c r="D979" i="11"/>
  <c r="C979" i="11"/>
  <c r="B979" i="11"/>
  <c r="X978" i="11"/>
  <c r="W978" i="11"/>
  <c r="V978" i="11"/>
  <c r="U978" i="11"/>
  <c r="T978" i="11"/>
  <c r="S978" i="11"/>
  <c r="R978" i="11"/>
  <c r="Q978" i="11"/>
  <c r="P978" i="11"/>
  <c r="O978" i="11"/>
  <c r="N978" i="11"/>
  <c r="M978" i="11"/>
  <c r="F978" i="11"/>
  <c r="E978" i="11"/>
  <c r="D978" i="11"/>
  <c r="C978" i="11"/>
  <c r="B978" i="11"/>
  <c r="X977" i="11"/>
  <c r="W977" i="11"/>
  <c r="V977" i="11"/>
  <c r="U977" i="11"/>
  <c r="T977" i="11"/>
  <c r="S977" i="11"/>
  <c r="R977" i="11"/>
  <c r="Q977" i="11"/>
  <c r="P977" i="11"/>
  <c r="O977" i="11"/>
  <c r="N977" i="11"/>
  <c r="M977" i="11"/>
  <c r="F977" i="11"/>
  <c r="E977" i="11"/>
  <c r="D977" i="11"/>
  <c r="C977" i="11"/>
  <c r="B977" i="11"/>
  <c r="X976" i="11"/>
  <c r="W976" i="11"/>
  <c r="V976" i="11"/>
  <c r="U976" i="11"/>
  <c r="T976" i="11"/>
  <c r="S976" i="11"/>
  <c r="R976" i="11"/>
  <c r="Q976" i="11"/>
  <c r="P976" i="11"/>
  <c r="O976" i="11"/>
  <c r="N976" i="11"/>
  <c r="M976" i="11"/>
  <c r="F976" i="11"/>
  <c r="E976" i="11"/>
  <c r="D976" i="11"/>
  <c r="C976" i="11"/>
  <c r="B976" i="11"/>
  <c r="X975" i="11"/>
  <c r="W975" i="11"/>
  <c r="V975" i="11"/>
  <c r="U975" i="11"/>
  <c r="T975" i="11"/>
  <c r="S975" i="11"/>
  <c r="R975" i="11"/>
  <c r="Q975" i="11"/>
  <c r="P975" i="11"/>
  <c r="O975" i="11"/>
  <c r="N975" i="11"/>
  <c r="M975" i="11"/>
  <c r="F975" i="11"/>
  <c r="E975" i="11"/>
  <c r="D975" i="11"/>
  <c r="C975" i="11"/>
  <c r="B975" i="11"/>
  <c r="X974" i="11"/>
  <c r="W974" i="11"/>
  <c r="V974" i="11"/>
  <c r="U974" i="11"/>
  <c r="T974" i="11"/>
  <c r="S974" i="11"/>
  <c r="R974" i="11"/>
  <c r="Q974" i="11"/>
  <c r="P974" i="11"/>
  <c r="O974" i="11"/>
  <c r="N974" i="11"/>
  <c r="M974" i="11"/>
  <c r="F974" i="11"/>
  <c r="E974" i="11"/>
  <c r="D974" i="11"/>
  <c r="C974" i="11"/>
  <c r="B974" i="11"/>
  <c r="X973" i="11"/>
  <c r="W973" i="11"/>
  <c r="V973" i="11"/>
  <c r="U973" i="11"/>
  <c r="T973" i="11"/>
  <c r="S973" i="11"/>
  <c r="R973" i="11"/>
  <c r="Q973" i="11"/>
  <c r="P973" i="11"/>
  <c r="O973" i="11"/>
  <c r="N973" i="11"/>
  <c r="M973" i="11"/>
  <c r="F973" i="11"/>
  <c r="E973" i="11"/>
  <c r="D973" i="11"/>
  <c r="C973" i="11"/>
  <c r="B973" i="11"/>
  <c r="X972" i="11"/>
  <c r="W972" i="11"/>
  <c r="V972" i="11"/>
  <c r="U972" i="11"/>
  <c r="T972" i="11"/>
  <c r="S972" i="11"/>
  <c r="R972" i="11"/>
  <c r="Q972" i="11"/>
  <c r="P972" i="11"/>
  <c r="O972" i="11"/>
  <c r="N972" i="11"/>
  <c r="M972" i="11"/>
  <c r="F972" i="11"/>
  <c r="E972" i="11"/>
  <c r="D972" i="11"/>
  <c r="C972" i="11"/>
  <c r="B972" i="11"/>
  <c r="X971" i="11"/>
  <c r="W971" i="11"/>
  <c r="V971" i="11"/>
  <c r="U971" i="11"/>
  <c r="T971" i="11"/>
  <c r="S971" i="11"/>
  <c r="R971" i="11"/>
  <c r="Q971" i="11"/>
  <c r="P971" i="11"/>
  <c r="O971" i="11"/>
  <c r="N971" i="11"/>
  <c r="M971" i="11"/>
  <c r="F971" i="11"/>
  <c r="E971" i="11"/>
  <c r="D971" i="11"/>
  <c r="C971" i="11"/>
  <c r="B971" i="11"/>
  <c r="X970" i="11"/>
  <c r="W970" i="11"/>
  <c r="V970" i="11"/>
  <c r="U970" i="11"/>
  <c r="T970" i="11"/>
  <c r="S970" i="11"/>
  <c r="R970" i="11"/>
  <c r="Q970" i="11"/>
  <c r="P970" i="11"/>
  <c r="O970" i="11"/>
  <c r="N970" i="11"/>
  <c r="M970" i="11"/>
  <c r="F970" i="11"/>
  <c r="E970" i="11"/>
  <c r="D970" i="11"/>
  <c r="C970" i="11"/>
  <c r="B970" i="11"/>
  <c r="X969" i="11"/>
  <c r="W969" i="11"/>
  <c r="V969" i="11"/>
  <c r="U969" i="11"/>
  <c r="T969" i="11"/>
  <c r="S969" i="11"/>
  <c r="R969" i="11"/>
  <c r="Q969" i="11"/>
  <c r="P969" i="11"/>
  <c r="O969" i="11"/>
  <c r="N969" i="11"/>
  <c r="M969" i="11"/>
  <c r="F969" i="11"/>
  <c r="E969" i="11"/>
  <c r="D969" i="11"/>
  <c r="C969" i="11"/>
  <c r="B969" i="11"/>
  <c r="X968" i="11"/>
  <c r="W968" i="11"/>
  <c r="V968" i="11"/>
  <c r="U968" i="11"/>
  <c r="T968" i="11"/>
  <c r="S968" i="11"/>
  <c r="R968" i="11"/>
  <c r="Q968" i="11"/>
  <c r="P968" i="11"/>
  <c r="O968" i="11"/>
  <c r="N968" i="11"/>
  <c r="M968" i="11"/>
  <c r="F968" i="11"/>
  <c r="E968" i="11"/>
  <c r="D968" i="11"/>
  <c r="C968" i="11"/>
  <c r="B968" i="11"/>
  <c r="X967" i="11"/>
  <c r="W967" i="11"/>
  <c r="V967" i="11"/>
  <c r="U967" i="11"/>
  <c r="T967" i="11"/>
  <c r="S967" i="11"/>
  <c r="R967" i="11"/>
  <c r="Q967" i="11"/>
  <c r="P967" i="11"/>
  <c r="O967" i="11"/>
  <c r="N967" i="11"/>
  <c r="M967" i="11"/>
  <c r="F967" i="11"/>
  <c r="E967" i="11"/>
  <c r="D967" i="11"/>
  <c r="C967" i="11"/>
  <c r="B967" i="11"/>
  <c r="X966" i="11"/>
  <c r="W966" i="11"/>
  <c r="V966" i="11"/>
  <c r="U966" i="11"/>
  <c r="T966" i="11"/>
  <c r="S966" i="11"/>
  <c r="R966" i="11"/>
  <c r="Q966" i="11"/>
  <c r="P966" i="11"/>
  <c r="O966" i="11"/>
  <c r="N966" i="11"/>
  <c r="M966" i="11"/>
  <c r="F966" i="11"/>
  <c r="E966" i="11"/>
  <c r="D966" i="11"/>
  <c r="C966" i="11"/>
  <c r="B966" i="11"/>
  <c r="X965" i="11"/>
  <c r="W965" i="11"/>
  <c r="V965" i="11"/>
  <c r="U965" i="11"/>
  <c r="T965" i="11"/>
  <c r="S965" i="11"/>
  <c r="R965" i="11"/>
  <c r="Q965" i="11"/>
  <c r="P965" i="11"/>
  <c r="O965" i="11"/>
  <c r="N965" i="11"/>
  <c r="M965" i="11"/>
  <c r="F965" i="11"/>
  <c r="E965" i="11"/>
  <c r="D965" i="11"/>
  <c r="C965" i="11"/>
  <c r="B965" i="11"/>
  <c r="X964" i="11"/>
  <c r="W964" i="11"/>
  <c r="V964" i="11"/>
  <c r="U964" i="11"/>
  <c r="T964" i="11"/>
  <c r="S964" i="11"/>
  <c r="R964" i="11"/>
  <c r="Q964" i="11"/>
  <c r="P964" i="11"/>
  <c r="O964" i="11"/>
  <c r="N964" i="11"/>
  <c r="M964" i="11"/>
  <c r="F964" i="11"/>
  <c r="E964" i="11"/>
  <c r="D964" i="11"/>
  <c r="C964" i="11"/>
  <c r="B964" i="11"/>
  <c r="X963" i="11"/>
  <c r="W963" i="11"/>
  <c r="V963" i="11"/>
  <c r="U963" i="11"/>
  <c r="T963" i="11"/>
  <c r="S963" i="11"/>
  <c r="R963" i="11"/>
  <c r="Q963" i="11"/>
  <c r="P963" i="11"/>
  <c r="O963" i="11"/>
  <c r="N963" i="11"/>
  <c r="M963" i="11"/>
  <c r="F963" i="11"/>
  <c r="E963" i="11"/>
  <c r="D963" i="11"/>
  <c r="C963" i="11"/>
  <c r="B963" i="11"/>
  <c r="X962" i="11"/>
  <c r="W962" i="11"/>
  <c r="V962" i="11"/>
  <c r="U962" i="11"/>
  <c r="T962" i="11"/>
  <c r="S962" i="11"/>
  <c r="R962" i="11"/>
  <c r="Q962" i="11"/>
  <c r="P962" i="11"/>
  <c r="O962" i="11"/>
  <c r="N962" i="11"/>
  <c r="M962" i="11"/>
  <c r="F962" i="11"/>
  <c r="E962" i="11"/>
  <c r="D962" i="11"/>
  <c r="C962" i="11"/>
  <c r="B962" i="11"/>
  <c r="X961" i="11"/>
  <c r="W961" i="11"/>
  <c r="V961" i="11"/>
  <c r="U961" i="11"/>
  <c r="T961" i="11"/>
  <c r="S961" i="11"/>
  <c r="R961" i="11"/>
  <c r="Q961" i="11"/>
  <c r="P961" i="11"/>
  <c r="O961" i="11"/>
  <c r="N961" i="11"/>
  <c r="M961" i="11"/>
  <c r="F961" i="11"/>
  <c r="E961" i="11"/>
  <c r="D961" i="11"/>
  <c r="C961" i="11"/>
  <c r="B961" i="11"/>
  <c r="X960" i="11"/>
  <c r="W960" i="11"/>
  <c r="V960" i="11"/>
  <c r="U960" i="11"/>
  <c r="T960" i="11"/>
  <c r="S960" i="11"/>
  <c r="R960" i="11"/>
  <c r="Q960" i="11"/>
  <c r="P960" i="11"/>
  <c r="O960" i="11"/>
  <c r="N960" i="11"/>
  <c r="M960" i="11"/>
  <c r="F960" i="11"/>
  <c r="E960" i="11"/>
  <c r="D960" i="11"/>
  <c r="C960" i="11"/>
  <c r="B960" i="11"/>
  <c r="X959" i="11"/>
  <c r="W959" i="11"/>
  <c r="V959" i="11"/>
  <c r="U959" i="11"/>
  <c r="T959" i="11"/>
  <c r="S959" i="11"/>
  <c r="R959" i="11"/>
  <c r="Q959" i="11"/>
  <c r="P959" i="11"/>
  <c r="O959" i="11"/>
  <c r="N959" i="11"/>
  <c r="M959" i="11"/>
  <c r="F959" i="11"/>
  <c r="E959" i="11"/>
  <c r="D959" i="11"/>
  <c r="C959" i="11"/>
  <c r="B959" i="11"/>
  <c r="X958" i="11"/>
  <c r="W958" i="11"/>
  <c r="V958" i="11"/>
  <c r="U958" i="11"/>
  <c r="T958" i="11"/>
  <c r="S958" i="11"/>
  <c r="R958" i="11"/>
  <c r="Q958" i="11"/>
  <c r="P958" i="11"/>
  <c r="O958" i="11"/>
  <c r="N958" i="11"/>
  <c r="M958" i="11"/>
  <c r="F958" i="11"/>
  <c r="E958" i="11"/>
  <c r="D958" i="11"/>
  <c r="C958" i="11"/>
  <c r="B958" i="11"/>
  <c r="X957" i="11"/>
  <c r="W957" i="11"/>
  <c r="V957" i="11"/>
  <c r="U957" i="11"/>
  <c r="T957" i="11"/>
  <c r="S957" i="11"/>
  <c r="R957" i="11"/>
  <c r="Q957" i="11"/>
  <c r="P957" i="11"/>
  <c r="O957" i="11"/>
  <c r="N957" i="11"/>
  <c r="M957" i="11"/>
  <c r="F957" i="11"/>
  <c r="E957" i="11"/>
  <c r="D957" i="11"/>
  <c r="C957" i="11"/>
  <c r="B957" i="11"/>
  <c r="X956" i="11"/>
  <c r="W956" i="11"/>
  <c r="V956" i="11"/>
  <c r="U956" i="11"/>
  <c r="T956" i="11"/>
  <c r="S956" i="11"/>
  <c r="R956" i="11"/>
  <c r="Q956" i="11"/>
  <c r="P956" i="11"/>
  <c r="O956" i="11"/>
  <c r="N956" i="11"/>
  <c r="M956" i="11"/>
  <c r="F956" i="11"/>
  <c r="E956" i="11"/>
  <c r="D956" i="11"/>
  <c r="C956" i="11"/>
  <c r="B956" i="11"/>
  <c r="X955" i="11"/>
  <c r="W955" i="11"/>
  <c r="V955" i="11"/>
  <c r="U955" i="11"/>
  <c r="T955" i="11"/>
  <c r="S955" i="11"/>
  <c r="R955" i="11"/>
  <c r="Q955" i="11"/>
  <c r="P955" i="11"/>
  <c r="O955" i="11"/>
  <c r="N955" i="11"/>
  <c r="M955" i="11"/>
  <c r="F955" i="11"/>
  <c r="E955" i="11"/>
  <c r="D955" i="11"/>
  <c r="C955" i="11"/>
  <c r="B955" i="11"/>
  <c r="X954" i="11"/>
  <c r="W954" i="11"/>
  <c r="V954" i="11"/>
  <c r="U954" i="11"/>
  <c r="T954" i="11"/>
  <c r="S954" i="11"/>
  <c r="R954" i="11"/>
  <c r="Q954" i="11"/>
  <c r="P954" i="11"/>
  <c r="O954" i="11"/>
  <c r="N954" i="11"/>
  <c r="M954" i="11"/>
  <c r="F954" i="11"/>
  <c r="E954" i="11"/>
  <c r="D954" i="11"/>
  <c r="C954" i="11"/>
  <c r="B954" i="11"/>
  <c r="X953" i="11"/>
  <c r="W953" i="11"/>
  <c r="V953" i="11"/>
  <c r="U953" i="11"/>
  <c r="T953" i="11"/>
  <c r="S953" i="11"/>
  <c r="R953" i="11"/>
  <c r="Q953" i="11"/>
  <c r="P953" i="11"/>
  <c r="O953" i="11"/>
  <c r="N953" i="11"/>
  <c r="M953" i="11"/>
  <c r="F953" i="11"/>
  <c r="E953" i="11"/>
  <c r="D953" i="11"/>
  <c r="C953" i="11"/>
  <c r="B953" i="11"/>
  <c r="X952" i="11"/>
  <c r="W952" i="11"/>
  <c r="V952" i="11"/>
  <c r="U952" i="11"/>
  <c r="T952" i="11"/>
  <c r="S952" i="11"/>
  <c r="R952" i="11"/>
  <c r="Q952" i="11"/>
  <c r="P952" i="11"/>
  <c r="O952" i="11"/>
  <c r="N952" i="11"/>
  <c r="M952" i="11"/>
  <c r="F952" i="11"/>
  <c r="E952" i="11"/>
  <c r="D952" i="11"/>
  <c r="C952" i="11"/>
  <c r="B952" i="11"/>
  <c r="X951" i="11"/>
  <c r="W951" i="11"/>
  <c r="V951" i="11"/>
  <c r="U951" i="11"/>
  <c r="T951" i="11"/>
  <c r="S951" i="11"/>
  <c r="R951" i="11"/>
  <c r="Q951" i="11"/>
  <c r="P951" i="11"/>
  <c r="O951" i="11"/>
  <c r="N951" i="11"/>
  <c r="M951" i="11"/>
  <c r="F951" i="11"/>
  <c r="E951" i="11"/>
  <c r="D951" i="11"/>
  <c r="C951" i="11"/>
  <c r="B951" i="11"/>
  <c r="X950" i="11"/>
  <c r="W950" i="11"/>
  <c r="V950" i="11"/>
  <c r="U950" i="11"/>
  <c r="T950" i="11"/>
  <c r="S950" i="11"/>
  <c r="R950" i="11"/>
  <c r="Q950" i="11"/>
  <c r="P950" i="11"/>
  <c r="O950" i="11"/>
  <c r="N950" i="11"/>
  <c r="M950" i="11"/>
  <c r="F950" i="11"/>
  <c r="E950" i="11"/>
  <c r="D950" i="11"/>
  <c r="C950" i="11"/>
  <c r="B950" i="11"/>
  <c r="X949" i="11"/>
  <c r="W949" i="11"/>
  <c r="V949" i="11"/>
  <c r="U949" i="11"/>
  <c r="T949" i="11"/>
  <c r="S949" i="11"/>
  <c r="R949" i="11"/>
  <c r="Q949" i="11"/>
  <c r="P949" i="11"/>
  <c r="O949" i="11"/>
  <c r="N949" i="11"/>
  <c r="M949" i="11"/>
  <c r="F949" i="11"/>
  <c r="E949" i="11"/>
  <c r="D949" i="11"/>
  <c r="C949" i="11"/>
  <c r="B949" i="11"/>
  <c r="X948" i="11"/>
  <c r="W948" i="11"/>
  <c r="V948" i="11"/>
  <c r="U948" i="11"/>
  <c r="T948" i="11"/>
  <c r="S948" i="11"/>
  <c r="R948" i="11"/>
  <c r="Q948" i="11"/>
  <c r="P948" i="11"/>
  <c r="O948" i="11"/>
  <c r="N948" i="11"/>
  <c r="M948" i="11"/>
  <c r="F948" i="11"/>
  <c r="E948" i="11"/>
  <c r="D948" i="11"/>
  <c r="C948" i="11"/>
  <c r="B948" i="11"/>
  <c r="X947" i="11"/>
  <c r="W947" i="11"/>
  <c r="V947" i="11"/>
  <c r="U947" i="11"/>
  <c r="T947" i="11"/>
  <c r="S947" i="11"/>
  <c r="R947" i="11"/>
  <c r="Q947" i="11"/>
  <c r="P947" i="11"/>
  <c r="O947" i="11"/>
  <c r="N947" i="11"/>
  <c r="M947" i="11"/>
  <c r="F947" i="11"/>
  <c r="E947" i="11"/>
  <c r="D947" i="11"/>
  <c r="C947" i="11"/>
  <c r="B947" i="11"/>
  <c r="X946" i="11"/>
  <c r="W946" i="11"/>
  <c r="V946" i="11"/>
  <c r="U946" i="11"/>
  <c r="T946" i="11"/>
  <c r="S946" i="11"/>
  <c r="R946" i="11"/>
  <c r="Q946" i="11"/>
  <c r="P946" i="11"/>
  <c r="O946" i="11"/>
  <c r="N946" i="11"/>
  <c r="M946" i="11"/>
  <c r="F946" i="11"/>
  <c r="E946" i="11"/>
  <c r="D946" i="11"/>
  <c r="C946" i="11"/>
  <c r="B946" i="11"/>
  <c r="X945" i="11"/>
  <c r="W945" i="11"/>
  <c r="V945" i="11"/>
  <c r="U945" i="11"/>
  <c r="T945" i="11"/>
  <c r="S945" i="11"/>
  <c r="R945" i="11"/>
  <c r="Q945" i="11"/>
  <c r="P945" i="11"/>
  <c r="O945" i="11"/>
  <c r="N945" i="11"/>
  <c r="M945" i="11"/>
  <c r="F945" i="11"/>
  <c r="E945" i="11"/>
  <c r="D945" i="11"/>
  <c r="C945" i="11"/>
  <c r="B945" i="11"/>
  <c r="X944" i="11"/>
  <c r="W944" i="11"/>
  <c r="V944" i="11"/>
  <c r="U944" i="11"/>
  <c r="T944" i="11"/>
  <c r="S944" i="11"/>
  <c r="R944" i="11"/>
  <c r="Q944" i="11"/>
  <c r="P944" i="11"/>
  <c r="O944" i="11"/>
  <c r="N944" i="11"/>
  <c r="M944" i="11"/>
  <c r="F944" i="11"/>
  <c r="E944" i="11"/>
  <c r="D944" i="11"/>
  <c r="C944" i="11"/>
  <c r="B944" i="11"/>
  <c r="X943" i="11"/>
  <c r="W943" i="11"/>
  <c r="V943" i="11"/>
  <c r="U943" i="11"/>
  <c r="T943" i="11"/>
  <c r="S943" i="11"/>
  <c r="R943" i="11"/>
  <c r="Q943" i="11"/>
  <c r="P943" i="11"/>
  <c r="O943" i="11"/>
  <c r="N943" i="11"/>
  <c r="M943" i="11"/>
  <c r="F943" i="11"/>
  <c r="E943" i="11"/>
  <c r="D943" i="11"/>
  <c r="C943" i="11"/>
  <c r="B943" i="11"/>
  <c r="X942" i="11"/>
  <c r="W942" i="11"/>
  <c r="V942" i="11"/>
  <c r="U942" i="11"/>
  <c r="T942" i="11"/>
  <c r="S942" i="11"/>
  <c r="R942" i="11"/>
  <c r="Q942" i="11"/>
  <c r="P942" i="11"/>
  <c r="O942" i="11"/>
  <c r="N942" i="11"/>
  <c r="M942" i="11"/>
  <c r="F942" i="11"/>
  <c r="E942" i="11"/>
  <c r="D942" i="11"/>
  <c r="C942" i="11"/>
  <c r="B942" i="11"/>
  <c r="X941" i="11"/>
  <c r="W941" i="11"/>
  <c r="V941" i="11"/>
  <c r="U941" i="11"/>
  <c r="T941" i="11"/>
  <c r="S941" i="11"/>
  <c r="R941" i="11"/>
  <c r="Q941" i="11"/>
  <c r="P941" i="11"/>
  <c r="O941" i="11"/>
  <c r="N941" i="11"/>
  <c r="M941" i="11"/>
  <c r="F941" i="11"/>
  <c r="E941" i="11"/>
  <c r="D941" i="11"/>
  <c r="C941" i="11"/>
  <c r="B941" i="11"/>
  <c r="X940" i="11"/>
  <c r="W940" i="11"/>
  <c r="V940" i="11"/>
  <c r="U940" i="11"/>
  <c r="T940" i="11"/>
  <c r="S940" i="11"/>
  <c r="R940" i="11"/>
  <c r="Q940" i="11"/>
  <c r="P940" i="11"/>
  <c r="O940" i="11"/>
  <c r="N940" i="11"/>
  <c r="M940" i="11"/>
  <c r="F940" i="11"/>
  <c r="E940" i="11"/>
  <c r="D940" i="11"/>
  <c r="C940" i="11"/>
  <c r="B940" i="11"/>
  <c r="X939" i="11"/>
  <c r="W939" i="11"/>
  <c r="V939" i="11"/>
  <c r="U939" i="11"/>
  <c r="T939" i="11"/>
  <c r="S939" i="11"/>
  <c r="R939" i="11"/>
  <c r="Q939" i="11"/>
  <c r="P939" i="11"/>
  <c r="O939" i="11"/>
  <c r="N939" i="11"/>
  <c r="M939" i="11"/>
  <c r="F939" i="11"/>
  <c r="E939" i="11"/>
  <c r="D939" i="11"/>
  <c r="C939" i="11"/>
  <c r="B939" i="11"/>
  <c r="X938" i="11"/>
  <c r="W938" i="11"/>
  <c r="V938" i="11"/>
  <c r="U938" i="11"/>
  <c r="T938" i="11"/>
  <c r="S938" i="11"/>
  <c r="R938" i="11"/>
  <c r="Q938" i="11"/>
  <c r="P938" i="11"/>
  <c r="O938" i="11"/>
  <c r="N938" i="11"/>
  <c r="M938" i="11"/>
  <c r="F938" i="11"/>
  <c r="E938" i="11"/>
  <c r="D938" i="11"/>
  <c r="C938" i="11"/>
  <c r="B938" i="11"/>
  <c r="X937" i="11"/>
  <c r="W937" i="11"/>
  <c r="V937" i="11"/>
  <c r="U937" i="11"/>
  <c r="T937" i="11"/>
  <c r="S937" i="11"/>
  <c r="R937" i="11"/>
  <c r="Q937" i="11"/>
  <c r="P937" i="11"/>
  <c r="O937" i="11"/>
  <c r="N937" i="11"/>
  <c r="M937" i="11"/>
  <c r="F937" i="11"/>
  <c r="E937" i="11"/>
  <c r="D937" i="11"/>
  <c r="C937" i="11"/>
  <c r="B937" i="11"/>
  <c r="X936" i="11"/>
  <c r="W936" i="11"/>
  <c r="V936" i="11"/>
  <c r="U936" i="11"/>
  <c r="T936" i="11"/>
  <c r="S936" i="11"/>
  <c r="R936" i="11"/>
  <c r="Q936" i="11"/>
  <c r="P936" i="11"/>
  <c r="O936" i="11"/>
  <c r="N936" i="11"/>
  <c r="M936" i="11"/>
  <c r="F936" i="11"/>
  <c r="E936" i="11"/>
  <c r="D936" i="11"/>
  <c r="C936" i="11"/>
  <c r="B936" i="11"/>
  <c r="X935" i="11"/>
  <c r="W935" i="11"/>
  <c r="V935" i="11"/>
  <c r="U935" i="11"/>
  <c r="T935" i="11"/>
  <c r="S935" i="11"/>
  <c r="R935" i="11"/>
  <c r="Q935" i="11"/>
  <c r="P935" i="11"/>
  <c r="O935" i="11"/>
  <c r="N935" i="11"/>
  <c r="M935" i="11"/>
  <c r="F935" i="11"/>
  <c r="E935" i="11"/>
  <c r="D935" i="11"/>
  <c r="C935" i="11"/>
  <c r="B935" i="11"/>
  <c r="X934" i="11"/>
  <c r="W934" i="11"/>
  <c r="V934" i="11"/>
  <c r="U934" i="11"/>
  <c r="T934" i="11"/>
  <c r="S934" i="11"/>
  <c r="R934" i="11"/>
  <c r="Q934" i="11"/>
  <c r="P934" i="11"/>
  <c r="O934" i="11"/>
  <c r="N934" i="11"/>
  <c r="M934" i="11"/>
  <c r="F934" i="11"/>
  <c r="E934" i="11"/>
  <c r="D934" i="11"/>
  <c r="C934" i="11"/>
  <c r="B934" i="11"/>
  <c r="X933" i="11"/>
  <c r="W933" i="11"/>
  <c r="V933" i="11"/>
  <c r="U933" i="11"/>
  <c r="T933" i="11"/>
  <c r="S933" i="11"/>
  <c r="R933" i="11"/>
  <c r="Q933" i="11"/>
  <c r="P933" i="11"/>
  <c r="O933" i="11"/>
  <c r="N933" i="11"/>
  <c r="M933" i="11"/>
  <c r="F933" i="11"/>
  <c r="E933" i="11"/>
  <c r="D933" i="11"/>
  <c r="C933" i="11"/>
  <c r="B933" i="11"/>
  <c r="X932" i="11"/>
  <c r="W932" i="11"/>
  <c r="V932" i="11"/>
  <c r="U932" i="11"/>
  <c r="T932" i="11"/>
  <c r="S932" i="11"/>
  <c r="R932" i="11"/>
  <c r="Q932" i="11"/>
  <c r="P932" i="11"/>
  <c r="O932" i="11"/>
  <c r="N932" i="11"/>
  <c r="M932" i="11"/>
  <c r="F932" i="11"/>
  <c r="E932" i="11"/>
  <c r="D932" i="11"/>
  <c r="C932" i="11"/>
  <c r="B932" i="11"/>
  <c r="X931" i="11"/>
  <c r="W931" i="11"/>
  <c r="V931" i="11"/>
  <c r="U931" i="11"/>
  <c r="T931" i="11"/>
  <c r="S931" i="11"/>
  <c r="R931" i="11"/>
  <c r="Q931" i="11"/>
  <c r="P931" i="11"/>
  <c r="O931" i="11"/>
  <c r="N931" i="11"/>
  <c r="M931" i="11"/>
  <c r="F931" i="11"/>
  <c r="E931" i="11"/>
  <c r="D931" i="11"/>
  <c r="C931" i="11"/>
  <c r="B931" i="11"/>
  <c r="X930" i="11"/>
  <c r="W930" i="11"/>
  <c r="V930" i="11"/>
  <c r="U930" i="11"/>
  <c r="T930" i="11"/>
  <c r="S930" i="11"/>
  <c r="R930" i="11"/>
  <c r="Q930" i="11"/>
  <c r="P930" i="11"/>
  <c r="O930" i="11"/>
  <c r="N930" i="11"/>
  <c r="M930" i="11"/>
  <c r="F930" i="11"/>
  <c r="E930" i="11"/>
  <c r="D930" i="11"/>
  <c r="C930" i="11"/>
  <c r="B930" i="11"/>
  <c r="X929" i="11"/>
  <c r="W929" i="11"/>
  <c r="V929" i="11"/>
  <c r="U929" i="11"/>
  <c r="T929" i="11"/>
  <c r="S929" i="11"/>
  <c r="R929" i="11"/>
  <c r="Q929" i="11"/>
  <c r="P929" i="11"/>
  <c r="O929" i="11"/>
  <c r="N929" i="11"/>
  <c r="M929" i="11"/>
  <c r="F929" i="11"/>
  <c r="E929" i="11"/>
  <c r="D929" i="11"/>
  <c r="C929" i="11"/>
  <c r="B929" i="11"/>
  <c r="X928" i="11"/>
  <c r="W928" i="11"/>
  <c r="V928" i="11"/>
  <c r="U928" i="11"/>
  <c r="T928" i="11"/>
  <c r="S928" i="11"/>
  <c r="R928" i="11"/>
  <c r="Q928" i="11"/>
  <c r="P928" i="11"/>
  <c r="O928" i="11"/>
  <c r="N928" i="11"/>
  <c r="M928" i="11"/>
  <c r="F928" i="11"/>
  <c r="E928" i="11"/>
  <c r="D928" i="11"/>
  <c r="C928" i="11"/>
  <c r="B928" i="11"/>
  <c r="X927" i="11"/>
  <c r="W927" i="11"/>
  <c r="V927" i="11"/>
  <c r="U927" i="11"/>
  <c r="T927" i="11"/>
  <c r="S927" i="11"/>
  <c r="R927" i="11"/>
  <c r="Q927" i="11"/>
  <c r="P927" i="11"/>
  <c r="O927" i="11"/>
  <c r="N927" i="11"/>
  <c r="M927" i="11"/>
  <c r="F927" i="11"/>
  <c r="E927" i="11"/>
  <c r="D927" i="11"/>
  <c r="C927" i="11"/>
  <c r="B927" i="11"/>
  <c r="X926" i="11"/>
  <c r="W926" i="11"/>
  <c r="V926" i="11"/>
  <c r="U926" i="11"/>
  <c r="T926" i="11"/>
  <c r="S926" i="11"/>
  <c r="R926" i="11"/>
  <c r="Q926" i="11"/>
  <c r="P926" i="11"/>
  <c r="O926" i="11"/>
  <c r="N926" i="11"/>
  <c r="M926" i="11"/>
  <c r="F926" i="11"/>
  <c r="E926" i="11"/>
  <c r="D926" i="11"/>
  <c r="C926" i="11"/>
  <c r="B926" i="11"/>
  <c r="X925" i="11"/>
  <c r="W925" i="11"/>
  <c r="V925" i="11"/>
  <c r="U925" i="11"/>
  <c r="T925" i="11"/>
  <c r="S925" i="11"/>
  <c r="R925" i="11"/>
  <c r="Q925" i="11"/>
  <c r="P925" i="11"/>
  <c r="O925" i="11"/>
  <c r="N925" i="11"/>
  <c r="M925" i="11"/>
  <c r="F925" i="11"/>
  <c r="E925" i="11"/>
  <c r="D925" i="11"/>
  <c r="C925" i="11"/>
  <c r="B925" i="11"/>
  <c r="X924" i="11"/>
  <c r="W924" i="11"/>
  <c r="V924" i="11"/>
  <c r="U924" i="11"/>
  <c r="T924" i="11"/>
  <c r="S924" i="11"/>
  <c r="R924" i="11"/>
  <c r="Q924" i="11"/>
  <c r="P924" i="11"/>
  <c r="O924" i="11"/>
  <c r="N924" i="11"/>
  <c r="M924" i="11"/>
  <c r="F924" i="11"/>
  <c r="E924" i="11"/>
  <c r="D924" i="11"/>
  <c r="C924" i="11"/>
  <c r="B924" i="11"/>
  <c r="X923" i="11"/>
  <c r="W923" i="11"/>
  <c r="V923" i="11"/>
  <c r="U923" i="11"/>
  <c r="T923" i="11"/>
  <c r="S923" i="11"/>
  <c r="R923" i="11"/>
  <c r="Q923" i="11"/>
  <c r="P923" i="11"/>
  <c r="O923" i="11"/>
  <c r="N923" i="11"/>
  <c r="M923" i="11"/>
  <c r="F923" i="11"/>
  <c r="E923" i="11"/>
  <c r="D923" i="11"/>
  <c r="C923" i="11"/>
  <c r="B923" i="11"/>
  <c r="X922" i="11"/>
  <c r="W922" i="11"/>
  <c r="V922" i="11"/>
  <c r="U922" i="11"/>
  <c r="T922" i="11"/>
  <c r="S922" i="11"/>
  <c r="R922" i="11"/>
  <c r="Q922" i="11"/>
  <c r="P922" i="11"/>
  <c r="O922" i="11"/>
  <c r="N922" i="11"/>
  <c r="M922" i="11"/>
  <c r="F922" i="11"/>
  <c r="E922" i="11"/>
  <c r="D922" i="11"/>
  <c r="C922" i="11"/>
  <c r="B922" i="11"/>
  <c r="X921" i="11"/>
  <c r="W921" i="11"/>
  <c r="V921" i="11"/>
  <c r="U921" i="11"/>
  <c r="T921" i="11"/>
  <c r="S921" i="11"/>
  <c r="R921" i="11"/>
  <c r="Q921" i="11"/>
  <c r="P921" i="11"/>
  <c r="O921" i="11"/>
  <c r="N921" i="11"/>
  <c r="M921" i="11"/>
  <c r="F921" i="11"/>
  <c r="E921" i="11"/>
  <c r="D921" i="11"/>
  <c r="C921" i="11"/>
  <c r="B921" i="11"/>
  <c r="X920" i="11"/>
  <c r="W920" i="11"/>
  <c r="V920" i="11"/>
  <c r="U920" i="11"/>
  <c r="T920" i="11"/>
  <c r="S920" i="11"/>
  <c r="R920" i="11"/>
  <c r="Q920" i="11"/>
  <c r="P920" i="11"/>
  <c r="O920" i="11"/>
  <c r="N920" i="11"/>
  <c r="M920" i="11"/>
  <c r="F920" i="11"/>
  <c r="E920" i="11"/>
  <c r="D920" i="11"/>
  <c r="C920" i="11"/>
  <c r="B920" i="11"/>
  <c r="X919" i="11"/>
  <c r="W919" i="11"/>
  <c r="V919" i="11"/>
  <c r="U919" i="11"/>
  <c r="T919" i="11"/>
  <c r="S919" i="11"/>
  <c r="R919" i="11"/>
  <c r="Q919" i="11"/>
  <c r="P919" i="11"/>
  <c r="O919" i="11"/>
  <c r="N919" i="11"/>
  <c r="M919" i="11"/>
  <c r="F919" i="11"/>
  <c r="E919" i="11"/>
  <c r="D919" i="11"/>
  <c r="C919" i="11"/>
  <c r="B919" i="11"/>
  <c r="X918" i="11"/>
  <c r="W918" i="11"/>
  <c r="V918" i="11"/>
  <c r="U918" i="11"/>
  <c r="T918" i="11"/>
  <c r="S918" i="11"/>
  <c r="R918" i="11"/>
  <c r="Q918" i="11"/>
  <c r="P918" i="11"/>
  <c r="O918" i="11"/>
  <c r="N918" i="11"/>
  <c r="M918" i="11"/>
  <c r="F918" i="11"/>
  <c r="E918" i="11"/>
  <c r="D918" i="11"/>
  <c r="C918" i="11"/>
  <c r="B918" i="11"/>
  <c r="X917" i="11"/>
  <c r="W917" i="11"/>
  <c r="V917" i="11"/>
  <c r="U917" i="11"/>
  <c r="T917" i="11"/>
  <c r="S917" i="11"/>
  <c r="R917" i="11"/>
  <c r="Q917" i="11"/>
  <c r="P917" i="11"/>
  <c r="O917" i="11"/>
  <c r="N917" i="11"/>
  <c r="M917" i="11"/>
  <c r="F917" i="11"/>
  <c r="E917" i="11"/>
  <c r="D917" i="11"/>
  <c r="C917" i="11"/>
  <c r="B917" i="11"/>
  <c r="X916" i="11"/>
  <c r="W916" i="11"/>
  <c r="V916" i="11"/>
  <c r="U916" i="11"/>
  <c r="T916" i="11"/>
  <c r="S916" i="11"/>
  <c r="R916" i="11"/>
  <c r="Q916" i="11"/>
  <c r="P916" i="11"/>
  <c r="O916" i="11"/>
  <c r="N916" i="11"/>
  <c r="M916" i="11"/>
  <c r="F916" i="11"/>
  <c r="E916" i="11"/>
  <c r="D916" i="11"/>
  <c r="C916" i="11"/>
  <c r="B916" i="11"/>
  <c r="X915" i="11"/>
  <c r="W915" i="11"/>
  <c r="V915" i="11"/>
  <c r="U915" i="11"/>
  <c r="T915" i="11"/>
  <c r="S915" i="11"/>
  <c r="R915" i="11"/>
  <c r="Q915" i="11"/>
  <c r="P915" i="11"/>
  <c r="O915" i="11"/>
  <c r="N915" i="11"/>
  <c r="M915" i="11"/>
  <c r="F915" i="11"/>
  <c r="E915" i="11"/>
  <c r="D915" i="11"/>
  <c r="C915" i="11"/>
  <c r="B915" i="11"/>
  <c r="X914" i="11"/>
  <c r="W914" i="11"/>
  <c r="V914" i="11"/>
  <c r="U914" i="11"/>
  <c r="T914" i="11"/>
  <c r="S914" i="11"/>
  <c r="R914" i="11"/>
  <c r="Q914" i="11"/>
  <c r="P914" i="11"/>
  <c r="O914" i="11"/>
  <c r="N914" i="11"/>
  <c r="M914" i="11"/>
  <c r="F914" i="11"/>
  <c r="E914" i="11"/>
  <c r="D914" i="11"/>
  <c r="C914" i="11"/>
  <c r="B914" i="11"/>
  <c r="X913" i="11"/>
  <c r="W913" i="11"/>
  <c r="V913" i="11"/>
  <c r="U913" i="11"/>
  <c r="T913" i="11"/>
  <c r="S913" i="11"/>
  <c r="R913" i="11"/>
  <c r="Q913" i="11"/>
  <c r="P913" i="11"/>
  <c r="O913" i="11"/>
  <c r="N913" i="11"/>
  <c r="M913" i="11"/>
  <c r="F913" i="11"/>
  <c r="E913" i="11"/>
  <c r="D913" i="11"/>
  <c r="C913" i="11"/>
  <c r="B913" i="11"/>
  <c r="X912" i="11"/>
  <c r="W912" i="11"/>
  <c r="V912" i="11"/>
  <c r="U912" i="11"/>
  <c r="T912" i="11"/>
  <c r="S912" i="11"/>
  <c r="R912" i="11"/>
  <c r="Q912" i="11"/>
  <c r="P912" i="11"/>
  <c r="O912" i="11"/>
  <c r="N912" i="11"/>
  <c r="M912" i="11"/>
  <c r="F912" i="11"/>
  <c r="E912" i="11"/>
  <c r="D912" i="11"/>
  <c r="C912" i="11"/>
  <c r="B912" i="11"/>
  <c r="X911" i="11"/>
  <c r="W911" i="11"/>
  <c r="V911" i="11"/>
  <c r="U911" i="11"/>
  <c r="T911" i="11"/>
  <c r="S911" i="11"/>
  <c r="R911" i="11"/>
  <c r="Q911" i="11"/>
  <c r="P911" i="11"/>
  <c r="O911" i="11"/>
  <c r="N911" i="11"/>
  <c r="M911" i="11"/>
  <c r="F911" i="11"/>
  <c r="E911" i="11"/>
  <c r="D911" i="11"/>
  <c r="C911" i="11"/>
  <c r="B911" i="11"/>
  <c r="X910" i="11"/>
  <c r="W910" i="11"/>
  <c r="V910" i="11"/>
  <c r="U910" i="11"/>
  <c r="T910" i="11"/>
  <c r="S910" i="11"/>
  <c r="R910" i="11"/>
  <c r="Q910" i="11"/>
  <c r="P910" i="11"/>
  <c r="O910" i="11"/>
  <c r="N910" i="11"/>
  <c r="M910" i="11"/>
  <c r="F910" i="11"/>
  <c r="E910" i="11"/>
  <c r="D910" i="11"/>
  <c r="C910" i="11"/>
  <c r="B910" i="11"/>
  <c r="X909" i="11"/>
  <c r="W909" i="11"/>
  <c r="V909" i="11"/>
  <c r="U909" i="11"/>
  <c r="T909" i="11"/>
  <c r="S909" i="11"/>
  <c r="R909" i="11"/>
  <c r="Q909" i="11"/>
  <c r="P909" i="11"/>
  <c r="O909" i="11"/>
  <c r="N909" i="11"/>
  <c r="M909" i="11"/>
  <c r="F909" i="11"/>
  <c r="E909" i="11"/>
  <c r="D909" i="11"/>
  <c r="C909" i="11"/>
  <c r="B909" i="11"/>
  <c r="X908" i="11"/>
  <c r="W908" i="11"/>
  <c r="V908" i="11"/>
  <c r="U908" i="11"/>
  <c r="T908" i="11"/>
  <c r="S908" i="11"/>
  <c r="R908" i="11"/>
  <c r="Q908" i="11"/>
  <c r="P908" i="11"/>
  <c r="O908" i="11"/>
  <c r="N908" i="11"/>
  <c r="M908" i="11"/>
  <c r="F908" i="11"/>
  <c r="E908" i="11"/>
  <c r="D908" i="11"/>
  <c r="C908" i="11"/>
  <c r="B908" i="11"/>
  <c r="X907" i="11"/>
  <c r="W907" i="11"/>
  <c r="V907" i="11"/>
  <c r="U907" i="11"/>
  <c r="T907" i="11"/>
  <c r="S907" i="11"/>
  <c r="R907" i="11"/>
  <c r="Q907" i="11"/>
  <c r="P907" i="11"/>
  <c r="O907" i="11"/>
  <c r="N907" i="11"/>
  <c r="M907" i="11"/>
  <c r="F907" i="11"/>
  <c r="E907" i="11"/>
  <c r="D907" i="11"/>
  <c r="C907" i="11"/>
  <c r="B907" i="11"/>
  <c r="X906" i="11"/>
  <c r="W906" i="11"/>
  <c r="V906" i="11"/>
  <c r="U906" i="11"/>
  <c r="T906" i="11"/>
  <c r="S906" i="11"/>
  <c r="R906" i="11"/>
  <c r="Q906" i="11"/>
  <c r="P906" i="11"/>
  <c r="O906" i="11"/>
  <c r="N906" i="11"/>
  <c r="M906" i="11"/>
  <c r="F906" i="11"/>
  <c r="E906" i="11"/>
  <c r="D906" i="11"/>
  <c r="C906" i="11"/>
  <c r="B906" i="11"/>
  <c r="X905" i="11"/>
  <c r="W905" i="11"/>
  <c r="V905" i="11"/>
  <c r="U905" i="11"/>
  <c r="T905" i="11"/>
  <c r="S905" i="11"/>
  <c r="R905" i="11"/>
  <c r="Q905" i="11"/>
  <c r="P905" i="11"/>
  <c r="O905" i="11"/>
  <c r="N905" i="11"/>
  <c r="M905" i="11"/>
  <c r="F905" i="11"/>
  <c r="E905" i="11"/>
  <c r="D905" i="11"/>
  <c r="C905" i="11"/>
  <c r="B905" i="11"/>
  <c r="X904" i="11"/>
  <c r="W904" i="11"/>
  <c r="V904" i="11"/>
  <c r="U904" i="11"/>
  <c r="T904" i="11"/>
  <c r="S904" i="11"/>
  <c r="R904" i="11"/>
  <c r="Q904" i="11"/>
  <c r="P904" i="11"/>
  <c r="O904" i="11"/>
  <c r="N904" i="11"/>
  <c r="M904" i="11"/>
  <c r="F904" i="11"/>
  <c r="E904" i="11"/>
  <c r="D904" i="11"/>
  <c r="C904" i="11"/>
  <c r="B904" i="11"/>
  <c r="X903" i="11"/>
  <c r="W903" i="11"/>
  <c r="V903" i="11"/>
  <c r="U903" i="11"/>
  <c r="T903" i="11"/>
  <c r="S903" i="11"/>
  <c r="R903" i="11"/>
  <c r="Q903" i="11"/>
  <c r="P903" i="11"/>
  <c r="O903" i="11"/>
  <c r="N903" i="11"/>
  <c r="M903" i="11"/>
  <c r="F903" i="11"/>
  <c r="E903" i="11"/>
  <c r="D903" i="11"/>
  <c r="C903" i="11"/>
  <c r="B903" i="11"/>
  <c r="X902" i="11"/>
  <c r="W902" i="11"/>
  <c r="V902" i="11"/>
  <c r="U902" i="11"/>
  <c r="T902" i="11"/>
  <c r="S902" i="11"/>
  <c r="R902" i="11"/>
  <c r="Q902" i="11"/>
  <c r="P902" i="11"/>
  <c r="O902" i="11"/>
  <c r="N902" i="11"/>
  <c r="M902" i="11"/>
  <c r="F902" i="11"/>
  <c r="E902" i="11"/>
  <c r="D902" i="11"/>
  <c r="C902" i="11"/>
  <c r="B902" i="11"/>
  <c r="X901" i="11"/>
  <c r="W901" i="11"/>
  <c r="V901" i="11"/>
  <c r="U901" i="11"/>
  <c r="T901" i="11"/>
  <c r="S901" i="11"/>
  <c r="R901" i="11"/>
  <c r="Q901" i="11"/>
  <c r="P901" i="11"/>
  <c r="O901" i="11"/>
  <c r="N901" i="11"/>
  <c r="M901" i="11"/>
  <c r="F901" i="11"/>
  <c r="E901" i="11"/>
  <c r="D901" i="11"/>
  <c r="C901" i="11"/>
  <c r="B901" i="11"/>
  <c r="X900" i="11"/>
  <c r="W900" i="11"/>
  <c r="V900" i="11"/>
  <c r="U900" i="11"/>
  <c r="T900" i="11"/>
  <c r="S900" i="11"/>
  <c r="R900" i="11"/>
  <c r="Q900" i="11"/>
  <c r="P900" i="11"/>
  <c r="O900" i="11"/>
  <c r="N900" i="11"/>
  <c r="M900" i="11"/>
  <c r="F900" i="11"/>
  <c r="E900" i="11"/>
  <c r="D900" i="11"/>
  <c r="C900" i="11"/>
  <c r="B900" i="11"/>
  <c r="X899" i="11"/>
  <c r="W899" i="11"/>
  <c r="V899" i="11"/>
  <c r="U899" i="11"/>
  <c r="T899" i="11"/>
  <c r="S899" i="11"/>
  <c r="R899" i="11"/>
  <c r="Q899" i="11"/>
  <c r="P899" i="11"/>
  <c r="O899" i="11"/>
  <c r="N899" i="11"/>
  <c r="M899" i="11"/>
  <c r="F899" i="11"/>
  <c r="E899" i="11"/>
  <c r="D899" i="11"/>
  <c r="C899" i="11"/>
  <c r="B899" i="11"/>
  <c r="X898" i="11"/>
  <c r="W898" i="11"/>
  <c r="V898" i="11"/>
  <c r="U898" i="11"/>
  <c r="T898" i="11"/>
  <c r="S898" i="11"/>
  <c r="R898" i="11"/>
  <c r="Q898" i="11"/>
  <c r="P898" i="11"/>
  <c r="O898" i="11"/>
  <c r="N898" i="11"/>
  <c r="M898" i="11"/>
  <c r="F898" i="11"/>
  <c r="E898" i="11"/>
  <c r="D898" i="11"/>
  <c r="C898" i="11"/>
  <c r="B898" i="11"/>
  <c r="X897" i="11"/>
  <c r="W897" i="11"/>
  <c r="V897" i="11"/>
  <c r="U897" i="11"/>
  <c r="T897" i="11"/>
  <c r="S897" i="11"/>
  <c r="R897" i="11"/>
  <c r="Q897" i="11"/>
  <c r="P897" i="11"/>
  <c r="O897" i="11"/>
  <c r="N897" i="11"/>
  <c r="M897" i="11"/>
  <c r="F897" i="11"/>
  <c r="E897" i="11"/>
  <c r="D897" i="11"/>
  <c r="C897" i="11"/>
  <c r="B897" i="11"/>
  <c r="X896" i="11"/>
  <c r="W896" i="11"/>
  <c r="V896" i="11"/>
  <c r="U896" i="11"/>
  <c r="T896" i="11"/>
  <c r="S896" i="11"/>
  <c r="R896" i="11"/>
  <c r="Q896" i="11"/>
  <c r="P896" i="11"/>
  <c r="O896" i="11"/>
  <c r="N896" i="11"/>
  <c r="M896" i="11"/>
  <c r="F896" i="11"/>
  <c r="E896" i="11"/>
  <c r="D896" i="11"/>
  <c r="C896" i="11"/>
  <c r="B896" i="11"/>
  <c r="X895" i="11"/>
  <c r="W895" i="11"/>
  <c r="V895" i="11"/>
  <c r="U895" i="11"/>
  <c r="T895" i="11"/>
  <c r="S895" i="11"/>
  <c r="R895" i="11"/>
  <c r="Q895" i="11"/>
  <c r="P895" i="11"/>
  <c r="O895" i="11"/>
  <c r="N895" i="11"/>
  <c r="M895" i="11"/>
  <c r="F895" i="11"/>
  <c r="E895" i="11"/>
  <c r="D895" i="11"/>
  <c r="C895" i="11"/>
  <c r="B895" i="11"/>
  <c r="X894" i="11"/>
  <c r="W894" i="11"/>
  <c r="V894" i="11"/>
  <c r="U894" i="11"/>
  <c r="T894" i="11"/>
  <c r="S894" i="11"/>
  <c r="R894" i="11"/>
  <c r="Q894" i="11"/>
  <c r="P894" i="11"/>
  <c r="O894" i="11"/>
  <c r="N894" i="11"/>
  <c r="M894" i="11"/>
  <c r="F894" i="11"/>
  <c r="E894" i="11"/>
  <c r="D894" i="11"/>
  <c r="C894" i="11"/>
  <c r="B894" i="11"/>
  <c r="X893" i="11"/>
  <c r="W893" i="11"/>
  <c r="V893" i="11"/>
  <c r="U893" i="11"/>
  <c r="T893" i="11"/>
  <c r="S893" i="11"/>
  <c r="R893" i="11"/>
  <c r="Q893" i="11"/>
  <c r="P893" i="11"/>
  <c r="O893" i="11"/>
  <c r="N893" i="11"/>
  <c r="M893" i="11"/>
  <c r="F893" i="11"/>
  <c r="E893" i="11"/>
  <c r="D893" i="11"/>
  <c r="C893" i="11"/>
  <c r="B893" i="11"/>
  <c r="X892" i="11"/>
  <c r="W892" i="11"/>
  <c r="V892" i="11"/>
  <c r="U892" i="11"/>
  <c r="T892" i="11"/>
  <c r="S892" i="11"/>
  <c r="R892" i="11"/>
  <c r="Q892" i="11"/>
  <c r="P892" i="11"/>
  <c r="O892" i="11"/>
  <c r="N892" i="11"/>
  <c r="M892" i="11"/>
  <c r="F892" i="11"/>
  <c r="E892" i="11"/>
  <c r="D892" i="11"/>
  <c r="C892" i="11"/>
  <c r="B892" i="11"/>
  <c r="X891" i="11"/>
  <c r="W891" i="11"/>
  <c r="V891" i="11"/>
  <c r="U891" i="11"/>
  <c r="T891" i="11"/>
  <c r="S891" i="11"/>
  <c r="R891" i="11"/>
  <c r="Q891" i="11"/>
  <c r="P891" i="11"/>
  <c r="O891" i="11"/>
  <c r="N891" i="11"/>
  <c r="M891" i="11"/>
  <c r="F891" i="11"/>
  <c r="E891" i="11"/>
  <c r="D891" i="11"/>
  <c r="C891" i="11"/>
  <c r="B891" i="11"/>
  <c r="X890" i="11"/>
  <c r="W890" i="11"/>
  <c r="V890" i="11"/>
  <c r="U890" i="11"/>
  <c r="T890" i="11"/>
  <c r="S890" i="11"/>
  <c r="R890" i="11"/>
  <c r="Q890" i="11"/>
  <c r="P890" i="11"/>
  <c r="O890" i="11"/>
  <c r="N890" i="11"/>
  <c r="M890" i="11"/>
  <c r="F890" i="11"/>
  <c r="E890" i="11"/>
  <c r="D890" i="11"/>
  <c r="C890" i="11"/>
  <c r="B890" i="11"/>
  <c r="X889" i="11"/>
  <c r="W889" i="11"/>
  <c r="V889" i="11"/>
  <c r="U889" i="11"/>
  <c r="T889" i="11"/>
  <c r="S889" i="11"/>
  <c r="R889" i="11"/>
  <c r="Q889" i="11"/>
  <c r="P889" i="11"/>
  <c r="O889" i="11"/>
  <c r="N889" i="11"/>
  <c r="M889" i="11"/>
  <c r="F889" i="11"/>
  <c r="E889" i="11"/>
  <c r="D889" i="11"/>
  <c r="C889" i="11"/>
  <c r="B889" i="11"/>
  <c r="X888" i="11"/>
  <c r="W888" i="11"/>
  <c r="V888" i="11"/>
  <c r="U888" i="11"/>
  <c r="T888" i="11"/>
  <c r="S888" i="11"/>
  <c r="R888" i="11"/>
  <c r="Q888" i="11"/>
  <c r="P888" i="11"/>
  <c r="O888" i="11"/>
  <c r="N888" i="11"/>
  <c r="M888" i="11"/>
  <c r="F888" i="11"/>
  <c r="E888" i="11"/>
  <c r="D888" i="11"/>
  <c r="C888" i="11"/>
  <c r="B888" i="11"/>
  <c r="X887" i="11"/>
  <c r="W887" i="11"/>
  <c r="V887" i="11"/>
  <c r="U887" i="11"/>
  <c r="T887" i="11"/>
  <c r="S887" i="11"/>
  <c r="R887" i="11"/>
  <c r="Q887" i="11"/>
  <c r="P887" i="11"/>
  <c r="O887" i="11"/>
  <c r="N887" i="11"/>
  <c r="M887" i="11"/>
  <c r="F887" i="11"/>
  <c r="E887" i="11"/>
  <c r="D887" i="11"/>
  <c r="C887" i="11"/>
  <c r="B887" i="11"/>
  <c r="X886" i="11"/>
  <c r="W886" i="11"/>
  <c r="V886" i="11"/>
  <c r="U886" i="11"/>
  <c r="T886" i="11"/>
  <c r="S886" i="11"/>
  <c r="R886" i="11"/>
  <c r="Q886" i="11"/>
  <c r="P886" i="11"/>
  <c r="O886" i="11"/>
  <c r="N886" i="11"/>
  <c r="M886" i="11"/>
  <c r="F886" i="11"/>
  <c r="E886" i="11"/>
  <c r="D886" i="11"/>
  <c r="C886" i="11"/>
  <c r="B886" i="11"/>
  <c r="X885" i="11"/>
  <c r="W885" i="11"/>
  <c r="V885" i="11"/>
  <c r="U885" i="11"/>
  <c r="T885" i="11"/>
  <c r="S885" i="11"/>
  <c r="R885" i="11"/>
  <c r="Q885" i="11"/>
  <c r="P885" i="11"/>
  <c r="O885" i="11"/>
  <c r="N885" i="11"/>
  <c r="M885" i="11"/>
  <c r="F885" i="11"/>
  <c r="E885" i="11"/>
  <c r="D885" i="11"/>
  <c r="C885" i="11"/>
  <c r="B885" i="11"/>
  <c r="X884" i="11"/>
  <c r="W884" i="11"/>
  <c r="V884" i="11"/>
  <c r="U884" i="11"/>
  <c r="T884" i="11"/>
  <c r="S884" i="11"/>
  <c r="R884" i="11"/>
  <c r="Q884" i="11"/>
  <c r="P884" i="11"/>
  <c r="O884" i="11"/>
  <c r="N884" i="11"/>
  <c r="M884" i="11"/>
  <c r="F884" i="11"/>
  <c r="E884" i="11"/>
  <c r="D884" i="11"/>
  <c r="C884" i="11"/>
  <c r="B884" i="11"/>
  <c r="X883" i="11"/>
  <c r="W883" i="11"/>
  <c r="V883" i="11"/>
  <c r="U883" i="11"/>
  <c r="T883" i="11"/>
  <c r="S883" i="11"/>
  <c r="R883" i="11"/>
  <c r="Q883" i="11"/>
  <c r="P883" i="11"/>
  <c r="O883" i="11"/>
  <c r="N883" i="11"/>
  <c r="M883" i="11"/>
  <c r="F883" i="11"/>
  <c r="E883" i="11"/>
  <c r="D883" i="11"/>
  <c r="C883" i="11"/>
  <c r="B883" i="11"/>
  <c r="X882" i="11"/>
  <c r="W882" i="11"/>
  <c r="V882" i="11"/>
  <c r="U882" i="11"/>
  <c r="T882" i="11"/>
  <c r="S882" i="11"/>
  <c r="R882" i="11"/>
  <c r="Q882" i="11"/>
  <c r="P882" i="11"/>
  <c r="O882" i="11"/>
  <c r="N882" i="11"/>
  <c r="M882" i="11"/>
  <c r="F882" i="11"/>
  <c r="E882" i="11"/>
  <c r="D882" i="11"/>
  <c r="C882" i="11"/>
  <c r="B882" i="11"/>
  <c r="X881" i="11"/>
  <c r="W881" i="11"/>
  <c r="V881" i="11"/>
  <c r="U881" i="11"/>
  <c r="T881" i="11"/>
  <c r="S881" i="11"/>
  <c r="R881" i="11"/>
  <c r="Q881" i="11"/>
  <c r="P881" i="11"/>
  <c r="O881" i="11"/>
  <c r="N881" i="11"/>
  <c r="M881" i="11"/>
  <c r="F881" i="11"/>
  <c r="E881" i="11"/>
  <c r="D881" i="11"/>
  <c r="C881" i="11"/>
  <c r="B881" i="11"/>
  <c r="X880" i="11"/>
  <c r="W880" i="11"/>
  <c r="V880" i="11"/>
  <c r="U880" i="11"/>
  <c r="T880" i="11"/>
  <c r="S880" i="11"/>
  <c r="R880" i="11"/>
  <c r="Q880" i="11"/>
  <c r="P880" i="11"/>
  <c r="O880" i="11"/>
  <c r="N880" i="11"/>
  <c r="M880" i="11"/>
  <c r="F880" i="11"/>
  <c r="E880" i="11"/>
  <c r="D880" i="11"/>
  <c r="C880" i="11"/>
  <c r="B880" i="11"/>
  <c r="X879" i="11"/>
  <c r="W879" i="11"/>
  <c r="V879" i="11"/>
  <c r="U879" i="11"/>
  <c r="T879" i="11"/>
  <c r="S879" i="11"/>
  <c r="R879" i="11"/>
  <c r="Q879" i="11"/>
  <c r="P879" i="11"/>
  <c r="O879" i="11"/>
  <c r="N879" i="11"/>
  <c r="M879" i="11"/>
  <c r="F879" i="11"/>
  <c r="E879" i="11"/>
  <c r="D879" i="11"/>
  <c r="C879" i="11"/>
  <c r="B879" i="11"/>
  <c r="X878" i="11"/>
  <c r="W878" i="11"/>
  <c r="V878" i="11"/>
  <c r="U878" i="11"/>
  <c r="T878" i="11"/>
  <c r="S878" i="11"/>
  <c r="R878" i="11"/>
  <c r="Q878" i="11"/>
  <c r="P878" i="11"/>
  <c r="O878" i="11"/>
  <c r="N878" i="11"/>
  <c r="M878" i="11"/>
  <c r="F878" i="11"/>
  <c r="E878" i="11"/>
  <c r="D878" i="11"/>
  <c r="C878" i="11"/>
  <c r="B878" i="11"/>
  <c r="X877" i="11"/>
  <c r="W877" i="11"/>
  <c r="V877" i="11"/>
  <c r="U877" i="11"/>
  <c r="T877" i="11"/>
  <c r="S877" i="11"/>
  <c r="R877" i="11"/>
  <c r="Q877" i="11"/>
  <c r="P877" i="11"/>
  <c r="O877" i="11"/>
  <c r="N877" i="11"/>
  <c r="M877" i="11"/>
  <c r="F877" i="11"/>
  <c r="E877" i="11"/>
  <c r="D877" i="11"/>
  <c r="C877" i="11"/>
  <c r="B877" i="11"/>
  <c r="X876" i="11"/>
  <c r="W876" i="11"/>
  <c r="V876" i="11"/>
  <c r="U876" i="11"/>
  <c r="T876" i="11"/>
  <c r="S876" i="11"/>
  <c r="R876" i="11"/>
  <c r="Q876" i="11"/>
  <c r="P876" i="11"/>
  <c r="O876" i="11"/>
  <c r="N876" i="11"/>
  <c r="M876" i="11"/>
  <c r="F876" i="11"/>
  <c r="E876" i="11"/>
  <c r="D876" i="11"/>
  <c r="C876" i="11"/>
  <c r="B876" i="11"/>
  <c r="X875" i="11"/>
  <c r="W875" i="11"/>
  <c r="V875" i="11"/>
  <c r="U875" i="11"/>
  <c r="T875" i="11"/>
  <c r="S875" i="11"/>
  <c r="R875" i="11"/>
  <c r="Q875" i="11"/>
  <c r="P875" i="11"/>
  <c r="O875" i="11"/>
  <c r="N875" i="11"/>
  <c r="M875" i="11"/>
  <c r="F875" i="11"/>
  <c r="E875" i="11"/>
  <c r="D875" i="11"/>
  <c r="C875" i="11"/>
  <c r="B875" i="11"/>
  <c r="X874" i="11"/>
  <c r="W874" i="11"/>
  <c r="V874" i="11"/>
  <c r="U874" i="11"/>
  <c r="T874" i="11"/>
  <c r="S874" i="11"/>
  <c r="R874" i="11"/>
  <c r="Q874" i="11"/>
  <c r="P874" i="11"/>
  <c r="O874" i="11"/>
  <c r="N874" i="11"/>
  <c r="M874" i="11"/>
  <c r="F874" i="11"/>
  <c r="E874" i="11"/>
  <c r="D874" i="11"/>
  <c r="C874" i="11"/>
  <c r="B874" i="11"/>
  <c r="X873" i="11"/>
  <c r="W873" i="11"/>
  <c r="V873" i="11"/>
  <c r="U873" i="11"/>
  <c r="T873" i="11"/>
  <c r="S873" i="11"/>
  <c r="R873" i="11"/>
  <c r="Q873" i="11"/>
  <c r="P873" i="11"/>
  <c r="O873" i="11"/>
  <c r="N873" i="11"/>
  <c r="M873" i="11"/>
  <c r="F873" i="11"/>
  <c r="E873" i="11"/>
  <c r="D873" i="11"/>
  <c r="C873" i="11"/>
  <c r="B873" i="11"/>
  <c r="X872" i="11"/>
  <c r="W872" i="11"/>
  <c r="V872" i="11"/>
  <c r="U872" i="11"/>
  <c r="T872" i="11"/>
  <c r="S872" i="11"/>
  <c r="R872" i="11"/>
  <c r="Q872" i="11"/>
  <c r="P872" i="11"/>
  <c r="O872" i="11"/>
  <c r="N872" i="11"/>
  <c r="M872" i="11"/>
  <c r="F872" i="11"/>
  <c r="E872" i="11"/>
  <c r="D872" i="11"/>
  <c r="C872" i="11"/>
  <c r="B872" i="11"/>
  <c r="X871" i="11"/>
  <c r="W871" i="11"/>
  <c r="V871" i="11"/>
  <c r="U871" i="11"/>
  <c r="T871" i="11"/>
  <c r="S871" i="11"/>
  <c r="R871" i="11"/>
  <c r="Q871" i="11"/>
  <c r="P871" i="11"/>
  <c r="O871" i="11"/>
  <c r="N871" i="11"/>
  <c r="M871" i="11"/>
  <c r="F871" i="11"/>
  <c r="E871" i="11"/>
  <c r="D871" i="11"/>
  <c r="C871" i="11"/>
  <c r="B871" i="11"/>
  <c r="X870" i="11"/>
  <c r="W870" i="11"/>
  <c r="V870" i="11"/>
  <c r="U870" i="11"/>
  <c r="T870" i="11"/>
  <c r="S870" i="11"/>
  <c r="R870" i="11"/>
  <c r="Q870" i="11"/>
  <c r="P870" i="11"/>
  <c r="O870" i="11"/>
  <c r="N870" i="11"/>
  <c r="M870" i="11"/>
  <c r="F870" i="11"/>
  <c r="E870" i="11"/>
  <c r="D870" i="11"/>
  <c r="C870" i="11"/>
  <c r="B870" i="11"/>
  <c r="X869" i="11"/>
  <c r="W869" i="11"/>
  <c r="V869" i="11"/>
  <c r="U869" i="11"/>
  <c r="T869" i="11"/>
  <c r="S869" i="11"/>
  <c r="R869" i="11"/>
  <c r="Q869" i="11"/>
  <c r="P869" i="11"/>
  <c r="O869" i="11"/>
  <c r="N869" i="11"/>
  <c r="M869" i="11"/>
  <c r="F869" i="11"/>
  <c r="E869" i="11"/>
  <c r="D869" i="11"/>
  <c r="C869" i="11"/>
  <c r="B869" i="11"/>
  <c r="X868" i="11"/>
  <c r="W868" i="11"/>
  <c r="V868" i="11"/>
  <c r="U868" i="11"/>
  <c r="T868" i="11"/>
  <c r="S868" i="11"/>
  <c r="R868" i="11"/>
  <c r="Q868" i="11"/>
  <c r="P868" i="11"/>
  <c r="O868" i="11"/>
  <c r="N868" i="11"/>
  <c r="M868" i="11"/>
  <c r="F868" i="11"/>
  <c r="E868" i="11"/>
  <c r="D868" i="11"/>
  <c r="C868" i="11"/>
  <c r="B868" i="11"/>
  <c r="X867" i="11"/>
  <c r="W867" i="11"/>
  <c r="V867" i="11"/>
  <c r="U867" i="11"/>
  <c r="T867" i="11"/>
  <c r="S867" i="11"/>
  <c r="R867" i="11"/>
  <c r="Q867" i="11"/>
  <c r="P867" i="11"/>
  <c r="O867" i="11"/>
  <c r="N867" i="11"/>
  <c r="M867" i="11"/>
  <c r="F867" i="11"/>
  <c r="E867" i="11"/>
  <c r="D867" i="11"/>
  <c r="C867" i="11"/>
  <c r="B867" i="11"/>
  <c r="X866" i="11"/>
  <c r="W866" i="11"/>
  <c r="V866" i="11"/>
  <c r="U866" i="11"/>
  <c r="T866" i="11"/>
  <c r="S866" i="11"/>
  <c r="R866" i="11"/>
  <c r="Q866" i="11"/>
  <c r="P866" i="11"/>
  <c r="O866" i="11"/>
  <c r="N866" i="11"/>
  <c r="M866" i="11"/>
  <c r="F866" i="11"/>
  <c r="E866" i="11"/>
  <c r="D866" i="11"/>
  <c r="C866" i="11"/>
  <c r="B866" i="11"/>
  <c r="X865" i="11"/>
  <c r="W865" i="11"/>
  <c r="V865" i="11"/>
  <c r="U865" i="11"/>
  <c r="T865" i="11"/>
  <c r="S865" i="11"/>
  <c r="R865" i="11"/>
  <c r="Q865" i="11"/>
  <c r="P865" i="11"/>
  <c r="O865" i="11"/>
  <c r="N865" i="11"/>
  <c r="M865" i="11"/>
  <c r="F865" i="11"/>
  <c r="E865" i="11"/>
  <c r="D865" i="11"/>
  <c r="C865" i="11"/>
  <c r="B865" i="11"/>
  <c r="X864" i="11"/>
  <c r="W864" i="11"/>
  <c r="V864" i="11"/>
  <c r="U864" i="11"/>
  <c r="T864" i="11"/>
  <c r="S864" i="11"/>
  <c r="R864" i="11"/>
  <c r="Q864" i="11"/>
  <c r="P864" i="11"/>
  <c r="O864" i="11"/>
  <c r="N864" i="11"/>
  <c r="M864" i="11"/>
  <c r="F864" i="11"/>
  <c r="E864" i="11"/>
  <c r="D864" i="11"/>
  <c r="C864" i="11"/>
  <c r="B864" i="11"/>
  <c r="X863" i="11"/>
  <c r="W863" i="11"/>
  <c r="V863" i="11"/>
  <c r="U863" i="11"/>
  <c r="T863" i="11"/>
  <c r="S863" i="11"/>
  <c r="R863" i="11"/>
  <c r="Q863" i="11"/>
  <c r="P863" i="11"/>
  <c r="O863" i="11"/>
  <c r="N863" i="11"/>
  <c r="M863" i="11"/>
  <c r="F863" i="11"/>
  <c r="E863" i="11"/>
  <c r="D863" i="11"/>
  <c r="C863" i="11"/>
  <c r="B863" i="11"/>
  <c r="X862" i="11"/>
  <c r="W862" i="11"/>
  <c r="V862" i="11"/>
  <c r="U862" i="11"/>
  <c r="T862" i="11"/>
  <c r="S862" i="11"/>
  <c r="R862" i="11"/>
  <c r="Q862" i="11"/>
  <c r="P862" i="11"/>
  <c r="O862" i="11"/>
  <c r="N862" i="11"/>
  <c r="M862" i="11"/>
  <c r="F862" i="11"/>
  <c r="E862" i="11"/>
  <c r="D862" i="11"/>
  <c r="C862" i="11"/>
  <c r="B862" i="11"/>
  <c r="X861" i="11"/>
  <c r="W861" i="11"/>
  <c r="V861" i="11"/>
  <c r="U861" i="11"/>
  <c r="T861" i="11"/>
  <c r="S861" i="11"/>
  <c r="R861" i="11"/>
  <c r="Q861" i="11"/>
  <c r="P861" i="11"/>
  <c r="O861" i="11"/>
  <c r="N861" i="11"/>
  <c r="M861" i="11"/>
  <c r="F861" i="11"/>
  <c r="E861" i="11"/>
  <c r="D861" i="11"/>
  <c r="C861" i="11"/>
  <c r="B861" i="11"/>
  <c r="X860" i="11"/>
  <c r="W860" i="11"/>
  <c r="V860" i="11"/>
  <c r="U860" i="11"/>
  <c r="T860" i="11"/>
  <c r="S860" i="11"/>
  <c r="R860" i="11"/>
  <c r="Q860" i="11"/>
  <c r="P860" i="11"/>
  <c r="O860" i="11"/>
  <c r="N860" i="11"/>
  <c r="M860" i="11"/>
  <c r="F860" i="11"/>
  <c r="E860" i="11"/>
  <c r="D860" i="11"/>
  <c r="C860" i="11"/>
  <c r="B860" i="11"/>
  <c r="X859" i="11"/>
  <c r="W859" i="11"/>
  <c r="V859" i="11"/>
  <c r="U859" i="11"/>
  <c r="T859" i="11"/>
  <c r="S859" i="11"/>
  <c r="R859" i="11"/>
  <c r="Q859" i="11"/>
  <c r="P859" i="11"/>
  <c r="O859" i="11"/>
  <c r="N859" i="11"/>
  <c r="M859" i="11"/>
  <c r="F859" i="11"/>
  <c r="E859" i="11"/>
  <c r="D859" i="11"/>
  <c r="C859" i="11"/>
  <c r="B859" i="11"/>
  <c r="X858" i="11"/>
  <c r="W858" i="11"/>
  <c r="V858" i="11"/>
  <c r="U858" i="11"/>
  <c r="T858" i="11"/>
  <c r="S858" i="11"/>
  <c r="R858" i="11"/>
  <c r="Q858" i="11"/>
  <c r="P858" i="11"/>
  <c r="O858" i="11"/>
  <c r="N858" i="11"/>
  <c r="M858" i="11"/>
  <c r="F858" i="11"/>
  <c r="E858" i="11"/>
  <c r="D858" i="11"/>
  <c r="C858" i="11"/>
  <c r="B858" i="11"/>
  <c r="X857" i="11"/>
  <c r="W857" i="11"/>
  <c r="V857" i="11"/>
  <c r="U857" i="11"/>
  <c r="T857" i="11"/>
  <c r="S857" i="11"/>
  <c r="R857" i="11"/>
  <c r="Q857" i="11"/>
  <c r="P857" i="11"/>
  <c r="O857" i="11"/>
  <c r="N857" i="11"/>
  <c r="M857" i="11"/>
  <c r="F857" i="11"/>
  <c r="E857" i="11"/>
  <c r="D857" i="11"/>
  <c r="C857" i="11"/>
  <c r="B857" i="11"/>
  <c r="X856" i="11"/>
  <c r="W856" i="11"/>
  <c r="V856" i="11"/>
  <c r="U856" i="11"/>
  <c r="T856" i="11"/>
  <c r="S856" i="11"/>
  <c r="R856" i="11"/>
  <c r="Q856" i="11"/>
  <c r="P856" i="11"/>
  <c r="O856" i="11"/>
  <c r="N856" i="11"/>
  <c r="M856" i="11"/>
  <c r="F856" i="11"/>
  <c r="E856" i="11"/>
  <c r="D856" i="11"/>
  <c r="C856" i="11"/>
  <c r="B856" i="11"/>
  <c r="X855" i="11"/>
  <c r="W855" i="11"/>
  <c r="V855" i="11"/>
  <c r="U855" i="11"/>
  <c r="T855" i="11"/>
  <c r="S855" i="11"/>
  <c r="R855" i="11"/>
  <c r="Q855" i="11"/>
  <c r="P855" i="11"/>
  <c r="O855" i="11"/>
  <c r="N855" i="11"/>
  <c r="M855" i="11"/>
  <c r="F855" i="11"/>
  <c r="E855" i="11"/>
  <c r="D855" i="11"/>
  <c r="C855" i="11"/>
  <c r="B855" i="11"/>
  <c r="X854" i="11"/>
  <c r="W854" i="11"/>
  <c r="V854" i="11"/>
  <c r="U854" i="11"/>
  <c r="T854" i="11"/>
  <c r="S854" i="11"/>
  <c r="R854" i="11"/>
  <c r="Q854" i="11"/>
  <c r="P854" i="11"/>
  <c r="O854" i="11"/>
  <c r="N854" i="11"/>
  <c r="M854" i="11"/>
  <c r="F854" i="11"/>
  <c r="E854" i="11"/>
  <c r="D854" i="11"/>
  <c r="C854" i="11"/>
  <c r="B854" i="11"/>
  <c r="X853" i="11"/>
  <c r="W853" i="11"/>
  <c r="V853" i="11"/>
  <c r="U853" i="11"/>
  <c r="T853" i="11"/>
  <c r="S853" i="11"/>
  <c r="R853" i="11"/>
  <c r="Q853" i="11"/>
  <c r="P853" i="11"/>
  <c r="O853" i="11"/>
  <c r="N853" i="11"/>
  <c r="M853" i="11"/>
  <c r="F853" i="11"/>
  <c r="E853" i="11"/>
  <c r="D853" i="11"/>
  <c r="C853" i="11"/>
  <c r="B853" i="11"/>
  <c r="X852" i="11"/>
  <c r="W852" i="11"/>
  <c r="V852" i="11"/>
  <c r="U852" i="11"/>
  <c r="T852" i="11"/>
  <c r="S852" i="11"/>
  <c r="R852" i="11"/>
  <c r="Q852" i="11"/>
  <c r="P852" i="11"/>
  <c r="O852" i="11"/>
  <c r="N852" i="11"/>
  <c r="M852" i="11"/>
  <c r="F852" i="11"/>
  <c r="E852" i="11"/>
  <c r="D852" i="11"/>
  <c r="C852" i="11"/>
  <c r="B852" i="11"/>
  <c r="X851" i="11"/>
  <c r="W851" i="11"/>
  <c r="V851" i="11"/>
  <c r="U851" i="11"/>
  <c r="T851" i="11"/>
  <c r="S851" i="11"/>
  <c r="R851" i="11"/>
  <c r="Q851" i="11"/>
  <c r="P851" i="11"/>
  <c r="O851" i="11"/>
  <c r="N851" i="11"/>
  <c r="M851" i="11"/>
  <c r="F851" i="11"/>
  <c r="E851" i="11"/>
  <c r="D851" i="11"/>
  <c r="C851" i="11"/>
  <c r="B851" i="11"/>
  <c r="X850" i="11"/>
  <c r="W850" i="11"/>
  <c r="V850" i="11"/>
  <c r="U850" i="11"/>
  <c r="T850" i="11"/>
  <c r="S850" i="11"/>
  <c r="R850" i="11"/>
  <c r="Q850" i="11"/>
  <c r="P850" i="11"/>
  <c r="O850" i="11"/>
  <c r="N850" i="11"/>
  <c r="M850" i="11"/>
  <c r="F850" i="11"/>
  <c r="E850" i="11"/>
  <c r="D850" i="11"/>
  <c r="C850" i="11"/>
  <c r="B850" i="11"/>
  <c r="X849" i="11"/>
  <c r="W849" i="11"/>
  <c r="V849" i="11"/>
  <c r="U849" i="11"/>
  <c r="T849" i="11"/>
  <c r="S849" i="11"/>
  <c r="R849" i="11"/>
  <c r="Q849" i="11"/>
  <c r="P849" i="11"/>
  <c r="O849" i="11"/>
  <c r="N849" i="11"/>
  <c r="M849" i="11"/>
  <c r="F849" i="11"/>
  <c r="E849" i="11"/>
  <c r="D849" i="11"/>
  <c r="C849" i="11"/>
  <c r="B849" i="11"/>
  <c r="X848" i="11"/>
  <c r="W848" i="11"/>
  <c r="V848" i="11"/>
  <c r="U848" i="11"/>
  <c r="T848" i="11"/>
  <c r="S848" i="11"/>
  <c r="R848" i="11"/>
  <c r="Q848" i="11"/>
  <c r="P848" i="11"/>
  <c r="O848" i="11"/>
  <c r="N848" i="11"/>
  <c r="M848" i="11"/>
  <c r="F848" i="11"/>
  <c r="E848" i="11"/>
  <c r="D848" i="11"/>
  <c r="C848" i="11"/>
  <c r="B848" i="11"/>
  <c r="X847" i="11"/>
  <c r="W847" i="11"/>
  <c r="V847" i="11"/>
  <c r="U847" i="11"/>
  <c r="T847" i="11"/>
  <c r="S847" i="11"/>
  <c r="R847" i="11"/>
  <c r="Q847" i="11"/>
  <c r="P847" i="11"/>
  <c r="O847" i="11"/>
  <c r="N847" i="11"/>
  <c r="M847" i="11"/>
  <c r="F847" i="11"/>
  <c r="E847" i="11"/>
  <c r="D847" i="11"/>
  <c r="C847" i="11"/>
  <c r="B847" i="11"/>
  <c r="X846" i="11"/>
  <c r="W846" i="11"/>
  <c r="V846" i="11"/>
  <c r="U846" i="11"/>
  <c r="T846" i="11"/>
  <c r="S846" i="11"/>
  <c r="R846" i="11"/>
  <c r="Q846" i="11"/>
  <c r="P846" i="11"/>
  <c r="O846" i="11"/>
  <c r="N846" i="11"/>
  <c r="M846" i="11"/>
  <c r="F846" i="11"/>
  <c r="E846" i="11"/>
  <c r="D846" i="11"/>
  <c r="C846" i="11"/>
  <c r="B846" i="11"/>
  <c r="X845" i="11"/>
  <c r="W845" i="11"/>
  <c r="V845" i="11"/>
  <c r="U845" i="11"/>
  <c r="T845" i="11"/>
  <c r="S845" i="11"/>
  <c r="R845" i="11"/>
  <c r="Q845" i="11"/>
  <c r="P845" i="11"/>
  <c r="O845" i="11"/>
  <c r="N845" i="11"/>
  <c r="M845" i="11"/>
  <c r="F845" i="11"/>
  <c r="E845" i="11"/>
  <c r="D845" i="11"/>
  <c r="C845" i="11"/>
  <c r="B845" i="11"/>
  <c r="X844" i="11"/>
  <c r="W844" i="11"/>
  <c r="V844" i="11"/>
  <c r="U844" i="11"/>
  <c r="T844" i="11"/>
  <c r="S844" i="11"/>
  <c r="R844" i="11"/>
  <c r="Q844" i="11"/>
  <c r="P844" i="11"/>
  <c r="O844" i="11"/>
  <c r="N844" i="11"/>
  <c r="M844" i="11"/>
  <c r="F844" i="11"/>
  <c r="E844" i="11"/>
  <c r="D844" i="11"/>
  <c r="C844" i="11"/>
  <c r="B844" i="11"/>
  <c r="X843" i="11"/>
  <c r="W843" i="11"/>
  <c r="V843" i="11"/>
  <c r="U843" i="11"/>
  <c r="T843" i="11"/>
  <c r="S843" i="11"/>
  <c r="R843" i="11"/>
  <c r="Q843" i="11"/>
  <c r="P843" i="11"/>
  <c r="O843" i="11"/>
  <c r="N843" i="11"/>
  <c r="M843" i="11"/>
  <c r="F843" i="11"/>
  <c r="E843" i="11"/>
  <c r="D843" i="11"/>
  <c r="C843" i="11"/>
  <c r="B843" i="11"/>
  <c r="X842" i="11"/>
  <c r="W842" i="11"/>
  <c r="V842" i="11"/>
  <c r="U842" i="11"/>
  <c r="T842" i="11"/>
  <c r="S842" i="11"/>
  <c r="R842" i="11"/>
  <c r="Q842" i="11"/>
  <c r="P842" i="11"/>
  <c r="O842" i="11"/>
  <c r="N842" i="11"/>
  <c r="M842" i="11"/>
  <c r="F842" i="11"/>
  <c r="E842" i="11"/>
  <c r="D842" i="11"/>
  <c r="C842" i="11"/>
  <c r="B842" i="11"/>
  <c r="X841" i="11"/>
  <c r="W841" i="11"/>
  <c r="V841" i="11"/>
  <c r="U841" i="11"/>
  <c r="T841" i="11"/>
  <c r="S841" i="11"/>
  <c r="R841" i="11"/>
  <c r="Q841" i="11"/>
  <c r="P841" i="11"/>
  <c r="O841" i="11"/>
  <c r="N841" i="11"/>
  <c r="M841" i="11"/>
  <c r="F841" i="11"/>
  <c r="E841" i="11"/>
  <c r="D841" i="11"/>
  <c r="C841" i="11"/>
  <c r="B841" i="11"/>
  <c r="X840" i="11"/>
  <c r="W840" i="11"/>
  <c r="V840" i="11"/>
  <c r="U840" i="11"/>
  <c r="T840" i="11"/>
  <c r="S840" i="11"/>
  <c r="R840" i="11"/>
  <c r="Q840" i="11"/>
  <c r="P840" i="11"/>
  <c r="O840" i="11"/>
  <c r="N840" i="11"/>
  <c r="M840" i="11"/>
  <c r="F840" i="11"/>
  <c r="E840" i="11"/>
  <c r="D840" i="11"/>
  <c r="C840" i="11"/>
  <c r="B840" i="11"/>
  <c r="X839" i="11"/>
  <c r="W839" i="11"/>
  <c r="V839" i="11"/>
  <c r="U839" i="11"/>
  <c r="T839" i="11"/>
  <c r="S839" i="11"/>
  <c r="R839" i="11"/>
  <c r="Q839" i="11"/>
  <c r="P839" i="11"/>
  <c r="O839" i="11"/>
  <c r="N839" i="11"/>
  <c r="M839" i="11"/>
  <c r="F839" i="11"/>
  <c r="E839" i="11"/>
  <c r="D839" i="11"/>
  <c r="C839" i="11"/>
  <c r="B839" i="11"/>
  <c r="X838" i="11"/>
  <c r="W838" i="11"/>
  <c r="V838" i="11"/>
  <c r="U838" i="11"/>
  <c r="T838" i="11"/>
  <c r="S838" i="11"/>
  <c r="R838" i="11"/>
  <c r="Q838" i="11"/>
  <c r="P838" i="11"/>
  <c r="O838" i="11"/>
  <c r="N838" i="11"/>
  <c r="M838" i="11"/>
  <c r="F838" i="11"/>
  <c r="E838" i="11"/>
  <c r="D838" i="11"/>
  <c r="C838" i="11"/>
  <c r="B838" i="11"/>
  <c r="X837" i="11"/>
  <c r="W837" i="11"/>
  <c r="V837" i="11"/>
  <c r="U837" i="11"/>
  <c r="T837" i="11"/>
  <c r="S837" i="11"/>
  <c r="R837" i="11"/>
  <c r="Q837" i="11"/>
  <c r="P837" i="11"/>
  <c r="O837" i="11"/>
  <c r="N837" i="11"/>
  <c r="M837" i="11"/>
  <c r="F837" i="11"/>
  <c r="E837" i="11"/>
  <c r="D837" i="11"/>
  <c r="C837" i="11"/>
  <c r="B837" i="11"/>
  <c r="X836" i="11"/>
  <c r="W836" i="11"/>
  <c r="V836" i="11"/>
  <c r="U836" i="11"/>
  <c r="T836" i="11"/>
  <c r="S836" i="11"/>
  <c r="R836" i="11"/>
  <c r="Q836" i="11"/>
  <c r="P836" i="11"/>
  <c r="O836" i="11"/>
  <c r="N836" i="11"/>
  <c r="M836" i="11"/>
  <c r="F836" i="11"/>
  <c r="E836" i="11"/>
  <c r="D836" i="11"/>
  <c r="C836" i="11"/>
  <c r="B836" i="11"/>
  <c r="X835" i="11"/>
  <c r="W835" i="11"/>
  <c r="V835" i="11"/>
  <c r="U835" i="11"/>
  <c r="T835" i="11"/>
  <c r="S835" i="11"/>
  <c r="R835" i="11"/>
  <c r="Q835" i="11"/>
  <c r="P835" i="11"/>
  <c r="O835" i="11"/>
  <c r="N835" i="11"/>
  <c r="M835" i="11"/>
  <c r="F835" i="11"/>
  <c r="E835" i="11"/>
  <c r="D835" i="11"/>
  <c r="C835" i="11"/>
  <c r="B835" i="11"/>
  <c r="X834" i="11"/>
  <c r="W834" i="11"/>
  <c r="V834" i="11"/>
  <c r="U834" i="11"/>
  <c r="T834" i="11"/>
  <c r="S834" i="11"/>
  <c r="R834" i="11"/>
  <c r="Q834" i="11"/>
  <c r="P834" i="11"/>
  <c r="O834" i="11"/>
  <c r="N834" i="11"/>
  <c r="M834" i="11"/>
  <c r="F834" i="11"/>
  <c r="E834" i="11"/>
  <c r="D834" i="11"/>
  <c r="C834" i="11"/>
  <c r="B834" i="11"/>
  <c r="X833" i="11"/>
  <c r="W833" i="11"/>
  <c r="V833" i="11"/>
  <c r="U833" i="11"/>
  <c r="T833" i="11"/>
  <c r="S833" i="11"/>
  <c r="R833" i="11"/>
  <c r="Q833" i="11"/>
  <c r="P833" i="11"/>
  <c r="O833" i="11"/>
  <c r="N833" i="11"/>
  <c r="M833" i="11"/>
  <c r="F833" i="11"/>
  <c r="E833" i="11"/>
  <c r="D833" i="11"/>
  <c r="C833" i="11"/>
  <c r="B833" i="11"/>
  <c r="X832" i="11"/>
  <c r="W832" i="11"/>
  <c r="V832" i="11"/>
  <c r="U832" i="11"/>
  <c r="T832" i="11"/>
  <c r="S832" i="11"/>
  <c r="R832" i="11"/>
  <c r="Q832" i="11"/>
  <c r="P832" i="11"/>
  <c r="O832" i="11"/>
  <c r="N832" i="11"/>
  <c r="M832" i="11"/>
  <c r="F832" i="11"/>
  <c r="E832" i="11"/>
  <c r="D832" i="11"/>
  <c r="C832" i="11"/>
  <c r="B832" i="11"/>
  <c r="X831" i="11"/>
  <c r="W831" i="11"/>
  <c r="V831" i="11"/>
  <c r="U831" i="11"/>
  <c r="T831" i="11"/>
  <c r="S831" i="11"/>
  <c r="R831" i="11"/>
  <c r="Q831" i="11"/>
  <c r="P831" i="11"/>
  <c r="O831" i="11"/>
  <c r="N831" i="11"/>
  <c r="M831" i="11"/>
  <c r="F831" i="11"/>
  <c r="E831" i="11"/>
  <c r="D831" i="11"/>
  <c r="C831" i="11"/>
  <c r="B831" i="11"/>
  <c r="X830" i="11"/>
  <c r="W830" i="11"/>
  <c r="V830" i="11"/>
  <c r="U830" i="11"/>
  <c r="T830" i="11"/>
  <c r="S830" i="11"/>
  <c r="R830" i="11"/>
  <c r="Q830" i="11"/>
  <c r="P830" i="11"/>
  <c r="O830" i="11"/>
  <c r="N830" i="11"/>
  <c r="M830" i="11"/>
  <c r="F830" i="11"/>
  <c r="E830" i="11"/>
  <c r="D830" i="11"/>
  <c r="C830" i="11"/>
  <c r="B830" i="11"/>
  <c r="X829" i="11"/>
  <c r="W829" i="11"/>
  <c r="V829" i="11"/>
  <c r="U829" i="11"/>
  <c r="T829" i="11"/>
  <c r="S829" i="11"/>
  <c r="R829" i="11"/>
  <c r="Q829" i="11"/>
  <c r="P829" i="11"/>
  <c r="O829" i="11"/>
  <c r="N829" i="11"/>
  <c r="M829" i="11"/>
  <c r="F829" i="11"/>
  <c r="E829" i="11"/>
  <c r="D829" i="11"/>
  <c r="C829" i="11"/>
  <c r="B829" i="11"/>
  <c r="X828" i="11"/>
  <c r="W828" i="11"/>
  <c r="V828" i="11"/>
  <c r="U828" i="11"/>
  <c r="T828" i="11"/>
  <c r="S828" i="11"/>
  <c r="R828" i="11"/>
  <c r="Q828" i="11"/>
  <c r="P828" i="11"/>
  <c r="O828" i="11"/>
  <c r="N828" i="11"/>
  <c r="M828" i="11"/>
  <c r="F828" i="11"/>
  <c r="E828" i="11"/>
  <c r="D828" i="11"/>
  <c r="C828" i="11"/>
  <c r="B828" i="11"/>
  <c r="X827" i="11"/>
  <c r="W827" i="11"/>
  <c r="V827" i="11"/>
  <c r="U827" i="11"/>
  <c r="T827" i="11"/>
  <c r="S827" i="11"/>
  <c r="R827" i="11"/>
  <c r="Q827" i="11"/>
  <c r="P827" i="11"/>
  <c r="O827" i="11"/>
  <c r="N827" i="11"/>
  <c r="M827" i="11"/>
  <c r="F827" i="11"/>
  <c r="E827" i="11"/>
  <c r="D827" i="11"/>
  <c r="C827" i="11"/>
  <c r="B827" i="11"/>
  <c r="X826" i="11"/>
  <c r="W826" i="11"/>
  <c r="V826" i="11"/>
  <c r="U826" i="11"/>
  <c r="T826" i="11"/>
  <c r="S826" i="11"/>
  <c r="R826" i="11"/>
  <c r="Q826" i="11"/>
  <c r="P826" i="11"/>
  <c r="O826" i="11"/>
  <c r="N826" i="11"/>
  <c r="M826" i="11"/>
  <c r="F826" i="11"/>
  <c r="E826" i="11"/>
  <c r="D826" i="11"/>
  <c r="C826" i="11"/>
  <c r="B826" i="11"/>
  <c r="X825" i="11"/>
  <c r="W825" i="11"/>
  <c r="V825" i="11"/>
  <c r="U825" i="11"/>
  <c r="T825" i="11"/>
  <c r="S825" i="11"/>
  <c r="R825" i="11"/>
  <c r="Q825" i="11"/>
  <c r="P825" i="11"/>
  <c r="O825" i="11"/>
  <c r="N825" i="11"/>
  <c r="M825" i="11"/>
  <c r="F825" i="11"/>
  <c r="E825" i="11"/>
  <c r="D825" i="11"/>
  <c r="C825" i="11"/>
  <c r="B825" i="11"/>
  <c r="X824" i="11"/>
  <c r="W824" i="11"/>
  <c r="V824" i="11"/>
  <c r="U824" i="11"/>
  <c r="T824" i="11"/>
  <c r="S824" i="11"/>
  <c r="R824" i="11"/>
  <c r="Q824" i="11"/>
  <c r="P824" i="11"/>
  <c r="O824" i="11"/>
  <c r="N824" i="11"/>
  <c r="M824" i="11"/>
  <c r="F824" i="11"/>
  <c r="E824" i="11"/>
  <c r="D824" i="11"/>
  <c r="C824" i="11"/>
  <c r="B824" i="11"/>
  <c r="X823" i="11"/>
  <c r="W823" i="11"/>
  <c r="V823" i="11"/>
  <c r="U823" i="11"/>
  <c r="T823" i="11"/>
  <c r="S823" i="11"/>
  <c r="R823" i="11"/>
  <c r="Q823" i="11"/>
  <c r="P823" i="11"/>
  <c r="O823" i="11"/>
  <c r="N823" i="11"/>
  <c r="M823" i="11"/>
  <c r="F823" i="11"/>
  <c r="E823" i="11"/>
  <c r="D823" i="11"/>
  <c r="C823" i="11"/>
  <c r="B823" i="11"/>
  <c r="X822" i="11"/>
  <c r="W822" i="11"/>
  <c r="V822" i="11"/>
  <c r="U822" i="11"/>
  <c r="T822" i="11"/>
  <c r="S822" i="11"/>
  <c r="R822" i="11"/>
  <c r="Q822" i="11"/>
  <c r="P822" i="11"/>
  <c r="O822" i="11"/>
  <c r="N822" i="11"/>
  <c r="M822" i="11"/>
  <c r="F822" i="11"/>
  <c r="E822" i="11"/>
  <c r="D822" i="11"/>
  <c r="C822" i="11"/>
  <c r="B822" i="11"/>
  <c r="X821" i="11"/>
  <c r="W821" i="11"/>
  <c r="V821" i="11"/>
  <c r="U821" i="11"/>
  <c r="T821" i="11"/>
  <c r="S821" i="11"/>
  <c r="R821" i="11"/>
  <c r="Q821" i="11"/>
  <c r="P821" i="11"/>
  <c r="O821" i="11"/>
  <c r="N821" i="11"/>
  <c r="M821" i="11"/>
  <c r="F821" i="11"/>
  <c r="E821" i="11"/>
  <c r="D821" i="11"/>
  <c r="C821" i="11"/>
  <c r="B821" i="11"/>
  <c r="X820" i="11"/>
  <c r="W820" i="11"/>
  <c r="V820" i="11"/>
  <c r="U820" i="11"/>
  <c r="T820" i="11"/>
  <c r="S820" i="11"/>
  <c r="R820" i="11"/>
  <c r="Q820" i="11"/>
  <c r="P820" i="11"/>
  <c r="O820" i="11"/>
  <c r="N820" i="11"/>
  <c r="M820" i="11"/>
  <c r="F820" i="11"/>
  <c r="E820" i="11"/>
  <c r="D820" i="11"/>
  <c r="C820" i="11"/>
  <c r="B820" i="11"/>
  <c r="X819" i="11"/>
  <c r="W819" i="11"/>
  <c r="V819" i="11"/>
  <c r="U819" i="11"/>
  <c r="T819" i="11"/>
  <c r="S819" i="11"/>
  <c r="R819" i="11"/>
  <c r="Q819" i="11"/>
  <c r="P819" i="11"/>
  <c r="O819" i="11"/>
  <c r="N819" i="11"/>
  <c r="M819" i="11"/>
  <c r="F819" i="11"/>
  <c r="E819" i="11"/>
  <c r="D819" i="11"/>
  <c r="C819" i="11"/>
  <c r="B819" i="11"/>
  <c r="X818" i="11"/>
  <c r="W818" i="11"/>
  <c r="V818" i="11"/>
  <c r="U818" i="11"/>
  <c r="T818" i="11"/>
  <c r="S818" i="11"/>
  <c r="R818" i="11"/>
  <c r="Q818" i="11"/>
  <c r="P818" i="11"/>
  <c r="O818" i="11"/>
  <c r="N818" i="11"/>
  <c r="M818" i="11"/>
  <c r="F818" i="11"/>
  <c r="E818" i="11"/>
  <c r="D818" i="11"/>
  <c r="C818" i="11"/>
  <c r="B818" i="11"/>
  <c r="X817" i="11"/>
  <c r="W817" i="11"/>
  <c r="V817" i="11"/>
  <c r="U817" i="11"/>
  <c r="T817" i="11"/>
  <c r="S817" i="11"/>
  <c r="R817" i="11"/>
  <c r="Q817" i="11"/>
  <c r="P817" i="11"/>
  <c r="O817" i="11"/>
  <c r="N817" i="11"/>
  <c r="M817" i="11"/>
  <c r="F817" i="11"/>
  <c r="E817" i="11"/>
  <c r="D817" i="11"/>
  <c r="C817" i="11"/>
  <c r="B817" i="11"/>
  <c r="X816" i="11"/>
  <c r="W816" i="11"/>
  <c r="V816" i="11"/>
  <c r="U816" i="11"/>
  <c r="T816" i="11"/>
  <c r="S816" i="11"/>
  <c r="R816" i="11"/>
  <c r="Q816" i="11"/>
  <c r="P816" i="11"/>
  <c r="O816" i="11"/>
  <c r="N816" i="11"/>
  <c r="M816" i="11"/>
  <c r="F816" i="11"/>
  <c r="E816" i="11"/>
  <c r="D816" i="11"/>
  <c r="C816" i="11"/>
  <c r="B816" i="11"/>
  <c r="X815" i="11"/>
  <c r="W815" i="11"/>
  <c r="V815" i="11"/>
  <c r="U815" i="11"/>
  <c r="T815" i="11"/>
  <c r="S815" i="11"/>
  <c r="R815" i="11"/>
  <c r="Q815" i="11"/>
  <c r="P815" i="11"/>
  <c r="O815" i="11"/>
  <c r="N815" i="11"/>
  <c r="M815" i="11"/>
  <c r="F815" i="11"/>
  <c r="E815" i="11"/>
  <c r="D815" i="11"/>
  <c r="C815" i="11"/>
  <c r="B815" i="11"/>
  <c r="X814" i="11"/>
  <c r="W814" i="11"/>
  <c r="V814" i="11"/>
  <c r="U814" i="11"/>
  <c r="T814" i="11"/>
  <c r="S814" i="11"/>
  <c r="R814" i="11"/>
  <c r="Q814" i="11"/>
  <c r="P814" i="11"/>
  <c r="O814" i="11"/>
  <c r="N814" i="11"/>
  <c r="M814" i="11"/>
  <c r="F814" i="11"/>
  <c r="E814" i="11"/>
  <c r="D814" i="11"/>
  <c r="C814" i="11"/>
  <c r="B814" i="11"/>
  <c r="X813" i="11"/>
  <c r="W813" i="11"/>
  <c r="V813" i="11"/>
  <c r="U813" i="11"/>
  <c r="T813" i="11"/>
  <c r="S813" i="11"/>
  <c r="R813" i="11"/>
  <c r="Q813" i="11"/>
  <c r="P813" i="11"/>
  <c r="O813" i="11"/>
  <c r="N813" i="11"/>
  <c r="M813" i="11"/>
  <c r="F813" i="11"/>
  <c r="E813" i="11"/>
  <c r="D813" i="11"/>
  <c r="C813" i="11"/>
  <c r="B813" i="11"/>
  <c r="X812" i="11"/>
  <c r="W812" i="11"/>
  <c r="V812" i="11"/>
  <c r="U812" i="11"/>
  <c r="T812" i="11"/>
  <c r="S812" i="11"/>
  <c r="R812" i="11"/>
  <c r="Q812" i="11"/>
  <c r="P812" i="11"/>
  <c r="O812" i="11"/>
  <c r="N812" i="11"/>
  <c r="M812" i="11"/>
  <c r="F812" i="11"/>
  <c r="E812" i="11"/>
  <c r="D812" i="11"/>
  <c r="C812" i="11"/>
  <c r="B812" i="11"/>
  <c r="X811" i="11"/>
  <c r="W811" i="11"/>
  <c r="V811" i="11"/>
  <c r="U811" i="11"/>
  <c r="T811" i="11"/>
  <c r="S811" i="11"/>
  <c r="R811" i="11"/>
  <c r="Q811" i="11"/>
  <c r="P811" i="11"/>
  <c r="O811" i="11"/>
  <c r="N811" i="11"/>
  <c r="M811" i="11"/>
  <c r="F811" i="11"/>
  <c r="E811" i="11"/>
  <c r="D811" i="11"/>
  <c r="C811" i="11"/>
  <c r="B811" i="11"/>
  <c r="X810" i="11"/>
  <c r="W810" i="11"/>
  <c r="V810" i="11"/>
  <c r="U810" i="11"/>
  <c r="T810" i="11"/>
  <c r="S810" i="11"/>
  <c r="R810" i="11"/>
  <c r="Q810" i="11"/>
  <c r="P810" i="11"/>
  <c r="O810" i="11"/>
  <c r="N810" i="11"/>
  <c r="M810" i="11"/>
  <c r="F810" i="11"/>
  <c r="E810" i="11"/>
  <c r="D810" i="11"/>
  <c r="C810" i="11"/>
  <c r="B810" i="11"/>
  <c r="X809" i="11"/>
  <c r="W809" i="11"/>
  <c r="V809" i="11"/>
  <c r="U809" i="11"/>
  <c r="T809" i="11"/>
  <c r="S809" i="11"/>
  <c r="R809" i="11"/>
  <c r="Q809" i="11"/>
  <c r="P809" i="11"/>
  <c r="O809" i="11"/>
  <c r="N809" i="11"/>
  <c r="M809" i="11"/>
  <c r="F809" i="11"/>
  <c r="E809" i="11"/>
  <c r="D809" i="11"/>
  <c r="C809" i="11"/>
  <c r="B809" i="11"/>
  <c r="X808" i="11"/>
  <c r="W808" i="11"/>
  <c r="V808" i="11"/>
  <c r="U808" i="11"/>
  <c r="T808" i="11"/>
  <c r="S808" i="11"/>
  <c r="R808" i="11"/>
  <c r="Q808" i="11"/>
  <c r="P808" i="11"/>
  <c r="O808" i="11"/>
  <c r="N808" i="11"/>
  <c r="M808" i="11"/>
  <c r="F808" i="11"/>
  <c r="E808" i="11"/>
  <c r="D808" i="11"/>
  <c r="C808" i="11"/>
  <c r="B808" i="11"/>
  <c r="X807" i="11"/>
  <c r="W807" i="11"/>
  <c r="V807" i="11"/>
  <c r="U807" i="11"/>
  <c r="T807" i="11"/>
  <c r="S807" i="11"/>
  <c r="R807" i="11"/>
  <c r="Q807" i="11"/>
  <c r="P807" i="11"/>
  <c r="O807" i="11"/>
  <c r="N807" i="11"/>
  <c r="M807" i="11"/>
  <c r="F807" i="11"/>
  <c r="E807" i="11"/>
  <c r="D807" i="11"/>
  <c r="C807" i="11"/>
  <c r="B807" i="11"/>
  <c r="X806" i="11"/>
  <c r="W806" i="11"/>
  <c r="V806" i="11"/>
  <c r="U806" i="11"/>
  <c r="T806" i="11"/>
  <c r="S806" i="11"/>
  <c r="R806" i="11"/>
  <c r="Q806" i="11"/>
  <c r="P806" i="11"/>
  <c r="O806" i="11"/>
  <c r="N806" i="11"/>
  <c r="M806" i="11"/>
  <c r="F806" i="11"/>
  <c r="E806" i="11"/>
  <c r="D806" i="11"/>
  <c r="C806" i="11"/>
  <c r="B806" i="11"/>
  <c r="X805" i="11"/>
  <c r="W805" i="11"/>
  <c r="V805" i="11"/>
  <c r="U805" i="11"/>
  <c r="T805" i="11"/>
  <c r="S805" i="11"/>
  <c r="R805" i="11"/>
  <c r="Q805" i="11"/>
  <c r="P805" i="11"/>
  <c r="O805" i="11"/>
  <c r="N805" i="11"/>
  <c r="M805" i="11"/>
  <c r="F805" i="11"/>
  <c r="E805" i="11"/>
  <c r="D805" i="11"/>
  <c r="C805" i="11"/>
  <c r="B805" i="11"/>
  <c r="X804" i="11"/>
  <c r="W804" i="11"/>
  <c r="V804" i="11"/>
  <c r="U804" i="11"/>
  <c r="T804" i="11"/>
  <c r="S804" i="11"/>
  <c r="R804" i="11"/>
  <c r="Q804" i="11"/>
  <c r="P804" i="11"/>
  <c r="O804" i="11"/>
  <c r="N804" i="11"/>
  <c r="M804" i="11"/>
  <c r="F804" i="11"/>
  <c r="E804" i="11"/>
  <c r="D804" i="11"/>
  <c r="C804" i="11"/>
  <c r="B804" i="11"/>
  <c r="X803" i="11"/>
  <c r="W803" i="11"/>
  <c r="V803" i="11"/>
  <c r="U803" i="11"/>
  <c r="T803" i="11"/>
  <c r="S803" i="11"/>
  <c r="R803" i="11"/>
  <c r="Q803" i="11"/>
  <c r="P803" i="11"/>
  <c r="O803" i="11"/>
  <c r="N803" i="11"/>
  <c r="M803" i="11"/>
  <c r="F803" i="11"/>
  <c r="E803" i="11"/>
  <c r="D803" i="11"/>
  <c r="C803" i="11"/>
  <c r="B803" i="11"/>
  <c r="X802" i="11"/>
  <c r="W802" i="11"/>
  <c r="V802" i="11"/>
  <c r="U802" i="11"/>
  <c r="T802" i="11"/>
  <c r="S802" i="11"/>
  <c r="R802" i="11"/>
  <c r="Q802" i="11"/>
  <c r="P802" i="11"/>
  <c r="O802" i="11"/>
  <c r="N802" i="11"/>
  <c r="M802" i="11"/>
  <c r="F802" i="11"/>
  <c r="E802" i="11"/>
  <c r="D802" i="11"/>
  <c r="C802" i="11"/>
  <c r="B802" i="11"/>
  <c r="X801" i="11"/>
  <c r="W801" i="11"/>
  <c r="V801" i="11"/>
  <c r="U801" i="11"/>
  <c r="T801" i="11"/>
  <c r="S801" i="11"/>
  <c r="R801" i="11"/>
  <c r="Q801" i="11"/>
  <c r="P801" i="11"/>
  <c r="O801" i="11"/>
  <c r="N801" i="11"/>
  <c r="M801" i="11"/>
  <c r="F801" i="11"/>
  <c r="E801" i="11"/>
  <c r="D801" i="11"/>
  <c r="C801" i="11"/>
  <c r="B801" i="11"/>
  <c r="X800" i="11"/>
  <c r="W800" i="11"/>
  <c r="V800" i="11"/>
  <c r="U800" i="11"/>
  <c r="T800" i="11"/>
  <c r="S800" i="11"/>
  <c r="R800" i="11"/>
  <c r="Q800" i="11"/>
  <c r="P800" i="11"/>
  <c r="O800" i="11"/>
  <c r="N800" i="11"/>
  <c r="M800" i="11"/>
  <c r="F800" i="11"/>
  <c r="E800" i="11"/>
  <c r="D800" i="11"/>
  <c r="C800" i="11"/>
  <c r="B800" i="11"/>
  <c r="X799" i="11"/>
  <c r="W799" i="11"/>
  <c r="V799" i="11"/>
  <c r="U799" i="11"/>
  <c r="T799" i="11"/>
  <c r="S799" i="11"/>
  <c r="R799" i="11"/>
  <c r="Q799" i="11"/>
  <c r="P799" i="11"/>
  <c r="O799" i="11"/>
  <c r="N799" i="11"/>
  <c r="M799" i="11"/>
  <c r="F799" i="11"/>
  <c r="E799" i="11"/>
  <c r="D799" i="11"/>
  <c r="C799" i="11"/>
  <c r="B799" i="11"/>
  <c r="X798" i="11"/>
  <c r="W798" i="11"/>
  <c r="V798" i="11"/>
  <c r="U798" i="11"/>
  <c r="T798" i="11"/>
  <c r="S798" i="11"/>
  <c r="R798" i="11"/>
  <c r="Q798" i="11"/>
  <c r="P798" i="11"/>
  <c r="O798" i="11"/>
  <c r="N798" i="11"/>
  <c r="M798" i="11"/>
  <c r="F798" i="11"/>
  <c r="E798" i="11"/>
  <c r="D798" i="11"/>
  <c r="C798" i="11"/>
  <c r="B798" i="11"/>
  <c r="X797" i="11"/>
  <c r="W797" i="11"/>
  <c r="V797" i="11"/>
  <c r="U797" i="11"/>
  <c r="T797" i="11"/>
  <c r="S797" i="11"/>
  <c r="R797" i="11"/>
  <c r="Q797" i="11"/>
  <c r="P797" i="11"/>
  <c r="O797" i="11"/>
  <c r="N797" i="11"/>
  <c r="M797" i="11"/>
  <c r="F797" i="11"/>
  <c r="E797" i="11"/>
  <c r="D797" i="11"/>
  <c r="C797" i="11"/>
  <c r="B797" i="11"/>
  <c r="X796" i="11"/>
  <c r="W796" i="11"/>
  <c r="V796" i="11"/>
  <c r="U796" i="11"/>
  <c r="T796" i="11"/>
  <c r="S796" i="11"/>
  <c r="R796" i="11"/>
  <c r="Q796" i="11"/>
  <c r="P796" i="11"/>
  <c r="O796" i="11"/>
  <c r="N796" i="11"/>
  <c r="M796" i="11"/>
  <c r="F796" i="11"/>
  <c r="E796" i="11"/>
  <c r="D796" i="11"/>
  <c r="C796" i="11"/>
  <c r="B796" i="11"/>
  <c r="X795" i="11"/>
  <c r="W795" i="11"/>
  <c r="V795" i="11"/>
  <c r="U795" i="11"/>
  <c r="T795" i="11"/>
  <c r="S795" i="11"/>
  <c r="R795" i="11"/>
  <c r="Q795" i="11"/>
  <c r="P795" i="11"/>
  <c r="O795" i="11"/>
  <c r="N795" i="11"/>
  <c r="M795" i="11"/>
  <c r="F795" i="11"/>
  <c r="E795" i="11"/>
  <c r="D795" i="11"/>
  <c r="C795" i="11"/>
  <c r="B795" i="11"/>
  <c r="X794" i="11"/>
  <c r="W794" i="11"/>
  <c r="V794" i="11"/>
  <c r="U794" i="11"/>
  <c r="T794" i="11"/>
  <c r="S794" i="11"/>
  <c r="R794" i="11"/>
  <c r="Q794" i="11"/>
  <c r="P794" i="11"/>
  <c r="O794" i="11"/>
  <c r="N794" i="11"/>
  <c r="M794" i="11"/>
  <c r="F794" i="11"/>
  <c r="E794" i="11"/>
  <c r="D794" i="11"/>
  <c r="C794" i="11"/>
  <c r="B794" i="11"/>
  <c r="X793" i="11"/>
  <c r="W793" i="11"/>
  <c r="V793" i="11"/>
  <c r="U793" i="11"/>
  <c r="T793" i="11"/>
  <c r="S793" i="11"/>
  <c r="R793" i="11"/>
  <c r="Q793" i="11"/>
  <c r="P793" i="11"/>
  <c r="O793" i="11"/>
  <c r="N793" i="11"/>
  <c r="M793" i="11"/>
  <c r="F793" i="11"/>
  <c r="E793" i="11"/>
  <c r="D793" i="11"/>
  <c r="C793" i="11"/>
  <c r="B793" i="11"/>
  <c r="X792" i="11"/>
  <c r="W792" i="11"/>
  <c r="V792" i="11"/>
  <c r="U792" i="11"/>
  <c r="T792" i="11"/>
  <c r="S792" i="11"/>
  <c r="R792" i="11"/>
  <c r="Q792" i="11"/>
  <c r="P792" i="11"/>
  <c r="O792" i="11"/>
  <c r="N792" i="11"/>
  <c r="M792" i="11"/>
  <c r="F792" i="11"/>
  <c r="E792" i="11"/>
  <c r="D792" i="11"/>
  <c r="C792" i="11"/>
  <c r="B792" i="11"/>
  <c r="X791" i="11"/>
  <c r="W791" i="11"/>
  <c r="V791" i="11"/>
  <c r="U791" i="11"/>
  <c r="T791" i="11"/>
  <c r="S791" i="11"/>
  <c r="R791" i="11"/>
  <c r="Q791" i="11"/>
  <c r="P791" i="11"/>
  <c r="O791" i="11"/>
  <c r="N791" i="11"/>
  <c r="M791" i="11"/>
  <c r="F791" i="11"/>
  <c r="E791" i="11"/>
  <c r="D791" i="11"/>
  <c r="C791" i="11"/>
  <c r="B791" i="11"/>
  <c r="X790" i="11"/>
  <c r="W790" i="11"/>
  <c r="V790" i="11"/>
  <c r="U790" i="11"/>
  <c r="T790" i="11"/>
  <c r="S790" i="11"/>
  <c r="R790" i="11"/>
  <c r="Q790" i="11"/>
  <c r="P790" i="11"/>
  <c r="O790" i="11"/>
  <c r="N790" i="11"/>
  <c r="M790" i="11"/>
  <c r="F790" i="11"/>
  <c r="E790" i="11"/>
  <c r="D790" i="11"/>
  <c r="C790" i="11"/>
  <c r="B790" i="11"/>
  <c r="X789" i="11"/>
  <c r="W789" i="11"/>
  <c r="V789" i="11"/>
  <c r="U789" i="11"/>
  <c r="T789" i="11"/>
  <c r="S789" i="11"/>
  <c r="R789" i="11"/>
  <c r="Q789" i="11"/>
  <c r="P789" i="11"/>
  <c r="O789" i="11"/>
  <c r="N789" i="11"/>
  <c r="M789" i="11"/>
  <c r="F789" i="11"/>
  <c r="E789" i="11"/>
  <c r="D789" i="11"/>
  <c r="C789" i="11"/>
  <c r="B789" i="11"/>
  <c r="X788" i="11"/>
  <c r="W788" i="11"/>
  <c r="V788" i="11"/>
  <c r="U788" i="11"/>
  <c r="T788" i="11"/>
  <c r="S788" i="11"/>
  <c r="R788" i="11"/>
  <c r="Q788" i="11"/>
  <c r="P788" i="11"/>
  <c r="O788" i="11"/>
  <c r="N788" i="11"/>
  <c r="M788" i="11"/>
  <c r="F788" i="11"/>
  <c r="E788" i="11"/>
  <c r="D788" i="11"/>
  <c r="C788" i="11"/>
  <c r="B788" i="11"/>
  <c r="X787" i="11"/>
  <c r="W787" i="11"/>
  <c r="V787" i="11"/>
  <c r="U787" i="11"/>
  <c r="T787" i="11"/>
  <c r="S787" i="11"/>
  <c r="R787" i="11"/>
  <c r="Q787" i="11"/>
  <c r="P787" i="11"/>
  <c r="O787" i="11"/>
  <c r="N787" i="11"/>
  <c r="M787" i="11"/>
  <c r="F787" i="11"/>
  <c r="E787" i="11"/>
  <c r="D787" i="11"/>
  <c r="C787" i="11"/>
  <c r="B787" i="11"/>
  <c r="X786" i="11"/>
  <c r="W786" i="11"/>
  <c r="V786" i="11"/>
  <c r="U786" i="11"/>
  <c r="T786" i="11"/>
  <c r="S786" i="11"/>
  <c r="R786" i="11"/>
  <c r="Q786" i="11"/>
  <c r="P786" i="11"/>
  <c r="O786" i="11"/>
  <c r="N786" i="11"/>
  <c r="M786" i="11"/>
  <c r="F786" i="11"/>
  <c r="E786" i="11"/>
  <c r="D786" i="11"/>
  <c r="C786" i="11"/>
  <c r="B786" i="11"/>
  <c r="X785" i="11"/>
  <c r="W785" i="11"/>
  <c r="V785" i="11"/>
  <c r="U785" i="11"/>
  <c r="T785" i="11"/>
  <c r="S785" i="11"/>
  <c r="R785" i="11"/>
  <c r="Q785" i="11"/>
  <c r="P785" i="11"/>
  <c r="O785" i="11"/>
  <c r="N785" i="11"/>
  <c r="M785" i="11"/>
  <c r="F785" i="11"/>
  <c r="E785" i="11"/>
  <c r="D785" i="11"/>
  <c r="C785" i="11"/>
  <c r="B785" i="11"/>
  <c r="X784" i="11"/>
  <c r="W784" i="11"/>
  <c r="V784" i="11"/>
  <c r="U784" i="11"/>
  <c r="T784" i="11"/>
  <c r="S784" i="11"/>
  <c r="R784" i="11"/>
  <c r="Q784" i="11"/>
  <c r="P784" i="11"/>
  <c r="O784" i="11"/>
  <c r="N784" i="11"/>
  <c r="M784" i="11"/>
  <c r="F784" i="11"/>
  <c r="E784" i="11"/>
  <c r="D784" i="11"/>
  <c r="C784" i="11"/>
  <c r="B784" i="11"/>
  <c r="X783" i="11"/>
  <c r="W783" i="11"/>
  <c r="V783" i="11"/>
  <c r="U783" i="11"/>
  <c r="T783" i="11"/>
  <c r="S783" i="11"/>
  <c r="R783" i="11"/>
  <c r="Q783" i="11"/>
  <c r="P783" i="11"/>
  <c r="O783" i="11"/>
  <c r="N783" i="11"/>
  <c r="M783" i="11"/>
  <c r="F783" i="11"/>
  <c r="E783" i="11"/>
  <c r="D783" i="11"/>
  <c r="C783" i="11"/>
  <c r="B783" i="11"/>
  <c r="X782" i="11"/>
  <c r="W782" i="11"/>
  <c r="V782" i="11"/>
  <c r="U782" i="11"/>
  <c r="T782" i="11"/>
  <c r="S782" i="11"/>
  <c r="R782" i="11"/>
  <c r="Q782" i="11"/>
  <c r="P782" i="11"/>
  <c r="O782" i="11"/>
  <c r="N782" i="11"/>
  <c r="M782" i="11"/>
  <c r="F782" i="11"/>
  <c r="E782" i="11"/>
  <c r="D782" i="11"/>
  <c r="C782" i="11"/>
  <c r="B782" i="11"/>
  <c r="X781" i="11"/>
  <c r="W781" i="11"/>
  <c r="V781" i="11"/>
  <c r="U781" i="11"/>
  <c r="T781" i="11"/>
  <c r="S781" i="11"/>
  <c r="R781" i="11"/>
  <c r="Q781" i="11"/>
  <c r="P781" i="11"/>
  <c r="O781" i="11"/>
  <c r="N781" i="11"/>
  <c r="M781" i="11"/>
  <c r="F781" i="11"/>
  <c r="E781" i="11"/>
  <c r="D781" i="11"/>
  <c r="C781" i="11"/>
  <c r="B781" i="11"/>
  <c r="X780" i="11"/>
  <c r="W780" i="11"/>
  <c r="V780" i="11"/>
  <c r="U780" i="11"/>
  <c r="T780" i="11"/>
  <c r="S780" i="11"/>
  <c r="R780" i="11"/>
  <c r="Q780" i="11"/>
  <c r="P780" i="11"/>
  <c r="O780" i="11"/>
  <c r="N780" i="11"/>
  <c r="M780" i="11"/>
  <c r="F780" i="11"/>
  <c r="E780" i="11"/>
  <c r="D780" i="11"/>
  <c r="C780" i="11"/>
  <c r="B780" i="11"/>
  <c r="X779" i="11"/>
  <c r="W779" i="11"/>
  <c r="V779" i="11"/>
  <c r="U779" i="11"/>
  <c r="T779" i="11"/>
  <c r="S779" i="11"/>
  <c r="R779" i="11"/>
  <c r="Q779" i="11"/>
  <c r="P779" i="11"/>
  <c r="O779" i="11"/>
  <c r="N779" i="11"/>
  <c r="M779" i="11"/>
  <c r="F779" i="11"/>
  <c r="E779" i="11"/>
  <c r="D779" i="11"/>
  <c r="C779" i="11"/>
  <c r="B779" i="11"/>
  <c r="X778" i="11"/>
  <c r="W778" i="11"/>
  <c r="V778" i="11"/>
  <c r="U778" i="11"/>
  <c r="T778" i="11"/>
  <c r="S778" i="11"/>
  <c r="R778" i="11"/>
  <c r="Q778" i="11"/>
  <c r="P778" i="11"/>
  <c r="O778" i="11"/>
  <c r="N778" i="11"/>
  <c r="M778" i="11"/>
  <c r="F778" i="11"/>
  <c r="E778" i="11"/>
  <c r="D778" i="11"/>
  <c r="C778" i="11"/>
  <c r="B778" i="11"/>
  <c r="X777" i="11"/>
  <c r="W777" i="11"/>
  <c r="V777" i="11"/>
  <c r="U777" i="11"/>
  <c r="T777" i="11"/>
  <c r="S777" i="11"/>
  <c r="R777" i="11"/>
  <c r="Q777" i="11"/>
  <c r="P777" i="11"/>
  <c r="O777" i="11"/>
  <c r="N777" i="11"/>
  <c r="M777" i="11"/>
  <c r="F777" i="11"/>
  <c r="E777" i="11"/>
  <c r="D777" i="11"/>
  <c r="C777" i="11"/>
  <c r="B777" i="11"/>
  <c r="X776" i="11"/>
  <c r="W776" i="11"/>
  <c r="V776" i="11"/>
  <c r="U776" i="11"/>
  <c r="T776" i="11"/>
  <c r="S776" i="11"/>
  <c r="R776" i="11"/>
  <c r="Q776" i="11"/>
  <c r="P776" i="11"/>
  <c r="O776" i="11"/>
  <c r="N776" i="11"/>
  <c r="M776" i="11"/>
  <c r="F776" i="11"/>
  <c r="E776" i="11"/>
  <c r="D776" i="11"/>
  <c r="C776" i="11"/>
  <c r="B776" i="11"/>
  <c r="X775" i="11"/>
  <c r="W775" i="11"/>
  <c r="V775" i="11"/>
  <c r="U775" i="11"/>
  <c r="T775" i="11"/>
  <c r="S775" i="11"/>
  <c r="R775" i="11"/>
  <c r="Q775" i="11"/>
  <c r="P775" i="11"/>
  <c r="O775" i="11"/>
  <c r="N775" i="11"/>
  <c r="M775" i="11"/>
  <c r="F775" i="11"/>
  <c r="E775" i="11"/>
  <c r="D775" i="11"/>
  <c r="C775" i="11"/>
  <c r="B775" i="11"/>
  <c r="X774" i="11"/>
  <c r="W774" i="11"/>
  <c r="V774" i="11"/>
  <c r="U774" i="11"/>
  <c r="T774" i="11"/>
  <c r="S774" i="11"/>
  <c r="R774" i="11"/>
  <c r="Q774" i="11"/>
  <c r="P774" i="11"/>
  <c r="O774" i="11"/>
  <c r="N774" i="11"/>
  <c r="M774" i="11"/>
  <c r="F774" i="11"/>
  <c r="E774" i="11"/>
  <c r="D774" i="11"/>
  <c r="C774" i="11"/>
  <c r="B774" i="11"/>
  <c r="X773" i="11"/>
  <c r="W773" i="11"/>
  <c r="V773" i="11"/>
  <c r="U773" i="11"/>
  <c r="T773" i="11"/>
  <c r="S773" i="11"/>
  <c r="R773" i="11"/>
  <c r="Q773" i="11"/>
  <c r="P773" i="11"/>
  <c r="O773" i="11"/>
  <c r="N773" i="11"/>
  <c r="M773" i="11"/>
  <c r="F773" i="11"/>
  <c r="E773" i="11"/>
  <c r="D773" i="11"/>
  <c r="C773" i="11"/>
  <c r="B773" i="11"/>
  <c r="X772" i="11"/>
  <c r="W772" i="11"/>
  <c r="V772" i="11"/>
  <c r="U772" i="11"/>
  <c r="T772" i="11"/>
  <c r="S772" i="11"/>
  <c r="R772" i="11"/>
  <c r="Q772" i="11"/>
  <c r="P772" i="11"/>
  <c r="O772" i="11"/>
  <c r="N772" i="11"/>
  <c r="M772" i="11"/>
  <c r="F772" i="11"/>
  <c r="E772" i="11"/>
  <c r="D772" i="11"/>
  <c r="C772" i="11"/>
  <c r="B772" i="11"/>
  <c r="X771" i="11"/>
  <c r="W771" i="11"/>
  <c r="V771" i="11"/>
  <c r="U771" i="11"/>
  <c r="T771" i="11"/>
  <c r="S771" i="11"/>
  <c r="R771" i="11"/>
  <c r="Q771" i="11"/>
  <c r="P771" i="11"/>
  <c r="O771" i="11"/>
  <c r="N771" i="11"/>
  <c r="M771" i="11"/>
  <c r="F771" i="11"/>
  <c r="E771" i="11"/>
  <c r="D771" i="11"/>
  <c r="C771" i="11"/>
  <c r="B771" i="11"/>
  <c r="X770" i="11"/>
  <c r="W770" i="11"/>
  <c r="V770" i="11"/>
  <c r="U770" i="11"/>
  <c r="T770" i="11"/>
  <c r="S770" i="11"/>
  <c r="R770" i="11"/>
  <c r="Q770" i="11"/>
  <c r="P770" i="11"/>
  <c r="O770" i="11"/>
  <c r="N770" i="11"/>
  <c r="M770" i="11"/>
  <c r="F770" i="11"/>
  <c r="E770" i="11"/>
  <c r="D770" i="11"/>
  <c r="C770" i="11"/>
  <c r="B770" i="11"/>
  <c r="X769" i="11"/>
  <c r="W769" i="11"/>
  <c r="V769" i="11"/>
  <c r="U769" i="11"/>
  <c r="T769" i="11"/>
  <c r="S769" i="11"/>
  <c r="R769" i="11"/>
  <c r="Q769" i="11"/>
  <c r="P769" i="11"/>
  <c r="O769" i="11"/>
  <c r="N769" i="11"/>
  <c r="M769" i="11"/>
  <c r="F769" i="11"/>
  <c r="E769" i="11"/>
  <c r="D769" i="11"/>
  <c r="C769" i="11"/>
  <c r="B769" i="11"/>
  <c r="X768" i="11"/>
  <c r="W768" i="11"/>
  <c r="V768" i="11"/>
  <c r="U768" i="11"/>
  <c r="T768" i="11"/>
  <c r="S768" i="11"/>
  <c r="R768" i="11"/>
  <c r="Q768" i="11"/>
  <c r="P768" i="11"/>
  <c r="O768" i="11"/>
  <c r="N768" i="11"/>
  <c r="M768" i="11"/>
  <c r="F768" i="11"/>
  <c r="E768" i="11"/>
  <c r="D768" i="11"/>
  <c r="C768" i="11"/>
  <c r="B768" i="11"/>
  <c r="X767" i="11"/>
  <c r="W767" i="11"/>
  <c r="V767" i="11"/>
  <c r="U767" i="11"/>
  <c r="T767" i="11"/>
  <c r="S767" i="11"/>
  <c r="R767" i="11"/>
  <c r="Q767" i="11"/>
  <c r="P767" i="11"/>
  <c r="O767" i="11"/>
  <c r="N767" i="11"/>
  <c r="M767" i="11"/>
  <c r="F767" i="11"/>
  <c r="E767" i="11"/>
  <c r="D767" i="11"/>
  <c r="C767" i="11"/>
  <c r="B767" i="11"/>
  <c r="X766" i="11"/>
  <c r="W766" i="11"/>
  <c r="V766" i="11"/>
  <c r="U766" i="11"/>
  <c r="T766" i="11"/>
  <c r="S766" i="11"/>
  <c r="R766" i="11"/>
  <c r="Q766" i="11"/>
  <c r="P766" i="11"/>
  <c r="O766" i="11"/>
  <c r="N766" i="11"/>
  <c r="M766" i="11"/>
  <c r="F766" i="11"/>
  <c r="E766" i="11"/>
  <c r="D766" i="11"/>
  <c r="C766" i="11"/>
  <c r="B766" i="11"/>
  <c r="X765" i="11"/>
  <c r="W765" i="11"/>
  <c r="V765" i="11"/>
  <c r="U765" i="11"/>
  <c r="T765" i="11"/>
  <c r="S765" i="11"/>
  <c r="R765" i="11"/>
  <c r="Q765" i="11"/>
  <c r="P765" i="11"/>
  <c r="O765" i="11"/>
  <c r="N765" i="11"/>
  <c r="M765" i="11"/>
  <c r="F765" i="11"/>
  <c r="E765" i="11"/>
  <c r="D765" i="11"/>
  <c r="C765" i="11"/>
  <c r="B765" i="11"/>
  <c r="X764" i="11"/>
  <c r="W764" i="11"/>
  <c r="V764" i="11"/>
  <c r="U764" i="11"/>
  <c r="T764" i="11"/>
  <c r="S764" i="11"/>
  <c r="R764" i="11"/>
  <c r="Q764" i="11"/>
  <c r="P764" i="11"/>
  <c r="O764" i="11"/>
  <c r="N764" i="11"/>
  <c r="M764" i="11"/>
  <c r="F764" i="11"/>
  <c r="E764" i="11"/>
  <c r="D764" i="11"/>
  <c r="C764" i="11"/>
  <c r="B764" i="11"/>
  <c r="X763" i="11"/>
  <c r="W763" i="11"/>
  <c r="V763" i="11"/>
  <c r="U763" i="11"/>
  <c r="T763" i="11"/>
  <c r="S763" i="11"/>
  <c r="R763" i="11"/>
  <c r="Q763" i="11"/>
  <c r="P763" i="11"/>
  <c r="O763" i="11"/>
  <c r="N763" i="11"/>
  <c r="M763" i="11"/>
  <c r="F763" i="11"/>
  <c r="E763" i="11"/>
  <c r="D763" i="11"/>
  <c r="C763" i="11"/>
  <c r="B763" i="11"/>
  <c r="X762" i="11"/>
  <c r="W762" i="11"/>
  <c r="V762" i="11"/>
  <c r="U762" i="11"/>
  <c r="T762" i="11"/>
  <c r="S762" i="11"/>
  <c r="R762" i="11"/>
  <c r="Q762" i="11"/>
  <c r="P762" i="11"/>
  <c r="O762" i="11"/>
  <c r="N762" i="11"/>
  <c r="M762" i="11"/>
  <c r="F762" i="11"/>
  <c r="E762" i="11"/>
  <c r="D762" i="11"/>
  <c r="C762" i="11"/>
  <c r="B762" i="11"/>
  <c r="X761" i="11"/>
  <c r="W761" i="11"/>
  <c r="V761" i="11"/>
  <c r="U761" i="11"/>
  <c r="T761" i="11"/>
  <c r="S761" i="11"/>
  <c r="R761" i="11"/>
  <c r="Q761" i="11"/>
  <c r="P761" i="11"/>
  <c r="O761" i="11"/>
  <c r="N761" i="11"/>
  <c r="M761" i="11"/>
  <c r="F761" i="11"/>
  <c r="E761" i="11"/>
  <c r="D761" i="11"/>
  <c r="C761" i="11"/>
  <c r="B761" i="11"/>
  <c r="X760" i="11"/>
  <c r="W760" i="11"/>
  <c r="V760" i="11"/>
  <c r="U760" i="11"/>
  <c r="T760" i="11"/>
  <c r="S760" i="11"/>
  <c r="R760" i="11"/>
  <c r="Q760" i="11"/>
  <c r="P760" i="11"/>
  <c r="O760" i="11"/>
  <c r="N760" i="11"/>
  <c r="M760" i="11"/>
  <c r="F760" i="11"/>
  <c r="E760" i="11"/>
  <c r="D760" i="11"/>
  <c r="C760" i="11"/>
  <c r="B760" i="11"/>
  <c r="X759" i="11"/>
  <c r="W759" i="11"/>
  <c r="V759" i="11"/>
  <c r="U759" i="11"/>
  <c r="T759" i="11"/>
  <c r="S759" i="11"/>
  <c r="R759" i="11"/>
  <c r="Q759" i="11"/>
  <c r="P759" i="11"/>
  <c r="O759" i="11"/>
  <c r="N759" i="11"/>
  <c r="M759" i="11"/>
  <c r="F759" i="11"/>
  <c r="E759" i="11"/>
  <c r="D759" i="11"/>
  <c r="C759" i="11"/>
  <c r="B759" i="11"/>
  <c r="X758" i="11"/>
  <c r="W758" i="11"/>
  <c r="V758" i="11"/>
  <c r="U758" i="11"/>
  <c r="T758" i="11"/>
  <c r="S758" i="11"/>
  <c r="R758" i="11"/>
  <c r="Q758" i="11"/>
  <c r="P758" i="11"/>
  <c r="O758" i="11"/>
  <c r="N758" i="11"/>
  <c r="M758" i="11"/>
  <c r="F758" i="11"/>
  <c r="E758" i="11"/>
  <c r="D758" i="11"/>
  <c r="C758" i="11"/>
  <c r="B758" i="11"/>
  <c r="X757" i="11"/>
  <c r="W757" i="11"/>
  <c r="V757" i="11"/>
  <c r="U757" i="11"/>
  <c r="T757" i="11"/>
  <c r="S757" i="11"/>
  <c r="R757" i="11"/>
  <c r="Q757" i="11"/>
  <c r="P757" i="11"/>
  <c r="O757" i="11"/>
  <c r="N757" i="11"/>
  <c r="M757" i="11"/>
  <c r="F757" i="11"/>
  <c r="E757" i="11"/>
  <c r="D757" i="11"/>
  <c r="C757" i="11"/>
  <c r="B757" i="11"/>
  <c r="X756" i="11"/>
  <c r="W756" i="11"/>
  <c r="V756" i="11"/>
  <c r="U756" i="11"/>
  <c r="T756" i="11"/>
  <c r="S756" i="11"/>
  <c r="R756" i="11"/>
  <c r="Q756" i="11"/>
  <c r="P756" i="11"/>
  <c r="O756" i="11"/>
  <c r="N756" i="11"/>
  <c r="M756" i="11"/>
  <c r="F756" i="11"/>
  <c r="E756" i="11"/>
  <c r="D756" i="11"/>
  <c r="C756" i="11"/>
  <c r="B756" i="11"/>
  <c r="X755" i="11"/>
  <c r="W755" i="11"/>
  <c r="V755" i="11"/>
  <c r="U755" i="11"/>
  <c r="T755" i="11"/>
  <c r="S755" i="11"/>
  <c r="R755" i="11"/>
  <c r="Q755" i="11"/>
  <c r="P755" i="11"/>
  <c r="O755" i="11"/>
  <c r="N755" i="11"/>
  <c r="M755" i="11"/>
  <c r="F755" i="11"/>
  <c r="E755" i="11"/>
  <c r="D755" i="11"/>
  <c r="C755" i="11"/>
  <c r="B755" i="11"/>
  <c r="X754" i="11"/>
  <c r="W754" i="11"/>
  <c r="V754" i="11"/>
  <c r="U754" i="11"/>
  <c r="T754" i="11"/>
  <c r="S754" i="11"/>
  <c r="R754" i="11"/>
  <c r="Q754" i="11"/>
  <c r="P754" i="11"/>
  <c r="O754" i="11"/>
  <c r="N754" i="11"/>
  <c r="M754" i="11"/>
  <c r="F754" i="11"/>
  <c r="E754" i="11"/>
  <c r="D754" i="11"/>
  <c r="C754" i="11"/>
  <c r="B754" i="11"/>
  <c r="X753" i="11"/>
  <c r="W753" i="11"/>
  <c r="V753" i="11"/>
  <c r="U753" i="11"/>
  <c r="T753" i="11"/>
  <c r="S753" i="11"/>
  <c r="R753" i="11"/>
  <c r="Q753" i="11"/>
  <c r="P753" i="11"/>
  <c r="O753" i="11"/>
  <c r="N753" i="11"/>
  <c r="M753" i="11"/>
  <c r="F753" i="11"/>
  <c r="E753" i="11"/>
  <c r="D753" i="11"/>
  <c r="C753" i="11"/>
  <c r="B753" i="11"/>
  <c r="X752" i="11"/>
  <c r="W752" i="11"/>
  <c r="V752" i="11"/>
  <c r="U752" i="11"/>
  <c r="T752" i="11"/>
  <c r="S752" i="11"/>
  <c r="R752" i="11"/>
  <c r="Q752" i="11"/>
  <c r="P752" i="11"/>
  <c r="O752" i="11"/>
  <c r="N752" i="11"/>
  <c r="M752" i="11"/>
  <c r="F752" i="11"/>
  <c r="E752" i="11"/>
  <c r="D752" i="11"/>
  <c r="C752" i="11"/>
  <c r="B752" i="11"/>
  <c r="X751" i="11"/>
  <c r="W751" i="11"/>
  <c r="V751" i="11"/>
  <c r="U751" i="11"/>
  <c r="T751" i="11"/>
  <c r="S751" i="11"/>
  <c r="R751" i="11"/>
  <c r="Q751" i="11"/>
  <c r="P751" i="11"/>
  <c r="O751" i="11"/>
  <c r="N751" i="11"/>
  <c r="M751" i="11"/>
  <c r="F751" i="11"/>
  <c r="E751" i="11"/>
  <c r="D751" i="11"/>
  <c r="C751" i="11"/>
  <c r="B751" i="11"/>
  <c r="X750" i="11"/>
  <c r="W750" i="11"/>
  <c r="V750" i="11"/>
  <c r="U750" i="11"/>
  <c r="T750" i="11"/>
  <c r="S750" i="11"/>
  <c r="R750" i="11"/>
  <c r="Q750" i="11"/>
  <c r="P750" i="11"/>
  <c r="O750" i="11"/>
  <c r="N750" i="11"/>
  <c r="M750" i="11"/>
  <c r="F750" i="11"/>
  <c r="E750" i="11"/>
  <c r="D750" i="11"/>
  <c r="C750" i="11"/>
  <c r="B750" i="11"/>
  <c r="X749" i="11"/>
  <c r="W749" i="11"/>
  <c r="V749" i="11"/>
  <c r="U749" i="11"/>
  <c r="T749" i="11"/>
  <c r="S749" i="11"/>
  <c r="R749" i="11"/>
  <c r="Q749" i="11"/>
  <c r="P749" i="11"/>
  <c r="O749" i="11"/>
  <c r="N749" i="11"/>
  <c r="M749" i="11"/>
  <c r="F749" i="11"/>
  <c r="E749" i="11"/>
  <c r="D749" i="11"/>
  <c r="C749" i="11"/>
  <c r="B749" i="11"/>
  <c r="X748" i="11"/>
  <c r="W748" i="11"/>
  <c r="V748" i="11"/>
  <c r="U748" i="11"/>
  <c r="T748" i="11"/>
  <c r="S748" i="11"/>
  <c r="R748" i="11"/>
  <c r="Q748" i="11"/>
  <c r="P748" i="11"/>
  <c r="O748" i="11"/>
  <c r="N748" i="11"/>
  <c r="M748" i="11"/>
  <c r="F748" i="11"/>
  <c r="E748" i="11"/>
  <c r="D748" i="11"/>
  <c r="C748" i="11"/>
  <c r="B748" i="11"/>
  <c r="X747" i="11"/>
  <c r="W747" i="11"/>
  <c r="V747" i="11"/>
  <c r="U747" i="11"/>
  <c r="T747" i="11"/>
  <c r="S747" i="11"/>
  <c r="R747" i="11"/>
  <c r="Q747" i="11"/>
  <c r="P747" i="11"/>
  <c r="O747" i="11"/>
  <c r="N747" i="11"/>
  <c r="M747" i="11"/>
  <c r="F747" i="11"/>
  <c r="E747" i="11"/>
  <c r="D747" i="11"/>
  <c r="C747" i="11"/>
  <c r="B747" i="11"/>
  <c r="X746" i="11"/>
  <c r="W746" i="11"/>
  <c r="V746" i="11"/>
  <c r="U746" i="11"/>
  <c r="T746" i="11"/>
  <c r="S746" i="11"/>
  <c r="R746" i="11"/>
  <c r="Q746" i="11"/>
  <c r="P746" i="11"/>
  <c r="O746" i="11"/>
  <c r="N746" i="11"/>
  <c r="M746" i="11"/>
  <c r="F746" i="11"/>
  <c r="E746" i="11"/>
  <c r="D746" i="11"/>
  <c r="C746" i="11"/>
  <c r="B746" i="11"/>
  <c r="X745" i="11"/>
  <c r="W745" i="11"/>
  <c r="V745" i="11"/>
  <c r="U745" i="11"/>
  <c r="T745" i="11"/>
  <c r="S745" i="11"/>
  <c r="R745" i="11"/>
  <c r="Q745" i="11"/>
  <c r="P745" i="11"/>
  <c r="O745" i="11"/>
  <c r="N745" i="11"/>
  <c r="M745" i="11"/>
  <c r="F745" i="11"/>
  <c r="E745" i="11"/>
  <c r="D745" i="11"/>
  <c r="C745" i="11"/>
  <c r="B745" i="11"/>
  <c r="X744" i="11"/>
  <c r="W744" i="11"/>
  <c r="V744" i="11"/>
  <c r="U744" i="11"/>
  <c r="T744" i="11"/>
  <c r="S744" i="11"/>
  <c r="R744" i="11"/>
  <c r="Q744" i="11"/>
  <c r="P744" i="11"/>
  <c r="O744" i="11"/>
  <c r="N744" i="11"/>
  <c r="M744" i="11"/>
  <c r="F744" i="11"/>
  <c r="E744" i="11"/>
  <c r="D744" i="11"/>
  <c r="C744" i="11"/>
  <c r="B744" i="11"/>
  <c r="X743" i="11"/>
  <c r="W743" i="11"/>
  <c r="V743" i="11"/>
  <c r="U743" i="11"/>
  <c r="T743" i="11"/>
  <c r="S743" i="11"/>
  <c r="R743" i="11"/>
  <c r="Q743" i="11"/>
  <c r="P743" i="11"/>
  <c r="O743" i="11"/>
  <c r="N743" i="11"/>
  <c r="M743" i="11"/>
  <c r="F743" i="11"/>
  <c r="E743" i="11"/>
  <c r="D743" i="11"/>
  <c r="C743" i="11"/>
  <c r="B743" i="11"/>
  <c r="X742" i="11"/>
  <c r="W742" i="11"/>
  <c r="V742" i="11"/>
  <c r="U742" i="11"/>
  <c r="T742" i="11"/>
  <c r="S742" i="11"/>
  <c r="R742" i="11"/>
  <c r="Q742" i="11"/>
  <c r="P742" i="11"/>
  <c r="O742" i="11"/>
  <c r="N742" i="11"/>
  <c r="M742" i="11"/>
  <c r="F742" i="11"/>
  <c r="E742" i="11"/>
  <c r="D742" i="11"/>
  <c r="C742" i="11"/>
  <c r="B742" i="11"/>
  <c r="X741" i="11"/>
  <c r="W741" i="11"/>
  <c r="V741" i="11"/>
  <c r="U741" i="11"/>
  <c r="T741" i="11"/>
  <c r="S741" i="11"/>
  <c r="R741" i="11"/>
  <c r="Q741" i="11"/>
  <c r="P741" i="11"/>
  <c r="O741" i="11"/>
  <c r="N741" i="11"/>
  <c r="M741" i="11"/>
  <c r="F741" i="11"/>
  <c r="E741" i="11"/>
  <c r="D741" i="11"/>
  <c r="C741" i="11"/>
  <c r="B741" i="11"/>
  <c r="X740" i="11"/>
  <c r="W740" i="11"/>
  <c r="V740" i="11"/>
  <c r="U740" i="11"/>
  <c r="T740" i="11"/>
  <c r="S740" i="11"/>
  <c r="R740" i="11"/>
  <c r="Q740" i="11"/>
  <c r="P740" i="11"/>
  <c r="O740" i="11"/>
  <c r="N740" i="11"/>
  <c r="M740" i="11"/>
  <c r="F740" i="11"/>
  <c r="E740" i="11"/>
  <c r="D740" i="11"/>
  <c r="C740" i="11"/>
  <c r="B740" i="11"/>
  <c r="X739" i="11"/>
  <c r="W739" i="11"/>
  <c r="V739" i="11"/>
  <c r="U739" i="11"/>
  <c r="T739" i="11"/>
  <c r="S739" i="11"/>
  <c r="R739" i="11"/>
  <c r="Q739" i="11"/>
  <c r="P739" i="11"/>
  <c r="O739" i="11"/>
  <c r="N739" i="11"/>
  <c r="M739" i="11"/>
  <c r="F739" i="11"/>
  <c r="E739" i="11"/>
  <c r="D739" i="11"/>
  <c r="C739" i="11"/>
  <c r="B739" i="11"/>
  <c r="X738" i="11"/>
  <c r="W738" i="11"/>
  <c r="V738" i="11"/>
  <c r="U738" i="11"/>
  <c r="T738" i="11"/>
  <c r="S738" i="11"/>
  <c r="R738" i="11"/>
  <c r="Q738" i="11"/>
  <c r="P738" i="11"/>
  <c r="O738" i="11"/>
  <c r="N738" i="11"/>
  <c r="M738" i="11"/>
  <c r="F738" i="11"/>
  <c r="E738" i="11"/>
  <c r="D738" i="11"/>
  <c r="C738" i="11"/>
  <c r="B738" i="11"/>
  <c r="X737" i="11"/>
  <c r="W737" i="11"/>
  <c r="V737" i="11"/>
  <c r="U737" i="11"/>
  <c r="T737" i="11"/>
  <c r="S737" i="11"/>
  <c r="R737" i="11"/>
  <c r="Q737" i="11"/>
  <c r="P737" i="11"/>
  <c r="O737" i="11"/>
  <c r="N737" i="11"/>
  <c r="M737" i="11"/>
  <c r="F737" i="11"/>
  <c r="E737" i="11"/>
  <c r="D737" i="11"/>
  <c r="C737" i="11"/>
  <c r="B737" i="11"/>
  <c r="X736" i="11"/>
  <c r="W736" i="11"/>
  <c r="V736" i="11"/>
  <c r="U736" i="11"/>
  <c r="T736" i="11"/>
  <c r="S736" i="11"/>
  <c r="R736" i="11"/>
  <c r="Q736" i="11"/>
  <c r="P736" i="11"/>
  <c r="O736" i="11"/>
  <c r="N736" i="11"/>
  <c r="M736" i="11"/>
  <c r="F736" i="11"/>
  <c r="E736" i="11"/>
  <c r="D736" i="11"/>
  <c r="C736" i="11"/>
  <c r="B736" i="11"/>
  <c r="X735" i="11"/>
  <c r="W735" i="11"/>
  <c r="V735" i="11"/>
  <c r="U735" i="11"/>
  <c r="T735" i="11"/>
  <c r="S735" i="11"/>
  <c r="R735" i="11"/>
  <c r="Q735" i="11"/>
  <c r="P735" i="11"/>
  <c r="O735" i="11"/>
  <c r="N735" i="11"/>
  <c r="M735" i="11"/>
  <c r="F735" i="11"/>
  <c r="E735" i="11"/>
  <c r="D735" i="11"/>
  <c r="C735" i="11"/>
  <c r="B735" i="11"/>
  <c r="X734" i="11"/>
  <c r="W734" i="11"/>
  <c r="V734" i="11"/>
  <c r="U734" i="11"/>
  <c r="T734" i="11"/>
  <c r="S734" i="11"/>
  <c r="R734" i="11"/>
  <c r="Q734" i="11"/>
  <c r="P734" i="11"/>
  <c r="O734" i="11"/>
  <c r="N734" i="11"/>
  <c r="M734" i="11"/>
  <c r="F734" i="11"/>
  <c r="E734" i="11"/>
  <c r="D734" i="11"/>
  <c r="C734" i="11"/>
  <c r="B734" i="11"/>
  <c r="X733" i="11"/>
  <c r="W733" i="11"/>
  <c r="V733" i="11"/>
  <c r="U733" i="11"/>
  <c r="T733" i="11"/>
  <c r="S733" i="11"/>
  <c r="R733" i="11"/>
  <c r="Q733" i="11"/>
  <c r="P733" i="11"/>
  <c r="O733" i="11"/>
  <c r="N733" i="11"/>
  <c r="M733" i="11"/>
  <c r="F733" i="11"/>
  <c r="E733" i="11"/>
  <c r="D733" i="11"/>
  <c r="C733" i="11"/>
  <c r="B733" i="11"/>
  <c r="X732" i="11"/>
  <c r="W732" i="11"/>
  <c r="V732" i="11"/>
  <c r="U732" i="11"/>
  <c r="T732" i="11"/>
  <c r="S732" i="11"/>
  <c r="R732" i="11"/>
  <c r="Q732" i="11"/>
  <c r="P732" i="11"/>
  <c r="O732" i="11"/>
  <c r="N732" i="11"/>
  <c r="M732" i="11"/>
  <c r="F732" i="11"/>
  <c r="E732" i="11"/>
  <c r="D732" i="11"/>
  <c r="C732" i="11"/>
  <c r="B732" i="11"/>
  <c r="X731" i="11"/>
  <c r="W731" i="11"/>
  <c r="V731" i="11"/>
  <c r="U731" i="11"/>
  <c r="T731" i="11"/>
  <c r="S731" i="11"/>
  <c r="R731" i="11"/>
  <c r="Q731" i="11"/>
  <c r="P731" i="11"/>
  <c r="O731" i="11"/>
  <c r="N731" i="11"/>
  <c r="M731" i="11"/>
  <c r="F731" i="11"/>
  <c r="E731" i="11"/>
  <c r="D731" i="11"/>
  <c r="C731" i="11"/>
  <c r="B731" i="11"/>
  <c r="X730" i="11"/>
  <c r="W730" i="11"/>
  <c r="V730" i="11"/>
  <c r="U730" i="11"/>
  <c r="T730" i="11"/>
  <c r="S730" i="11"/>
  <c r="R730" i="11"/>
  <c r="Q730" i="11"/>
  <c r="P730" i="11"/>
  <c r="O730" i="11"/>
  <c r="N730" i="11"/>
  <c r="M730" i="11"/>
  <c r="F730" i="11"/>
  <c r="E730" i="11"/>
  <c r="D730" i="11"/>
  <c r="C730" i="11"/>
  <c r="B730" i="11"/>
  <c r="X729" i="11"/>
  <c r="W729" i="11"/>
  <c r="V729" i="11"/>
  <c r="U729" i="11"/>
  <c r="T729" i="11"/>
  <c r="S729" i="11"/>
  <c r="R729" i="11"/>
  <c r="Q729" i="11"/>
  <c r="P729" i="11"/>
  <c r="O729" i="11"/>
  <c r="N729" i="11"/>
  <c r="M729" i="11"/>
  <c r="F729" i="11"/>
  <c r="E729" i="11"/>
  <c r="D729" i="11"/>
  <c r="C729" i="11"/>
  <c r="B729" i="11"/>
  <c r="X728" i="11"/>
  <c r="W728" i="11"/>
  <c r="V728" i="11"/>
  <c r="U728" i="11"/>
  <c r="T728" i="11"/>
  <c r="S728" i="11"/>
  <c r="R728" i="11"/>
  <c r="Q728" i="11"/>
  <c r="P728" i="11"/>
  <c r="O728" i="11"/>
  <c r="N728" i="11"/>
  <c r="M728" i="11"/>
  <c r="F728" i="11"/>
  <c r="E728" i="11"/>
  <c r="D728" i="11"/>
  <c r="C728" i="11"/>
  <c r="B728" i="11"/>
  <c r="X727" i="11"/>
  <c r="W727" i="11"/>
  <c r="V727" i="11"/>
  <c r="U727" i="11"/>
  <c r="T727" i="11"/>
  <c r="S727" i="11"/>
  <c r="R727" i="11"/>
  <c r="Q727" i="11"/>
  <c r="P727" i="11"/>
  <c r="O727" i="11"/>
  <c r="N727" i="11"/>
  <c r="M727" i="11"/>
  <c r="F727" i="11"/>
  <c r="E727" i="11"/>
  <c r="D727" i="11"/>
  <c r="C727" i="11"/>
  <c r="B727" i="11"/>
  <c r="X726" i="11"/>
  <c r="W726" i="11"/>
  <c r="V726" i="11"/>
  <c r="U726" i="11"/>
  <c r="T726" i="11"/>
  <c r="S726" i="11"/>
  <c r="R726" i="11"/>
  <c r="Q726" i="11"/>
  <c r="P726" i="11"/>
  <c r="O726" i="11"/>
  <c r="N726" i="11"/>
  <c r="M726" i="11"/>
  <c r="F726" i="11"/>
  <c r="E726" i="11"/>
  <c r="D726" i="11"/>
  <c r="C726" i="11"/>
  <c r="B726" i="11"/>
  <c r="X725" i="11"/>
  <c r="W725" i="11"/>
  <c r="V725" i="11"/>
  <c r="U725" i="11"/>
  <c r="T725" i="11"/>
  <c r="S725" i="11"/>
  <c r="R725" i="11"/>
  <c r="Q725" i="11"/>
  <c r="P725" i="11"/>
  <c r="O725" i="11"/>
  <c r="N725" i="11"/>
  <c r="M725" i="11"/>
  <c r="F725" i="11"/>
  <c r="E725" i="11"/>
  <c r="D725" i="11"/>
  <c r="C725" i="11"/>
  <c r="B725" i="11"/>
  <c r="X724" i="11"/>
  <c r="W724" i="11"/>
  <c r="V724" i="11"/>
  <c r="U724" i="11"/>
  <c r="T724" i="11"/>
  <c r="S724" i="11"/>
  <c r="R724" i="11"/>
  <c r="Q724" i="11"/>
  <c r="P724" i="11"/>
  <c r="O724" i="11"/>
  <c r="N724" i="11"/>
  <c r="M724" i="11"/>
  <c r="F724" i="11"/>
  <c r="E724" i="11"/>
  <c r="D724" i="11"/>
  <c r="C724" i="11"/>
  <c r="B724" i="11"/>
  <c r="X723" i="11"/>
  <c r="W723" i="11"/>
  <c r="V723" i="11"/>
  <c r="U723" i="11"/>
  <c r="T723" i="11"/>
  <c r="S723" i="11"/>
  <c r="R723" i="11"/>
  <c r="Q723" i="11"/>
  <c r="P723" i="11"/>
  <c r="O723" i="11"/>
  <c r="N723" i="11"/>
  <c r="M723" i="11"/>
  <c r="F723" i="11"/>
  <c r="E723" i="11"/>
  <c r="D723" i="11"/>
  <c r="C723" i="11"/>
  <c r="B723" i="11"/>
  <c r="X722" i="11"/>
  <c r="W722" i="11"/>
  <c r="V722" i="11"/>
  <c r="U722" i="11"/>
  <c r="T722" i="11"/>
  <c r="S722" i="11"/>
  <c r="R722" i="11"/>
  <c r="Q722" i="11"/>
  <c r="P722" i="11"/>
  <c r="O722" i="11"/>
  <c r="N722" i="11"/>
  <c r="M722" i="11"/>
  <c r="F722" i="11"/>
  <c r="E722" i="11"/>
  <c r="D722" i="11"/>
  <c r="C722" i="11"/>
  <c r="B722" i="11"/>
  <c r="X721" i="11"/>
  <c r="W721" i="11"/>
  <c r="V721" i="11"/>
  <c r="U721" i="11"/>
  <c r="T721" i="11"/>
  <c r="S721" i="11"/>
  <c r="R721" i="11"/>
  <c r="Q721" i="11"/>
  <c r="P721" i="11"/>
  <c r="O721" i="11"/>
  <c r="N721" i="11"/>
  <c r="M721" i="11"/>
  <c r="F721" i="11"/>
  <c r="E721" i="11"/>
  <c r="D721" i="11"/>
  <c r="C721" i="11"/>
  <c r="B721" i="11"/>
  <c r="X720" i="11"/>
  <c r="W720" i="11"/>
  <c r="V720" i="11"/>
  <c r="U720" i="11"/>
  <c r="T720" i="11"/>
  <c r="S720" i="11"/>
  <c r="R720" i="11"/>
  <c r="Q720" i="11"/>
  <c r="P720" i="11"/>
  <c r="O720" i="11"/>
  <c r="N720" i="11"/>
  <c r="M720" i="11"/>
  <c r="F720" i="11"/>
  <c r="E720" i="11"/>
  <c r="D720" i="11"/>
  <c r="C720" i="11"/>
  <c r="B720" i="11"/>
  <c r="X719" i="11"/>
  <c r="W719" i="11"/>
  <c r="V719" i="11"/>
  <c r="U719" i="11"/>
  <c r="T719" i="11"/>
  <c r="S719" i="11"/>
  <c r="R719" i="11"/>
  <c r="Q719" i="11"/>
  <c r="P719" i="11"/>
  <c r="O719" i="11"/>
  <c r="N719" i="11"/>
  <c r="M719" i="11"/>
  <c r="F719" i="11"/>
  <c r="E719" i="11"/>
  <c r="D719" i="11"/>
  <c r="C719" i="11"/>
  <c r="B719" i="11"/>
  <c r="X718" i="11"/>
  <c r="W718" i="11"/>
  <c r="V718" i="11"/>
  <c r="U718" i="11"/>
  <c r="T718" i="11"/>
  <c r="S718" i="11"/>
  <c r="R718" i="11"/>
  <c r="Q718" i="11"/>
  <c r="P718" i="11"/>
  <c r="O718" i="11"/>
  <c r="N718" i="11"/>
  <c r="M718" i="11"/>
  <c r="F718" i="11"/>
  <c r="E718" i="11"/>
  <c r="D718" i="11"/>
  <c r="C718" i="11"/>
  <c r="B718" i="11"/>
  <c r="X717" i="11"/>
  <c r="W717" i="11"/>
  <c r="V717" i="11"/>
  <c r="U717" i="11"/>
  <c r="T717" i="11"/>
  <c r="S717" i="11"/>
  <c r="R717" i="11"/>
  <c r="Q717" i="11"/>
  <c r="P717" i="11"/>
  <c r="O717" i="11"/>
  <c r="N717" i="11"/>
  <c r="M717" i="11"/>
  <c r="F717" i="11"/>
  <c r="E717" i="11"/>
  <c r="D717" i="11"/>
  <c r="C717" i="11"/>
  <c r="B717" i="11"/>
  <c r="X716" i="11"/>
  <c r="W716" i="11"/>
  <c r="V716" i="11"/>
  <c r="U716" i="11"/>
  <c r="T716" i="11"/>
  <c r="S716" i="11"/>
  <c r="R716" i="11"/>
  <c r="Q716" i="11"/>
  <c r="P716" i="11"/>
  <c r="O716" i="11"/>
  <c r="N716" i="11"/>
  <c r="M716" i="11"/>
  <c r="F716" i="11"/>
  <c r="E716" i="11"/>
  <c r="D716" i="11"/>
  <c r="C716" i="11"/>
  <c r="B716" i="11"/>
  <c r="X715" i="11"/>
  <c r="W715" i="11"/>
  <c r="V715" i="11"/>
  <c r="U715" i="11"/>
  <c r="T715" i="11"/>
  <c r="S715" i="11"/>
  <c r="R715" i="11"/>
  <c r="Q715" i="11"/>
  <c r="P715" i="11"/>
  <c r="O715" i="11"/>
  <c r="N715" i="11"/>
  <c r="M715" i="11"/>
  <c r="F715" i="11"/>
  <c r="E715" i="11"/>
  <c r="D715" i="11"/>
  <c r="C715" i="11"/>
  <c r="B715" i="11"/>
  <c r="X714" i="11"/>
  <c r="W714" i="11"/>
  <c r="V714" i="11"/>
  <c r="U714" i="11"/>
  <c r="T714" i="11"/>
  <c r="S714" i="11"/>
  <c r="R714" i="11"/>
  <c r="Q714" i="11"/>
  <c r="P714" i="11"/>
  <c r="O714" i="11"/>
  <c r="N714" i="11"/>
  <c r="M714" i="11"/>
  <c r="F714" i="11"/>
  <c r="E714" i="11"/>
  <c r="D714" i="11"/>
  <c r="C714" i="11"/>
  <c r="B714" i="11"/>
  <c r="X713" i="11"/>
  <c r="W713" i="11"/>
  <c r="V713" i="11"/>
  <c r="U713" i="11"/>
  <c r="T713" i="11"/>
  <c r="S713" i="11"/>
  <c r="R713" i="11"/>
  <c r="Q713" i="11"/>
  <c r="P713" i="11"/>
  <c r="O713" i="11"/>
  <c r="N713" i="11"/>
  <c r="M713" i="11"/>
  <c r="F713" i="11"/>
  <c r="E713" i="11"/>
  <c r="D713" i="11"/>
  <c r="C713" i="11"/>
  <c r="B713" i="11"/>
  <c r="X712" i="11"/>
  <c r="W712" i="11"/>
  <c r="V712" i="11"/>
  <c r="U712" i="11"/>
  <c r="T712" i="11"/>
  <c r="S712" i="11"/>
  <c r="R712" i="11"/>
  <c r="Q712" i="11"/>
  <c r="P712" i="11"/>
  <c r="O712" i="11"/>
  <c r="N712" i="11"/>
  <c r="M712" i="11"/>
  <c r="F712" i="11"/>
  <c r="E712" i="11"/>
  <c r="D712" i="11"/>
  <c r="C712" i="11"/>
  <c r="B712" i="11"/>
  <c r="X711" i="11"/>
  <c r="W711" i="11"/>
  <c r="V711" i="11"/>
  <c r="U711" i="11"/>
  <c r="T711" i="11"/>
  <c r="S711" i="11"/>
  <c r="R711" i="11"/>
  <c r="Q711" i="11"/>
  <c r="P711" i="11"/>
  <c r="O711" i="11"/>
  <c r="N711" i="11"/>
  <c r="M711" i="11"/>
  <c r="F711" i="11"/>
  <c r="E711" i="11"/>
  <c r="D711" i="11"/>
  <c r="C711" i="11"/>
  <c r="B711" i="11"/>
  <c r="X710" i="11"/>
  <c r="W710" i="11"/>
  <c r="V710" i="11"/>
  <c r="U710" i="11"/>
  <c r="T710" i="11"/>
  <c r="S710" i="11"/>
  <c r="R710" i="11"/>
  <c r="Q710" i="11"/>
  <c r="P710" i="11"/>
  <c r="O710" i="11"/>
  <c r="N710" i="11"/>
  <c r="M710" i="11"/>
  <c r="F710" i="11"/>
  <c r="E710" i="11"/>
  <c r="D710" i="11"/>
  <c r="C710" i="11"/>
  <c r="B710" i="11"/>
  <c r="X709" i="11"/>
  <c r="W709" i="11"/>
  <c r="V709" i="11"/>
  <c r="U709" i="11"/>
  <c r="T709" i="11"/>
  <c r="S709" i="11"/>
  <c r="R709" i="11"/>
  <c r="Q709" i="11"/>
  <c r="P709" i="11"/>
  <c r="O709" i="11"/>
  <c r="N709" i="11"/>
  <c r="M709" i="11"/>
  <c r="F709" i="11"/>
  <c r="E709" i="11"/>
  <c r="D709" i="11"/>
  <c r="C709" i="11"/>
  <c r="B709" i="11"/>
  <c r="X708" i="11"/>
  <c r="W708" i="11"/>
  <c r="V708" i="11"/>
  <c r="U708" i="11"/>
  <c r="T708" i="11"/>
  <c r="S708" i="11"/>
  <c r="R708" i="11"/>
  <c r="Q708" i="11"/>
  <c r="P708" i="11"/>
  <c r="O708" i="11"/>
  <c r="N708" i="11"/>
  <c r="M708" i="11"/>
  <c r="F708" i="11"/>
  <c r="E708" i="11"/>
  <c r="D708" i="11"/>
  <c r="C708" i="11"/>
  <c r="B708" i="11"/>
  <c r="X707" i="11"/>
  <c r="W707" i="11"/>
  <c r="V707" i="11"/>
  <c r="U707" i="11"/>
  <c r="T707" i="11"/>
  <c r="S707" i="11"/>
  <c r="R707" i="11"/>
  <c r="Q707" i="11"/>
  <c r="P707" i="11"/>
  <c r="O707" i="11"/>
  <c r="N707" i="11"/>
  <c r="M707" i="11"/>
  <c r="F707" i="11"/>
  <c r="E707" i="11"/>
  <c r="D707" i="11"/>
  <c r="C707" i="11"/>
  <c r="B707" i="11"/>
  <c r="X706" i="11"/>
  <c r="W706" i="11"/>
  <c r="V706" i="11"/>
  <c r="U706" i="11"/>
  <c r="T706" i="11"/>
  <c r="S706" i="11"/>
  <c r="R706" i="11"/>
  <c r="Q706" i="11"/>
  <c r="P706" i="11"/>
  <c r="O706" i="11"/>
  <c r="N706" i="11"/>
  <c r="M706" i="11"/>
  <c r="F706" i="11"/>
  <c r="E706" i="11"/>
  <c r="D706" i="11"/>
  <c r="C706" i="11"/>
  <c r="B706" i="11"/>
  <c r="X705" i="11"/>
  <c r="W705" i="11"/>
  <c r="V705" i="11"/>
  <c r="U705" i="11"/>
  <c r="T705" i="11"/>
  <c r="S705" i="11"/>
  <c r="R705" i="11"/>
  <c r="Q705" i="11"/>
  <c r="P705" i="11"/>
  <c r="O705" i="11"/>
  <c r="N705" i="11"/>
  <c r="M705" i="11"/>
  <c r="F705" i="11"/>
  <c r="E705" i="11"/>
  <c r="D705" i="11"/>
  <c r="C705" i="11"/>
  <c r="B705" i="11"/>
  <c r="X704" i="11"/>
  <c r="W704" i="11"/>
  <c r="V704" i="11"/>
  <c r="U704" i="11"/>
  <c r="T704" i="11"/>
  <c r="S704" i="11"/>
  <c r="R704" i="11"/>
  <c r="Q704" i="11"/>
  <c r="P704" i="11"/>
  <c r="O704" i="11"/>
  <c r="N704" i="11"/>
  <c r="M704" i="11"/>
  <c r="F704" i="11"/>
  <c r="E704" i="11"/>
  <c r="D704" i="11"/>
  <c r="C704" i="11"/>
  <c r="B704" i="11"/>
  <c r="X703" i="11"/>
  <c r="W703" i="11"/>
  <c r="V703" i="11"/>
  <c r="U703" i="11"/>
  <c r="T703" i="11"/>
  <c r="S703" i="11"/>
  <c r="R703" i="11"/>
  <c r="Q703" i="11"/>
  <c r="P703" i="11"/>
  <c r="O703" i="11"/>
  <c r="N703" i="11"/>
  <c r="M703" i="11"/>
  <c r="F703" i="11"/>
  <c r="E703" i="11"/>
  <c r="D703" i="11"/>
  <c r="C703" i="11"/>
  <c r="B703" i="11"/>
  <c r="X702" i="11"/>
  <c r="W702" i="11"/>
  <c r="V702" i="11"/>
  <c r="U702" i="11"/>
  <c r="T702" i="11"/>
  <c r="S702" i="11"/>
  <c r="R702" i="11"/>
  <c r="Q702" i="11"/>
  <c r="P702" i="11"/>
  <c r="O702" i="11"/>
  <c r="N702" i="11"/>
  <c r="M702" i="11"/>
  <c r="F702" i="11"/>
  <c r="E702" i="11"/>
  <c r="D702" i="11"/>
  <c r="C702" i="11"/>
  <c r="B702" i="11"/>
  <c r="X701" i="11"/>
  <c r="W701" i="11"/>
  <c r="V701" i="11"/>
  <c r="U701" i="11"/>
  <c r="T701" i="11"/>
  <c r="S701" i="11"/>
  <c r="R701" i="11"/>
  <c r="Q701" i="11"/>
  <c r="P701" i="11"/>
  <c r="O701" i="11"/>
  <c r="N701" i="11"/>
  <c r="M701" i="11"/>
  <c r="F701" i="11"/>
  <c r="E701" i="11"/>
  <c r="D701" i="11"/>
  <c r="C701" i="11"/>
  <c r="B701" i="11"/>
  <c r="X700" i="11"/>
  <c r="W700" i="11"/>
  <c r="V700" i="11"/>
  <c r="U700" i="11"/>
  <c r="T700" i="11"/>
  <c r="S700" i="11"/>
  <c r="R700" i="11"/>
  <c r="Q700" i="11"/>
  <c r="P700" i="11"/>
  <c r="O700" i="11"/>
  <c r="N700" i="11"/>
  <c r="M700" i="11"/>
  <c r="F700" i="11"/>
  <c r="E700" i="11"/>
  <c r="D700" i="11"/>
  <c r="C700" i="11"/>
  <c r="B700" i="11"/>
  <c r="X699" i="11"/>
  <c r="W699" i="11"/>
  <c r="V699" i="11"/>
  <c r="U699" i="11"/>
  <c r="T699" i="11"/>
  <c r="S699" i="11"/>
  <c r="R699" i="11"/>
  <c r="Q699" i="11"/>
  <c r="P699" i="11"/>
  <c r="O699" i="11"/>
  <c r="N699" i="11"/>
  <c r="M699" i="11"/>
  <c r="F699" i="11"/>
  <c r="E699" i="11"/>
  <c r="D699" i="11"/>
  <c r="C699" i="11"/>
  <c r="B699" i="11"/>
  <c r="X698" i="11"/>
  <c r="W698" i="11"/>
  <c r="V698" i="11"/>
  <c r="U698" i="11"/>
  <c r="T698" i="11"/>
  <c r="S698" i="11"/>
  <c r="R698" i="11"/>
  <c r="Q698" i="11"/>
  <c r="P698" i="11"/>
  <c r="O698" i="11"/>
  <c r="N698" i="11"/>
  <c r="M698" i="11"/>
  <c r="F698" i="11"/>
  <c r="E698" i="11"/>
  <c r="D698" i="11"/>
  <c r="C698" i="11"/>
  <c r="B698" i="11"/>
  <c r="X697" i="11"/>
  <c r="W697" i="11"/>
  <c r="V697" i="11"/>
  <c r="U697" i="11"/>
  <c r="T697" i="11"/>
  <c r="S697" i="11"/>
  <c r="R697" i="11"/>
  <c r="Q697" i="11"/>
  <c r="P697" i="11"/>
  <c r="O697" i="11"/>
  <c r="N697" i="11"/>
  <c r="M697" i="11"/>
  <c r="F697" i="11"/>
  <c r="E697" i="11"/>
  <c r="D697" i="11"/>
  <c r="C697" i="11"/>
  <c r="B697" i="11"/>
  <c r="X696" i="11"/>
  <c r="W696" i="11"/>
  <c r="V696" i="11"/>
  <c r="U696" i="11"/>
  <c r="T696" i="11"/>
  <c r="S696" i="11"/>
  <c r="R696" i="11"/>
  <c r="Q696" i="11"/>
  <c r="P696" i="11"/>
  <c r="O696" i="11"/>
  <c r="N696" i="11"/>
  <c r="M696" i="11"/>
  <c r="F696" i="11"/>
  <c r="E696" i="11"/>
  <c r="D696" i="11"/>
  <c r="C696" i="11"/>
  <c r="B696" i="11"/>
  <c r="X695" i="11"/>
  <c r="W695" i="11"/>
  <c r="V695" i="11"/>
  <c r="U695" i="11"/>
  <c r="T695" i="11"/>
  <c r="S695" i="11"/>
  <c r="R695" i="11"/>
  <c r="Q695" i="11"/>
  <c r="P695" i="11"/>
  <c r="O695" i="11"/>
  <c r="N695" i="11"/>
  <c r="M695" i="11"/>
  <c r="F695" i="11"/>
  <c r="E695" i="11"/>
  <c r="D695" i="11"/>
  <c r="C695" i="11"/>
  <c r="B695" i="11"/>
  <c r="X694" i="11"/>
  <c r="W694" i="11"/>
  <c r="V694" i="11"/>
  <c r="U694" i="11"/>
  <c r="T694" i="11"/>
  <c r="S694" i="11"/>
  <c r="R694" i="11"/>
  <c r="Q694" i="11"/>
  <c r="P694" i="11"/>
  <c r="O694" i="11"/>
  <c r="N694" i="11"/>
  <c r="M694" i="11"/>
  <c r="F694" i="11"/>
  <c r="E694" i="11"/>
  <c r="D694" i="11"/>
  <c r="C694" i="11"/>
  <c r="B694" i="11"/>
  <c r="X693" i="11"/>
  <c r="W693" i="11"/>
  <c r="V693" i="11"/>
  <c r="U693" i="11"/>
  <c r="T693" i="11"/>
  <c r="S693" i="11"/>
  <c r="R693" i="11"/>
  <c r="Q693" i="11"/>
  <c r="P693" i="11"/>
  <c r="O693" i="11"/>
  <c r="N693" i="11"/>
  <c r="M693" i="11"/>
  <c r="F693" i="11"/>
  <c r="E693" i="11"/>
  <c r="D693" i="11"/>
  <c r="C693" i="11"/>
  <c r="B693" i="11"/>
  <c r="X692" i="11"/>
  <c r="W692" i="11"/>
  <c r="V692" i="11"/>
  <c r="U692" i="11"/>
  <c r="T692" i="11"/>
  <c r="S692" i="11"/>
  <c r="R692" i="11"/>
  <c r="Q692" i="11"/>
  <c r="P692" i="11"/>
  <c r="O692" i="11"/>
  <c r="N692" i="11"/>
  <c r="M692" i="11"/>
  <c r="F692" i="11"/>
  <c r="E692" i="11"/>
  <c r="D692" i="11"/>
  <c r="C692" i="11"/>
  <c r="B692" i="11"/>
  <c r="X691" i="11"/>
  <c r="W691" i="11"/>
  <c r="V691" i="11"/>
  <c r="U691" i="11"/>
  <c r="T691" i="11"/>
  <c r="S691" i="11"/>
  <c r="R691" i="11"/>
  <c r="Q691" i="11"/>
  <c r="P691" i="11"/>
  <c r="O691" i="11"/>
  <c r="N691" i="11"/>
  <c r="M691" i="11"/>
  <c r="F691" i="11"/>
  <c r="E691" i="11"/>
  <c r="D691" i="11"/>
  <c r="C691" i="11"/>
  <c r="B691" i="11"/>
  <c r="X690" i="11"/>
  <c r="W690" i="11"/>
  <c r="V690" i="11"/>
  <c r="U690" i="11"/>
  <c r="T690" i="11"/>
  <c r="S690" i="11"/>
  <c r="R690" i="11"/>
  <c r="Q690" i="11"/>
  <c r="P690" i="11"/>
  <c r="O690" i="11"/>
  <c r="N690" i="11"/>
  <c r="M690" i="11"/>
  <c r="F690" i="11"/>
  <c r="E690" i="11"/>
  <c r="D690" i="11"/>
  <c r="C690" i="11"/>
  <c r="B690" i="11"/>
  <c r="X689" i="11"/>
  <c r="W689" i="11"/>
  <c r="V689" i="11"/>
  <c r="U689" i="11"/>
  <c r="T689" i="11"/>
  <c r="S689" i="11"/>
  <c r="R689" i="11"/>
  <c r="Q689" i="11"/>
  <c r="P689" i="11"/>
  <c r="O689" i="11"/>
  <c r="N689" i="11"/>
  <c r="M689" i="11"/>
  <c r="F689" i="11"/>
  <c r="E689" i="11"/>
  <c r="D689" i="11"/>
  <c r="C689" i="11"/>
  <c r="B689" i="11"/>
  <c r="X688" i="11"/>
  <c r="W688" i="11"/>
  <c r="V688" i="11"/>
  <c r="U688" i="11"/>
  <c r="T688" i="11"/>
  <c r="S688" i="11"/>
  <c r="R688" i="11"/>
  <c r="Q688" i="11"/>
  <c r="P688" i="11"/>
  <c r="O688" i="11"/>
  <c r="N688" i="11"/>
  <c r="M688" i="11"/>
  <c r="F688" i="11"/>
  <c r="E688" i="11"/>
  <c r="D688" i="11"/>
  <c r="C688" i="11"/>
  <c r="B688" i="11"/>
  <c r="X687" i="11"/>
  <c r="W687" i="11"/>
  <c r="V687" i="11"/>
  <c r="U687" i="11"/>
  <c r="T687" i="11"/>
  <c r="S687" i="11"/>
  <c r="R687" i="11"/>
  <c r="Q687" i="11"/>
  <c r="P687" i="11"/>
  <c r="O687" i="11"/>
  <c r="N687" i="11"/>
  <c r="M687" i="11"/>
  <c r="F687" i="11"/>
  <c r="E687" i="11"/>
  <c r="D687" i="11"/>
  <c r="C687" i="11"/>
  <c r="B687" i="11"/>
  <c r="X686" i="11"/>
  <c r="W686" i="11"/>
  <c r="V686" i="11"/>
  <c r="U686" i="11"/>
  <c r="T686" i="11"/>
  <c r="S686" i="11"/>
  <c r="R686" i="11"/>
  <c r="Q686" i="11"/>
  <c r="P686" i="11"/>
  <c r="O686" i="11"/>
  <c r="N686" i="11"/>
  <c r="M686" i="11"/>
  <c r="F686" i="11"/>
  <c r="E686" i="11"/>
  <c r="D686" i="11"/>
  <c r="C686" i="11"/>
  <c r="B686" i="11"/>
  <c r="X685" i="11"/>
  <c r="W685" i="11"/>
  <c r="V685" i="11"/>
  <c r="U685" i="11"/>
  <c r="T685" i="11"/>
  <c r="S685" i="11"/>
  <c r="R685" i="11"/>
  <c r="Q685" i="11"/>
  <c r="P685" i="11"/>
  <c r="O685" i="11"/>
  <c r="N685" i="11"/>
  <c r="M685" i="11"/>
  <c r="F685" i="11"/>
  <c r="E685" i="11"/>
  <c r="D685" i="11"/>
  <c r="C685" i="11"/>
  <c r="B685" i="11"/>
  <c r="X684" i="11"/>
  <c r="W684" i="11"/>
  <c r="V684" i="11"/>
  <c r="U684" i="11"/>
  <c r="T684" i="11"/>
  <c r="S684" i="11"/>
  <c r="R684" i="11"/>
  <c r="Q684" i="11"/>
  <c r="P684" i="11"/>
  <c r="O684" i="11"/>
  <c r="N684" i="11"/>
  <c r="M684" i="11"/>
  <c r="F684" i="11"/>
  <c r="E684" i="11"/>
  <c r="D684" i="11"/>
  <c r="C684" i="11"/>
  <c r="B684" i="11"/>
  <c r="X683" i="11"/>
  <c r="W683" i="11"/>
  <c r="V683" i="11"/>
  <c r="U683" i="11"/>
  <c r="T683" i="11"/>
  <c r="S683" i="11"/>
  <c r="R683" i="11"/>
  <c r="Q683" i="11"/>
  <c r="P683" i="11"/>
  <c r="O683" i="11"/>
  <c r="N683" i="11"/>
  <c r="M683" i="11"/>
  <c r="F683" i="11"/>
  <c r="E683" i="11"/>
  <c r="D683" i="11"/>
  <c r="C683" i="11"/>
  <c r="B683" i="11"/>
  <c r="X682" i="11"/>
  <c r="W682" i="11"/>
  <c r="V682" i="11"/>
  <c r="U682" i="11"/>
  <c r="T682" i="11"/>
  <c r="S682" i="11"/>
  <c r="R682" i="11"/>
  <c r="Q682" i="11"/>
  <c r="P682" i="11"/>
  <c r="O682" i="11"/>
  <c r="N682" i="11"/>
  <c r="M682" i="11"/>
  <c r="F682" i="11"/>
  <c r="E682" i="11"/>
  <c r="D682" i="11"/>
  <c r="C682" i="11"/>
  <c r="B682" i="11"/>
  <c r="X681" i="11"/>
  <c r="W681" i="11"/>
  <c r="V681" i="11"/>
  <c r="U681" i="11"/>
  <c r="T681" i="11"/>
  <c r="S681" i="11"/>
  <c r="R681" i="11"/>
  <c r="Q681" i="11"/>
  <c r="P681" i="11"/>
  <c r="O681" i="11"/>
  <c r="N681" i="11"/>
  <c r="M681" i="11"/>
  <c r="F681" i="11"/>
  <c r="E681" i="11"/>
  <c r="D681" i="11"/>
  <c r="C681" i="11"/>
  <c r="B681" i="11"/>
  <c r="X680" i="11"/>
  <c r="W680" i="11"/>
  <c r="V680" i="11"/>
  <c r="U680" i="11"/>
  <c r="T680" i="11"/>
  <c r="S680" i="11"/>
  <c r="R680" i="11"/>
  <c r="Q680" i="11"/>
  <c r="P680" i="11"/>
  <c r="O680" i="11"/>
  <c r="N680" i="11"/>
  <c r="M680" i="11"/>
  <c r="F680" i="11"/>
  <c r="E680" i="11"/>
  <c r="D680" i="11"/>
  <c r="C680" i="11"/>
  <c r="B680" i="11"/>
  <c r="X679" i="11"/>
  <c r="W679" i="11"/>
  <c r="V679" i="11"/>
  <c r="U679" i="11"/>
  <c r="T679" i="11"/>
  <c r="S679" i="11"/>
  <c r="R679" i="11"/>
  <c r="Q679" i="11"/>
  <c r="P679" i="11"/>
  <c r="O679" i="11"/>
  <c r="N679" i="11"/>
  <c r="M679" i="11"/>
  <c r="F679" i="11"/>
  <c r="E679" i="11"/>
  <c r="D679" i="11"/>
  <c r="C679" i="11"/>
  <c r="B679" i="11"/>
  <c r="X678" i="11"/>
  <c r="W678" i="11"/>
  <c r="V678" i="11"/>
  <c r="U678" i="11"/>
  <c r="T678" i="11"/>
  <c r="S678" i="11"/>
  <c r="R678" i="11"/>
  <c r="Q678" i="11"/>
  <c r="P678" i="11"/>
  <c r="O678" i="11"/>
  <c r="N678" i="11"/>
  <c r="M678" i="11"/>
  <c r="F678" i="11"/>
  <c r="E678" i="11"/>
  <c r="D678" i="11"/>
  <c r="C678" i="11"/>
  <c r="B678" i="11"/>
  <c r="X677" i="11"/>
  <c r="W677" i="11"/>
  <c r="V677" i="11"/>
  <c r="U677" i="11"/>
  <c r="T677" i="11"/>
  <c r="S677" i="11"/>
  <c r="R677" i="11"/>
  <c r="Q677" i="11"/>
  <c r="P677" i="11"/>
  <c r="O677" i="11"/>
  <c r="N677" i="11"/>
  <c r="M677" i="11"/>
  <c r="F677" i="11"/>
  <c r="E677" i="11"/>
  <c r="D677" i="11"/>
  <c r="C677" i="11"/>
  <c r="B677" i="11"/>
  <c r="X676" i="11"/>
  <c r="W676" i="11"/>
  <c r="V676" i="11"/>
  <c r="U676" i="11"/>
  <c r="T676" i="11"/>
  <c r="S676" i="11"/>
  <c r="R676" i="11"/>
  <c r="Q676" i="11"/>
  <c r="P676" i="11"/>
  <c r="O676" i="11"/>
  <c r="N676" i="11"/>
  <c r="M676" i="11"/>
  <c r="F676" i="11"/>
  <c r="E676" i="11"/>
  <c r="D676" i="11"/>
  <c r="C676" i="11"/>
  <c r="B676" i="11"/>
  <c r="X675" i="11"/>
  <c r="W675" i="11"/>
  <c r="V675" i="11"/>
  <c r="U675" i="11"/>
  <c r="T675" i="11"/>
  <c r="S675" i="11"/>
  <c r="R675" i="11"/>
  <c r="Q675" i="11"/>
  <c r="P675" i="11"/>
  <c r="O675" i="11"/>
  <c r="N675" i="11"/>
  <c r="M675" i="11"/>
  <c r="F675" i="11"/>
  <c r="E675" i="11"/>
  <c r="D675" i="11"/>
  <c r="C675" i="11"/>
  <c r="B675" i="11"/>
  <c r="X674" i="11"/>
  <c r="W674" i="11"/>
  <c r="V674" i="11"/>
  <c r="U674" i="11"/>
  <c r="T674" i="11"/>
  <c r="S674" i="11"/>
  <c r="R674" i="11"/>
  <c r="Q674" i="11"/>
  <c r="P674" i="11"/>
  <c r="O674" i="11"/>
  <c r="N674" i="11"/>
  <c r="M674" i="11"/>
  <c r="F674" i="11"/>
  <c r="E674" i="11"/>
  <c r="D674" i="11"/>
  <c r="C674" i="11"/>
  <c r="B674" i="11"/>
  <c r="X673" i="11"/>
  <c r="W673" i="11"/>
  <c r="V673" i="11"/>
  <c r="U673" i="11"/>
  <c r="T673" i="11"/>
  <c r="S673" i="11"/>
  <c r="R673" i="11"/>
  <c r="Q673" i="11"/>
  <c r="P673" i="11"/>
  <c r="O673" i="11"/>
  <c r="N673" i="11"/>
  <c r="M673" i="11"/>
  <c r="F673" i="11"/>
  <c r="E673" i="11"/>
  <c r="D673" i="11"/>
  <c r="C673" i="11"/>
  <c r="B673" i="11"/>
  <c r="X672" i="11"/>
  <c r="W672" i="11"/>
  <c r="V672" i="11"/>
  <c r="U672" i="11"/>
  <c r="T672" i="11"/>
  <c r="S672" i="11"/>
  <c r="R672" i="11"/>
  <c r="Q672" i="11"/>
  <c r="P672" i="11"/>
  <c r="O672" i="11"/>
  <c r="N672" i="11"/>
  <c r="M672" i="11"/>
  <c r="F672" i="11"/>
  <c r="E672" i="11"/>
  <c r="D672" i="11"/>
  <c r="C672" i="11"/>
  <c r="B672" i="11"/>
  <c r="X671" i="11"/>
  <c r="W671" i="11"/>
  <c r="V671" i="11"/>
  <c r="U671" i="11"/>
  <c r="T671" i="11"/>
  <c r="S671" i="11"/>
  <c r="R671" i="11"/>
  <c r="Q671" i="11"/>
  <c r="P671" i="11"/>
  <c r="O671" i="11"/>
  <c r="N671" i="11"/>
  <c r="M671" i="11"/>
  <c r="F671" i="11"/>
  <c r="E671" i="11"/>
  <c r="D671" i="11"/>
  <c r="C671" i="11"/>
  <c r="B671" i="11"/>
  <c r="X670" i="11"/>
  <c r="W670" i="11"/>
  <c r="V670" i="11"/>
  <c r="U670" i="11"/>
  <c r="T670" i="11"/>
  <c r="S670" i="11"/>
  <c r="R670" i="11"/>
  <c r="Q670" i="11"/>
  <c r="P670" i="11"/>
  <c r="O670" i="11"/>
  <c r="N670" i="11"/>
  <c r="M670" i="11"/>
  <c r="F670" i="11"/>
  <c r="E670" i="11"/>
  <c r="D670" i="11"/>
  <c r="C670" i="11"/>
  <c r="B670" i="11"/>
  <c r="X669" i="11"/>
  <c r="W669" i="11"/>
  <c r="V669" i="11"/>
  <c r="U669" i="11"/>
  <c r="T669" i="11"/>
  <c r="S669" i="11"/>
  <c r="R669" i="11"/>
  <c r="Q669" i="11"/>
  <c r="P669" i="11"/>
  <c r="O669" i="11"/>
  <c r="N669" i="11"/>
  <c r="M669" i="11"/>
  <c r="F669" i="11"/>
  <c r="E669" i="11"/>
  <c r="D669" i="11"/>
  <c r="C669" i="11"/>
  <c r="B669" i="11"/>
  <c r="X668" i="11"/>
  <c r="W668" i="11"/>
  <c r="V668" i="11"/>
  <c r="U668" i="11"/>
  <c r="T668" i="11"/>
  <c r="S668" i="11"/>
  <c r="R668" i="11"/>
  <c r="Q668" i="11"/>
  <c r="P668" i="11"/>
  <c r="O668" i="11"/>
  <c r="N668" i="11"/>
  <c r="M668" i="11"/>
  <c r="F668" i="11"/>
  <c r="E668" i="11"/>
  <c r="D668" i="11"/>
  <c r="C668" i="11"/>
  <c r="B668" i="11"/>
  <c r="X667" i="11"/>
  <c r="W667" i="11"/>
  <c r="V667" i="11"/>
  <c r="U667" i="11"/>
  <c r="T667" i="11"/>
  <c r="S667" i="11"/>
  <c r="R667" i="11"/>
  <c r="Q667" i="11"/>
  <c r="P667" i="11"/>
  <c r="O667" i="11"/>
  <c r="N667" i="11"/>
  <c r="M667" i="11"/>
  <c r="F667" i="11"/>
  <c r="E667" i="11"/>
  <c r="D667" i="11"/>
  <c r="C667" i="11"/>
  <c r="B667" i="11"/>
  <c r="X666" i="11"/>
  <c r="W666" i="11"/>
  <c r="V666" i="11"/>
  <c r="U666" i="11"/>
  <c r="T666" i="11"/>
  <c r="S666" i="11"/>
  <c r="R666" i="11"/>
  <c r="Q666" i="11"/>
  <c r="P666" i="11"/>
  <c r="O666" i="11"/>
  <c r="N666" i="11"/>
  <c r="M666" i="11"/>
  <c r="F666" i="11"/>
  <c r="E666" i="11"/>
  <c r="D666" i="11"/>
  <c r="C666" i="11"/>
  <c r="B666" i="11"/>
  <c r="X665" i="11"/>
  <c r="W665" i="11"/>
  <c r="V665" i="11"/>
  <c r="U665" i="11"/>
  <c r="T665" i="11"/>
  <c r="S665" i="11"/>
  <c r="R665" i="11"/>
  <c r="Q665" i="11"/>
  <c r="P665" i="11"/>
  <c r="O665" i="11"/>
  <c r="N665" i="11"/>
  <c r="M665" i="11"/>
  <c r="F665" i="11"/>
  <c r="E665" i="11"/>
  <c r="D665" i="11"/>
  <c r="C665" i="11"/>
  <c r="B665" i="11"/>
  <c r="X664" i="11"/>
  <c r="W664" i="11"/>
  <c r="V664" i="11"/>
  <c r="U664" i="11"/>
  <c r="T664" i="11"/>
  <c r="S664" i="11"/>
  <c r="R664" i="11"/>
  <c r="Q664" i="11"/>
  <c r="P664" i="11"/>
  <c r="O664" i="11"/>
  <c r="N664" i="11"/>
  <c r="M664" i="11"/>
  <c r="F664" i="11"/>
  <c r="E664" i="11"/>
  <c r="D664" i="11"/>
  <c r="C664" i="11"/>
  <c r="B664" i="11"/>
  <c r="X663" i="11"/>
  <c r="W663" i="11"/>
  <c r="V663" i="11"/>
  <c r="U663" i="11"/>
  <c r="T663" i="11"/>
  <c r="S663" i="11"/>
  <c r="R663" i="11"/>
  <c r="Q663" i="11"/>
  <c r="P663" i="11"/>
  <c r="O663" i="11"/>
  <c r="N663" i="11"/>
  <c r="M663" i="11"/>
  <c r="F663" i="11"/>
  <c r="E663" i="11"/>
  <c r="D663" i="11"/>
  <c r="C663" i="11"/>
  <c r="B663" i="11"/>
  <c r="X662" i="11"/>
  <c r="W662" i="11"/>
  <c r="V662" i="11"/>
  <c r="U662" i="11"/>
  <c r="T662" i="11"/>
  <c r="S662" i="11"/>
  <c r="R662" i="11"/>
  <c r="Q662" i="11"/>
  <c r="P662" i="11"/>
  <c r="O662" i="11"/>
  <c r="N662" i="11"/>
  <c r="M662" i="11"/>
  <c r="F662" i="11"/>
  <c r="E662" i="11"/>
  <c r="D662" i="11"/>
  <c r="C662" i="11"/>
  <c r="B662" i="11"/>
  <c r="X661" i="11"/>
  <c r="W661" i="11"/>
  <c r="V661" i="11"/>
  <c r="U661" i="11"/>
  <c r="T661" i="11"/>
  <c r="S661" i="11"/>
  <c r="R661" i="11"/>
  <c r="Q661" i="11"/>
  <c r="P661" i="11"/>
  <c r="O661" i="11"/>
  <c r="N661" i="11"/>
  <c r="M661" i="11"/>
  <c r="F661" i="11"/>
  <c r="E661" i="11"/>
  <c r="D661" i="11"/>
  <c r="C661" i="11"/>
  <c r="B661" i="11"/>
  <c r="X660" i="11"/>
  <c r="W660" i="11"/>
  <c r="V660" i="11"/>
  <c r="U660" i="11"/>
  <c r="T660" i="11"/>
  <c r="S660" i="11"/>
  <c r="R660" i="11"/>
  <c r="Q660" i="11"/>
  <c r="P660" i="11"/>
  <c r="O660" i="11"/>
  <c r="N660" i="11"/>
  <c r="M660" i="11"/>
  <c r="F660" i="11"/>
  <c r="E660" i="11"/>
  <c r="D660" i="11"/>
  <c r="C660" i="11"/>
  <c r="B660" i="11"/>
  <c r="X659" i="11"/>
  <c r="W659" i="11"/>
  <c r="V659" i="11"/>
  <c r="U659" i="11"/>
  <c r="T659" i="11"/>
  <c r="S659" i="11"/>
  <c r="R659" i="11"/>
  <c r="Q659" i="11"/>
  <c r="P659" i="11"/>
  <c r="O659" i="11"/>
  <c r="N659" i="11"/>
  <c r="M659" i="11"/>
  <c r="F659" i="11"/>
  <c r="E659" i="11"/>
  <c r="D659" i="11"/>
  <c r="C659" i="11"/>
  <c r="B659" i="11"/>
  <c r="X658" i="11"/>
  <c r="W658" i="11"/>
  <c r="V658" i="11"/>
  <c r="U658" i="11"/>
  <c r="T658" i="11"/>
  <c r="S658" i="11"/>
  <c r="R658" i="11"/>
  <c r="Q658" i="11"/>
  <c r="P658" i="11"/>
  <c r="O658" i="11"/>
  <c r="N658" i="11"/>
  <c r="M658" i="11"/>
  <c r="F658" i="11"/>
  <c r="E658" i="11"/>
  <c r="D658" i="11"/>
  <c r="C658" i="11"/>
  <c r="B658" i="11"/>
  <c r="X657" i="11"/>
  <c r="W657" i="11"/>
  <c r="V657" i="11"/>
  <c r="U657" i="11"/>
  <c r="T657" i="11"/>
  <c r="S657" i="11"/>
  <c r="R657" i="11"/>
  <c r="Q657" i="11"/>
  <c r="P657" i="11"/>
  <c r="O657" i="11"/>
  <c r="N657" i="11"/>
  <c r="M657" i="11"/>
  <c r="F657" i="11"/>
  <c r="E657" i="11"/>
  <c r="D657" i="11"/>
  <c r="C657" i="11"/>
  <c r="B657" i="11"/>
  <c r="X656" i="11"/>
  <c r="W656" i="11"/>
  <c r="V656" i="11"/>
  <c r="U656" i="11"/>
  <c r="T656" i="11"/>
  <c r="S656" i="11"/>
  <c r="R656" i="11"/>
  <c r="Q656" i="11"/>
  <c r="P656" i="11"/>
  <c r="O656" i="11"/>
  <c r="N656" i="11"/>
  <c r="M656" i="11"/>
  <c r="F656" i="11"/>
  <c r="E656" i="11"/>
  <c r="D656" i="11"/>
  <c r="C656" i="11"/>
  <c r="B656" i="11"/>
  <c r="X655" i="11"/>
  <c r="W655" i="11"/>
  <c r="V655" i="11"/>
  <c r="U655" i="11"/>
  <c r="T655" i="11"/>
  <c r="S655" i="11"/>
  <c r="R655" i="11"/>
  <c r="Q655" i="11"/>
  <c r="P655" i="11"/>
  <c r="O655" i="11"/>
  <c r="N655" i="11"/>
  <c r="M655" i="11"/>
  <c r="F655" i="11"/>
  <c r="E655" i="11"/>
  <c r="D655" i="11"/>
  <c r="C655" i="11"/>
  <c r="B655" i="11"/>
  <c r="X654" i="11"/>
  <c r="W654" i="11"/>
  <c r="V654" i="11"/>
  <c r="U654" i="11"/>
  <c r="T654" i="11"/>
  <c r="S654" i="11"/>
  <c r="R654" i="11"/>
  <c r="Q654" i="11"/>
  <c r="P654" i="11"/>
  <c r="O654" i="11"/>
  <c r="N654" i="11"/>
  <c r="M654" i="11"/>
  <c r="F654" i="11"/>
  <c r="E654" i="11"/>
  <c r="D654" i="11"/>
  <c r="C654" i="11"/>
  <c r="B654" i="11"/>
  <c r="X653" i="11"/>
  <c r="W653" i="11"/>
  <c r="V653" i="11"/>
  <c r="U653" i="11"/>
  <c r="T653" i="11"/>
  <c r="S653" i="11"/>
  <c r="R653" i="11"/>
  <c r="Q653" i="11"/>
  <c r="P653" i="11"/>
  <c r="O653" i="11"/>
  <c r="N653" i="11"/>
  <c r="M653" i="11"/>
  <c r="F653" i="11"/>
  <c r="E653" i="11"/>
  <c r="D653" i="11"/>
  <c r="C653" i="11"/>
  <c r="B653" i="11"/>
  <c r="X652" i="11"/>
  <c r="W652" i="11"/>
  <c r="V652" i="11"/>
  <c r="U652" i="11"/>
  <c r="T652" i="11"/>
  <c r="S652" i="11"/>
  <c r="R652" i="11"/>
  <c r="Q652" i="11"/>
  <c r="P652" i="11"/>
  <c r="O652" i="11"/>
  <c r="N652" i="11"/>
  <c r="M652" i="11"/>
  <c r="F652" i="11"/>
  <c r="E652" i="11"/>
  <c r="D652" i="11"/>
  <c r="C652" i="11"/>
  <c r="B652" i="11"/>
  <c r="X651" i="11"/>
  <c r="W651" i="11"/>
  <c r="V651" i="11"/>
  <c r="U651" i="11"/>
  <c r="T651" i="11"/>
  <c r="S651" i="11"/>
  <c r="R651" i="11"/>
  <c r="Q651" i="11"/>
  <c r="P651" i="11"/>
  <c r="O651" i="11"/>
  <c r="N651" i="11"/>
  <c r="M651" i="11"/>
  <c r="F651" i="11"/>
  <c r="E651" i="11"/>
  <c r="D651" i="11"/>
  <c r="C651" i="11"/>
  <c r="B651" i="11"/>
  <c r="X650" i="11"/>
  <c r="W650" i="11"/>
  <c r="V650" i="11"/>
  <c r="U650" i="11"/>
  <c r="T650" i="11"/>
  <c r="S650" i="11"/>
  <c r="R650" i="11"/>
  <c r="Q650" i="11"/>
  <c r="P650" i="11"/>
  <c r="O650" i="11"/>
  <c r="N650" i="11"/>
  <c r="M650" i="11"/>
  <c r="F650" i="11"/>
  <c r="E650" i="11"/>
  <c r="D650" i="11"/>
  <c r="C650" i="11"/>
  <c r="B650" i="11"/>
  <c r="X649" i="11"/>
  <c r="W649" i="11"/>
  <c r="V649" i="11"/>
  <c r="U649" i="11"/>
  <c r="T649" i="11"/>
  <c r="S649" i="11"/>
  <c r="R649" i="11"/>
  <c r="Q649" i="11"/>
  <c r="P649" i="11"/>
  <c r="O649" i="11"/>
  <c r="N649" i="11"/>
  <c r="M649" i="11"/>
  <c r="F649" i="11"/>
  <c r="E649" i="11"/>
  <c r="D649" i="11"/>
  <c r="C649" i="11"/>
  <c r="B649" i="11"/>
  <c r="X648" i="11"/>
  <c r="W648" i="11"/>
  <c r="V648" i="11"/>
  <c r="U648" i="11"/>
  <c r="T648" i="11"/>
  <c r="S648" i="11"/>
  <c r="R648" i="11"/>
  <c r="Q648" i="11"/>
  <c r="P648" i="11"/>
  <c r="O648" i="11"/>
  <c r="N648" i="11"/>
  <c r="M648" i="11"/>
  <c r="F648" i="11"/>
  <c r="E648" i="11"/>
  <c r="D648" i="11"/>
  <c r="C648" i="11"/>
  <c r="B648" i="11"/>
  <c r="X647" i="11"/>
  <c r="W647" i="11"/>
  <c r="V647" i="11"/>
  <c r="U647" i="11"/>
  <c r="T647" i="11"/>
  <c r="S647" i="11"/>
  <c r="R647" i="11"/>
  <c r="Q647" i="11"/>
  <c r="P647" i="11"/>
  <c r="O647" i="11"/>
  <c r="N647" i="11"/>
  <c r="M647" i="11"/>
  <c r="F647" i="11"/>
  <c r="E647" i="11"/>
  <c r="D647" i="11"/>
  <c r="C647" i="11"/>
  <c r="B647" i="11"/>
  <c r="X646" i="11"/>
  <c r="W646" i="11"/>
  <c r="V646" i="11"/>
  <c r="U646" i="11"/>
  <c r="T646" i="11"/>
  <c r="S646" i="11"/>
  <c r="R646" i="11"/>
  <c r="Q646" i="11"/>
  <c r="P646" i="11"/>
  <c r="O646" i="11"/>
  <c r="N646" i="11"/>
  <c r="M646" i="11"/>
  <c r="F646" i="11"/>
  <c r="E646" i="11"/>
  <c r="D646" i="11"/>
  <c r="C646" i="11"/>
  <c r="B646" i="11"/>
  <c r="X645" i="11"/>
  <c r="W645" i="11"/>
  <c r="V645" i="11"/>
  <c r="U645" i="11"/>
  <c r="T645" i="11"/>
  <c r="S645" i="11"/>
  <c r="R645" i="11"/>
  <c r="Q645" i="11"/>
  <c r="P645" i="11"/>
  <c r="O645" i="11"/>
  <c r="N645" i="11"/>
  <c r="M645" i="11"/>
  <c r="F645" i="11"/>
  <c r="E645" i="11"/>
  <c r="D645" i="11"/>
  <c r="C645" i="11"/>
  <c r="B645" i="11"/>
  <c r="X644" i="11"/>
  <c r="W644" i="11"/>
  <c r="V644" i="11"/>
  <c r="U644" i="11"/>
  <c r="T644" i="11"/>
  <c r="S644" i="11"/>
  <c r="R644" i="11"/>
  <c r="Q644" i="11"/>
  <c r="P644" i="11"/>
  <c r="O644" i="11"/>
  <c r="N644" i="11"/>
  <c r="M644" i="11"/>
  <c r="F644" i="11"/>
  <c r="E644" i="11"/>
  <c r="D644" i="11"/>
  <c r="C644" i="11"/>
  <c r="B644" i="11"/>
  <c r="X643" i="11"/>
  <c r="W643" i="11"/>
  <c r="V643" i="11"/>
  <c r="U643" i="11"/>
  <c r="T643" i="11"/>
  <c r="S643" i="11"/>
  <c r="R643" i="11"/>
  <c r="Q643" i="11"/>
  <c r="P643" i="11"/>
  <c r="O643" i="11"/>
  <c r="N643" i="11"/>
  <c r="M643" i="11"/>
  <c r="F643" i="11"/>
  <c r="E643" i="11"/>
  <c r="D643" i="11"/>
  <c r="C643" i="11"/>
  <c r="B643" i="11"/>
  <c r="X642" i="11"/>
  <c r="W642" i="11"/>
  <c r="V642" i="11"/>
  <c r="U642" i="11"/>
  <c r="T642" i="11"/>
  <c r="S642" i="11"/>
  <c r="R642" i="11"/>
  <c r="Q642" i="11"/>
  <c r="P642" i="11"/>
  <c r="O642" i="11"/>
  <c r="N642" i="11"/>
  <c r="M642" i="11"/>
  <c r="F642" i="11"/>
  <c r="E642" i="11"/>
  <c r="D642" i="11"/>
  <c r="C642" i="11"/>
  <c r="B642" i="11"/>
  <c r="X641" i="11"/>
  <c r="W641" i="11"/>
  <c r="V641" i="11"/>
  <c r="U641" i="11"/>
  <c r="T641" i="11"/>
  <c r="S641" i="11"/>
  <c r="R641" i="11"/>
  <c r="Q641" i="11"/>
  <c r="P641" i="11"/>
  <c r="O641" i="11"/>
  <c r="N641" i="11"/>
  <c r="M641" i="11"/>
  <c r="F641" i="11"/>
  <c r="E641" i="11"/>
  <c r="D641" i="11"/>
  <c r="C641" i="11"/>
  <c r="B641" i="11"/>
  <c r="X640" i="11"/>
  <c r="W640" i="11"/>
  <c r="V640" i="11"/>
  <c r="U640" i="11"/>
  <c r="T640" i="11"/>
  <c r="S640" i="11"/>
  <c r="R640" i="11"/>
  <c r="Q640" i="11"/>
  <c r="P640" i="11"/>
  <c r="O640" i="11"/>
  <c r="N640" i="11"/>
  <c r="M640" i="11"/>
  <c r="F640" i="11"/>
  <c r="E640" i="11"/>
  <c r="D640" i="11"/>
  <c r="C640" i="11"/>
  <c r="B640" i="11"/>
  <c r="X639" i="11"/>
  <c r="W639" i="11"/>
  <c r="V639" i="11"/>
  <c r="U639" i="11"/>
  <c r="T639" i="11"/>
  <c r="S639" i="11"/>
  <c r="R639" i="11"/>
  <c r="Q639" i="11"/>
  <c r="P639" i="11"/>
  <c r="O639" i="11"/>
  <c r="N639" i="11"/>
  <c r="M639" i="11"/>
  <c r="F639" i="11"/>
  <c r="E639" i="11"/>
  <c r="D639" i="11"/>
  <c r="C639" i="11"/>
  <c r="B639" i="11"/>
  <c r="X638" i="11"/>
  <c r="W638" i="11"/>
  <c r="V638" i="11"/>
  <c r="U638" i="11"/>
  <c r="T638" i="11"/>
  <c r="S638" i="11"/>
  <c r="R638" i="11"/>
  <c r="Q638" i="11"/>
  <c r="P638" i="11"/>
  <c r="O638" i="11"/>
  <c r="N638" i="11"/>
  <c r="M638" i="11"/>
  <c r="F638" i="11"/>
  <c r="E638" i="11"/>
  <c r="D638" i="11"/>
  <c r="C638" i="11"/>
  <c r="B638" i="11"/>
  <c r="X637" i="11"/>
  <c r="W637" i="11"/>
  <c r="V637" i="11"/>
  <c r="U637" i="11"/>
  <c r="T637" i="11"/>
  <c r="S637" i="11"/>
  <c r="R637" i="11"/>
  <c r="Q637" i="11"/>
  <c r="P637" i="11"/>
  <c r="O637" i="11"/>
  <c r="N637" i="11"/>
  <c r="M637" i="11"/>
  <c r="F637" i="11"/>
  <c r="E637" i="11"/>
  <c r="D637" i="11"/>
  <c r="C637" i="11"/>
  <c r="B637" i="11"/>
  <c r="X636" i="11"/>
  <c r="W636" i="11"/>
  <c r="V636" i="11"/>
  <c r="U636" i="11"/>
  <c r="T636" i="11"/>
  <c r="S636" i="11"/>
  <c r="R636" i="11"/>
  <c r="Q636" i="11"/>
  <c r="P636" i="11"/>
  <c r="O636" i="11"/>
  <c r="N636" i="11"/>
  <c r="M636" i="11"/>
  <c r="F636" i="11"/>
  <c r="E636" i="11"/>
  <c r="D636" i="11"/>
  <c r="C636" i="11"/>
  <c r="B636" i="11"/>
  <c r="X635" i="11"/>
  <c r="W635" i="11"/>
  <c r="V635" i="11"/>
  <c r="U635" i="11"/>
  <c r="T635" i="11"/>
  <c r="S635" i="11"/>
  <c r="R635" i="11"/>
  <c r="Q635" i="11"/>
  <c r="P635" i="11"/>
  <c r="O635" i="11"/>
  <c r="N635" i="11"/>
  <c r="M635" i="11"/>
  <c r="F635" i="11"/>
  <c r="E635" i="11"/>
  <c r="D635" i="11"/>
  <c r="C635" i="11"/>
  <c r="B635" i="11"/>
  <c r="X634" i="11"/>
  <c r="W634" i="11"/>
  <c r="V634" i="11"/>
  <c r="U634" i="11"/>
  <c r="T634" i="11"/>
  <c r="S634" i="11"/>
  <c r="R634" i="11"/>
  <c r="Q634" i="11"/>
  <c r="P634" i="11"/>
  <c r="O634" i="11"/>
  <c r="N634" i="11"/>
  <c r="M634" i="11"/>
  <c r="F634" i="11"/>
  <c r="E634" i="11"/>
  <c r="D634" i="11"/>
  <c r="C634" i="11"/>
  <c r="B634" i="11"/>
  <c r="X633" i="11"/>
  <c r="W633" i="11"/>
  <c r="V633" i="11"/>
  <c r="U633" i="11"/>
  <c r="T633" i="11"/>
  <c r="S633" i="11"/>
  <c r="R633" i="11"/>
  <c r="Q633" i="11"/>
  <c r="P633" i="11"/>
  <c r="O633" i="11"/>
  <c r="N633" i="11"/>
  <c r="M633" i="11"/>
  <c r="F633" i="11"/>
  <c r="E633" i="11"/>
  <c r="D633" i="11"/>
  <c r="C633" i="11"/>
  <c r="B633" i="11"/>
  <c r="X632" i="11"/>
  <c r="W632" i="11"/>
  <c r="V632" i="11"/>
  <c r="U632" i="11"/>
  <c r="T632" i="11"/>
  <c r="S632" i="11"/>
  <c r="R632" i="11"/>
  <c r="Q632" i="11"/>
  <c r="P632" i="11"/>
  <c r="O632" i="11"/>
  <c r="N632" i="11"/>
  <c r="M632" i="11"/>
  <c r="F632" i="11"/>
  <c r="E632" i="11"/>
  <c r="D632" i="11"/>
  <c r="C632" i="11"/>
  <c r="B632" i="11"/>
  <c r="X631" i="11"/>
  <c r="W631" i="11"/>
  <c r="V631" i="11"/>
  <c r="U631" i="11"/>
  <c r="T631" i="11"/>
  <c r="S631" i="11"/>
  <c r="R631" i="11"/>
  <c r="Q631" i="11"/>
  <c r="P631" i="11"/>
  <c r="O631" i="11"/>
  <c r="N631" i="11"/>
  <c r="M631" i="11"/>
  <c r="F631" i="11"/>
  <c r="E631" i="11"/>
  <c r="D631" i="11"/>
  <c r="C631" i="11"/>
  <c r="B631" i="11"/>
  <c r="X630" i="11"/>
  <c r="W630" i="11"/>
  <c r="V630" i="11"/>
  <c r="U630" i="11"/>
  <c r="T630" i="11"/>
  <c r="S630" i="11"/>
  <c r="R630" i="11"/>
  <c r="Q630" i="11"/>
  <c r="P630" i="11"/>
  <c r="O630" i="11"/>
  <c r="N630" i="11"/>
  <c r="M630" i="11"/>
  <c r="F630" i="11"/>
  <c r="E630" i="11"/>
  <c r="D630" i="11"/>
  <c r="C630" i="11"/>
  <c r="B630" i="11"/>
  <c r="X629" i="11"/>
  <c r="W629" i="11"/>
  <c r="V629" i="11"/>
  <c r="U629" i="11"/>
  <c r="T629" i="11"/>
  <c r="S629" i="11"/>
  <c r="R629" i="11"/>
  <c r="Q629" i="11"/>
  <c r="P629" i="11"/>
  <c r="O629" i="11"/>
  <c r="N629" i="11"/>
  <c r="M629" i="11"/>
  <c r="F629" i="11"/>
  <c r="E629" i="11"/>
  <c r="D629" i="11"/>
  <c r="C629" i="11"/>
  <c r="B629" i="11"/>
  <c r="X628" i="11"/>
  <c r="W628" i="11"/>
  <c r="V628" i="11"/>
  <c r="U628" i="11"/>
  <c r="T628" i="11"/>
  <c r="S628" i="11"/>
  <c r="R628" i="11"/>
  <c r="Q628" i="11"/>
  <c r="P628" i="11"/>
  <c r="O628" i="11"/>
  <c r="N628" i="11"/>
  <c r="M628" i="11"/>
  <c r="F628" i="11"/>
  <c r="E628" i="11"/>
  <c r="D628" i="11"/>
  <c r="C628" i="11"/>
  <c r="B628" i="11"/>
  <c r="X627" i="11"/>
  <c r="W627" i="11"/>
  <c r="V627" i="11"/>
  <c r="U627" i="11"/>
  <c r="T627" i="11"/>
  <c r="S627" i="11"/>
  <c r="R627" i="11"/>
  <c r="Q627" i="11"/>
  <c r="P627" i="11"/>
  <c r="O627" i="11"/>
  <c r="N627" i="11"/>
  <c r="M627" i="11"/>
  <c r="F627" i="11"/>
  <c r="E627" i="11"/>
  <c r="D627" i="11"/>
  <c r="C627" i="11"/>
  <c r="B627" i="11"/>
  <c r="X626" i="11"/>
  <c r="W626" i="11"/>
  <c r="V626" i="11"/>
  <c r="U626" i="11"/>
  <c r="T626" i="11"/>
  <c r="S626" i="11"/>
  <c r="R626" i="11"/>
  <c r="Q626" i="11"/>
  <c r="P626" i="11"/>
  <c r="O626" i="11"/>
  <c r="N626" i="11"/>
  <c r="M626" i="11"/>
  <c r="F626" i="11"/>
  <c r="E626" i="11"/>
  <c r="D626" i="11"/>
  <c r="C626" i="11"/>
  <c r="B626" i="11"/>
  <c r="X625" i="11"/>
  <c r="W625" i="11"/>
  <c r="V625" i="11"/>
  <c r="U625" i="11"/>
  <c r="T625" i="11"/>
  <c r="S625" i="11"/>
  <c r="R625" i="11"/>
  <c r="Q625" i="11"/>
  <c r="P625" i="11"/>
  <c r="O625" i="11"/>
  <c r="N625" i="11"/>
  <c r="M625" i="11"/>
  <c r="F625" i="11"/>
  <c r="E625" i="11"/>
  <c r="D625" i="11"/>
  <c r="C625" i="11"/>
  <c r="B625" i="11"/>
  <c r="X624" i="11"/>
  <c r="W624" i="11"/>
  <c r="V624" i="11"/>
  <c r="U624" i="11"/>
  <c r="T624" i="11"/>
  <c r="S624" i="11"/>
  <c r="R624" i="11"/>
  <c r="Q624" i="11"/>
  <c r="P624" i="11"/>
  <c r="O624" i="11"/>
  <c r="N624" i="11"/>
  <c r="M624" i="11"/>
  <c r="F624" i="11"/>
  <c r="E624" i="11"/>
  <c r="D624" i="11"/>
  <c r="C624" i="11"/>
  <c r="B624" i="11"/>
  <c r="X623" i="11"/>
  <c r="W623" i="11"/>
  <c r="V623" i="11"/>
  <c r="U623" i="11"/>
  <c r="T623" i="11"/>
  <c r="S623" i="11"/>
  <c r="R623" i="11"/>
  <c r="Q623" i="11"/>
  <c r="P623" i="11"/>
  <c r="O623" i="11"/>
  <c r="N623" i="11"/>
  <c r="M623" i="11"/>
  <c r="F623" i="11"/>
  <c r="E623" i="11"/>
  <c r="D623" i="11"/>
  <c r="C623" i="11"/>
  <c r="B623" i="11"/>
  <c r="X622" i="11"/>
  <c r="W622" i="11"/>
  <c r="V622" i="11"/>
  <c r="U622" i="11"/>
  <c r="T622" i="11"/>
  <c r="S622" i="11"/>
  <c r="R622" i="11"/>
  <c r="Q622" i="11"/>
  <c r="P622" i="11"/>
  <c r="O622" i="11"/>
  <c r="N622" i="11"/>
  <c r="M622" i="11"/>
  <c r="F622" i="11"/>
  <c r="E622" i="11"/>
  <c r="D622" i="11"/>
  <c r="C622" i="11"/>
  <c r="B622" i="11"/>
  <c r="X621" i="11"/>
  <c r="W621" i="11"/>
  <c r="V621" i="11"/>
  <c r="U621" i="11"/>
  <c r="T621" i="11"/>
  <c r="S621" i="11"/>
  <c r="R621" i="11"/>
  <c r="Q621" i="11"/>
  <c r="P621" i="11"/>
  <c r="O621" i="11"/>
  <c r="N621" i="11"/>
  <c r="M621" i="11"/>
  <c r="F621" i="11"/>
  <c r="E621" i="11"/>
  <c r="D621" i="11"/>
  <c r="C621" i="11"/>
  <c r="B621" i="11"/>
  <c r="X620" i="11"/>
  <c r="W620" i="11"/>
  <c r="V620" i="11"/>
  <c r="U620" i="11"/>
  <c r="T620" i="11"/>
  <c r="S620" i="11"/>
  <c r="R620" i="11"/>
  <c r="Q620" i="11"/>
  <c r="P620" i="11"/>
  <c r="O620" i="11"/>
  <c r="N620" i="11"/>
  <c r="M620" i="11"/>
  <c r="F620" i="11"/>
  <c r="E620" i="11"/>
  <c r="D620" i="11"/>
  <c r="C620" i="11"/>
  <c r="B620" i="11"/>
  <c r="X619" i="11"/>
  <c r="W619" i="11"/>
  <c r="V619" i="11"/>
  <c r="U619" i="11"/>
  <c r="T619" i="11"/>
  <c r="S619" i="11"/>
  <c r="R619" i="11"/>
  <c r="Q619" i="11"/>
  <c r="P619" i="11"/>
  <c r="O619" i="11"/>
  <c r="N619" i="11"/>
  <c r="M619" i="11"/>
  <c r="F619" i="11"/>
  <c r="E619" i="11"/>
  <c r="D619" i="11"/>
  <c r="C619" i="11"/>
  <c r="B619" i="11"/>
  <c r="X618" i="11"/>
  <c r="W618" i="11"/>
  <c r="V618" i="11"/>
  <c r="U618" i="11"/>
  <c r="T618" i="11"/>
  <c r="S618" i="11"/>
  <c r="R618" i="11"/>
  <c r="Q618" i="11"/>
  <c r="P618" i="11"/>
  <c r="O618" i="11"/>
  <c r="N618" i="11"/>
  <c r="M618" i="11"/>
  <c r="F618" i="11"/>
  <c r="E618" i="11"/>
  <c r="D618" i="11"/>
  <c r="C618" i="11"/>
  <c r="B618" i="11"/>
  <c r="X617" i="11"/>
  <c r="W617" i="11"/>
  <c r="V617" i="11"/>
  <c r="U617" i="11"/>
  <c r="T617" i="11"/>
  <c r="S617" i="11"/>
  <c r="R617" i="11"/>
  <c r="Q617" i="11"/>
  <c r="P617" i="11"/>
  <c r="O617" i="11"/>
  <c r="N617" i="11"/>
  <c r="M617" i="11"/>
  <c r="F617" i="11"/>
  <c r="E617" i="11"/>
  <c r="D617" i="11"/>
  <c r="C617" i="11"/>
  <c r="B617" i="11"/>
  <c r="X616" i="11"/>
  <c r="W616" i="11"/>
  <c r="V616" i="11"/>
  <c r="U616" i="11"/>
  <c r="T616" i="11"/>
  <c r="S616" i="11"/>
  <c r="R616" i="11"/>
  <c r="Q616" i="11"/>
  <c r="P616" i="11"/>
  <c r="O616" i="11"/>
  <c r="N616" i="11"/>
  <c r="M616" i="11"/>
  <c r="F616" i="11"/>
  <c r="E616" i="11"/>
  <c r="D616" i="11"/>
  <c r="C616" i="11"/>
  <c r="B616" i="11"/>
  <c r="X615" i="11"/>
  <c r="W615" i="11"/>
  <c r="V615" i="11"/>
  <c r="U615" i="11"/>
  <c r="T615" i="11"/>
  <c r="S615" i="11"/>
  <c r="R615" i="11"/>
  <c r="Q615" i="11"/>
  <c r="P615" i="11"/>
  <c r="O615" i="11"/>
  <c r="N615" i="11"/>
  <c r="M615" i="11"/>
  <c r="F615" i="11"/>
  <c r="E615" i="11"/>
  <c r="D615" i="11"/>
  <c r="C615" i="11"/>
  <c r="B615" i="11"/>
  <c r="X614" i="11"/>
  <c r="W614" i="11"/>
  <c r="V614" i="11"/>
  <c r="U614" i="11"/>
  <c r="T614" i="11"/>
  <c r="S614" i="11"/>
  <c r="R614" i="11"/>
  <c r="Q614" i="11"/>
  <c r="P614" i="11"/>
  <c r="O614" i="11"/>
  <c r="N614" i="11"/>
  <c r="M614" i="11"/>
  <c r="F614" i="11"/>
  <c r="E614" i="11"/>
  <c r="D614" i="11"/>
  <c r="C614" i="11"/>
  <c r="B614" i="11"/>
  <c r="X613" i="11"/>
  <c r="W613" i="11"/>
  <c r="V613" i="11"/>
  <c r="U613" i="11"/>
  <c r="T613" i="11"/>
  <c r="S613" i="11"/>
  <c r="R613" i="11"/>
  <c r="Q613" i="11"/>
  <c r="P613" i="11"/>
  <c r="O613" i="11"/>
  <c r="N613" i="11"/>
  <c r="M613" i="11"/>
  <c r="F613" i="11"/>
  <c r="E613" i="11"/>
  <c r="D613" i="11"/>
  <c r="C613" i="11"/>
  <c r="B613" i="11"/>
  <c r="X612" i="11"/>
  <c r="W612" i="11"/>
  <c r="V612" i="11"/>
  <c r="U612" i="11"/>
  <c r="T612" i="11"/>
  <c r="S612" i="11"/>
  <c r="R612" i="11"/>
  <c r="Q612" i="11"/>
  <c r="P612" i="11"/>
  <c r="O612" i="11"/>
  <c r="N612" i="11"/>
  <c r="M612" i="11"/>
  <c r="F612" i="11"/>
  <c r="E612" i="11"/>
  <c r="D612" i="11"/>
  <c r="C612" i="11"/>
  <c r="B612" i="11"/>
  <c r="X611" i="11"/>
  <c r="W611" i="11"/>
  <c r="V611" i="11"/>
  <c r="U611" i="11"/>
  <c r="T611" i="11"/>
  <c r="S611" i="11"/>
  <c r="R611" i="11"/>
  <c r="Q611" i="11"/>
  <c r="P611" i="11"/>
  <c r="O611" i="11"/>
  <c r="N611" i="11"/>
  <c r="M611" i="11"/>
  <c r="F611" i="11"/>
  <c r="E611" i="11"/>
  <c r="D611" i="11"/>
  <c r="C611" i="11"/>
  <c r="B611" i="11"/>
  <c r="X610" i="11"/>
  <c r="W610" i="11"/>
  <c r="V610" i="11"/>
  <c r="U610" i="11"/>
  <c r="T610" i="11"/>
  <c r="S610" i="11"/>
  <c r="R610" i="11"/>
  <c r="Q610" i="11"/>
  <c r="P610" i="11"/>
  <c r="O610" i="11"/>
  <c r="N610" i="11"/>
  <c r="M610" i="11"/>
  <c r="F610" i="11"/>
  <c r="E610" i="11"/>
  <c r="D610" i="11"/>
  <c r="C610" i="11"/>
  <c r="B610" i="11"/>
  <c r="X609" i="11"/>
  <c r="W609" i="11"/>
  <c r="V609" i="11"/>
  <c r="U609" i="11"/>
  <c r="T609" i="11"/>
  <c r="S609" i="11"/>
  <c r="R609" i="11"/>
  <c r="Q609" i="11"/>
  <c r="P609" i="11"/>
  <c r="O609" i="11"/>
  <c r="N609" i="11"/>
  <c r="M609" i="11"/>
  <c r="F609" i="11"/>
  <c r="E609" i="11"/>
  <c r="D609" i="11"/>
  <c r="C609" i="11"/>
  <c r="B609" i="11"/>
  <c r="X608" i="11"/>
  <c r="W608" i="11"/>
  <c r="V608" i="11"/>
  <c r="U608" i="11"/>
  <c r="T608" i="11"/>
  <c r="S608" i="11"/>
  <c r="R608" i="11"/>
  <c r="Q608" i="11"/>
  <c r="P608" i="11"/>
  <c r="O608" i="11"/>
  <c r="N608" i="11"/>
  <c r="M608" i="11"/>
  <c r="F608" i="11"/>
  <c r="E608" i="11"/>
  <c r="D608" i="11"/>
  <c r="C608" i="11"/>
  <c r="B608" i="11"/>
  <c r="X607" i="11"/>
  <c r="W607" i="11"/>
  <c r="V607" i="11"/>
  <c r="U607" i="11"/>
  <c r="T607" i="11"/>
  <c r="S607" i="11"/>
  <c r="R607" i="11"/>
  <c r="Q607" i="11"/>
  <c r="P607" i="11"/>
  <c r="O607" i="11"/>
  <c r="N607" i="11"/>
  <c r="M607" i="11"/>
  <c r="F607" i="11"/>
  <c r="E607" i="11"/>
  <c r="D607" i="11"/>
  <c r="C607" i="11"/>
  <c r="B607" i="11"/>
  <c r="X606" i="11"/>
  <c r="W606" i="11"/>
  <c r="V606" i="11"/>
  <c r="U606" i="11"/>
  <c r="T606" i="11"/>
  <c r="S606" i="11"/>
  <c r="R606" i="11"/>
  <c r="Q606" i="11"/>
  <c r="P606" i="11"/>
  <c r="O606" i="11"/>
  <c r="N606" i="11"/>
  <c r="M606" i="11"/>
  <c r="F606" i="11"/>
  <c r="E606" i="11"/>
  <c r="D606" i="11"/>
  <c r="C606" i="11"/>
  <c r="B606" i="11"/>
  <c r="X605" i="11"/>
  <c r="W605" i="11"/>
  <c r="V605" i="11"/>
  <c r="U605" i="11"/>
  <c r="T605" i="11"/>
  <c r="S605" i="11"/>
  <c r="R605" i="11"/>
  <c r="Q605" i="11"/>
  <c r="P605" i="11"/>
  <c r="O605" i="11"/>
  <c r="N605" i="11"/>
  <c r="M605" i="11"/>
  <c r="F605" i="11"/>
  <c r="E605" i="11"/>
  <c r="D605" i="11"/>
  <c r="C605" i="11"/>
  <c r="B605" i="11"/>
  <c r="X604" i="11"/>
  <c r="W604" i="11"/>
  <c r="V604" i="11"/>
  <c r="U604" i="11"/>
  <c r="T604" i="11"/>
  <c r="S604" i="11"/>
  <c r="R604" i="11"/>
  <c r="Q604" i="11"/>
  <c r="P604" i="11"/>
  <c r="O604" i="11"/>
  <c r="N604" i="11"/>
  <c r="M604" i="11"/>
  <c r="F604" i="11"/>
  <c r="E604" i="11"/>
  <c r="D604" i="11"/>
  <c r="C604" i="11"/>
  <c r="B604" i="11"/>
  <c r="X603" i="11"/>
  <c r="W603" i="11"/>
  <c r="V603" i="11"/>
  <c r="U603" i="11"/>
  <c r="T603" i="11"/>
  <c r="S603" i="11"/>
  <c r="R603" i="11"/>
  <c r="Q603" i="11"/>
  <c r="P603" i="11"/>
  <c r="O603" i="11"/>
  <c r="N603" i="11"/>
  <c r="M603" i="11"/>
  <c r="F603" i="11"/>
  <c r="E603" i="11"/>
  <c r="D603" i="11"/>
  <c r="C603" i="11"/>
  <c r="B603" i="11"/>
  <c r="X602" i="11"/>
  <c r="W602" i="11"/>
  <c r="V602" i="11"/>
  <c r="U602" i="11"/>
  <c r="T602" i="11"/>
  <c r="S602" i="11"/>
  <c r="R602" i="11"/>
  <c r="Q602" i="11"/>
  <c r="P602" i="11"/>
  <c r="O602" i="11"/>
  <c r="N602" i="11"/>
  <c r="M602" i="11"/>
  <c r="F602" i="11"/>
  <c r="E602" i="11"/>
  <c r="D602" i="11"/>
  <c r="C602" i="11"/>
  <c r="B602" i="11"/>
  <c r="X601" i="11"/>
  <c r="W601" i="11"/>
  <c r="V601" i="11"/>
  <c r="U601" i="11"/>
  <c r="T601" i="11"/>
  <c r="S601" i="11"/>
  <c r="R601" i="11"/>
  <c r="Q601" i="11"/>
  <c r="P601" i="11"/>
  <c r="O601" i="11"/>
  <c r="N601" i="11"/>
  <c r="M601" i="11"/>
  <c r="F601" i="11"/>
  <c r="E601" i="11"/>
  <c r="D601" i="11"/>
  <c r="C601" i="11"/>
  <c r="B601" i="11"/>
  <c r="X600" i="11"/>
  <c r="W600" i="11"/>
  <c r="V600" i="11"/>
  <c r="U600" i="11"/>
  <c r="T600" i="11"/>
  <c r="S600" i="11"/>
  <c r="R600" i="11"/>
  <c r="Q600" i="11"/>
  <c r="P600" i="11"/>
  <c r="O600" i="11"/>
  <c r="N600" i="11"/>
  <c r="M600" i="11"/>
  <c r="F600" i="11"/>
  <c r="E600" i="11"/>
  <c r="D600" i="11"/>
  <c r="C600" i="11"/>
  <c r="B600" i="11"/>
  <c r="X599" i="11"/>
  <c r="W599" i="11"/>
  <c r="V599" i="11"/>
  <c r="U599" i="11"/>
  <c r="T599" i="11"/>
  <c r="S599" i="11"/>
  <c r="R599" i="11"/>
  <c r="Q599" i="11"/>
  <c r="P599" i="11"/>
  <c r="O599" i="11"/>
  <c r="N599" i="11"/>
  <c r="M599" i="11"/>
  <c r="F599" i="11"/>
  <c r="E599" i="11"/>
  <c r="D599" i="11"/>
  <c r="C599" i="11"/>
  <c r="B599" i="11"/>
  <c r="X598" i="11"/>
  <c r="W598" i="11"/>
  <c r="V598" i="11"/>
  <c r="U598" i="11"/>
  <c r="T598" i="11"/>
  <c r="S598" i="11"/>
  <c r="R598" i="11"/>
  <c r="Q598" i="11"/>
  <c r="P598" i="11"/>
  <c r="O598" i="11"/>
  <c r="N598" i="11"/>
  <c r="M598" i="11"/>
  <c r="F598" i="11"/>
  <c r="E598" i="11"/>
  <c r="D598" i="11"/>
  <c r="C598" i="11"/>
  <c r="B598" i="11"/>
  <c r="X597" i="11"/>
  <c r="W597" i="11"/>
  <c r="V597" i="11"/>
  <c r="U597" i="11"/>
  <c r="T597" i="11"/>
  <c r="S597" i="11"/>
  <c r="R597" i="11"/>
  <c r="Q597" i="11"/>
  <c r="P597" i="11"/>
  <c r="O597" i="11"/>
  <c r="N597" i="11"/>
  <c r="M597" i="11"/>
  <c r="F597" i="11"/>
  <c r="E597" i="11"/>
  <c r="D597" i="11"/>
  <c r="C597" i="11"/>
  <c r="B597" i="11"/>
  <c r="X596" i="11"/>
  <c r="W596" i="11"/>
  <c r="V596" i="11"/>
  <c r="U596" i="11"/>
  <c r="T596" i="11"/>
  <c r="S596" i="11"/>
  <c r="R596" i="11"/>
  <c r="Q596" i="11"/>
  <c r="P596" i="11"/>
  <c r="O596" i="11"/>
  <c r="N596" i="11"/>
  <c r="M596" i="11"/>
  <c r="F596" i="11"/>
  <c r="E596" i="11"/>
  <c r="D596" i="11"/>
  <c r="C596" i="11"/>
  <c r="B596" i="11"/>
  <c r="X595" i="11"/>
  <c r="W595" i="11"/>
  <c r="V595" i="11"/>
  <c r="U595" i="11"/>
  <c r="T595" i="11"/>
  <c r="S595" i="11"/>
  <c r="R595" i="11"/>
  <c r="Q595" i="11"/>
  <c r="P595" i="11"/>
  <c r="O595" i="11"/>
  <c r="N595" i="11"/>
  <c r="M595" i="11"/>
  <c r="F595" i="11"/>
  <c r="E595" i="11"/>
  <c r="D595" i="11"/>
  <c r="C595" i="11"/>
  <c r="B595" i="11"/>
  <c r="X594" i="11"/>
  <c r="W594" i="11"/>
  <c r="V594" i="11"/>
  <c r="U594" i="11"/>
  <c r="T594" i="11"/>
  <c r="S594" i="11"/>
  <c r="R594" i="11"/>
  <c r="Q594" i="11"/>
  <c r="P594" i="11"/>
  <c r="O594" i="11"/>
  <c r="N594" i="11"/>
  <c r="M594" i="11"/>
  <c r="F594" i="11"/>
  <c r="E594" i="11"/>
  <c r="D594" i="11"/>
  <c r="C594" i="11"/>
  <c r="B594" i="11"/>
  <c r="X593" i="11"/>
  <c r="W593" i="11"/>
  <c r="V593" i="11"/>
  <c r="U593" i="11"/>
  <c r="T593" i="11"/>
  <c r="S593" i="11"/>
  <c r="R593" i="11"/>
  <c r="Q593" i="11"/>
  <c r="P593" i="11"/>
  <c r="O593" i="11"/>
  <c r="N593" i="11"/>
  <c r="M593" i="11"/>
  <c r="F593" i="11"/>
  <c r="E593" i="11"/>
  <c r="D593" i="11"/>
  <c r="C593" i="11"/>
  <c r="B593" i="11"/>
  <c r="X592" i="11"/>
  <c r="W592" i="11"/>
  <c r="V592" i="11"/>
  <c r="U592" i="11"/>
  <c r="T592" i="11"/>
  <c r="S592" i="11"/>
  <c r="R592" i="11"/>
  <c r="Q592" i="11"/>
  <c r="P592" i="11"/>
  <c r="O592" i="11"/>
  <c r="N592" i="11"/>
  <c r="M592" i="11"/>
  <c r="F592" i="11"/>
  <c r="E592" i="11"/>
  <c r="D592" i="11"/>
  <c r="C592" i="11"/>
  <c r="B592" i="11"/>
  <c r="X591" i="11"/>
  <c r="W591" i="11"/>
  <c r="V591" i="11"/>
  <c r="U591" i="11"/>
  <c r="T591" i="11"/>
  <c r="S591" i="11"/>
  <c r="R591" i="11"/>
  <c r="Q591" i="11"/>
  <c r="P591" i="11"/>
  <c r="O591" i="11"/>
  <c r="N591" i="11"/>
  <c r="M591" i="11"/>
  <c r="F591" i="11"/>
  <c r="E591" i="11"/>
  <c r="D591" i="11"/>
  <c r="C591" i="11"/>
  <c r="B591" i="11"/>
  <c r="X590" i="11"/>
  <c r="W590" i="11"/>
  <c r="V590" i="11"/>
  <c r="U590" i="11"/>
  <c r="T590" i="11"/>
  <c r="S590" i="11"/>
  <c r="R590" i="11"/>
  <c r="Q590" i="11"/>
  <c r="P590" i="11"/>
  <c r="O590" i="11"/>
  <c r="N590" i="11"/>
  <c r="M590" i="11"/>
  <c r="F590" i="11"/>
  <c r="E590" i="11"/>
  <c r="D590" i="11"/>
  <c r="C590" i="11"/>
  <c r="B590" i="11"/>
  <c r="X589" i="11"/>
  <c r="W589" i="11"/>
  <c r="V589" i="11"/>
  <c r="U589" i="11"/>
  <c r="T589" i="11"/>
  <c r="S589" i="11"/>
  <c r="R589" i="11"/>
  <c r="Q589" i="11"/>
  <c r="P589" i="11"/>
  <c r="O589" i="11"/>
  <c r="N589" i="11"/>
  <c r="M589" i="11"/>
  <c r="F589" i="11"/>
  <c r="E589" i="11"/>
  <c r="D589" i="11"/>
  <c r="C589" i="11"/>
  <c r="B589" i="11"/>
  <c r="X588" i="11"/>
  <c r="W588" i="11"/>
  <c r="V588" i="11"/>
  <c r="U588" i="11"/>
  <c r="T588" i="11"/>
  <c r="S588" i="11"/>
  <c r="R588" i="11"/>
  <c r="Q588" i="11"/>
  <c r="P588" i="11"/>
  <c r="O588" i="11"/>
  <c r="N588" i="11"/>
  <c r="M588" i="11"/>
  <c r="F588" i="11"/>
  <c r="E588" i="11"/>
  <c r="D588" i="11"/>
  <c r="C588" i="11"/>
  <c r="B588" i="11"/>
  <c r="X587" i="11"/>
  <c r="W587" i="11"/>
  <c r="V587" i="11"/>
  <c r="U587" i="11"/>
  <c r="T587" i="11"/>
  <c r="S587" i="11"/>
  <c r="R587" i="11"/>
  <c r="Q587" i="11"/>
  <c r="P587" i="11"/>
  <c r="O587" i="11"/>
  <c r="N587" i="11"/>
  <c r="M587" i="11"/>
  <c r="F587" i="11"/>
  <c r="E587" i="11"/>
  <c r="D587" i="11"/>
  <c r="C587" i="11"/>
  <c r="B587" i="11"/>
  <c r="X586" i="11"/>
  <c r="W586" i="11"/>
  <c r="V586" i="11"/>
  <c r="U586" i="11"/>
  <c r="T586" i="11"/>
  <c r="S586" i="11"/>
  <c r="R586" i="11"/>
  <c r="Q586" i="11"/>
  <c r="P586" i="11"/>
  <c r="O586" i="11"/>
  <c r="N586" i="11"/>
  <c r="M586" i="11"/>
  <c r="F586" i="11"/>
  <c r="E586" i="11"/>
  <c r="D586" i="11"/>
  <c r="C586" i="11"/>
  <c r="B586" i="11"/>
  <c r="X585" i="11"/>
  <c r="W585" i="11"/>
  <c r="V585" i="11"/>
  <c r="U585" i="11"/>
  <c r="T585" i="11"/>
  <c r="S585" i="11"/>
  <c r="R585" i="11"/>
  <c r="Q585" i="11"/>
  <c r="P585" i="11"/>
  <c r="O585" i="11"/>
  <c r="N585" i="11"/>
  <c r="M585" i="11"/>
  <c r="F585" i="11"/>
  <c r="E585" i="11"/>
  <c r="D585" i="11"/>
  <c r="C585" i="11"/>
  <c r="B585" i="11"/>
  <c r="X584" i="11"/>
  <c r="W584" i="11"/>
  <c r="V584" i="11"/>
  <c r="U584" i="11"/>
  <c r="T584" i="11"/>
  <c r="S584" i="11"/>
  <c r="R584" i="11"/>
  <c r="Q584" i="11"/>
  <c r="P584" i="11"/>
  <c r="O584" i="11"/>
  <c r="N584" i="11"/>
  <c r="M584" i="11"/>
  <c r="F584" i="11"/>
  <c r="E584" i="11"/>
  <c r="D584" i="11"/>
  <c r="C584" i="11"/>
  <c r="B584" i="11"/>
  <c r="X583" i="11"/>
  <c r="W583" i="11"/>
  <c r="V583" i="11"/>
  <c r="U583" i="11"/>
  <c r="T583" i="11"/>
  <c r="S583" i="11"/>
  <c r="R583" i="11"/>
  <c r="Q583" i="11"/>
  <c r="P583" i="11"/>
  <c r="O583" i="11"/>
  <c r="N583" i="11"/>
  <c r="M583" i="11"/>
  <c r="F583" i="11"/>
  <c r="E583" i="11"/>
  <c r="D583" i="11"/>
  <c r="C583" i="11"/>
  <c r="B583" i="11"/>
  <c r="X582" i="11"/>
  <c r="W582" i="11"/>
  <c r="V582" i="11"/>
  <c r="U582" i="11"/>
  <c r="T582" i="11"/>
  <c r="S582" i="11"/>
  <c r="R582" i="11"/>
  <c r="Q582" i="11"/>
  <c r="P582" i="11"/>
  <c r="O582" i="11"/>
  <c r="N582" i="11"/>
  <c r="M582" i="11"/>
  <c r="F582" i="11"/>
  <c r="E582" i="11"/>
  <c r="D582" i="11"/>
  <c r="C582" i="11"/>
  <c r="B582" i="11"/>
  <c r="X581" i="11"/>
  <c r="W581" i="11"/>
  <c r="V581" i="11"/>
  <c r="U581" i="11"/>
  <c r="T581" i="11"/>
  <c r="S581" i="11"/>
  <c r="R581" i="11"/>
  <c r="Q581" i="11"/>
  <c r="P581" i="11"/>
  <c r="O581" i="11"/>
  <c r="N581" i="11"/>
  <c r="M581" i="11"/>
  <c r="F581" i="11"/>
  <c r="E581" i="11"/>
  <c r="D581" i="11"/>
  <c r="C581" i="11"/>
  <c r="B581" i="11"/>
  <c r="X580" i="11"/>
  <c r="W580" i="11"/>
  <c r="V580" i="11"/>
  <c r="U580" i="11"/>
  <c r="T580" i="11"/>
  <c r="S580" i="11"/>
  <c r="R580" i="11"/>
  <c r="Q580" i="11"/>
  <c r="P580" i="11"/>
  <c r="O580" i="11"/>
  <c r="N580" i="11"/>
  <c r="M580" i="11"/>
  <c r="F580" i="11"/>
  <c r="E580" i="11"/>
  <c r="D580" i="11"/>
  <c r="C580" i="11"/>
  <c r="B580" i="11"/>
  <c r="X579" i="11"/>
  <c r="W579" i="11"/>
  <c r="V579" i="11"/>
  <c r="U579" i="11"/>
  <c r="T579" i="11"/>
  <c r="S579" i="11"/>
  <c r="R579" i="11"/>
  <c r="Q579" i="11"/>
  <c r="P579" i="11"/>
  <c r="O579" i="11"/>
  <c r="N579" i="11"/>
  <c r="M579" i="11"/>
  <c r="F579" i="11"/>
  <c r="E579" i="11"/>
  <c r="D579" i="11"/>
  <c r="C579" i="11"/>
  <c r="B579" i="11"/>
  <c r="X578" i="11"/>
  <c r="W578" i="11"/>
  <c r="V578" i="11"/>
  <c r="U578" i="11"/>
  <c r="T578" i="11"/>
  <c r="S578" i="11"/>
  <c r="R578" i="11"/>
  <c r="Q578" i="11"/>
  <c r="P578" i="11"/>
  <c r="O578" i="11"/>
  <c r="N578" i="11"/>
  <c r="M578" i="11"/>
  <c r="F578" i="11"/>
  <c r="E578" i="11"/>
  <c r="D578" i="11"/>
  <c r="C578" i="11"/>
  <c r="B578" i="11"/>
  <c r="X577" i="11"/>
  <c r="W577" i="11"/>
  <c r="V577" i="11"/>
  <c r="U577" i="11"/>
  <c r="T577" i="11"/>
  <c r="S577" i="11"/>
  <c r="R577" i="11"/>
  <c r="Q577" i="11"/>
  <c r="P577" i="11"/>
  <c r="O577" i="11"/>
  <c r="N577" i="11"/>
  <c r="M577" i="11"/>
  <c r="F577" i="11"/>
  <c r="E577" i="11"/>
  <c r="D577" i="11"/>
  <c r="C577" i="11"/>
  <c r="B577" i="11"/>
  <c r="X576" i="11"/>
  <c r="W576" i="11"/>
  <c r="V576" i="11"/>
  <c r="U576" i="11"/>
  <c r="T576" i="11"/>
  <c r="S576" i="11"/>
  <c r="R576" i="11"/>
  <c r="Q576" i="11"/>
  <c r="P576" i="11"/>
  <c r="O576" i="11"/>
  <c r="N576" i="11"/>
  <c r="M576" i="11"/>
  <c r="F576" i="11"/>
  <c r="E576" i="11"/>
  <c r="D576" i="11"/>
  <c r="C576" i="11"/>
  <c r="B576" i="11"/>
  <c r="X575" i="11"/>
  <c r="W575" i="11"/>
  <c r="V575" i="11"/>
  <c r="U575" i="11"/>
  <c r="T575" i="11"/>
  <c r="S575" i="11"/>
  <c r="R575" i="11"/>
  <c r="Q575" i="11"/>
  <c r="P575" i="11"/>
  <c r="O575" i="11"/>
  <c r="N575" i="11"/>
  <c r="M575" i="11"/>
  <c r="F575" i="11"/>
  <c r="E575" i="11"/>
  <c r="D575" i="11"/>
  <c r="C575" i="11"/>
  <c r="B575" i="11"/>
  <c r="X574" i="11"/>
  <c r="W574" i="11"/>
  <c r="V574" i="11"/>
  <c r="U574" i="11"/>
  <c r="T574" i="11"/>
  <c r="S574" i="11"/>
  <c r="R574" i="11"/>
  <c r="Q574" i="11"/>
  <c r="P574" i="11"/>
  <c r="O574" i="11"/>
  <c r="N574" i="11"/>
  <c r="M574" i="11"/>
  <c r="F574" i="11"/>
  <c r="E574" i="11"/>
  <c r="D574" i="11"/>
  <c r="C574" i="11"/>
  <c r="B574" i="11"/>
  <c r="X573" i="11"/>
  <c r="W573" i="11"/>
  <c r="V573" i="11"/>
  <c r="U573" i="11"/>
  <c r="T573" i="11"/>
  <c r="S573" i="11"/>
  <c r="R573" i="11"/>
  <c r="Q573" i="11"/>
  <c r="P573" i="11"/>
  <c r="O573" i="11"/>
  <c r="N573" i="11"/>
  <c r="M573" i="11"/>
  <c r="F573" i="11"/>
  <c r="E573" i="11"/>
  <c r="D573" i="11"/>
  <c r="C573" i="11"/>
  <c r="B573" i="11"/>
  <c r="X572" i="11"/>
  <c r="W572" i="11"/>
  <c r="V572" i="11"/>
  <c r="U572" i="11"/>
  <c r="T572" i="11"/>
  <c r="S572" i="11"/>
  <c r="R572" i="11"/>
  <c r="Q572" i="11"/>
  <c r="P572" i="11"/>
  <c r="O572" i="11"/>
  <c r="N572" i="11"/>
  <c r="M572" i="11"/>
  <c r="F572" i="11"/>
  <c r="E572" i="11"/>
  <c r="D572" i="11"/>
  <c r="C572" i="11"/>
  <c r="B572" i="11"/>
  <c r="X571" i="11"/>
  <c r="W571" i="11"/>
  <c r="V571" i="11"/>
  <c r="U571" i="11"/>
  <c r="T571" i="11"/>
  <c r="S571" i="11"/>
  <c r="R571" i="11"/>
  <c r="Q571" i="11"/>
  <c r="P571" i="11"/>
  <c r="O571" i="11"/>
  <c r="N571" i="11"/>
  <c r="M571" i="11"/>
  <c r="F571" i="11"/>
  <c r="E571" i="11"/>
  <c r="D571" i="11"/>
  <c r="C571" i="11"/>
  <c r="B571" i="11"/>
  <c r="X570" i="11"/>
  <c r="W570" i="11"/>
  <c r="V570" i="11"/>
  <c r="U570" i="11"/>
  <c r="T570" i="11"/>
  <c r="S570" i="11"/>
  <c r="R570" i="11"/>
  <c r="Q570" i="11"/>
  <c r="P570" i="11"/>
  <c r="O570" i="11"/>
  <c r="N570" i="11"/>
  <c r="M570" i="11"/>
  <c r="F570" i="11"/>
  <c r="E570" i="11"/>
  <c r="D570" i="11"/>
  <c r="C570" i="11"/>
  <c r="B570" i="11"/>
  <c r="X569" i="11"/>
  <c r="W569" i="11"/>
  <c r="V569" i="11"/>
  <c r="U569" i="11"/>
  <c r="T569" i="11"/>
  <c r="S569" i="11"/>
  <c r="R569" i="11"/>
  <c r="Q569" i="11"/>
  <c r="P569" i="11"/>
  <c r="O569" i="11"/>
  <c r="N569" i="11"/>
  <c r="M569" i="11"/>
  <c r="F569" i="11"/>
  <c r="E569" i="11"/>
  <c r="D569" i="11"/>
  <c r="C569" i="11"/>
  <c r="B569" i="11"/>
  <c r="X568" i="11"/>
  <c r="W568" i="11"/>
  <c r="V568" i="11"/>
  <c r="U568" i="11"/>
  <c r="T568" i="11"/>
  <c r="S568" i="11"/>
  <c r="R568" i="11"/>
  <c r="Q568" i="11"/>
  <c r="P568" i="11"/>
  <c r="O568" i="11"/>
  <c r="N568" i="11"/>
  <c r="M568" i="11"/>
  <c r="F568" i="11"/>
  <c r="E568" i="11"/>
  <c r="D568" i="11"/>
  <c r="C568" i="11"/>
  <c r="B568" i="11"/>
  <c r="X567" i="11"/>
  <c r="W567" i="11"/>
  <c r="V567" i="11"/>
  <c r="U567" i="11"/>
  <c r="T567" i="11"/>
  <c r="S567" i="11"/>
  <c r="R567" i="11"/>
  <c r="Q567" i="11"/>
  <c r="P567" i="11"/>
  <c r="O567" i="11"/>
  <c r="N567" i="11"/>
  <c r="M567" i="11"/>
  <c r="F567" i="11"/>
  <c r="E567" i="11"/>
  <c r="D567" i="11"/>
  <c r="C567" i="11"/>
  <c r="B567" i="11"/>
  <c r="X566" i="11"/>
  <c r="W566" i="11"/>
  <c r="V566" i="11"/>
  <c r="U566" i="11"/>
  <c r="T566" i="11"/>
  <c r="S566" i="11"/>
  <c r="R566" i="11"/>
  <c r="Q566" i="11"/>
  <c r="P566" i="11"/>
  <c r="O566" i="11"/>
  <c r="N566" i="11"/>
  <c r="M566" i="11"/>
  <c r="F566" i="11"/>
  <c r="E566" i="11"/>
  <c r="D566" i="11"/>
  <c r="C566" i="11"/>
  <c r="B566" i="11"/>
  <c r="X565" i="11"/>
  <c r="W565" i="11"/>
  <c r="V565" i="11"/>
  <c r="U565" i="11"/>
  <c r="T565" i="11"/>
  <c r="S565" i="11"/>
  <c r="R565" i="11"/>
  <c r="Q565" i="11"/>
  <c r="P565" i="11"/>
  <c r="O565" i="11"/>
  <c r="N565" i="11"/>
  <c r="M565" i="11"/>
  <c r="F565" i="11"/>
  <c r="E565" i="11"/>
  <c r="D565" i="11"/>
  <c r="C565" i="11"/>
  <c r="B565" i="11"/>
  <c r="X564" i="11"/>
  <c r="W564" i="11"/>
  <c r="V564" i="11"/>
  <c r="U564" i="11"/>
  <c r="T564" i="11"/>
  <c r="S564" i="11"/>
  <c r="R564" i="11"/>
  <c r="Q564" i="11"/>
  <c r="P564" i="11"/>
  <c r="O564" i="11"/>
  <c r="N564" i="11"/>
  <c r="M564" i="11"/>
  <c r="F564" i="11"/>
  <c r="E564" i="11"/>
  <c r="D564" i="11"/>
  <c r="C564" i="11"/>
  <c r="B564" i="11"/>
  <c r="X563" i="11"/>
  <c r="W563" i="11"/>
  <c r="V563" i="11"/>
  <c r="U563" i="11"/>
  <c r="T563" i="11"/>
  <c r="S563" i="11"/>
  <c r="R563" i="11"/>
  <c r="Q563" i="11"/>
  <c r="P563" i="11"/>
  <c r="O563" i="11"/>
  <c r="N563" i="11"/>
  <c r="M563" i="11"/>
  <c r="F563" i="11"/>
  <c r="E563" i="11"/>
  <c r="D563" i="11"/>
  <c r="C563" i="11"/>
  <c r="B563" i="11"/>
  <c r="X562" i="11"/>
  <c r="W562" i="11"/>
  <c r="V562" i="11"/>
  <c r="U562" i="11"/>
  <c r="T562" i="11"/>
  <c r="S562" i="11"/>
  <c r="R562" i="11"/>
  <c r="Q562" i="11"/>
  <c r="P562" i="11"/>
  <c r="O562" i="11"/>
  <c r="N562" i="11"/>
  <c r="M562" i="11"/>
  <c r="F562" i="11"/>
  <c r="E562" i="11"/>
  <c r="D562" i="11"/>
  <c r="C562" i="11"/>
  <c r="B562" i="11"/>
  <c r="X561" i="11"/>
  <c r="W561" i="11"/>
  <c r="V561" i="11"/>
  <c r="U561" i="11"/>
  <c r="T561" i="11"/>
  <c r="S561" i="11"/>
  <c r="R561" i="11"/>
  <c r="Q561" i="11"/>
  <c r="P561" i="11"/>
  <c r="O561" i="11"/>
  <c r="N561" i="11"/>
  <c r="M561" i="11"/>
  <c r="F561" i="11"/>
  <c r="E561" i="11"/>
  <c r="D561" i="11"/>
  <c r="C561" i="11"/>
  <c r="B561" i="11"/>
  <c r="X560" i="11"/>
  <c r="W560" i="11"/>
  <c r="V560" i="11"/>
  <c r="U560" i="11"/>
  <c r="T560" i="11"/>
  <c r="S560" i="11"/>
  <c r="R560" i="11"/>
  <c r="Q560" i="11"/>
  <c r="P560" i="11"/>
  <c r="O560" i="11"/>
  <c r="N560" i="11"/>
  <c r="M560" i="11"/>
  <c r="F560" i="11"/>
  <c r="E560" i="11"/>
  <c r="D560" i="11"/>
  <c r="C560" i="11"/>
  <c r="B560" i="11"/>
  <c r="X559" i="11"/>
  <c r="W559" i="11"/>
  <c r="V559" i="11"/>
  <c r="U559" i="11"/>
  <c r="T559" i="11"/>
  <c r="S559" i="11"/>
  <c r="R559" i="11"/>
  <c r="Q559" i="11"/>
  <c r="P559" i="11"/>
  <c r="O559" i="11"/>
  <c r="N559" i="11"/>
  <c r="M559" i="11"/>
  <c r="F559" i="11"/>
  <c r="E559" i="11"/>
  <c r="D559" i="11"/>
  <c r="C559" i="11"/>
  <c r="B559" i="11"/>
  <c r="X558" i="11"/>
  <c r="W558" i="11"/>
  <c r="V558" i="11"/>
  <c r="U558" i="11"/>
  <c r="T558" i="11"/>
  <c r="S558" i="11"/>
  <c r="R558" i="11"/>
  <c r="Q558" i="11"/>
  <c r="P558" i="11"/>
  <c r="O558" i="11"/>
  <c r="N558" i="11"/>
  <c r="M558" i="11"/>
  <c r="F558" i="11"/>
  <c r="E558" i="11"/>
  <c r="D558" i="11"/>
  <c r="C558" i="11"/>
  <c r="B558" i="11"/>
  <c r="X557" i="11"/>
  <c r="W557" i="11"/>
  <c r="V557" i="11"/>
  <c r="U557" i="11"/>
  <c r="T557" i="11"/>
  <c r="S557" i="11"/>
  <c r="R557" i="11"/>
  <c r="Q557" i="11"/>
  <c r="P557" i="11"/>
  <c r="O557" i="11"/>
  <c r="N557" i="11"/>
  <c r="M557" i="11"/>
  <c r="F557" i="11"/>
  <c r="E557" i="11"/>
  <c r="D557" i="11"/>
  <c r="C557" i="11"/>
  <c r="B557" i="11"/>
  <c r="X556" i="11"/>
  <c r="W556" i="11"/>
  <c r="V556" i="11"/>
  <c r="U556" i="11"/>
  <c r="T556" i="11"/>
  <c r="S556" i="11"/>
  <c r="R556" i="11"/>
  <c r="Q556" i="11"/>
  <c r="P556" i="11"/>
  <c r="O556" i="11"/>
  <c r="N556" i="11"/>
  <c r="M556" i="11"/>
  <c r="F556" i="11"/>
  <c r="E556" i="11"/>
  <c r="D556" i="11"/>
  <c r="C556" i="11"/>
  <c r="B556" i="11"/>
  <c r="X555" i="11"/>
  <c r="W555" i="11"/>
  <c r="V555" i="11"/>
  <c r="U555" i="11"/>
  <c r="T555" i="11"/>
  <c r="S555" i="11"/>
  <c r="R555" i="11"/>
  <c r="Q555" i="11"/>
  <c r="P555" i="11"/>
  <c r="O555" i="11"/>
  <c r="N555" i="11"/>
  <c r="M555" i="11"/>
  <c r="F555" i="11"/>
  <c r="E555" i="11"/>
  <c r="D555" i="11"/>
  <c r="C555" i="11"/>
  <c r="B555" i="11"/>
  <c r="X554" i="11"/>
  <c r="W554" i="11"/>
  <c r="V554" i="11"/>
  <c r="U554" i="11"/>
  <c r="T554" i="11"/>
  <c r="S554" i="11"/>
  <c r="R554" i="11"/>
  <c r="Q554" i="11"/>
  <c r="P554" i="11"/>
  <c r="O554" i="11"/>
  <c r="N554" i="11"/>
  <c r="M554" i="11"/>
  <c r="F554" i="11"/>
  <c r="E554" i="11"/>
  <c r="D554" i="11"/>
  <c r="C554" i="11"/>
  <c r="B554" i="11"/>
  <c r="X553" i="11"/>
  <c r="W553" i="11"/>
  <c r="V553" i="11"/>
  <c r="U553" i="11"/>
  <c r="T553" i="11"/>
  <c r="S553" i="11"/>
  <c r="R553" i="11"/>
  <c r="Q553" i="11"/>
  <c r="P553" i="11"/>
  <c r="O553" i="11"/>
  <c r="N553" i="11"/>
  <c r="M553" i="11"/>
  <c r="F553" i="11"/>
  <c r="E553" i="11"/>
  <c r="D553" i="11"/>
  <c r="C553" i="11"/>
  <c r="B553" i="11"/>
  <c r="X552" i="11"/>
  <c r="W552" i="11"/>
  <c r="V552" i="11"/>
  <c r="U552" i="11"/>
  <c r="T552" i="11"/>
  <c r="S552" i="11"/>
  <c r="R552" i="11"/>
  <c r="Q552" i="11"/>
  <c r="P552" i="11"/>
  <c r="O552" i="11"/>
  <c r="N552" i="11"/>
  <c r="M552" i="11"/>
  <c r="F552" i="11"/>
  <c r="E552" i="11"/>
  <c r="D552" i="11"/>
  <c r="C552" i="11"/>
  <c r="B552" i="11"/>
  <c r="X551" i="11"/>
  <c r="W551" i="11"/>
  <c r="V551" i="11"/>
  <c r="U551" i="11"/>
  <c r="T551" i="11"/>
  <c r="S551" i="11"/>
  <c r="R551" i="11"/>
  <c r="Q551" i="11"/>
  <c r="P551" i="11"/>
  <c r="O551" i="11"/>
  <c r="N551" i="11"/>
  <c r="M551" i="11"/>
  <c r="F551" i="11"/>
  <c r="E551" i="11"/>
  <c r="D551" i="11"/>
  <c r="C551" i="11"/>
  <c r="B551" i="11"/>
  <c r="X550" i="11"/>
  <c r="W550" i="11"/>
  <c r="V550" i="11"/>
  <c r="U550" i="11"/>
  <c r="T550" i="11"/>
  <c r="S550" i="11"/>
  <c r="R550" i="11"/>
  <c r="Q550" i="11"/>
  <c r="P550" i="11"/>
  <c r="O550" i="11"/>
  <c r="N550" i="11"/>
  <c r="M550" i="11"/>
  <c r="F550" i="11"/>
  <c r="E550" i="11"/>
  <c r="D550" i="11"/>
  <c r="C550" i="11"/>
  <c r="B550" i="11"/>
  <c r="X549" i="11"/>
  <c r="W549" i="11"/>
  <c r="V549" i="11"/>
  <c r="U549" i="11"/>
  <c r="T549" i="11"/>
  <c r="S549" i="11"/>
  <c r="R549" i="11"/>
  <c r="Q549" i="11"/>
  <c r="P549" i="11"/>
  <c r="O549" i="11"/>
  <c r="N549" i="11"/>
  <c r="M549" i="11"/>
  <c r="F549" i="11"/>
  <c r="E549" i="11"/>
  <c r="D549" i="11"/>
  <c r="C549" i="11"/>
  <c r="B549" i="11"/>
  <c r="X548" i="11"/>
  <c r="W548" i="11"/>
  <c r="V548" i="11"/>
  <c r="U548" i="11"/>
  <c r="T548" i="11"/>
  <c r="S548" i="11"/>
  <c r="R548" i="11"/>
  <c r="Q548" i="11"/>
  <c r="P548" i="11"/>
  <c r="O548" i="11"/>
  <c r="N548" i="11"/>
  <c r="M548" i="11"/>
  <c r="F548" i="11"/>
  <c r="E548" i="11"/>
  <c r="D548" i="11"/>
  <c r="C548" i="11"/>
  <c r="B548" i="11"/>
  <c r="X547" i="11"/>
  <c r="W547" i="11"/>
  <c r="V547" i="11"/>
  <c r="U547" i="11"/>
  <c r="T547" i="11"/>
  <c r="S547" i="11"/>
  <c r="R547" i="11"/>
  <c r="Q547" i="11"/>
  <c r="P547" i="11"/>
  <c r="O547" i="11"/>
  <c r="N547" i="11"/>
  <c r="M547" i="11"/>
  <c r="F547" i="11"/>
  <c r="E547" i="11"/>
  <c r="D547" i="11"/>
  <c r="C547" i="11"/>
  <c r="B547" i="11"/>
  <c r="X546" i="11"/>
  <c r="W546" i="11"/>
  <c r="V546" i="11"/>
  <c r="U546" i="11"/>
  <c r="T546" i="11"/>
  <c r="S546" i="11"/>
  <c r="R546" i="11"/>
  <c r="Q546" i="11"/>
  <c r="P546" i="11"/>
  <c r="O546" i="11"/>
  <c r="N546" i="11"/>
  <c r="M546" i="11"/>
  <c r="F546" i="11"/>
  <c r="E546" i="11"/>
  <c r="D546" i="11"/>
  <c r="C546" i="11"/>
  <c r="B546" i="11"/>
  <c r="X545" i="11"/>
  <c r="W545" i="11"/>
  <c r="V545" i="11"/>
  <c r="U545" i="11"/>
  <c r="T545" i="11"/>
  <c r="S545" i="11"/>
  <c r="R545" i="11"/>
  <c r="Q545" i="11"/>
  <c r="P545" i="11"/>
  <c r="O545" i="11"/>
  <c r="N545" i="11"/>
  <c r="M545" i="11"/>
  <c r="F545" i="11"/>
  <c r="E545" i="11"/>
  <c r="D545" i="11"/>
  <c r="C545" i="11"/>
  <c r="B545" i="11"/>
  <c r="X544" i="11"/>
  <c r="W544" i="11"/>
  <c r="V544" i="11"/>
  <c r="U544" i="11"/>
  <c r="T544" i="11"/>
  <c r="S544" i="11"/>
  <c r="R544" i="11"/>
  <c r="Q544" i="11"/>
  <c r="P544" i="11"/>
  <c r="O544" i="11"/>
  <c r="N544" i="11"/>
  <c r="M544" i="11"/>
  <c r="F544" i="11"/>
  <c r="E544" i="11"/>
  <c r="D544" i="11"/>
  <c r="C544" i="11"/>
  <c r="B544" i="11"/>
  <c r="X543" i="11"/>
  <c r="W543" i="11"/>
  <c r="V543" i="11"/>
  <c r="U543" i="11"/>
  <c r="T543" i="11"/>
  <c r="S543" i="11"/>
  <c r="R543" i="11"/>
  <c r="Q543" i="11"/>
  <c r="P543" i="11"/>
  <c r="O543" i="11"/>
  <c r="N543" i="11"/>
  <c r="M543" i="11"/>
  <c r="F543" i="11"/>
  <c r="E543" i="11"/>
  <c r="D543" i="11"/>
  <c r="C543" i="11"/>
  <c r="B543" i="11"/>
  <c r="X542" i="11"/>
  <c r="W542" i="11"/>
  <c r="V542" i="11"/>
  <c r="U542" i="11"/>
  <c r="T542" i="11"/>
  <c r="S542" i="11"/>
  <c r="R542" i="11"/>
  <c r="Q542" i="11"/>
  <c r="P542" i="11"/>
  <c r="O542" i="11"/>
  <c r="N542" i="11"/>
  <c r="M542" i="11"/>
  <c r="F542" i="11"/>
  <c r="E542" i="11"/>
  <c r="D542" i="11"/>
  <c r="C542" i="11"/>
  <c r="B542" i="11"/>
  <c r="X541" i="11"/>
  <c r="W541" i="11"/>
  <c r="V541" i="11"/>
  <c r="U541" i="11"/>
  <c r="T541" i="11"/>
  <c r="S541" i="11"/>
  <c r="R541" i="11"/>
  <c r="Q541" i="11"/>
  <c r="P541" i="11"/>
  <c r="O541" i="11"/>
  <c r="N541" i="11"/>
  <c r="M541" i="11"/>
  <c r="F541" i="11"/>
  <c r="E541" i="11"/>
  <c r="D541" i="11"/>
  <c r="C541" i="11"/>
  <c r="B541" i="11"/>
  <c r="X540" i="11"/>
  <c r="W540" i="11"/>
  <c r="V540" i="11"/>
  <c r="U540" i="11"/>
  <c r="T540" i="11"/>
  <c r="S540" i="11"/>
  <c r="R540" i="11"/>
  <c r="Q540" i="11"/>
  <c r="P540" i="11"/>
  <c r="O540" i="11"/>
  <c r="N540" i="11"/>
  <c r="M540" i="11"/>
  <c r="F540" i="11"/>
  <c r="E540" i="11"/>
  <c r="D540" i="11"/>
  <c r="C540" i="11"/>
  <c r="B540" i="11"/>
  <c r="X539" i="11"/>
  <c r="W539" i="11"/>
  <c r="V539" i="11"/>
  <c r="U539" i="11"/>
  <c r="T539" i="11"/>
  <c r="S539" i="11"/>
  <c r="R539" i="11"/>
  <c r="Q539" i="11"/>
  <c r="P539" i="11"/>
  <c r="O539" i="11"/>
  <c r="N539" i="11"/>
  <c r="M539" i="11"/>
  <c r="F539" i="11"/>
  <c r="E539" i="11"/>
  <c r="D539" i="11"/>
  <c r="C539" i="11"/>
  <c r="B539" i="11"/>
  <c r="X538" i="11"/>
  <c r="W538" i="11"/>
  <c r="V538" i="11"/>
  <c r="U538" i="11"/>
  <c r="T538" i="11"/>
  <c r="S538" i="11"/>
  <c r="R538" i="11"/>
  <c r="Q538" i="11"/>
  <c r="P538" i="11"/>
  <c r="O538" i="11"/>
  <c r="N538" i="11"/>
  <c r="M538" i="11"/>
  <c r="F538" i="11"/>
  <c r="E538" i="11"/>
  <c r="D538" i="11"/>
  <c r="C538" i="11"/>
  <c r="B538" i="11"/>
  <c r="X537" i="11"/>
  <c r="W537" i="11"/>
  <c r="V537" i="11"/>
  <c r="U537" i="11"/>
  <c r="T537" i="11"/>
  <c r="S537" i="11"/>
  <c r="R537" i="11"/>
  <c r="Q537" i="11"/>
  <c r="P537" i="11"/>
  <c r="O537" i="11"/>
  <c r="N537" i="11"/>
  <c r="M537" i="11"/>
  <c r="F537" i="11"/>
  <c r="E537" i="11"/>
  <c r="D537" i="11"/>
  <c r="C537" i="11"/>
  <c r="B537" i="11"/>
  <c r="X536" i="11"/>
  <c r="W536" i="11"/>
  <c r="V536" i="11"/>
  <c r="U536" i="11"/>
  <c r="T536" i="11"/>
  <c r="S536" i="11"/>
  <c r="R536" i="11"/>
  <c r="Q536" i="11"/>
  <c r="P536" i="11"/>
  <c r="O536" i="11"/>
  <c r="N536" i="11"/>
  <c r="M536" i="11"/>
  <c r="F536" i="11"/>
  <c r="E536" i="11"/>
  <c r="D536" i="11"/>
  <c r="C536" i="11"/>
  <c r="B536" i="11"/>
  <c r="X535" i="11"/>
  <c r="W535" i="11"/>
  <c r="V535" i="11"/>
  <c r="U535" i="11"/>
  <c r="T535" i="11"/>
  <c r="S535" i="11"/>
  <c r="R535" i="11"/>
  <c r="Q535" i="11"/>
  <c r="P535" i="11"/>
  <c r="O535" i="11"/>
  <c r="N535" i="11"/>
  <c r="M535" i="11"/>
  <c r="F535" i="11"/>
  <c r="E535" i="11"/>
  <c r="D535" i="11"/>
  <c r="C535" i="11"/>
  <c r="B535" i="11"/>
  <c r="X534" i="11"/>
  <c r="W534" i="11"/>
  <c r="V534" i="11"/>
  <c r="U534" i="11"/>
  <c r="T534" i="11"/>
  <c r="S534" i="11"/>
  <c r="R534" i="11"/>
  <c r="Q534" i="11"/>
  <c r="P534" i="11"/>
  <c r="O534" i="11"/>
  <c r="N534" i="11"/>
  <c r="M534" i="11"/>
  <c r="F534" i="11"/>
  <c r="E534" i="11"/>
  <c r="D534" i="11"/>
  <c r="C534" i="11"/>
  <c r="B534" i="11"/>
  <c r="X533" i="11"/>
  <c r="W533" i="11"/>
  <c r="V533" i="11"/>
  <c r="U533" i="11"/>
  <c r="T533" i="11"/>
  <c r="S533" i="11"/>
  <c r="R533" i="11"/>
  <c r="Q533" i="11"/>
  <c r="P533" i="11"/>
  <c r="O533" i="11"/>
  <c r="N533" i="11"/>
  <c r="M533" i="11"/>
  <c r="F533" i="11"/>
  <c r="E533" i="11"/>
  <c r="D533" i="11"/>
  <c r="C533" i="11"/>
  <c r="B533" i="11"/>
  <c r="X532" i="11"/>
  <c r="W532" i="11"/>
  <c r="V532" i="11"/>
  <c r="U532" i="11"/>
  <c r="T532" i="11"/>
  <c r="S532" i="11"/>
  <c r="R532" i="11"/>
  <c r="Q532" i="11"/>
  <c r="P532" i="11"/>
  <c r="O532" i="11"/>
  <c r="N532" i="11"/>
  <c r="M532" i="11"/>
  <c r="F532" i="11"/>
  <c r="E532" i="11"/>
  <c r="D532" i="11"/>
  <c r="C532" i="11"/>
  <c r="B532" i="11"/>
  <c r="X531" i="11"/>
  <c r="W531" i="11"/>
  <c r="V531" i="11"/>
  <c r="U531" i="11"/>
  <c r="T531" i="11"/>
  <c r="S531" i="11"/>
  <c r="R531" i="11"/>
  <c r="Q531" i="11"/>
  <c r="P531" i="11"/>
  <c r="O531" i="11"/>
  <c r="N531" i="11"/>
  <c r="M531" i="11"/>
  <c r="F531" i="11"/>
  <c r="E531" i="11"/>
  <c r="D531" i="11"/>
  <c r="C531" i="11"/>
  <c r="B531" i="11"/>
  <c r="X530" i="11"/>
  <c r="W530" i="11"/>
  <c r="V530" i="11"/>
  <c r="U530" i="11"/>
  <c r="T530" i="11"/>
  <c r="S530" i="11"/>
  <c r="R530" i="11"/>
  <c r="Q530" i="11"/>
  <c r="P530" i="11"/>
  <c r="O530" i="11"/>
  <c r="N530" i="11"/>
  <c r="M530" i="11"/>
  <c r="F530" i="11"/>
  <c r="E530" i="11"/>
  <c r="D530" i="11"/>
  <c r="C530" i="11"/>
  <c r="B530" i="11"/>
  <c r="X529" i="11"/>
  <c r="W529" i="11"/>
  <c r="V529" i="11"/>
  <c r="U529" i="11"/>
  <c r="T529" i="11"/>
  <c r="S529" i="11"/>
  <c r="R529" i="11"/>
  <c r="Q529" i="11"/>
  <c r="P529" i="11"/>
  <c r="O529" i="11"/>
  <c r="N529" i="11"/>
  <c r="M529" i="11"/>
  <c r="F529" i="11"/>
  <c r="E529" i="11"/>
  <c r="D529" i="11"/>
  <c r="C529" i="11"/>
  <c r="B529" i="11"/>
  <c r="X528" i="11"/>
  <c r="W528" i="11"/>
  <c r="V528" i="11"/>
  <c r="U528" i="11"/>
  <c r="T528" i="11"/>
  <c r="S528" i="11"/>
  <c r="R528" i="11"/>
  <c r="Q528" i="11"/>
  <c r="P528" i="11"/>
  <c r="O528" i="11"/>
  <c r="N528" i="11"/>
  <c r="M528" i="11"/>
  <c r="F528" i="11"/>
  <c r="E528" i="11"/>
  <c r="D528" i="11"/>
  <c r="C528" i="11"/>
  <c r="B528" i="11"/>
  <c r="X527" i="11"/>
  <c r="W527" i="11"/>
  <c r="V527" i="11"/>
  <c r="U527" i="11"/>
  <c r="T527" i="11"/>
  <c r="S527" i="11"/>
  <c r="R527" i="11"/>
  <c r="Q527" i="11"/>
  <c r="P527" i="11"/>
  <c r="O527" i="11"/>
  <c r="N527" i="11"/>
  <c r="M527" i="11"/>
  <c r="F527" i="11"/>
  <c r="E527" i="11"/>
  <c r="D527" i="11"/>
  <c r="C527" i="11"/>
  <c r="B527" i="11"/>
  <c r="X526" i="11"/>
  <c r="W526" i="11"/>
  <c r="V526" i="11"/>
  <c r="U526" i="11"/>
  <c r="T526" i="11"/>
  <c r="S526" i="11"/>
  <c r="R526" i="11"/>
  <c r="Q526" i="11"/>
  <c r="P526" i="11"/>
  <c r="O526" i="11"/>
  <c r="N526" i="11"/>
  <c r="M526" i="11"/>
  <c r="F526" i="11"/>
  <c r="E526" i="11"/>
  <c r="D526" i="11"/>
  <c r="C526" i="11"/>
  <c r="B526" i="11"/>
  <c r="X525" i="11"/>
  <c r="W525" i="11"/>
  <c r="V525" i="11"/>
  <c r="U525" i="11"/>
  <c r="T525" i="11"/>
  <c r="S525" i="11"/>
  <c r="R525" i="11"/>
  <c r="Q525" i="11"/>
  <c r="P525" i="11"/>
  <c r="O525" i="11"/>
  <c r="N525" i="11"/>
  <c r="M525" i="11"/>
  <c r="F525" i="11"/>
  <c r="E525" i="11"/>
  <c r="D525" i="11"/>
  <c r="C525" i="11"/>
  <c r="B525" i="11"/>
  <c r="X524" i="11"/>
  <c r="W524" i="11"/>
  <c r="V524" i="11"/>
  <c r="U524" i="11"/>
  <c r="T524" i="11"/>
  <c r="S524" i="11"/>
  <c r="R524" i="11"/>
  <c r="Q524" i="11"/>
  <c r="P524" i="11"/>
  <c r="O524" i="11"/>
  <c r="N524" i="11"/>
  <c r="M524" i="11"/>
  <c r="F524" i="11"/>
  <c r="E524" i="11"/>
  <c r="D524" i="11"/>
  <c r="C524" i="11"/>
  <c r="B524" i="11"/>
  <c r="X523" i="11"/>
  <c r="W523" i="11"/>
  <c r="V523" i="11"/>
  <c r="U523" i="11"/>
  <c r="T523" i="11"/>
  <c r="S523" i="11"/>
  <c r="R523" i="11"/>
  <c r="Q523" i="11"/>
  <c r="P523" i="11"/>
  <c r="O523" i="11"/>
  <c r="N523" i="11"/>
  <c r="M523" i="11"/>
  <c r="F523" i="11"/>
  <c r="E523" i="11"/>
  <c r="D523" i="11"/>
  <c r="C523" i="11"/>
  <c r="B523" i="11"/>
  <c r="X522" i="11"/>
  <c r="W522" i="11"/>
  <c r="V522" i="11"/>
  <c r="U522" i="11"/>
  <c r="T522" i="11"/>
  <c r="S522" i="11"/>
  <c r="R522" i="11"/>
  <c r="Q522" i="11"/>
  <c r="P522" i="11"/>
  <c r="O522" i="11"/>
  <c r="N522" i="11"/>
  <c r="M522" i="11"/>
  <c r="F522" i="11"/>
  <c r="E522" i="11"/>
  <c r="D522" i="11"/>
  <c r="C522" i="11"/>
  <c r="B522" i="11"/>
  <c r="X521" i="11"/>
  <c r="W521" i="11"/>
  <c r="V521" i="11"/>
  <c r="U521" i="11"/>
  <c r="T521" i="11"/>
  <c r="S521" i="11"/>
  <c r="R521" i="11"/>
  <c r="Q521" i="11"/>
  <c r="P521" i="11"/>
  <c r="O521" i="11"/>
  <c r="N521" i="11"/>
  <c r="M521" i="11"/>
  <c r="F521" i="11"/>
  <c r="E521" i="11"/>
  <c r="D521" i="11"/>
  <c r="C521" i="11"/>
  <c r="B521" i="11"/>
  <c r="X520" i="11"/>
  <c r="W520" i="11"/>
  <c r="V520" i="11"/>
  <c r="U520" i="11"/>
  <c r="T520" i="11"/>
  <c r="S520" i="11"/>
  <c r="R520" i="11"/>
  <c r="Q520" i="11"/>
  <c r="P520" i="11"/>
  <c r="O520" i="11"/>
  <c r="N520" i="11"/>
  <c r="M520" i="11"/>
  <c r="F520" i="11"/>
  <c r="E520" i="11"/>
  <c r="D520" i="11"/>
  <c r="C520" i="11"/>
  <c r="B520" i="11"/>
  <c r="X519" i="11"/>
  <c r="W519" i="11"/>
  <c r="V519" i="11"/>
  <c r="U519" i="11"/>
  <c r="T519" i="11"/>
  <c r="S519" i="11"/>
  <c r="R519" i="11"/>
  <c r="Q519" i="11"/>
  <c r="P519" i="11"/>
  <c r="O519" i="11"/>
  <c r="N519" i="11"/>
  <c r="M519" i="11"/>
  <c r="F519" i="11"/>
  <c r="E519" i="11"/>
  <c r="D519" i="11"/>
  <c r="C519" i="11"/>
  <c r="B519" i="11"/>
  <c r="X518" i="11"/>
  <c r="W518" i="11"/>
  <c r="V518" i="11"/>
  <c r="U518" i="11"/>
  <c r="T518" i="11"/>
  <c r="S518" i="11"/>
  <c r="R518" i="11"/>
  <c r="Q518" i="11"/>
  <c r="P518" i="11"/>
  <c r="O518" i="11"/>
  <c r="N518" i="11"/>
  <c r="M518" i="11"/>
  <c r="F518" i="11"/>
  <c r="E518" i="11"/>
  <c r="D518" i="11"/>
  <c r="C518" i="11"/>
  <c r="B518" i="11"/>
  <c r="X517" i="11"/>
  <c r="W517" i="11"/>
  <c r="V517" i="11"/>
  <c r="U517" i="11"/>
  <c r="T517" i="11"/>
  <c r="S517" i="11"/>
  <c r="R517" i="11"/>
  <c r="Q517" i="11"/>
  <c r="P517" i="11"/>
  <c r="O517" i="11"/>
  <c r="N517" i="11"/>
  <c r="M517" i="11"/>
  <c r="F517" i="11"/>
  <c r="E517" i="11"/>
  <c r="D517" i="11"/>
  <c r="C517" i="11"/>
  <c r="B517" i="11"/>
  <c r="X516" i="11"/>
  <c r="W516" i="11"/>
  <c r="V516" i="11"/>
  <c r="U516" i="11"/>
  <c r="T516" i="11"/>
  <c r="S516" i="11"/>
  <c r="R516" i="11"/>
  <c r="Q516" i="11"/>
  <c r="P516" i="11"/>
  <c r="O516" i="11"/>
  <c r="N516" i="11"/>
  <c r="M516" i="11"/>
  <c r="F516" i="11"/>
  <c r="E516" i="11"/>
  <c r="D516" i="11"/>
  <c r="C516" i="11"/>
  <c r="B516" i="11"/>
  <c r="X515" i="11"/>
  <c r="W515" i="11"/>
  <c r="V515" i="11"/>
  <c r="U515" i="11"/>
  <c r="T515" i="11"/>
  <c r="S515" i="11"/>
  <c r="R515" i="11"/>
  <c r="Q515" i="11"/>
  <c r="P515" i="11"/>
  <c r="O515" i="11"/>
  <c r="N515" i="11"/>
  <c r="M515" i="11"/>
  <c r="F515" i="11"/>
  <c r="E515" i="11"/>
  <c r="D515" i="11"/>
  <c r="C515" i="11"/>
  <c r="B515" i="11"/>
  <c r="X514" i="11"/>
  <c r="W514" i="11"/>
  <c r="V514" i="11"/>
  <c r="U514" i="11"/>
  <c r="T514" i="11"/>
  <c r="S514" i="11"/>
  <c r="R514" i="11"/>
  <c r="Q514" i="11"/>
  <c r="P514" i="11"/>
  <c r="O514" i="11"/>
  <c r="N514" i="11"/>
  <c r="M514" i="11"/>
  <c r="F514" i="11"/>
  <c r="E514" i="11"/>
  <c r="D514" i="11"/>
  <c r="C514" i="11"/>
  <c r="B514" i="11"/>
  <c r="X513" i="11"/>
  <c r="W513" i="11"/>
  <c r="V513" i="11"/>
  <c r="U513" i="11"/>
  <c r="T513" i="11"/>
  <c r="S513" i="11"/>
  <c r="R513" i="11"/>
  <c r="Q513" i="11"/>
  <c r="P513" i="11"/>
  <c r="O513" i="11"/>
  <c r="N513" i="11"/>
  <c r="M513" i="11"/>
  <c r="F513" i="11"/>
  <c r="E513" i="11"/>
  <c r="D513" i="11"/>
  <c r="C513" i="11"/>
  <c r="B513" i="11"/>
  <c r="X512" i="11"/>
  <c r="W512" i="11"/>
  <c r="V512" i="11"/>
  <c r="U512" i="11"/>
  <c r="T512" i="11"/>
  <c r="S512" i="11"/>
  <c r="R512" i="11"/>
  <c r="Q512" i="11"/>
  <c r="P512" i="11"/>
  <c r="O512" i="11"/>
  <c r="N512" i="11"/>
  <c r="M512" i="11"/>
  <c r="F512" i="11"/>
  <c r="E512" i="11"/>
  <c r="D512" i="11"/>
  <c r="C512" i="11"/>
  <c r="B512" i="11"/>
  <c r="X511" i="11"/>
  <c r="W511" i="11"/>
  <c r="V511" i="11"/>
  <c r="U511" i="11"/>
  <c r="T511" i="11"/>
  <c r="S511" i="11"/>
  <c r="R511" i="11"/>
  <c r="Q511" i="11"/>
  <c r="P511" i="11"/>
  <c r="O511" i="11"/>
  <c r="N511" i="11"/>
  <c r="M511" i="11"/>
  <c r="F511" i="11"/>
  <c r="E511" i="11"/>
  <c r="D511" i="11"/>
  <c r="C511" i="11"/>
  <c r="B511" i="11"/>
  <c r="X510" i="11"/>
  <c r="W510" i="11"/>
  <c r="V510" i="11"/>
  <c r="U510" i="11"/>
  <c r="T510" i="11"/>
  <c r="S510" i="11"/>
  <c r="R510" i="11"/>
  <c r="Q510" i="11"/>
  <c r="P510" i="11"/>
  <c r="O510" i="11"/>
  <c r="N510" i="11"/>
  <c r="M510" i="11"/>
  <c r="F510" i="11"/>
  <c r="E510" i="11"/>
  <c r="D510" i="11"/>
  <c r="C510" i="11"/>
  <c r="B510" i="11"/>
  <c r="X509" i="11"/>
  <c r="W509" i="11"/>
  <c r="V509" i="11"/>
  <c r="U509" i="11"/>
  <c r="T509" i="11"/>
  <c r="S509" i="11"/>
  <c r="R509" i="11"/>
  <c r="Q509" i="11"/>
  <c r="P509" i="11"/>
  <c r="O509" i="11"/>
  <c r="N509" i="11"/>
  <c r="M509" i="11"/>
  <c r="F509" i="11"/>
  <c r="E509" i="11"/>
  <c r="D509" i="11"/>
  <c r="C509" i="11"/>
  <c r="B509" i="11"/>
  <c r="X508" i="11"/>
  <c r="W508" i="11"/>
  <c r="V508" i="11"/>
  <c r="U508" i="11"/>
  <c r="T508" i="11"/>
  <c r="S508" i="11"/>
  <c r="R508" i="11"/>
  <c r="Q508" i="11"/>
  <c r="P508" i="11"/>
  <c r="O508" i="11"/>
  <c r="N508" i="11"/>
  <c r="M508" i="11"/>
  <c r="F508" i="11"/>
  <c r="E508" i="11"/>
  <c r="D508" i="11"/>
  <c r="C508" i="11"/>
  <c r="B508" i="11"/>
  <c r="X507" i="11"/>
  <c r="W507" i="11"/>
  <c r="V507" i="11"/>
  <c r="U507" i="11"/>
  <c r="T507" i="11"/>
  <c r="S507" i="11"/>
  <c r="R507" i="11"/>
  <c r="Q507" i="11"/>
  <c r="P507" i="11"/>
  <c r="O507" i="11"/>
  <c r="N507" i="11"/>
  <c r="M507" i="11"/>
  <c r="F507" i="11"/>
  <c r="E507" i="11"/>
  <c r="D507" i="11"/>
  <c r="C507" i="11"/>
  <c r="B507" i="11"/>
  <c r="X506" i="11"/>
  <c r="W506" i="11"/>
  <c r="V506" i="11"/>
  <c r="U506" i="11"/>
  <c r="T506" i="11"/>
  <c r="S506" i="11"/>
  <c r="R506" i="11"/>
  <c r="Q506" i="11"/>
  <c r="P506" i="11"/>
  <c r="O506" i="11"/>
  <c r="N506" i="11"/>
  <c r="M506" i="11"/>
  <c r="F506" i="11"/>
  <c r="E506" i="11"/>
  <c r="D506" i="11"/>
  <c r="C506" i="11"/>
  <c r="B506" i="11"/>
  <c r="X505" i="11"/>
  <c r="W505" i="11"/>
  <c r="V505" i="11"/>
  <c r="U505" i="11"/>
  <c r="T505" i="11"/>
  <c r="S505" i="11"/>
  <c r="R505" i="11"/>
  <c r="Q505" i="11"/>
  <c r="P505" i="11"/>
  <c r="O505" i="11"/>
  <c r="N505" i="11"/>
  <c r="M505" i="11"/>
  <c r="F505" i="11"/>
  <c r="E505" i="11"/>
  <c r="D505" i="11"/>
  <c r="C505" i="11"/>
  <c r="B505" i="11"/>
  <c r="X504" i="11"/>
  <c r="W504" i="11"/>
  <c r="V504" i="11"/>
  <c r="U504" i="11"/>
  <c r="T504" i="11"/>
  <c r="S504" i="11"/>
  <c r="R504" i="11"/>
  <c r="Q504" i="11"/>
  <c r="P504" i="11"/>
  <c r="O504" i="11"/>
  <c r="N504" i="11"/>
  <c r="M504" i="11"/>
  <c r="F504" i="11"/>
  <c r="E504" i="11"/>
  <c r="D504" i="11"/>
  <c r="C504" i="11"/>
  <c r="B504" i="11"/>
  <c r="X503" i="11"/>
  <c r="W503" i="11"/>
  <c r="V503" i="11"/>
  <c r="U503" i="11"/>
  <c r="T503" i="11"/>
  <c r="S503" i="11"/>
  <c r="R503" i="11"/>
  <c r="Q503" i="11"/>
  <c r="P503" i="11"/>
  <c r="O503" i="11"/>
  <c r="N503" i="11"/>
  <c r="M503" i="11"/>
  <c r="F503" i="11"/>
  <c r="E503" i="11"/>
  <c r="D503" i="11"/>
  <c r="C503" i="11"/>
  <c r="B503" i="11"/>
  <c r="X502" i="11"/>
  <c r="W502" i="11"/>
  <c r="V502" i="11"/>
  <c r="U502" i="11"/>
  <c r="T502" i="11"/>
  <c r="S502" i="11"/>
  <c r="R502" i="11"/>
  <c r="Q502" i="11"/>
  <c r="P502" i="11"/>
  <c r="O502" i="11"/>
  <c r="N502" i="11"/>
  <c r="M502" i="11"/>
  <c r="F502" i="11"/>
  <c r="E502" i="11"/>
  <c r="D502" i="11"/>
  <c r="C502" i="11"/>
  <c r="B502" i="11"/>
  <c r="X501" i="11"/>
  <c r="W501" i="11"/>
  <c r="V501" i="11"/>
  <c r="U501" i="11"/>
  <c r="T501" i="11"/>
  <c r="S501" i="11"/>
  <c r="R501" i="11"/>
  <c r="Q501" i="11"/>
  <c r="P501" i="11"/>
  <c r="O501" i="11"/>
  <c r="N501" i="11"/>
  <c r="M501" i="11"/>
  <c r="F501" i="11"/>
  <c r="E501" i="11"/>
  <c r="D501" i="11"/>
  <c r="C501" i="11"/>
  <c r="B501" i="11"/>
  <c r="X500" i="11"/>
  <c r="W500" i="11"/>
  <c r="V500" i="11"/>
  <c r="U500" i="11"/>
  <c r="T500" i="11"/>
  <c r="S500" i="11"/>
  <c r="R500" i="11"/>
  <c r="Q500" i="11"/>
  <c r="P500" i="11"/>
  <c r="O500" i="11"/>
  <c r="N500" i="11"/>
  <c r="M500" i="11"/>
  <c r="F500" i="11"/>
  <c r="E500" i="11"/>
  <c r="D500" i="11"/>
  <c r="C500" i="11"/>
  <c r="B500" i="11"/>
  <c r="X499" i="11"/>
  <c r="W499" i="11"/>
  <c r="V499" i="11"/>
  <c r="U499" i="11"/>
  <c r="T499" i="11"/>
  <c r="S499" i="11"/>
  <c r="R499" i="11"/>
  <c r="Q499" i="11"/>
  <c r="P499" i="11"/>
  <c r="O499" i="11"/>
  <c r="N499" i="11"/>
  <c r="M499" i="11"/>
  <c r="F499" i="11"/>
  <c r="E499" i="11"/>
  <c r="D499" i="11"/>
  <c r="C499" i="11"/>
  <c r="B499" i="11"/>
  <c r="X498" i="11"/>
  <c r="W498" i="11"/>
  <c r="V498" i="11"/>
  <c r="U498" i="11"/>
  <c r="T498" i="11"/>
  <c r="S498" i="11"/>
  <c r="R498" i="11"/>
  <c r="Q498" i="11"/>
  <c r="P498" i="11"/>
  <c r="O498" i="11"/>
  <c r="N498" i="11"/>
  <c r="M498" i="11"/>
  <c r="F498" i="11"/>
  <c r="E498" i="11"/>
  <c r="D498" i="11"/>
  <c r="C498" i="11"/>
  <c r="B498" i="11"/>
  <c r="X497" i="11"/>
  <c r="W497" i="11"/>
  <c r="V497" i="11"/>
  <c r="U497" i="11"/>
  <c r="T497" i="11"/>
  <c r="S497" i="11"/>
  <c r="R497" i="11"/>
  <c r="Q497" i="11"/>
  <c r="P497" i="11"/>
  <c r="O497" i="11"/>
  <c r="N497" i="11"/>
  <c r="M497" i="11"/>
  <c r="F497" i="11"/>
  <c r="E497" i="11"/>
  <c r="D497" i="11"/>
  <c r="C497" i="11"/>
  <c r="B497" i="11"/>
  <c r="X496" i="11"/>
  <c r="W496" i="11"/>
  <c r="V496" i="11"/>
  <c r="U496" i="11"/>
  <c r="T496" i="11"/>
  <c r="S496" i="11"/>
  <c r="R496" i="11"/>
  <c r="Q496" i="11"/>
  <c r="P496" i="11"/>
  <c r="O496" i="11"/>
  <c r="N496" i="11"/>
  <c r="M496" i="11"/>
  <c r="F496" i="11"/>
  <c r="E496" i="11"/>
  <c r="D496" i="11"/>
  <c r="C496" i="11"/>
  <c r="B496" i="11"/>
  <c r="X495" i="11"/>
  <c r="W495" i="11"/>
  <c r="V495" i="11"/>
  <c r="U495" i="11"/>
  <c r="T495" i="11"/>
  <c r="S495" i="11"/>
  <c r="R495" i="11"/>
  <c r="Q495" i="11"/>
  <c r="P495" i="11"/>
  <c r="O495" i="11"/>
  <c r="N495" i="11"/>
  <c r="M495" i="11"/>
  <c r="F495" i="11"/>
  <c r="E495" i="11"/>
  <c r="D495" i="11"/>
  <c r="C495" i="11"/>
  <c r="B495" i="11"/>
  <c r="X494" i="11"/>
  <c r="W494" i="11"/>
  <c r="V494" i="11"/>
  <c r="U494" i="11"/>
  <c r="T494" i="11"/>
  <c r="S494" i="11"/>
  <c r="R494" i="11"/>
  <c r="Q494" i="11"/>
  <c r="P494" i="11"/>
  <c r="O494" i="11"/>
  <c r="N494" i="11"/>
  <c r="M494" i="11"/>
  <c r="F494" i="11"/>
  <c r="E494" i="11"/>
  <c r="D494" i="11"/>
  <c r="C494" i="11"/>
  <c r="B494" i="11"/>
  <c r="X493" i="11"/>
  <c r="W493" i="11"/>
  <c r="V493" i="11"/>
  <c r="U493" i="11"/>
  <c r="T493" i="11"/>
  <c r="S493" i="11"/>
  <c r="R493" i="11"/>
  <c r="Q493" i="11"/>
  <c r="P493" i="11"/>
  <c r="O493" i="11"/>
  <c r="N493" i="11"/>
  <c r="M493" i="11"/>
  <c r="F493" i="11"/>
  <c r="E493" i="11"/>
  <c r="D493" i="11"/>
  <c r="C493" i="11"/>
  <c r="B493" i="11"/>
  <c r="X492" i="11"/>
  <c r="W492" i="11"/>
  <c r="V492" i="11"/>
  <c r="U492" i="11"/>
  <c r="T492" i="11"/>
  <c r="S492" i="11"/>
  <c r="R492" i="11"/>
  <c r="Q492" i="11"/>
  <c r="P492" i="11"/>
  <c r="O492" i="11"/>
  <c r="N492" i="11"/>
  <c r="M492" i="11"/>
  <c r="F492" i="11"/>
  <c r="E492" i="11"/>
  <c r="D492" i="11"/>
  <c r="C492" i="11"/>
  <c r="B492" i="11"/>
  <c r="X491" i="11"/>
  <c r="W491" i="11"/>
  <c r="V491" i="11"/>
  <c r="U491" i="11"/>
  <c r="T491" i="11"/>
  <c r="S491" i="11"/>
  <c r="R491" i="11"/>
  <c r="Q491" i="11"/>
  <c r="P491" i="11"/>
  <c r="O491" i="11"/>
  <c r="N491" i="11"/>
  <c r="M491" i="11"/>
  <c r="F491" i="11"/>
  <c r="E491" i="11"/>
  <c r="D491" i="11"/>
  <c r="C491" i="11"/>
  <c r="B491" i="11"/>
  <c r="X490" i="11"/>
  <c r="W490" i="11"/>
  <c r="V490" i="11"/>
  <c r="U490" i="11"/>
  <c r="T490" i="11"/>
  <c r="S490" i="11"/>
  <c r="R490" i="11"/>
  <c r="Q490" i="11"/>
  <c r="P490" i="11"/>
  <c r="O490" i="11"/>
  <c r="N490" i="11"/>
  <c r="M490" i="11"/>
  <c r="F490" i="11"/>
  <c r="E490" i="11"/>
  <c r="D490" i="11"/>
  <c r="C490" i="11"/>
  <c r="B490" i="11"/>
  <c r="X489" i="11"/>
  <c r="W489" i="11"/>
  <c r="V489" i="11"/>
  <c r="U489" i="11"/>
  <c r="T489" i="11"/>
  <c r="S489" i="11"/>
  <c r="R489" i="11"/>
  <c r="Q489" i="11"/>
  <c r="P489" i="11"/>
  <c r="O489" i="11"/>
  <c r="N489" i="11"/>
  <c r="M489" i="11"/>
  <c r="F489" i="11"/>
  <c r="E489" i="11"/>
  <c r="D489" i="11"/>
  <c r="C489" i="11"/>
  <c r="B489" i="11"/>
  <c r="X488" i="11"/>
  <c r="W488" i="11"/>
  <c r="V488" i="11"/>
  <c r="U488" i="11"/>
  <c r="T488" i="11"/>
  <c r="S488" i="11"/>
  <c r="R488" i="11"/>
  <c r="Q488" i="11"/>
  <c r="P488" i="11"/>
  <c r="O488" i="11"/>
  <c r="N488" i="11"/>
  <c r="M488" i="11"/>
  <c r="F488" i="11"/>
  <c r="E488" i="11"/>
  <c r="D488" i="11"/>
  <c r="C488" i="11"/>
  <c r="B488" i="11"/>
  <c r="X487" i="11"/>
  <c r="W487" i="11"/>
  <c r="V487" i="11"/>
  <c r="U487" i="11"/>
  <c r="T487" i="11"/>
  <c r="S487" i="11"/>
  <c r="R487" i="11"/>
  <c r="Q487" i="11"/>
  <c r="P487" i="11"/>
  <c r="O487" i="11"/>
  <c r="N487" i="11"/>
  <c r="M487" i="11"/>
  <c r="F487" i="11"/>
  <c r="E487" i="11"/>
  <c r="D487" i="11"/>
  <c r="C487" i="11"/>
  <c r="B487" i="11"/>
  <c r="X486" i="11"/>
  <c r="W486" i="11"/>
  <c r="V486" i="11"/>
  <c r="U486" i="11"/>
  <c r="T486" i="11"/>
  <c r="S486" i="11"/>
  <c r="R486" i="11"/>
  <c r="Q486" i="11"/>
  <c r="P486" i="11"/>
  <c r="O486" i="11"/>
  <c r="N486" i="11"/>
  <c r="M486" i="11"/>
  <c r="F486" i="11"/>
  <c r="E486" i="11"/>
  <c r="D486" i="11"/>
  <c r="C486" i="11"/>
  <c r="B486" i="11"/>
  <c r="X485" i="11"/>
  <c r="W485" i="11"/>
  <c r="V485" i="11"/>
  <c r="U485" i="11"/>
  <c r="T485" i="11"/>
  <c r="S485" i="11"/>
  <c r="R485" i="11"/>
  <c r="Q485" i="11"/>
  <c r="P485" i="11"/>
  <c r="O485" i="11"/>
  <c r="N485" i="11"/>
  <c r="M485" i="11"/>
  <c r="F485" i="11"/>
  <c r="E485" i="11"/>
  <c r="D485" i="11"/>
  <c r="C485" i="11"/>
  <c r="B485" i="11"/>
  <c r="X484" i="11"/>
  <c r="W484" i="11"/>
  <c r="V484" i="11"/>
  <c r="U484" i="11"/>
  <c r="T484" i="11"/>
  <c r="S484" i="11"/>
  <c r="R484" i="11"/>
  <c r="Q484" i="11"/>
  <c r="P484" i="11"/>
  <c r="O484" i="11"/>
  <c r="N484" i="11"/>
  <c r="M484" i="11"/>
  <c r="F484" i="11"/>
  <c r="E484" i="11"/>
  <c r="D484" i="11"/>
  <c r="C484" i="11"/>
  <c r="B484" i="11"/>
  <c r="X483" i="11"/>
  <c r="W483" i="11"/>
  <c r="V483" i="11"/>
  <c r="U483" i="11"/>
  <c r="T483" i="11"/>
  <c r="S483" i="11"/>
  <c r="R483" i="11"/>
  <c r="Q483" i="11"/>
  <c r="P483" i="11"/>
  <c r="O483" i="11"/>
  <c r="N483" i="11"/>
  <c r="M483" i="11"/>
  <c r="F483" i="11"/>
  <c r="E483" i="11"/>
  <c r="D483" i="11"/>
  <c r="C483" i="11"/>
  <c r="B483" i="11"/>
  <c r="X482" i="11"/>
  <c r="W482" i="11"/>
  <c r="V482" i="11"/>
  <c r="U482" i="11"/>
  <c r="T482" i="11"/>
  <c r="S482" i="11"/>
  <c r="R482" i="11"/>
  <c r="Q482" i="11"/>
  <c r="P482" i="11"/>
  <c r="O482" i="11"/>
  <c r="N482" i="11"/>
  <c r="M482" i="11"/>
  <c r="F482" i="11"/>
  <c r="E482" i="11"/>
  <c r="D482" i="11"/>
  <c r="C482" i="11"/>
  <c r="B482" i="11"/>
  <c r="X481" i="11"/>
  <c r="W481" i="11"/>
  <c r="V481" i="11"/>
  <c r="U481" i="11"/>
  <c r="T481" i="11"/>
  <c r="S481" i="11"/>
  <c r="R481" i="11"/>
  <c r="Q481" i="11"/>
  <c r="P481" i="11"/>
  <c r="O481" i="11"/>
  <c r="N481" i="11"/>
  <c r="M481" i="11"/>
  <c r="F481" i="11"/>
  <c r="E481" i="11"/>
  <c r="D481" i="11"/>
  <c r="C481" i="11"/>
  <c r="B481" i="11"/>
  <c r="X480" i="11"/>
  <c r="W480" i="11"/>
  <c r="V480" i="11"/>
  <c r="U480" i="11"/>
  <c r="T480" i="11"/>
  <c r="S480" i="11"/>
  <c r="R480" i="11"/>
  <c r="Q480" i="11"/>
  <c r="P480" i="11"/>
  <c r="O480" i="11"/>
  <c r="N480" i="11"/>
  <c r="M480" i="11"/>
  <c r="F480" i="11"/>
  <c r="E480" i="11"/>
  <c r="D480" i="11"/>
  <c r="C480" i="11"/>
  <c r="B480" i="11"/>
  <c r="X479" i="11"/>
  <c r="W479" i="11"/>
  <c r="V479" i="11"/>
  <c r="U479" i="11"/>
  <c r="T479" i="11"/>
  <c r="S479" i="11"/>
  <c r="R479" i="11"/>
  <c r="Q479" i="11"/>
  <c r="P479" i="11"/>
  <c r="O479" i="11"/>
  <c r="N479" i="11"/>
  <c r="M479" i="11"/>
  <c r="F479" i="11"/>
  <c r="E479" i="11"/>
  <c r="D479" i="11"/>
  <c r="C479" i="11"/>
  <c r="B479" i="11"/>
  <c r="X478" i="11"/>
  <c r="W478" i="11"/>
  <c r="V478" i="11"/>
  <c r="U478" i="11"/>
  <c r="T478" i="11"/>
  <c r="S478" i="11"/>
  <c r="R478" i="11"/>
  <c r="Q478" i="11"/>
  <c r="P478" i="11"/>
  <c r="O478" i="11"/>
  <c r="N478" i="11"/>
  <c r="M478" i="11"/>
  <c r="F478" i="11"/>
  <c r="E478" i="11"/>
  <c r="D478" i="11"/>
  <c r="C478" i="11"/>
  <c r="B478" i="11"/>
  <c r="X477" i="11"/>
  <c r="W477" i="11"/>
  <c r="V477" i="11"/>
  <c r="U477" i="11"/>
  <c r="T477" i="11"/>
  <c r="S477" i="11"/>
  <c r="R477" i="11"/>
  <c r="Q477" i="11"/>
  <c r="P477" i="11"/>
  <c r="O477" i="11"/>
  <c r="N477" i="11"/>
  <c r="M477" i="11"/>
  <c r="F477" i="11"/>
  <c r="E477" i="11"/>
  <c r="D477" i="11"/>
  <c r="C477" i="11"/>
  <c r="B477" i="11"/>
  <c r="X476" i="11"/>
  <c r="W476" i="11"/>
  <c r="V476" i="11"/>
  <c r="U476" i="11"/>
  <c r="T476" i="11"/>
  <c r="S476" i="11"/>
  <c r="R476" i="11"/>
  <c r="Q476" i="11"/>
  <c r="P476" i="11"/>
  <c r="O476" i="11"/>
  <c r="N476" i="11"/>
  <c r="M476" i="11"/>
  <c r="F476" i="11"/>
  <c r="E476" i="11"/>
  <c r="D476" i="11"/>
  <c r="C476" i="11"/>
  <c r="B476" i="11"/>
  <c r="X475" i="11"/>
  <c r="W475" i="11"/>
  <c r="V475" i="11"/>
  <c r="U475" i="11"/>
  <c r="T475" i="11"/>
  <c r="S475" i="11"/>
  <c r="R475" i="11"/>
  <c r="Q475" i="11"/>
  <c r="P475" i="11"/>
  <c r="O475" i="11"/>
  <c r="N475" i="11"/>
  <c r="M475" i="11"/>
  <c r="F475" i="11"/>
  <c r="E475" i="11"/>
  <c r="D475" i="11"/>
  <c r="C475" i="11"/>
  <c r="B475" i="11"/>
  <c r="X474" i="11"/>
  <c r="W474" i="11"/>
  <c r="V474" i="11"/>
  <c r="U474" i="11"/>
  <c r="T474" i="11"/>
  <c r="S474" i="11"/>
  <c r="R474" i="11"/>
  <c r="Q474" i="11"/>
  <c r="P474" i="11"/>
  <c r="O474" i="11"/>
  <c r="N474" i="11"/>
  <c r="M474" i="11"/>
  <c r="F474" i="11"/>
  <c r="E474" i="11"/>
  <c r="D474" i="11"/>
  <c r="C474" i="11"/>
  <c r="B474" i="11"/>
  <c r="X473" i="11"/>
  <c r="W473" i="11"/>
  <c r="V473" i="11"/>
  <c r="U473" i="11"/>
  <c r="T473" i="11"/>
  <c r="S473" i="11"/>
  <c r="R473" i="11"/>
  <c r="Q473" i="11"/>
  <c r="P473" i="11"/>
  <c r="O473" i="11"/>
  <c r="N473" i="11"/>
  <c r="M473" i="11"/>
  <c r="F473" i="11"/>
  <c r="E473" i="11"/>
  <c r="D473" i="11"/>
  <c r="C473" i="11"/>
  <c r="B473" i="11"/>
  <c r="X472" i="11"/>
  <c r="W472" i="11"/>
  <c r="V472" i="11"/>
  <c r="U472" i="11"/>
  <c r="T472" i="11"/>
  <c r="S472" i="11"/>
  <c r="R472" i="11"/>
  <c r="Q472" i="11"/>
  <c r="P472" i="11"/>
  <c r="O472" i="11"/>
  <c r="N472" i="11"/>
  <c r="M472" i="11"/>
  <c r="F472" i="11"/>
  <c r="E472" i="11"/>
  <c r="D472" i="11"/>
  <c r="C472" i="11"/>
  <c r="B472" i="11"/>
  <c r="X471" i="11"/>
  <c r="W471" i="11"/>
  <c r="V471" i="11"/>
  <c r="U471" i="11"/>
  <c r="T471" i="11"/>
  <c r="S471" i="11"/>
  <c r="R471" i="11"/>
  <c r="Q471" i="11"/>
  <c r="P471" i="11"/>
  <c r="O471" i="11"/>
  <c r="N471" i="11"/>
  <c r="M471" i="11"/>
  <c r="F471" i="11"/>
  <c r="E471" i="11"/>
  <c r="D471" i="11"/>
  <c r="C471" i="11"/>
  <c r="B471" i="11"/>
  <c r="X470" i="11"/>
  <c r="W470" i="11"/>
  <c r="V470" i="11"/>
  <c r="U470" i="11"/>
  <c r="T470" i="11"/>
  <c r="S470" i="11"/>
  <c r="R470" i="11"/>
  <c r="Q470" i="11"/>
  <c r="P470" i="11"/>
  <c r="O470" i="11"/>
  <c r="N470" i="11"/>
  <c r="M470" i="11"/>
  <c r="F470" i="11"/>
  <c r="E470" i="11"/>
  <c r="D470" i="11"/>
  <c r="C470" i="11"/>
  <c r="B470" i="11"/>
  <c r="X469" i="11"/>
  <c r="W469" i="11"/>
  <c r="V469" i="11"/>
  <c r="U469" i="11"/>
  <c r="T469" i="11"/>
  <c r="S469" i="11"/>
  <c r="R469" i="11"/>
  <c r="Q469" i="11"/>
  <c r="P469" i="11"/>
  <c r="O469" i="11"/>
  <c r="N469" i="11"/>
  <c r="M469" i="11"/>
  <c r="F469" i="11"/>
  <c r="E469" i="11"/>
  <c r="D469" i="11"/>
  <c r="C469" i="11"/>
  <c r="B469" i="11"/>
  <c r="X468" i="11"/>
  <c r="W468" i="11"/>
  <c r="V468" i="11"/>
  <c r="U468" i="11"/>
  <c r="T468" i="11"/>
  <c r="S468" i="11"/>
  <c r="R468" i="11"/>
  <c r="Q468" i="11"/>
  <c r="P468" i="11"/>
  <c r="O468" i="11"/>
  <c r="N468" i="11"/>
  <c r="M468" i="11"/>
  <c r="F468" i="11"/>
  <c r="E468" i="11"/>
  <c r="D468" i="11"/>
  <c r="C468" i="11"/>
  <c r="B468" i="11"/>
  <c r="X467" i="11"/>
  <c r="W467" i="11"/>
  <c r="V467" i="11"/>
  <c r="U467" i="11"/>
  <c r="T467" i="11"/>
  <c r="S467" i="11"/>
  <c r="R467" i="11"/>
  <c r="Q467" i="11"/>
  <c r="P467" i="11"/>
  <c r="O467" i="11"/>
  <c r="N467" i="11"/>
  <c r="M467" i="11"/>
  <c r="F467" i="11"/>
  <c r="E467" i="11"/>
  <c r="D467" i="11"/>
  <c r="C467" i="11"/>
  <c r="B467" i="11"/>
  <c r="X466" i="11"/>
  <c r="W466" i="11"/>
  <c r="V466" i="11"/>
  <c r="U466" i="11"/>
  <c r="T466" i="11"/>
  <c r="S466" i="11"/>
  <c r="R466" i="11"/>
  <c r="Q466" i="11"/>
  <c r="P466" i="11"/>
  <c r="O466" i="11"/>
  <c r="N466" i="11"/>
  <c r="M466" i="11"/>
  <c r="F466" i="11"/>
  <c r="E466" i="11"/>
  <c r="D466" i="11"/>
  <c r="C466" i="11"/>
  <c r="B466" i="11"/>
  <c r="X465" i="11"/>
  <c r="W465" i="11"/>
  <c r="V465" i="11"/>
  <c r="U465" i="11"/>
  <c r="T465" i="11"/>
  <c r="S465" i="11"/>
  <c r="R465" i="11"/>
  <c r="Q465" i="11"/>
  <c r="P465" i="11"/>
  <c r="O465" i="11"/>
  <c r="N465" i="11"/>
  <c r="M465" i="11"/>
  <c r="F465" i="11"/>
  <c r="E465" i="11"/>
  <c r="D465" i="11"/>
  <c r="C465" i="11"/>
  <c r="B465" i="11"/>
  <c r="X464" i="11"/>
  <c r="W464" i="11"/>
  <c r="V464" i="11"/>
  <c r="U464" i="11"/>
  <c r="T464" i="11"/>
  <c r="S464" i="11"/>
  <c r="R464" i="11"/>
  <c r="Q464" i="11"/>
  <c r="P464" i="11"/>
  <c r="O464" i="11"/>
  <c r="N464" i="11"/>
  <c r="M464" i="11"/>
  <c r="F464" i="11"/>
  <c r="E464" i="11"/>
  <c r="D464" i="11"/>
  <c r="C464" i="11"/>
  <c r="B464" i="11"/>
  <c r="X463" i="11"/>
  <c r="W463" i="11"/>
  <c r="V463" i="11"/>
  <c r="U463" i="11"/>
  <c r="T463" i="11"/>
  <c r="S463" i="11"/>
  <c r="R463" i="11"/>
  <c r="Q463" i="11"/>
  <c r="P463" i="11"/>
  <c r="O463" i="11"/>
  <c r="N463" i="11"/>
  <c r="M463" i="11"/>
  <c r="F463" i="11"/>
  <c r="E463" i="11"/>
  <c r="D463" i="11"/>
  <c r="C463" i="11"/>
  <c r="B463" i="11"/>
  <c r="X462" i="11"/>
  <c r="W462" i="11"/>
  <c r="V462" i="11"/>
  <c r="U462" i="11"/>
  <c r="T462" i="11"/>
  <c r="S462" i="11"/>
  <c r="R462" i="11"/>
  <c r="Q462" i="11"/>
  <c r="P462" i="11"/>
  <c r="O462" i="11"/>
  <c r="N462" i="11"/>
  <c r="M462" i="11"/>
  <c r="F462" i="11"/>
  <c r="E462" i="11"/>
  <c r="D462" i="11"/>
  <c r="C462" i="11"/>
  <c r="B462" i="11"/>
  <c r="X461" i="11"/>
  <c r="W461" i="11"/>
  <c r="V461" i="11"/>
  <c r="U461" i="11"/>
  <c r="T461" i="11"/>
  <c r="S461" i="11"/>
  <c r="R461" i="11"/>
  <c r="Q461" i="11"/>
  <c r="P461" i="11"/>
  <c r="O461" i="11"/>
  <c r="N461" i="11"/>
  <c r="M461" i="11"/>
  <c r="F461" i="11"/>
  <c r="E461" i="11"/>
  <c r="D461" i="11"/>
  <c r="C461" i="11"/>
  <c r="B461" i="11"/>
  <c r="X460" i="11"/>
  <c r="W460" i="11"/>
  <c r="V460" i="11"/>
  <c r="U460" i="11"/>
  <c r="T460" i="11"/>
  <c r="S460" i="11"/>
  <c r="R460" i="11"/>
  <c r="Q460" i="11"/>
  <c r="P460" i="11"/>
  <c r="O460" i="11"/>
  <c r="N460" i="11"/>
  <c r="M460" i="11"/>
  <c r="F460" i="11"/>
  <c r="E460" i="11"/>
  <c r="D460" i="11"/>
  <c r="C460" i="11"/>
  <c r="B460" i="11"/>
  <c r="X459" i="11"/>
  <c r="W459" i="11"/>
  <c r="V459" i="11"/>
  <c r="U459" i="11"/>
  <c r="T459" i="11"/>
  <c r="S459" i="11"/>
  <c r="R459" i="11"/>
  <c r="Q459" i="11"/>
  <c r="P459" i="11"/>
  <c r="O459" i="11"/>
  <c r="N459" i="11"/>
  <c r="M459" i="11"/>
  <c r="F459" i="11"/>
  <c r="E459" i="11"/>
  <c r="D459" i="11"/>
  <c r="C459" i="11"/>
  <c r="B459" i="11"/>
  <c r="X458" i="11"/>
  <c r="W458" i="11"/>
  <c r="V458" i="11"/>
  <c r="U458" i="11"/>
  <c r="T458" i="11"/>
  <c r="S458" i="11"/>
  <c r="R458" i="11"/>
  <c r="Q458" i="11"/>
  <c r="P458" i="11"/>
  <c r="O458" i="11"/>
  <c r="N458" i="11"/>
  <c r="M458" i="11"/>
  <c r="F458" i="11"/>
  <c r="E458" i="11"/>
  <c r="D458" i="11"/>
  <c r="C458" i="11"/>
  <c r="B458" i="11"/>
  <c r="X457" i="11"/>
  <c r="W457" i="11"/>
  <c r="V457" i="11"/>
  <c r="U457" i="11"/>
  <c r="T457" i="11"/>
  <c r="S457" i="11"/>
  <c r="R457" i="11"/>
  <c r="Q457" i="11"/>
  <c r="P457" i="11"/>
  <c r="O457" i="11"/>
  <c r="N457" i="11"/>
  <c r="M457" i="11"/>
  <c r="F457" i="11"/>
  <c r="E457" i="11"/>
  <c r="D457" i="11"/>
  <c r="C457" i="11"/>
  <c r="B457" i="11"/>
  <c r="X456" i="11"/>
  <c r="W456" i="11"/>
  <c r="V456" i="11"/>
  <c r="U456" i="11"/>
  <c r="T456" i="11"/>
  <c r="S456" i="11"/>
  <c r="R456" i="11"/>
  <c r="Q456" i="11"/>
  <c r="P456" i="11"/>
  <c r="O456" i="11"/>
  <c r="N456" i="11"/>
  <c r="M456" i="11"/>
  <c r="F456" i="11"/>
  <c r="E456" i="11"/>
  <c r="D456" i="11"/>
  <c r="C456" i="11"/>
  <c r="B456" i="11"/>
  <c r="X455" i="11"/>
  <c r="W455" i="11"/>
  <c r="V455" i="11"/>
  <c r="U455" i="11"/>
  <c r="T455" i="11"/>
  <c r="S455" i="11"/>
  <c r="R455" i="11"/>
  <c r="Q455" i="11"/>
  <c r="P455" i="11"/>
  <c r="O455" i="11"/>
  <c r="N455" i="11"/>
  <c r="M455" i="11"/>
  <c r="F455" i="11"/>
  <c r="E455" i="11"/>
  <c r="D455" i="11"/>
  <c r="C455" i="11"/>
  <c r="B455" i="11"/>
  <c r="X454" i="11"/>
  <c r="W454" i="11"/>
  <c r="V454" i="11"/>
  <c r="U454" i="11"/>
  <c r="T454" i="11"/>
  <c r="S454" i="11"/>
  <c r="R454" i="11"/>
  <c r="Q454" i="11"/>
  <c r="P454" i="11"/>
  <c r="O454" i="11"/>
  <c r="N454" i="11"/>
  <c r="M454" i="11"/>
  <c r="F454" i="11"/>
  <c r="E454" i="11"/>
  <c r="D454" i="11"/>
  <c r="C454" i="11"/>
  <c r="B454" i="11"/>
  <c r="X453" i="11"/>
  <c r="W453" i="11"/>
  <c r="V453" i="11"/>
  <c r="U453" i="11"/>
  <c r="T453" i="11"/>
  <c r="S453" i="11"/>
  <c r="R453" i="11"/>
  <c r="Q453" i="11"/>
  <c r="P453" i="11"/>
  <c r="O453" i="11"/>
  <c r="N453" i="11"/>
  <c r="M453" i="11"/>
  <c r="F453" i="11"/>
  <c r="E453" i="11"/>
  <c r="D453" i="11"/>
  <c r="C453" i="11"/>
  <c r="B453" i="11"/>
  <c r="X452" i="11"/>
  <c r="W452" i="11"/>
  <c r="V452" i="11"/>
  <c r="U452" i="11"/>
  <c r="T452" i="11"/>
  <c r="S452" i="11"/>
  <c r="R452" i="11"/>
  <c r="Q452" i="11"/>
  <c r="P452" i="11"/>
  <c r="O452" i="11"/>
  <c r="N452" i="11"/>
  <c r="M452" i="11"/>
  <c r="F452" i="11"/>
  <c r="E452" i="11"/>
  <c r="D452" i="11"/>
  <c r="C452" i="11"/>
  <c r="B452" i="11"/>
  <c r="X451" i="11"/>
  <c r="W451" i="11"/>
  <c r="V451" i="11"/>
  <c r="U451" i="11"/>
  <c r="T451" i="11"/>
  <c r="S451" i="11"/>
  <c r="R451" i="11"/>
  <c r="Q451" i="11"/>
  <c r="P451" i="11"/>
  <c r="O451" i="11"/>
  <c r="N451" i="11"/>
  <c r="M451" i="11"/>
  <c r="F451" i="11"/>
  <c r="E451" i="11"/>
  <c r="D451" i="11"/>
  <c r="C451" i="11"/>
  <c r="B451" i="11"/>
  <c r="X450" i="11"/>
  <c r="W450" i="11"/>
  <c r="V450" i="11"/>
  <c r="U450" i="11"/>
  <c r="T450" i="11"/>
  <c r="S450" i="11"/>
  <c r="R450" i="11"/>
  <c r="Q450" i="11"/>
  <c r="P450" i="11"/>
  <c r="O450" i="11"/>
  <c r="N450" i="11"/>
  <c r="M450" i="11"/>
  <c r="F450" i="11"/>
  <c r="E450" i="11"/>
  <c r="D450" i="11"/>
  <c r="C450" i="11"/>
  <c r="B450" i="11"/>
  <c r="X449" i="11"/>
  <c r="W449" i="11"/>
  <c r="V449" i="11"/>
  <c r="U449" i="11"/>
  <c r="T449" i="11"/>
  <c r="S449" i="11"/>
  <c r="R449" i="11"/>
  <c r="Q449" i="11"/>
  <c r="P449" i="11"/>
  <c r="O449" i="11"/>
  <c r="N449" i="11"/>
  <c r="M449" i="11"/>
  <c r="F449" i="11"/>
  <c r="E449" i="11"/>
  <c r="D449" i="11"/>
  <c r="C449" i="11"/>
  <c r="B449" i="11"/>
  <c r="X448" i="11"/>
  <c r="W448" i="11"/>
  <c r="V448" i="11"/>
  <c r="U448" i="11"/>
  <c r="T448" i="11"/>
  <c r="S448" i="11"/>
  <c r="R448" i="11"/>
  <c r="Q448" i="11"/>
  <c r="P448" i="11"/>
  <c r="O448" i="11"/>
  <c r="N448" i="11"/>
  <c r="M448" i="11"/>
  <c r="F448" i="11"/>
  <c r="E448" i="11"/>
  <c r="D448" i="11"/>
  <c r="C448" i="11"/>
  <c r="B448" i="11"/>
  <c r="X447" i="11"/>
  <c r="W447" i="11"/>
  <c r="V447" i="11"/>
  <c r="U447" i="11"/>
  <c r="T447" i="11"/>
  <c r="S447" i="11"/>
  <c r="R447" i="11"/>
  <c r="Q447" i="11"/>
  <c r="P447" i="11"/>
  <c r="O447" i="11"/>
  <c r="N447" i="11"/>
  <c r="M447" i="11"/>
  <c r="F447" i="11"/>
  <c r="E447" i="11"/>
  <c r="D447" i="11"/>
  <c r="C447" i="11"/>
  <c r="B447" i="11"/>
  <c r="X446" i="11"/>
  <c r="W446" i="11"/>
  <c r="V446" i="11"/>
  <c r="U446" i="11"/>
  <c r="T446" i="11"/>
  <c r="S446" i="11"/>
  <c r="R446" i="11"/>
  <c r="Q446" i="11"/>
  <c r="P446" i="11"/>
  <c r="O446" i="11"/>
  <c r="N446" i="11"/>
  <c r="M446" i="11"/>
  <c r="F446" i="11"/>
  <c r="E446" i="11"/>
  <c r="D446" i="11"/>
  <c r="C446" i="11"/>
  <c r="B446" i="11"/>
  <c r="X445" i="11"/>
  <c r="W445" i="11"/>
  <c r="V445" i="11"/>
  <c r="U445" i="11"/>
  <c r="T445" i="11"/>
  <c r="S445" i="11"/>
  <c r="R445" i="11"/>
  <c r="Q445" i="11"/>
  <c r="P445" i="11"/>
  <c r="O445" i="11"/>
  <c r="N445" i="11"/>
  <c r="M445" i="11"/>
  <c r="F445" i="11"/>
  <c r="E445" i="11"/>
  <c r="D445" i="11"/>
  <c r="C445" i="11"/>
  <c r="B445" i="11"/>
  <c r="X444" i="11"/>
  <c r="W444" i="11"/>
  <c r="V444" i="11"/>
  <c r="U444" i="11"/>
  <c r="T444" i="11"/>
  <c r="S444" i="11"/>
  <c r="R444" i="11"/>
  <c r="Q444" i="11"/>
  <c r="P444" i="11"/>
  <c r="O444" i="11"/>
  <c r="N444" i="11"/>
  <c r="M444" i="11"/>
  <c r="F444" i="11"/>
  <c r="E444" i="11"/>
  <c r="D444" i="11"/>
  <c r="C444" i="11"/>
  <c r="B444" i="11"/>
  <c r="X443" i="11"/>
  <c r="W443" i="11"/>
  <c r="V443" i="11"/>
  <c r="U443" i="11"/>
  <c r="T443" i="11"/>
  <c r="S443" i="11"/>
  <c r="R443" i="11"/>
  <c r="Q443" i="11"/>
  <c r="P443" i="11"/>
  <c r="O443" i="11"/>
  <c r="N443" i="11"/>
  <c r="M443" i="11"/>
  <c r="F443" i="11"/>
  <c r="E443" i="11"/>
  <c r="D443" i="11"/>
  <c r="C443" i="11"/>
  <c r="B443" i="11"/>
  <c r="X442" i="11"/>
  <c r="W442" i="11"/>
  <c r="V442" i="11"/>
  <c r="U442" i="11"/>
  <c r="T442" i="11"/>
  <c r="S442" i="11"/>
  <c r="R442" i="11"/>
  <c r="Q442" i="11"/>
  <c r="P442" i="11"/>
  <c r="O442" i="11"/>
  <c r="N442" i="11"/>
  <c r="M442" i="11"/>
  <c r="F442" i="11"/>
  <c r="E442" i="11"/>
  <c r="D442" i="11"/>
  <c r="C442" i="11"/>
  <c r="B442" i="11"/>
  <c r="X441" i="11"/>
  <c r="W441" i="11"/>
  <c r="V441" i="11"/>
  <c r="U441" i="11"/>
  <c r="T441" i="11"/>
  <c r="S441" i="11"/>
  <c r="R441" i="11"/>
  <c r="Q441" i="11"/>
  <c r="P441" i="11"/>
  <c r="O441" i="11"/>
  <c r="N441" i="11"/>
  <c r="M441" i="11"/>
  <c r="F441" i="11"/>
  <c r="E441" i="11"/>
  <c r="D441" i="11"/>
  <c r="C441" i="11"/>
  <c r="B441" i="11"/>
  <c r="X440" i="11"/>
  <c r="W440" i="11"/>
  <c r="V440" i="11"/>
  <c r="U440" i="11"/>
  <c r="T440" i="11"/>
  <c r="S440" i="11"/>
  <c r="R440" i="11"/>
  <c r="Q440" i="11"/>
  <c r="P440" i="11"/>
  <c r="O440" i="11"/>
  <c r="N440" i="11"/>
  <c r="M440" i="11"/>
  <c r="F440" i="11"/>
  <c r="E440" i="11"/>
  <c r="D440" i="11"/>
  <c r="C440" i="11"/>
  <c r="B440" i="11"/>
  <c r="X439" i="11"/>
  <c r="W439" i="11"/>
  <c r="V439" i="11"/>
  <c r="U439" i="11"/>
  <c r="T439" i="11"/>
  <c r="S439" i="11"/>
  <c r="R439" i="11"/>
  <c r="Q439" i="11"/>
  <c r="P439" i="11"/>
  <c r="O439" i="11"/>
  <c r="N439" i="11"/>
  <c r="M439" i="11"/>
  <c r="F439" i="11"/>
  <c r="E439" i="11"/>
  <c r="D439" i="11"/>
  <c r="C439" i="11"/>
  <c r="B439" i="11"/>
  <c r="X438" i="11"/>
  <c r="W438" i="11"/>
  <c r="V438" i="11"/>
  <c r="U438" i="11"/>
  <c r="T438" i="11"/>
  <c r="S438" i="11"/>
  <c r="R438" i="11"/>
  <c r="Q438" i="11"/>
  <c r="P438" i="11"/>
  <c r="O438" i="11"/>
  <c r="N438" i="11"/>
  <c r="M438" i="11"/>
  <c r="F438" i="11"/>
  <c r="E438" i="11"/>
  <c r="D438" i="11"/>
  <c r="C438" i="11"/>
  <c r="B438" i="11"/>
  <c r="X437" i="11"/>
  <c r="W437" i="11"/>
  <c r="V437" i="11"/>
  <c r="U437" i="11"/>
  <c r="T437" i="11"/>
  <c r="S437" i="11"/>
  <c r="R437" i="11"/>
  <c r="Q437" i="11"/>
  <c r="P437" i="11"/>
  <c r="O437" i="11"/>
  <c r="N437" i="11"/>
  <c r="M437" i="11"/>
  <c r="F437" i="11"/>
  <c r="E437" i="11"/>
  <c r="D437" i="11"/>
  <c r="C437" i="11"/>
  <c r="B437" i="11"/>
  <c r="X436" i="11"/>
  <c r="W436" i="11"/>
  <c r="V436" i="11"/>
  <c r="U436" i="11"/>
  <c r="T436" i="11"/>
  <c r="S436" i="11"/>
  <c r="R436" i="11"/>
  <c r="Q436" i="11"/>
  <c r="P436" i="11"/>
  <c r="O436" i="11"/>
  <c r="N436" i="11"/>
  <c r="M436" i="11"/>
  <c r="F436" i="11"/>
  <c r="E436" i="11"/>
  <c r="D436" i="11"/>
  <c r="C436" i="11"/>
  <c r="B436" i="11"/>
  <c r="X435" i="11"/>
  <c r="W435" i="11"/>
  <c r="V435" i="11"/>
  <c r="U435" i="11"/>
  <c r="T435" i="11"/>
  <c r="S435" i="11"/>
  <c r="R435" i="11"/>
  <c r="Q435" i="11"/>
  <c r="P435" i="11"/>
  <c r="O435" i="11"/>
  <c r="N435" i="11"/>
  <c r="M435" i="11"/>
  <c r="F435" i="11"/>
  <c r="E435" i="11"/>
  <c r="D435" i="11"/>
  <c r="C435" i="11"/>
  <c r="B435" i="11"/>
  <c r="X434" i="11"/>
  <c r="W434" i="11"/>
  <c r="V434" i="11"/>
  <c r="U434" i="11"/>
  <c r="T434" i="11"/>
  <c r="S434" i="11"/>
  <c r="R434" i="11"/>
  <c r="Q434" i="11"/>
  <c r="P434" i="11"/>
  <c r="O434" i="11"/>
  <c r="N434" i="11"/>
  <c r="M434" i="11"/>
  <c r="F434" i="11"/>
  <c r="E434" i="11"/>
  <c r="D434" i="11"/>
  <c r="C434" i="11"/>
  <c r="B434" i="11"/>
  <c r="X433" i="11"/>
  <c r="W433" i="11"/>
  <c r="V433" i="11"/>
  <c r="U433" i="11"/>
  <c r="T433" i="11"/>
  <c r="S433" i="11"/>
  <c r="R433" i="11"/>
  <c r="Q433" i="11"/>
  <c r="P433" i="11"/>
  <c r="O433" i="11"/>
  <c r="N433" i="11"/>
  <c r="M433" i="11"/>
  <c r="F433" i="11"/>
  <c r="E433" i="11"/>
  <c r="D433" i="11"/>
  <c r="C433" i="11"/>
  <c r="B433" i="11"/>
  <c r="X432" i="11"/>
  <c r="W432" i="11"/>
  <c r="V432" i="11"/>
  <c r="U432" i="11"/>
  <c r="T432" i="11"/>
  <c r="S432" i="11"/>
  <c r="R432" i="11"/>
  <c r="Q432" i="11"/>
  <c r="P432" i="11"/>
  <c r="O432" i="11"/>
  <c r="N432" i="11"/>
  <c r="M432" i="11"/>
  <c r="F432" i="11"/>
  <c r="E432" i="11"/>
  <c r="D432" i="11"/>
  <c r="C432" i="11"/>
  <c r="B432" i="11"/>
  <c r="X431" i="11"/>
  <c r="W431" i="11"/>
  <c r="V431" i="11"/>
  <c r="U431" i="11"/>
  <c r="T431" i="11"/>
  <c r="S431" i="11"/>
  <c r="R431" i="11"/>
  <c r="Q431" i="11"/>
  <c r="P431" i="11"/>
  <c r="O431" i="11"/>
  <c r="N431" i="11"/>
  <c r="M431" i="11"/>
  <c r="F431" i="11"/>
  <c r="E431" i="11"/>
  <c r="D431" i="11"/>
  <c r="C431" i="11"/>
  <c r="B431" i="11"/>
  <c r="X430" i="11"/>
  <c r="W430" i="11"/>
  <c r="V430" i="11"/>
  <c r="U430" i="11"/>
  <c r="T430" i="11"/>
  <c r="S430" i="11"/>
  <c r="R430" i="11"/>
  <c r="Q430" i="11"/>
  <c r="P430" i="11"/>
  <c r="O430" i="11"/>
  <c r="N430" i="11"/>
  <c r="M430" i="11"/>
  <c r="F430" i="11"/>
  <c r="E430" i="11"/>
  <c r="D430" i="11"/>
  <c r="C430" i="11"/>
  <c r="B430" i="11"/>
  <c r="X429" i="11"/>
  <c r="W429" i="11"/>
  <c r="V429" i="11"/>
  <c r="U429" i="11"/>
  <c r="T429" i="11"/>
  <c r="S429" i="11"/>
  <c r="R429" i="11"/>
  <c r="Q429" i="11"/>
  <c r="P429" i="11"/>
  <c r="O429" i="11"/>
  <c r="N429" i="11"/>
  <c r="M429" i="11"/>
  <c r="F429" i="11"/>
  <c r="E429" i="11"/>
  <c r="D429" i="11"/>
  <c r="C429" i="11"/>
  <c r="B429" i="11"/>
  <c r="X428" i="11"/>
  <c r="W428" i="11"/>
  <c r="V428" i="11"/>
  <c r="U428" i="11"/>
  <c r="T428" i="11"/>
  <c r="S428" i="11"/>
  <c r="R428" i="11"/>
  <c r="Q428" i="11"/>
  <c r="P428" i="11"/>
  <c r="O428" i="11"/>
  <c r="N428" i="11"/>
  <c r="M428" i="11"/>
  <c r="F428" i="11"/>
  <c r="E428" i="11"/>
  <c r="D428" i="11"/>
  <c r="C428" i="11"/>
  <c r="B428" i="11"/>
  <c r="X427" i="11"/>
  <c r="W427" i="11"/>
  <c r="V427" i="11"/>
  <c r="U427" i="11"/>
  <c r="T427" i="11"/>
  <c r="S427" i="11"/>
  <c r="R427" i="11"/>
  <c r="Q427" i="11"/>
  <c r="P427" i="11"/>
  <c r="O427" i="11"/>
  <c r="N427" i="11"/>
  <c r="M427" i="11"/>
  <c r="F427" i="11"/>
  <c r="E427" i="11"/>
  <c r="D427" i="11"/>
  <c r="C427" i="11"/>
  <c r="B427" i="11"/>
  <c r="X426" i="11"/>
  <c r="W426" i="11"/>
  <c r="V426" i="11"/>
  <c r="U426" i="11"/>
  <c r="T426" i="11"/>
  <c r="S426" i="11"/>
  <c r="R426" i="11"/>
  <c r="Q426" i="11"/>
  <c r="P426" i="11"/>
  <c r="O426" i="11"/>
  <c r="N426" i="11"/>
  <c r="M426" i="11"/>
  <c r="F426" i="11"/>
  <c r="E426" i="11"/>
  <c r="D426" i="11"/>
  <c r="C426" i="11"/>
  <c r="B426" i="11"/>
  <c r="X425" i="11"/>
  <c r="W425" i="11"/>
  <c r="V425" i="11"/>
  <c r="U425" i="11"/>
  <c r="T425" i="11"/>
  <c r="S425" i="11"/>
  <c r="R425" i="11"/>
  <c r="Q425" i="11"/>
  <c r="P425" i="11"/>
  <c r="O425" i="11"/>
  <c r="N425" i="11"/>
  <c r="M425" i="11"/>
  <c r="F425" i="11"/>
  <c r="E425" i="11"/>
  <c r="D425" i="11"/>
  <c r="C425" i="11"/>
  <c r="B425" i="11"/>
  <c r="X424" i="11"/>
  <c r="W424" i="11"/>
  <c r="V424" i="11"/>
  <c r="U424" i="11"/>
  <c r="T424" i="11"/>
  <c r="S424" i="11"/>
  <c r="R424" i="11"/>
  <c r="Q424" i="11"/>
  <c r="P424" i="11"/>
  <c r="O424" i="11"/>
  <c r="N424" i="11"/>
  <c r="M424" i="11"/>
  <c r="F424" i="11"/>
  <c r="E424" i="11"/>
  <c r="D424" i="11"/>
  <c r="C424" i="11"/>
  <c r="B424" i="11"/>
  <c r="X423" i="11"/>
  <c r="W423" i="11"/>
  <c r="V423" i="11"/>
  <c r="U423" i="11"/>
  <c r="T423" i="11"/>
  <c r="S423" i="11"/>
  <c r="R423" i="11"/>
  <c r="Q423" i="11"/>
  <c r="P423" i="11"/>
  <c r="O423" i="11"/>
  <c r="N423" i="11"/>
  <c r="M423" i="11"/>
  <c r="F423" i="11"/>
  <c r="E423" i="11"/>
  <c r="D423" i="11"/>
  <c r="C423" i="11"/>
  <c r="B423" i="11"/>
  <c r="X422" i="11"/>
  <c r="W422" i="11"/>
  <c r="V422" i="11"/>
  <c r="U422" i="11"/>
  <c r="T422" i="11"/>
  <c r="S422" i="11"/>
  <c r="R422" i="11"/>
  <c r="Q422" i="11"/>
  <c r="P422" i="11"/>
  <c r="O422" i="11"/>
  <c r="N422" i="11"/>
  <c r="M422" i="11"/>
  <c r="F422" i="11"/>
  <c r="E422" i="11"/>
  <c r="D422" i="11"/>
  <c r="C422" i="11"/>
  <c r="B422" i="11"/>
  <c r="X421" i="11"/>
  <c r="W421" i="11"/>
  <c r="V421" i="11"/>
  <c r="U421" i="11"/>
  <c r="T421" i="11"/>
  <c r="S421" i="11"/>
  <c r="R421" i="11"/>
  <c r="Q421" i="11"/>
  <c r="P421" i="11"/>
  <c r="O421" i="11"/>
  <c r="N421" i="11"/>
  <c r="M421" i="11"/>
  <c r="F421" i="11"/>
  <c r="E421" i="11"/>
  <c r="D421" i="11"/>
  <c r="C421" i="11"/>
  <c r="B421" i="11"/>
  <c r="X420" i="11"/>
  <c r="W420" i="11"/>
  <c r="V420" i="11"/>
  <c r="U420" i="11"/>
  <c r="T420" i="11"/>
  <c r="S420" i="11"/>
  <c r="R420" i="11"/>
  <c r="Q420" i="11"/>
  <c r="P420" i="11"/>
  <c r="O420" i="11"/>
  <c r="N420" i="11"/>
  <c r="M420" i="11"/>
  <c r="F420" i="11"/>
  <c r="E420" i="11"/>
  <c r="D420" i="11"/>
  <c r="C420" i="11"/>
  <c r="B420" i="11"/>
  <c r="X419" i="11"/>
  <c r="W419" i="11"/>
  <c r="V419" i="11"/>
  <c r="U419" i="11"/>
  <c r="T419" i="11"/>
  <c r="S419" i="11"/>
  <c r="R419" i="11"/>
  <c r="Q419" i="11"/>
  <c r="P419" i="11"/>
  <c r="O419" i="11"/>
  <c r="N419" i="11"/>
  <c r="M419" i="11"/>
  <c r="F419" i="11"/>
  <c r="E419" i="11"/>
  <c r="D419" i="11"/>
  <c r="C419" i="11"/>
  <c r="B419" i="11"/>
  <c r="X418" i="11"/>
  <c r="W418" i="11"/>
  <c r="V418" i="11"/>
  <c r="U418" i="11"/>
  <c r="T418" i="11"/>
  <c r="S418" i="11"/>
  <c r="R418" i="11"/>
  <c r="Q418" i="11"/>
  <c r="P418" i="11"/>
  <c r="O418" i="11"/>
  <c r="N418" i="11"/>
  <c r="M418" i="11"/>
  <c r="F418" i="11"/>
  <c r="E418" i="11"/>
  <c r="D418" i="11"/>
  <c r="C418" i="11"/>
  <c r="B418" i="11"/>
  <c r="X417" i="11"/>
  <c r="W417" i="11"/>
  <c r="V417" i="11"/>
  <c r="U417" i="11"/>
  <c r="T417" i="11"/>
  <c r="S417" i="11"/>
  <c r="R417" i="11"/>
  <c r="Q417" i="11"/>
  <c r="P417" i="11"/>
  <c r="O417" i="11"/>
  <c r="N417" i="11"/>
  <c r="M417" i="11"/>
  <c r="F417" i="11"/>
  <c r="E417" i="11"/>
  <c r="D417" i="11"/>
  <c r="C417" i="11"/>
  <c r="B417" i="11"/>
  <c r="X416" i="11"/>
  <c r="W416" i="11"/>
  <c r="V416" i="11"/>
  <c r="U416" i="11"/>
  <c r="T416" i="11"/>
  <c r="S416" i="11"/>
  <c r="R416" i="11"/>
  <c r="Q416" i="11"/>
  <c r="P416" i="11"/>
  <c r="O416" i="11"/>
  <c r="N416" i="11"/>
  <c r="M416" i="11"/>
  <c r="F416" i="11"/>
  <c r="E416" i="11"/>
  <c r="D416" i="11"/>
  <c r="C416" i="11"/>
  <c r="B416" i="11"/>
  <c r="X415" i="11"/>
  <c r="W415" i="11"/>
  <c r="V415" i="11"/>
  <c r="U415" i="11"/>
  <c r="T415" i="11"/>
  <c r="S415" i="11"/>
  <c r="R415" i="11"/>
  <c r="Q415" i="11"/>
  <c r="P415" i="11"/>
  <c r="O415" i="11"/>
  <c r="N415" i="11"/>
  <c r="M415" i="11"/>
  <c r="F415" i="11"/>
  <c r="E415" i="11"/>
  <c r="D415" i="11"/>
  <c r="C415" i="11"/>
  <c r="B415" i="11"/>
  <c r="X414" i="11"/>
  <c r="W414" i="11"/>
  <c r="V414" i="11"/>
  <c r="U414" i="11"/>
  <c r="T414" i="11"/>
  <c r="S414" i="11"/>
  <c r="R414" i="11"/>
  <c r="Q414" i="11"/>
  <c r="P414" i="11"/>
  <c r="O414" i="11"/>
  <c r="N414" i="11"/>
  <c r="M414" i="11"/>
  <c r="F414" i="11"/>
  <c r="E414" i="11"/>
  <c r="D414" i="11"/>
  <c r="C414" i="11"/>
  <c r="B414" i="11"/>
  <c r="X413" i="11"/>
  <c r="W413" i="11"/>
  <c r="V413" i="11"/>
  <c r="U413" i="11"/>
  <c r="T413" i="11"/>
  <c r="S413" i="11"/>
  <c r="R413" i="11"/>
  <c r="Q413" i="11"/>
  <c r="P413" i="11"/>
  <c r="O413" i="11"/>
  <c r="N413" i="11"/>
  <c r="M413" i="11"/>
  <c r="F413" i="11"/>
  <c r="E413" i="11"/>
  <c r="D413" i="11"/>
  <c r="C413" i="11"/>
  <c r="B413" i="11"/>
  <c r="X412" i="11"/>
  <c r="W412" i="11"/>
  <c r="V412" i="11"/>
  <c r="U412" i="11"/>
  <c r="T412" i="11"/>
  <c r="S412" i="11"/>
  <c r="R412" i="11"/>
  <c r="Q412" i="11"/>
  <c r="P412" i="11"/>
  <c r="O412" i="11"/>
  <c r="N412" i="11"/>
  <c r="M412" i="11"/>
  <c r="F412" i="11"/>
  <c r="E412" i="11"/>
  <c r="D412" i="11"/>
  <c r="C412" i="11"/>
  <c r="B412" i="11"/>
  <c r="X411" i="11"/>
  <c r="W411" i="11"/>
  <c r="V411" i="11"/>
  <c r="U411" i="11"/>
  <c r="T411" i="11"/>
  <c r="S411" i="11"/>
  <c r="R411" i="11"/>
  <c r="Q411" i="11"/>
  <c r="P411" i="11"/>
  <c r="O411" i="11"/>
  <c r="N411" i="11"/>
  <c r="M411" i="11"/>
  <c r="F411" i="11"/>
  <c r="E411" i="11"/>
  <c r="D411" i="11"/>
  <c r="C411" i="11"/>
  <c r="B411" i="11"/>
  <c r="X410" i="11"/>
  <c r="W410" i="11"/>
  <c r="V410" i="11"/>
  <c r="U410" i="11"/>
  <c r="T410" i="11"/>
  <c r="S410" i="11"/>
  <c r="R410" i="11"/>
  <c r="Q410" i="11"/>
  <c r="P410" i="11"/>
  <c r="O410" i="11"/>
  <c r="N410" i="11"/>
  <c r="M410" i="11"/>
  <c r="F410" i="11"/>
  <c r="E410" i="11"/>
  <c r="D410" i="11"/>
  <c r="C410" i="11"/>
  <c r="B410" i="11"/>
  <c r="X409" i="11"/>
  <c r="W409" i="11"/>
  <c r="V409" i="11"/>
  <c r="U409" i="11"/>
  <c r="T409" i="11"/>
  <c r="S409" i="11"/>
  <c r="R409" i="11"/>
  <c r="Q409" i="11"/>
  <c r="P409" i="11"/>
  <c r="O409" i="11"/>
  <c r="N409" i="11"/>
  <c r="M409" i="11"/>
  <c r="F409" i="11"/>
  <c r="E409" i="11"/>
  <c r="D409" i="11"/>
  <c r="C409" i="11"/>
  <c r="B409" i="11"/>
  <c r="X408" i="11"/>
  <c r="W408" i="11"/>
  <c r="V408" i="11"/>
  <c r="U408" i="11"/>
  <c r="T408" i="11"/>
  <c r="S408" i="11"/>
  <c r="R408" i="11"/>
  <c r="Q408" i="11"/>
  <c r="P408" i="11"/>
  <c r="O408" i="11"/>
  <c r="N408" i="11"/>
  <c r="M408" i="11"/>
  <c r="F408" i="11"/>
  <c r="E408" i="11"/>
  <c r="D408" i="11"/>
  <c r="C408" i="11"/>
  <c r="B408" i="11"/>
  <c r="X407" i="11"/>
  <c r="W407" i="11"/>
  <c r="V407" i="11"/>
  <c r="U407" i="11"/>
  <c r="T407" i="11"/>
  <c r="S407" i="11"/>
  <c r="R407" i="11"/>
  <c r="Q407" i="11"/>
  <c r="P407" i="11"/>
  <c r="O407" i="11"/>
  <c r="N407" i="11"/>
  <c r="M407" i="11"/>
  <c r="F407" i="11"/>
  <c r="E407" i="11"/>
  <c r="D407" i="11"/>
  <c r="C407" i="11"/>
  <c r="B407" i="11"/>
  <c r="X406" i="11"/>
  <c r="W406" i="11"/>
  <c r="V406" i="11"/>
  <c r="U406" i="11"/>
  <c r="T406" i="11"/>
  <c r="S406" i="11"/>
  <c r="R406" i="11"/>
  <c r="Q406" i="11"/>
  <c r="P406" i="11"/>
  <c r="O406" i="11"/>
  <c r="N406" i="11"/>
  <c r="M406" i="11"/>
  <c r="F406" i="11"/>
  <c r="E406" i="11"/>
  <c r="D406" i="11"/>
  <c r="C406" i="11"/>
  <c r="B406" i="11"/>
  <c r="X405" i="11"/>
  <c r="W405" i="11"/>
  <c r="V405" i="11"/>
  <c r="U405" i="11"/>
  <c r="T405" i="11"/>
  <c r="S405" i="11"/>
  <c r="R405" i="11"/>
  <c r="Q405" i="11"/>
  <c r="P405" i="11"/>
  <c r="O405" i="11"/>
  <c r="N405" i="11"/>
  <c r="M405" i="11"/>
  <c r="F405" i="11"/>
  <c r="E405" i="11"/>
  <c r="D405" i="11"/>
  <c r="C405" i="11"/>
  <c r="B405" i="11"/>
  <c r="X404" i="11"/>
  <c r="W404" i="11"/>
  <c r="V404" i="11"/>
  <c r="U404" i="11"/>
  <c r="T404" i="11"/>
  <c r="S404" i="11"/>
  <c r="R404" i="11"/>
  <c r="Q404" i="11"/>
  <c r="P404" i="11"/>
  <c r="O404" i="11"/>
  <c r="N404" i="11"/>
  <c r="M404" i="11"/>
  <c r="F404" i="11"/>
  <c r="E404" i="11"/>
  <c r="D404" i="11"/>
  <c r="C404" i="11"/>
  <c r="B404" i="11"/>
  <c r="X403" i="11"/>
  <c r="W403" i="11"/>
  <c r="V403" i="11"/>
  <c r="U403" i="11"/>
  <c r="T403" i="11"/>
  <c r="S403" i="11"/>
  <c r="R403" i="11"/>
  <c r="Q403" i="11"/>
  <c r="P403" i="11"/>
  <c r="O403" i="11"/>
  <c r="N403" i="11"/>
  <c r="M403" i="11"/>
  <c r="F403" i="11"/>
  <c r="E403" i="11"/>
  <c r="D403" i="11"/>
  <c r="C403" i="11"/>
  <c r="B403" i="11"/>
  <c r="X402" i="11"/>
  <c r="W402" i="11"/>
  <c r="V402" i="11"/>
  <c r="U402" i="11"/>
  <c r="T402" i="11"/>
  <c r="S402" i="11"/>
  <c r="R402" i="11"/>
  <c r="Q402" i="11"/>
  <c r="P402" i="11"/>
  <c r="O402" i="11"/>
  <c r="N402" i="11"/>
  <c r="M402" i="11"/>
  <c r="F402" i="11"/>
  <c r="E402" i="11"/>
  <c r="D402" i="11"/>
  <c r="C402" i="11"/>
  <c r="B402" i="11"/>
  <c r="X401" i="11"/>
  <c r="W401" i="11"/>
  <c r="V401" i="11"/>
  <c r="U401" i="11"/>
  <c r="T401" i="11"/>
  <c r="S401" i="11"/>
  <c r="R401" i="11"/>
  <c r="Q401" i="11"/>
  <c r="P401" i="11"/>
  <c r="O401" i="11"/>
  <c r="N401" i="11"/>
  <c r="M401" i="11"/>
  <c r="F401" i="11"/>
  <c r="E401" i="11"/>
  <c r="D401" i="11"/>
  <c r="C401" i="11"/>
  <c r="B401" i="11"/>
  <c r="X400" i="11"/>
  <c r="W400" i="11"/>
  <c r="V400" i="11"/>
  <c r="U400" i="11"/>
  <c r="T400" i="11"/>
  <c r="S400" i="11"/>
  <c r="R400" i="11"/>
  <c r="Q400" i="11"/>
  <c r="P400" i="11"/>
  <c r="O400" i="11"/>
  <c r="N400" i="11"/>
  <c r="M400" i="11"/>
  <c r="F400" i="11"/>
  <c r="E400" i="11"/>
  <c r="D400" i="11"/>
  <c r="C400" i="11"/>
  <c r="B400" i="11"/>
  <c r="X399" i="11"/>
  <c r="W399" i="11"/>
  <c r="V399" i="11"/>
  <c r="U399" i="11"/>
  <c r="T399" i="11"/>
  <c r="S399" i="11"/>
  <c r="R399" i="11"/>
  <c r="Q399" i="11"/>
  <c r="P399" i="11"/>
  <c r="O399" i="11"/>
  <c r="N399" i="11"/>
  <c r="M399" i="11"/>
  <c r="F399" i="11"/>
  <c r="E399" i="11"/>
  <c r="D399" i="11"/>
  <c r="C399" i="11"/>
  <c r="B399" i="11"/>
  <c r="X398" i="11"/>
  <c r="W398" i="11"/>
  <c r="V398" i="11"/>
  <c r="U398" i="11"/>
  <c r="T398" i="11"/>
  <c r="S398" i="11"/>
  <c r="R398" i="11"/>
  <c r="Q398" i="11"/>
  <c r="P398" i="11"/>
  <c r="O398" i="11"/>
  <c r="N398" i="11"/>
  <c r="M398" i="11"/>
  <c r="F398" i="11"/>
  <c r="E398" i="11"/>
  <c r="D398" i="11"/>
  <c r="C398" i="11"/>
  <c r="B398" i="11"/>
  <c r="X397" i="11"/>
  <c r="W397" i="11"/>
  <c r="V397" i="11"/>
  <c r="U397" i="11"/>
  <c r="T397" i="11"/>
  <c r="S397" i="11"/>
  <c r="R397" i="11"/>
  <c r="Q397" i="11"/>
  <c r="P397" i="11"/>
  <c r="O397" i="11"/>
  <c r="N397" i="11"/>
  <c r="M397" i="11"/>
  <c r="F397" i="11"/>
  <c r="E397" i="11"/>
  <c r="D397" i="11"/>
  <c r="C397" i="11"/>
  <c r="B397" i="11"/>
  <c r="X396" i="11"/>
  <c r="W396" i="11"/>
  <c r="V396" i="11"/>
  <c r="U396" i="11"/>
  <c r="T396" i="11"/>
  <c r="S396" i="11"/>
  <c r="R396" i="11"/>
  <c r="Q396" i="11"/>
  <c r="P396" i="11"/>
  <c r="O396" i="11"/>
  <c r="N396" i="11"/>
  <c r="M396" i="11"/>
  <c r="F396" i="11"/>
  <c r="E396" i="11"/>
  <c r="D396" i="11"/>
  <c r="C396" i="11"/>
  <c r="B396" i="11"/>
  <c r="X395" i="11"/>
  <c r="W395" i="11"/>
  <c r="V395" i="11"/>
  <c r="U395" i="11"/>
  <c r="T395" i="11"/>
  <c r="S395" i="11"/>
  <c r="R395" i="11"/>
  <c r="Q395" i="11"/>
  <c r="P395" i="11"/>
  <c r="O395" i="11"/>
  <c r="N395" i="11"/>
  <c r="M395" i="11"/>
  <c r="F395" i="11"/>
  <c r="E395" i="11"/>
  <c r="D395" i="11"/>
  <c r="C395" i="11"/>
  <c r="B395" i="11"/>
  <c r="X394" i="11"/>
  <c r="W394" i="11"/>
  <c r="V394" i="11"/>
  <c r="U394" i="11"/>
  <c r="T394" i="11"/>
  <c r="S394" i="11"/>
  <c r="R394" i="11"/>
  <c r="Q394" i="11"/>
  <c r="P394" i="11"/>
  <c r="O394" i="11"/>
  <c r="N394" i="11"/>
  <c r="M394" i="11"/>
  <c r="F394" i="11"/>
  <c r="E394" i="11"/>
  <c r="D394" i="11"/>
  <c r="C394" i="11"/>
  <c r="B394" i="11"/>
  <c r="X393" i="11"/>
  <c r="W393" i="11"/>
  <c r="V393" i="11"/>
  <c r="U393" i="11"/>
  <c r="T393" i="11"/>
  <c r="S393" i="11"/>
  <c r="R393" i="11"/>
  <c r="Q393" i="11"/>
  <c r="P393" i="11"/>
  <c r="O393" i="11"/>
  <c r="N393" i="11"/>
  <c r="M393" i="11"/>
  <c r="F393" i="11"/>
  <c r="E393" i="11"/>
  <c r="D393" i="11"/>
  <c r="C393" i="11"/>
  <c r="B393" i="11"/>
  <c r="X392" i="11"/>
  <c r="W392" i="11"/>
  <c r="V392" i="11"/>
  <c r="U392" i="11"/>
  <c r="T392" i="11"/>
  <c r="S392" i="11"/>
  <c r="R392" i="11"/>
  <c r="Q392" i="11"/>
  <c r="P392" i="11"/>
  <c r="O392" i="11"/>
  <c r="N392" i="11"/>
  <c r="M392" i="11"/>
  <c r="F392" i="11"/>
  <c r="E392" i="11"/>
  <c r="D392" i="11"/>
  <c r="C392" i="11"/>
  <c r="B392" i="11"/>
  <c r="X391" i="11"/>
  <c r="W391" i="11"/>
  <c r="V391" i="11"/>
  <c r="U391" i="11"/>
  <c r="T391" i="11"/>
  <c r="S391" i="11"/>
  <c r="R391" i="11"/>
  <c r="Q391" i="11"/>
  <c r="P391" i="11"/>
  <c r="O391" i="11"/>
  <c r="N391" i="11"/>
  <c r="M391" i="11"/>
  <c r="F391" i="11"/>
  <c r="E391" i="11"/>
  <c r="D391" i="11"/>
  <c r="C391" i="11"/>
  <c r="B391" i="11"/>
  <c r="X390" i="11"/>
  <c r="W390" i="11"/>
  <c r="V390" i="11"/>
  <c r="U390" i="11"/>
  <c r="T390" i="11"/>
  <c r="S390" i="11"/>
  <c r="R390" i="11"/>
  <c r="Q390" i="11"/>
  <c r="P390" i="11"/>
  <c r="O390" i="11"/>
  <c r="N390" i="11"/>
  <c r="M390" i="11"/>
  <c r="F390" i="11"/>
  <c r="E390" i="11"/>
  <c r="D390" i="11"/>
  <c r="C390" i="11"/>
  <c r="B390" i="11"/>
  <c r="X389" i="11"/>
  <c r="W389" i="11"/>
  <c r="V389" i="11"/>
  <c r="U389" i="11"/>
  <c r="T389" i="11"/>
  <c r="S389" i="11"/>
  <c r="R389" i="11"/>
  <c r="Q389" i="11"/>
  <c r="P389" i="11"/>
  <c r="O389" i="11"/>
  <c r="N389" i="11"/>
  <c r="M389" i="11"/>
  <c r="F389" i="11"/>
  <c r="E389" i="11"/>
  <c r="D389" i="11"/>
  <c r="C389" i="11"/>
  <c r="B389" i="11"/>
  <c r="X388" i="11"/>
  <c r="W388" i="11"/>
  <c r="V388" i="11"/>
  <c r="U388" i="11"/>
  <c r="T388" i="11"/>
  <c r="S388" i="11"/>
  <c r="R388" i="11"/>
  <c r="Q388" i="11"/>
  <c r="P388" i="11"/>
  <c r="O388" i="11"/>
  <c r="N388" i="11"/>
  <c r="M388" i="11"/>
  <c r="F388" i="11"/>
  <c r="E388" i="11"/>
  <c r="D388" i="11"/>
  <c r="C388" i="11"/>
  <c r="B388" i="11"/>
  <c r="X387" i="11"/>
  <c r="W387" i="11"/>
  <c r="V387" i="11"/>
  <c r="U387" i="11"/>
  <c r="T387" i="11"/>
  <c r="S387" i="11"/>
  <c r="R387" i="11"/>
  <c r="Q387" i="11"/>
  <c r="P387" i="11"/>
  <c r="O387" i="11"/>
  <c r="N387" i="11"/>
  <c r="M387" i="11"/>
  <c r="F387" i="11"/>
  <c r="E387" i="11"/>
  <c r="D387" i="11"/>
  <c r="C387" i="11"/>
  <c r="B387" i="11"/>
  <c r="X386" i="11"/>
  <c r="W386" i="11"/>
  <c r="V386" i="11"/>
  <c r="U386" i="11"/>
  <c r="T386" i="11"/>
  <c r="S386" i="11"/>
  <c r="R386" i="11"/>
  <c r="Q386" i="11"/>
  <c r="P386" i="11"/>
  <c r="O386" i="11"/>
  <c r="N386" i="11"/>
  <c r="M386" i="11"/>
  <c r="F386" i="11"/>
  <c r="E386" i="11"/>
  <c r="D386" i="11"/>
  <c r="C386" i="11"/>
  <c r="B386" i="11"/>
  <c r="X385" i="11"/>
  <c r="W385" i="11"/>
  <c r="V385" i="11"/>
  <c r="U385" i="11"/>
  <c r="T385" i="11"/>
  <c r="S385" i="11"/>
  <c r="R385" i="11"/>
  <c r="Q385" i="11"/>
  <c r="P385" i="11"/>
  <c r="O385" i="11"/>
  <c r="N385" i="11"/>
  <c r="M385" i="11"/>
  <c r="F385" i="11"/>
  <c r="E385" i="11"/>
  <c r="D385" i="11"/>
  <c r="C385" i="11"/>
  <c r="B385" i="11"/>
  <c r="X384" i="11"/>
  <c r="W384" i="11"/>
  <c r="V384" i="11"/>
  <c r="U384" i="11"/>
  <c r="T384" i="11"/>
  <c r="S384" i="11"/>
  <c r="R384" i="11"/>
  <c r="Q384" i="11"/>
  <c r="P384" i="11"/>
  <c r="O384" i="11"/>
  <c r="N384" i="11"/>
  <c r="M384" i="11"/>
  <c r="F384" i="11"/>
  <c r="E384" i="11"/>
  <c r="D384" i="11"/>
  <c r="C384" i="11"/>
  <c r="B384" i="11"/>
  <c r="X383" i="11"/>
  <c r="W383" i="11"/>
  <c r="V383" i="11"/>
  <c r="U383" i="11"/>
  <c r="T383" i="11"/>
  <c r="S383" i="11"/>
  <c r="R383" i="11"/>
  <c r="Q383" i="11"/>
  <c r="P383" i="11"/>
  <c r="O383" i="11"/>
  <c r="N383" i="11"/>
  <c r="M383" i="11"/>
  <c r="F383" i="11"/>
  <c r="E383" i="11"/>
  <c r="D383" i="11"/>
  <c r="C383" i="11"/>
  <c r="B383" i="11"/>
  <c r="X382" i="11"/>
  <c r="W382" i="11"/>
  <c r="V382" i="11"/>
  <c r="U382" i="11"/>
  <c r="T382" i="11"/>
  <c r="S382" i="11"/>
  <c r="R382" i="11"/>
  <c r="Q382" i="11"/>
  <c r="P382" i="11"/>
  <c r="O382" i="11"/>
  <c r="N382" i="11"/>
  <c r="M382" i="11"/>
  <c r="F382" i="11"/>
  <c r="E382" i="11"/>
  <c r="D382" i="11"/>
  <c r="C382" i="11"/>
  <c r="B382" i="11"/>
  <c r="X381" i="11"/>
  <c r="W381" i="11"/>
  <c r="V381" i="11"/>
  <c r="U381" i="11"/>
  <c r="T381" i="11"/>
  <c r="S381" i="11"/>
  <c r="R381" i="11"/>
  <c r="Q381" i="11"/>
  <c r="P381" i="11"/>
  <c r="O381" i="11"/>
  <c r="N381" i="11"/>
  <c r="M381" i="11"/>
  <c r="F381" i="11"/>
  <c r="E381" i="11"/>
  <c r="D381" i="11"/>
  <c r="C381" i="11"/>
  <c r="B381" i="11"/>
  <c r="X380" i="11"/>
  <c r="W380" i="11"/>
  <c r="V380" i="11"/>
  <c r="U380" i="11"/>
  <c r="T380" i="11"/>
  <c r="S380" i="11"/>
  <c r="R380" i="11"/>
  <c r="Q380" i="11"/>
  <c r="P380" i="11"/>
  <c r="O380" i="11"/>
  <c r="N380" i="11"/>
  <c r="M380" i="11"/>
  <c r="F380" i="11"/>
  <c r="E380" i="11"/>
  <c r="D380" i="11"/>
  <c r="C380" i="11"/>
  <c r="B380" i="11"/>
  <c r="X379" i="11"/>
  <c r="W379" i="11"/>
  <c r="V379" i="11"/>
  <c r="U379" i="11"/>
  <c r="T379" i="11"/>
  <c r="S379" i="11"/>
  <c r="R379" i="11"/>
  <c r="Q379" i="11"/>
  <c r="P379" i="11"/>
  <c r="O379" i="11"/>
  <c r="N379" i="11"/>
  <c r="M379" i="11"/>
  <c r="F379" i="11"/>
  <c r="E379" i="11"/>
  <c r="D379" i="11"/>
  <c r="C379" i="11"/>
  <c r="B379" i="11"/>
  <c r="X378" i="11"/>
  <c r="W378" i="11"/>
  <c r="V378" i="11"/>
  <c r="U378" i="11"/>
  <c r="T378" i="11"/>
  <c r="S378" i="11"/>
  <c r="R378" i="11"/>
  <c r="Q378" i="11"/>
  <c r="P378" i="11"/>
  <c r="O378" i="11"/>
  <c r="N378" i="11"/>
  <c r="M378" i="11"/>
  <c r="F378" i="11"/>
  <c r="E378" i="11"/>
  <c r="D378" i="11"/>
  <c r="C378" i="11"/>
  <c r="B378" i="11"/>
  <c r="X377" i="11"/>
  <c r="W377" i="11"/>
  <c r="V377" i="11"/>
  <c r="U377" i="11"/>
  <c r="T377" i="11"/>
  <c r="S377" i="11"/>
  <c r="R377" i="11"/>
  <c r="Q377" i="11"/>
  <c r="P377" i="11"/>
  <c r="O377" i="11"/>
  <c r="N377" i="11"/>
  <c r="M377" i="11"/>
  <c r="F377" i="11"/>
  <c r="E377" i="11"/>
  <c r="D377" i="11"/>
  <c r="C377" i="11"/>
  <c r="B377" i="11"/>
  <c r="X376" i="11"/>
  <c r="W376" i="11"/>
  <c r="V376" i="11"/>
  <c r="U376" i="11"/>
  <c r="T376" i="11"/>
  <c r="S376" i="11"/>
  <c r="R376" i="11"/>
  <c r="Q376" i="11"/>
  <c r="P376" i="11"/>
  <c r="O376" i="11"/>
  <c r="N376" i="11"/>
  <c r="M376" i="11"/>
  <c r="F376" i="11"/>
  <c r="E376" i="11"/>
  <c r="D376" i="11"/>
  <c r="C376" i="11"/>
  <c r="B376" i="11"/>
  <c r="X375" i="11"/>
  <c r="W375" i="11"/>
  <c r="V375" i="11"/>
  <c r="U375" i="11"/>
  <c r="T375" i="11"/>
  <c r="S375" i="11"/>
  <c r="R375" i="11"/>
  <c r="Q375" i="11"/>
  <c r="P375" i="11"/>
  <c r="O375" i="11"/>
  <c r="N375" i="11"/>
  <c r="M375" i="11"/>
  <c r="F375" i="11"/>
  <c r="E375" i="11"/>
  <c r="D375" i="11"/>
  <c r="C375" i="11"/>
  <c r="B375" i="11"/>
  <c r="X374" i="11"/>
  <c r="W374" i="11"/>
  <c r="V374" i="11"/>
  <c r="U374" i="11"/>
  <c r="T374" i="11"/>
  <c r="S374" i="11"/>
  <c r="R374" i="11"/>
  <c r="Q374" i="11"/>
  <c r="P374" i="11"/>
  <c r="O374" i="11"/>
  <c r="N374" i="11"/>
  <c r="M374" i="11"/>
  <c r="F374" i="11"/>
  <c r="E374" i="11"/>
  <c r="D374" i="11"/>
  <c r="C374" i="11"/>
  <c r="B374" i="11"/>
  <c r="X373" i="11"/>
  <c r="W373" i="11"/>
  <c r="V373" i="11"/>
  <c r="U373" i="11"/>
  <c r="T373" i="11"/>
  <c r="S373" i="11"/>
  <c r="R373" i="11"/>
  <c r="Q373" i="11"/>
  <c r="P373" i="11"/>
  <c r="O373" i="11"/>
  <c r="N373" i="11"/>
  <c r="M373" i="11"/>
  <c r="F373" i="11"/>
  <c r="E373" i="11"/>
  <c r="D373" i="11"/>
  <c r="C373" i="11"/>
  <c r="B373" i="11"/>
  <c r="X372" i="11"/>
  <c r="W372" i="11"/>
  <c r="V372" i="11"/>
  <c r="U372" i="11"/>
  <c r="T372" i="11"/>
  <c r="S372" i="11"/>
  <c r="R372" i="11"/>
  <c r="Q372" i="11"/>
  <c r="P372" i="11"/>
  <c r="O372" i="11"/>
  <c r="N372" i="11"/>
  <c r="M372" i="11"/>
  <c r="F372" i="11"/>
  <c r="E372" i="11"/>
  <c r="D372" i="11"/>
  <c r="C372" i="11"/>
  <c r="B372" i="11"/>
  <c r="X371" i="11"/>
  <c r="W371" i="11"/>
  <c r="V371" i="11"/>
  <c r="U371" i="11"/>
  <c r="T371" i="11"/>
  <c r="S371" i="11"/>
  <c r="R371" i="11"/>
  <c r="Q371" i="11"/>
  <c r="P371" i="11"/>
  <c r="O371" i="11"/>
  <c r="N371" i="11"/>
  <c r="M371" i="11"/>
  <c r="F371" i="11"/>
  <c r="E371" i="11"/>
  <c r="D371" i="11"/>
  <c r="C371" i="11"/>
  <c r="B371" i="11"/>
  <c r="X370" i="11"/>
  <c r="W370" i="11"/>
  <c r="V370" i="11"/>
  <c r="U370" i="11"/>
  <c r="T370" i="11"/>
  <c r="S370" i="11"/>
  <c r="R370" i="11"/>
  <c r="Q370" i="11"/>
  <c r="P370" i="11"/>
  <c r="O370" i="11"/>
  <c r="N370" i="11"/>
  <c r="M370" i="11"/>
  <c r="F370" i="11"/>
  <c r="E370" i="11"/>
  <c r="D370" i="11"/>
  <c r="C370" i="11"/>
  <c r="B370" i="11"/>
  <c r="X369" i="11"/>
  <c r="W369" i="11"/>
  <c r="V369" i="11"/>
  <c r="U369" i="11"/>
  <c r="T369" i="11"/>
  <c r="S369" i="11"/>
  <c r="R369" i="11"/>
  <c r="Q369" i="11"/>
  <c r="P369" i="11"/>
  <c r="O369" i="11"/>
  <c r="N369" i="11"/>
  <c r="M369" i="11"/>
  <c r="F369" i="11"/>
  <c r="E369" i="11"/>
  <c r="D369" i="11"/>
  <c r="C369" i="11"/>
  <c r="B369" i="11"/>
  <c r="X368" i="11"/>
  <c r="W368" i="11"/>
  <c r="V368" i="11"/>
  <c r="U368" i="11"/>
  <c r="T368" i="11"/>
  <c r="S368" i="11"/>
  <c r="R368" i="11"/>
  <c r="Q368" i="11"/>
  <c r="P368" i="11"/>
  <c r="O368" i="11"/>
  <c r="N368" i="11"/>
  <c r="M368" i="11"/>
  <c r="F368" i="11"/>
  <c r="E368" i="11"/>
  <c r="D368" i="11"/>
  <c r="C368" i="11"/>
  <c r="B368" i="11"/>
  <c r="X367" i="11"/>
  <c r="W367" i="11"/>
  <c r="V367" i="11"/>
  <c r="U367" i="11"/>
  <c r="T367" i="11"/>
  <c r="S367" i="11"/>
  <c r="R367" i="11"/>
  <c r="Q367" i="11"/>
  <c r="P367" i="11"/>
  <c r="O367" i="11"/>
  <c r="N367" i="11"/>
  <c r="M367" i="11"/>
  <c r="F367" i="11"/>
  <c r="E367" i="11"/>
  <c r="D367" i="11"/>
  <c r="C367" i="11"/>
  <c r="B367" i="11"/>
  <c r="X366" i="11"/>
  <c r="W366" i="11"/>
  <c r="V366" i="11"/>
  <c r="U366" i="11"/>
  <c r="T366" i="11"/>
  <c r="S366" i="11"/>
  <c r="R366" i="11"/>
  <c r="Q366" i="11"/>
  <c r="P366" i="11"/>
  <c r="O366" i="11"/>
  <c r="N366" i="11"/>
  <c r="M366" i="11"/>
  <c r="F366" i="11"/>
  <c r="E366" i="11"/>
  <c r="D366" i="11"/>
  <c r="C366" i="11"/>
  <c r="B366" i="11"/>
  <c r="X365" i="11"/>
  <c r="W365" i="11"/>
  <c r="V365" i="11"/>
  <c r="U365" i="11"/>
  <c r="T365" i="11"/>
  <c r="S365" i="11"/>
  <c r="R365" i="11"/>
  <c r="Q365" i="11"/>
  <c r="P365" i="11"/>
  <c r="O365" i="11"/>
  <c r="N365" i="11"/>
  <c r="M365" i="11"/>
  <c r="F365" i="11"/>
  <c r="E365" i="11"/>
  <c r="D365" i="11"/>
  <c r="C365" i="11"/>
  <c r="B365" i="11"/>
  <c r="X364" i="11"/>
  <c r="W364" i="11"/>
  <c r="V364" i="11"/>
  <c r="U364" i="11"/>
  <c r="T364" i="11"/>
  <c r="S364" i="11"/>
  <c r="R364" i="11"/>
  <c r="Q364" i="11"/>
  <c r="P364" i="11"/>
  <c r="O364" i="11"/>
  <c r="N364" i="11"/>
  <c r="M364" i="11"/>
  <c r="F364" i="11"/>
  <c r="E364" i="11"/>
  <c r="D364" i="11"/>
  <c r="C364" i="11"/>
  <c r="B364" i="11"/>
  <c r="X363" i="11"/>
  <c r="W363" i="11"/>
  <c r="V363" i="11"/>
  <c r="U363" i="11"/>
  <c r="T363" i="11"/>
  <c r="S363" i="11"/>
  <c r="R363" i="11"/>
  <c r="Q363" i="11"/>
  <c r="P363" i="11"/>
  <c r="O363" i="11"/>
  <c r="N363" i="11"/>
  <c r="M363" i="11"/>
  <c r="F363" i="11"/>
  <c r="E363" i="11"/>
  <c r="D363" i="11"/>
  <c r="C363" i="11"/>
  <c r="B363" i="11"/>
  <c r="X362" i="11"/>
  <c r="W362" i="11"/>
  <c r="V362" i="11"/>
  <c r="U362" i="11"/>
  <c r="T362" i="11"/>
  <c r="S362" i="11"/>
  <c r="R362" i="11"/>
  <c r="Q362" i="11"/>
  <c r="P362" i="11"/>
  <c r="O362" i="11"/>
  <c r="N362" i="11"/>
  <c r="M362" i="11"/>
  <c r="F362" i="11"/>
  <c r="E362" i="11"/>
  <c r="D362" i="11"/>
  <c r="C362" i="11"/>
  <c r="B362" i="11"/>
  <c r="X361" i="11"/>
  <c r="W361" i="11"/>
  <c r="V361" i="11"/>
  <c r="U361" i="11"/>
  <c r="T361" i="11"/>
  <c r="S361" i="11"/>
  <c r="R361" i="11"/>
  <c r="Q361" i="11"/>
  <c r="P361" i="11"/>
  <c r="O361" i="11"/>
  <c r="N361" i="11"/>
  <c r="M361" i="11"/>
  <c r="F361" i="11"/>
  <c r="E361" i="11"/>
  <c r="D361" i="11"/>
  <c r="C361" i="11"/>
  <c r="B361" i="11"/>
  <c r="X360" i="11"/>
  <c r="W360" i="11"/>
  <c r="V360" i="11"/>
  <c r="U360" i="11"/>
  <c r="T360" i="11"/>
  <c r="S360" i="11"/>
  <c r="R360" i="11"/>
  <c r="Q360" i="11"/>
  <c r="P360" i="11"/>
  <c r="O360" i="11"/>
  <c r="N360" i="11"/>
  <c r="M360" i="11"/>
  <c r="F360" i="11"/>
  <c r="E360" i="11"/>
  <c r="D360" i="11"/>
  <c r="C360" i="11"/>
  <c r="B360" i="11"/>
  <c r="X359" i="11"/>
  <c r="W359" i="11"/>
  <c r="V359" i="11"/>
  <c r="U359" i="11"/>
  <c r="T359" i="11"/>
  <c r="S359" i="11"/>
  <c r="R359" i="11"/>
  <c r="Q359" i="11"/>
  <c r="P359" i="11"/>
  <c r="O359" i="11"/>
  <c r="N359" i="11"/>
  <c r="M359" i="11"/>
  <c r="F359" i="11"/>
  <c r="E359" i="11"/>
  <c r="D359" i="11"/>
  <c r="C359" i="11"/>
  <c r="B359" i="11"/>
  <c r="X358" i="11"/>
  <c r="W358" i="11"/>
  <c r="V358" i="11"/>
  <c r="U358" i="11"/>
  <c r="T358" i="11"/>
  <c r="S358" i="11"/>
  <c r="R358" i="11"/>
  <c r="Q358" i="11"/>
  <c r="P358" i="11"/>
  <c r="O358" i="11"/>
  <c r="N358" i="11"/>
  <c r="M358" i="11"/>
  <c r="F358" i="11"/>
  <c r="E358" i="11"/>
  <c r="D358" i="11"/>
  <c r="C358" i="11"/>
  <c r="B358" i="11"/>
  <c r="X357" i="11"/>
  <c r="W357" i="11"/>
  <c r="V357" i="11"/>
  <c r="U357" i="11"/>
  <c r="T357" i="11"/>
  <c r="S357" i="11"/>
  <c r="R357" i="11"/>
  <c r="Q357" i="11"/>
  <c r="P357" i="11"/>
  <c r="O357" i="11"/>
  <c r="N357" i="11"/>
  <c r="M357" i="11"/>
  <c r="F357" i="11"/>
  <c r="E357" i="11"/>
  <c r="D357" i="11"/>
  <c r="C357" i="11"/>
  <c r="B357" i="11"/>
  <c r="X356" i="11"/>
  <c r="W356" i="11"/>
  <c r="V356" i="11"/>
  <c r="U356" i="11"/>
  <c r="T356" i="11"/>
  <c r="S356" i="11"/>
  <c r="R356" i="11"/>
  <c r="Q356" i="11"/>
  <c r="P356" i="11"/>
  <c r="O356" i="11"/>
  <c r="N356" i="11"/>
  <c r="M356" i="11"/>
  <c r="F356" i="11"/>
  <c r="E356" i="11"/>
  <c r="D356" i="11"/>
  <c r="C356" i="11"/>
  <c r="B356" i="11"/>
  <c r="X355" i="11"/>
  <c r="W355" i="11"/>
  <c r="V355" i="11"/>
  <c r="U355" i="11"/>
  <c r="T355" i="11"/>
  <c r="S355" i="11"/>
  <c r="R355" i="11"/>
  <c r="Q355" i="11"/>
  <c r="P355" i="11"/>
  <c r="O355" i="11"/>
  <c r="N355" i="11"/>
  <c r="M355" i="11"/>
  <c r="F355" i="11"/>
  <c r="E355" i="11"/>
  <c r="D355" i="11"/>
  <c r="C355" i="11"/>
  <c r="B355" i="11"/>
  <c r="X354" i="11"/>
  <c r="W354" i="11"/>
  <c r="V354" i="11"/>
  <c r="U354" i="11"/>
  <c r="T354" i="11"/>
  <c r="S354" i="11"/>
  <c r="R354" i="11"/>
  <c r="Q354" i="11"/>
  <c r="P354" i="11"/>
  <c r="O354" i="11"/>
  <c r="N354" i="11"/>
  <c r="M354" i="11"/>
  <c r="F354" i="11"/>
  <c r="E354" i="11"/>
  <c r="D354" i="11"/>
  <c r="C354" i="11"/>
  <c r="B354" i="11"/>
  <c r="X353" i="11"/>
  <c r="W353" i="11"/>
  <c r="V353" i="11"/>
  <c r="U353" i="11"/>
  <c r="T353" i="11"/>
  <c r="S353" i="11"/>
  <c r="R353" i="11"/>
  <c r="Q353" i="11"/>
  <c r="P353" i="11"/>
  <c r="O353" i="11"/>
  <c r="N353" i="11"/>
  <c r="M353" i="11"/>
  <c r="F353" i="11"/>
  <c r="E353" i="11"/>
  <c r="D353" i="11"/>
  <c r="C353" i="11"/>
  <c r="B353" i="11"/>
  <c r="X352" i="11"/>
  <c r="W352" i="11"/>
  <c r="V352" i="11"/>
  <c r="U352" i="11"/>
  <c r="T352" i="11"/>
  <c r="S352" i="11"/>
  <c r="R352" i="11"/>
  <c r="Q352" i="11"/>
  <c r="P352" i="11"/>
  <c r="O352" i="11"/>
  <c r="N352" i="11"/>
  <c r="M352" i="11"/>
  <c r="F352" i="11"/>
  <c r="E352" i="11"/>
  <c r="D352" i="11"/>
  <c r="C352" i="11"/>
  <c r="B352" i="11"/>
  <c r="X351" i="11"/>
  <c r="W351" i="11"/>
  <c r="V351" i="11"/>
  <c r="U351" i="11"/>
  <c r="T351" i="11"/>
  <c r="S351" i="11"/>
  <c r="R351" i="11"/>
  <c r="Q351" i="11"/>
  <c r="P351" i="11"/>
  <c r="O351" i="11"/>
  <c r="N351" i="11"/>
  <c r="M351" i="11"/>
  <c r="F351" i="11"/>
  <c r="E351" i="11"/>
  <c r="D351" i="11"/>
  <c r="C351" i="11"/>
  <c r="B351" i="11"/>
  <c r="X350" i="11"/>
  <c r="W350" i="11"/>
  <c r="V350" i="11"/>
  <c r="U350" i="11"/>
  <c r="T350" i="11"/>
  <c r="S350" i="11"/>
  <c r="R350" i="11"/>
  <c r="Q350" i="11"/>
  <c r="P350" i="11"/>
  <c r="O350" i="11"/>
  <c r="N350" i="11"/>
  <c r="M350" i="11"/>
  <c r="F350" i="11"/>
  <c r="E350" i="11"/>
  <c r="D350" i="11"/>
  <c r="C350" i="11"/>
  <c r="B350" i="11"/>
  <c r="X349" i="11"/>
  <c r="W349" i="11"/>
  <c r="V349" i="11"/>
  <c r="U349" i="11"/>
  <c r="T349" i="11"/>
  <c r="S349" i="11"/>
  <c r="R349" i="11"/>
  <c r="Q349" i="11"/>
  <c r="P349" i="11"/>
  <c r="O349" i="11"/>
  <c r="N349" i="11"/>
  <c r="M349" i="11"/>
  <c r="F349" i="11"/>
  <c r="E349" i="11"/>
  <c r="D349" i="11"/>
  <c r="C349" i="11"/>
  <c r="B349" i="11"/>
  <c r="X348" i="11"/>
  <c r="W348" i="11"/>
  <c r="V348" i="11"/>
  <c r="U348" i="11"/>
  <c r="T348" i="11"/>
  <c r="S348" i="11"/>
  <c r="R348" i="11"/>
  <c r="Q348" i="11"/>
  <c r="P348" i="11"/>
  <c r="O348" i="11"/>
  <c r="N348" i="11"/>
  <c r="M348" i="11"/>
  <c r="F348" i="11"/>
  <c r="E348" i="11"/>
  <c r="D348" i="11"/>
  <c r="C348" i="11"/>
  <c r="B348" i="11"/>
  <c r="X347" i="11"/>
  <c r="W347" i="11"/>
  <c r="V347" i="11"/>
  <c r="U347" i="11"/>
  <c r="T347" i="11"/>
  <c r="S347" i="11"/>
  <c r="R347" i="11"/>
  <c r="Q347" i="11"/>
  <c r="P347" i="11"/>
  <c r="O347" i="11"/>
  <c r="N347" i="11"/>
  <c r="M347" i="11"/>
  <c r="F347" i="11"/>
  <c r="E347" i="11"/>
  <c r="D347" i="11"/>
  <c r="C347" i="11"/>
  <c r="B347" i="11"/>
  <c r="X346" i="11"/>
  <c r="W346" i="11"/>
  <c r="V346" i="11"/>
  <c r="U346" i="11"/>
  <c r="T346" i="11"/>
  <c r="S346" i="11"/>
  <c r="R346" i="11"/>
  <c r="Q346" i="11"/>
  <c r="P346" i="11"/>
  <c r="O346" i="11"/>
  <c r="N346" i="11"/>
  <c r="M346" i="11"/>
  <c r="F346" i="11"/>
  <c r="E346" i="11"/>
  <c r="D346" i="11"/>
  <c r="C346" i="11"/>
  <c r="B346" i="11"/>
  <c r="X345" i="11"/>
  <c r="W345" i="11"/>
  <c r="V345" i="11"/>
  <c r="U345" i="11"/>
  <c r="T345" i="11"/>
  <c r="S345" i="11"/>
  <c r="R345" i="11"/>
  <c r="Q345" i="11"/>
  <c r="P345" i="11"/>
  <c r="O345" i="11"/>
  <c r="N345" i="11"/>
  <c r="M345" i="11"/>
  <c r="F345" i="11"/>
  <c r="E345" i="11"/>
  <c r="D345" i="11"/>
  <c r="C345" i="11"/>
  <c r="B345" i="11"/>
  <c r="X344" i="11"/>
  <c r="W344" i="11"/>
  <c r="V344" i="11"/>
  <c r="U344" i="11"/>
  <c r="T344" i="11"/>
  <c r="S344" i="11"/>
  <c r="R344" i="11"/>
  <c r="Q344" i="11"/>
  <c r="P344" i="11"/>
  <c r="O344" i="11"/>
  <c r="N344" i="11"/>
  <c r="M344" i="11"/>
  <c r="F344" i="11"/>
  <c r="E344" i="11"/>
  <c r="D344" i="11"/>
  <c r="C344" i="11"/>
  <c r="B344" i="11"/>
  <c r="X343" i="11"/>
  <c r="W343" i="11"/>
  <c r="V343" i="11"/>
  <c r="U343" i="11"/>
  <c r="T343" i="11"/>
  <c r="S343" i="11"/>
  <c r="R343" i="11"/>
  <c r="Q343" i="11"/>
  <c r="P343" i="11"/>
  <c r="O343" i="11"/>
  <c r="N343" i="11"/>
  <c r="M343" i="11"/>
  <c r="F343" i="11"/>
  <c r="E343" i="11"/>
  <c r="D343" i="11"/>
  <c r="C343" i="11"/>
  <c r="B343" i="11"/>
  <c r="X342" i="11"/>
  <c r="W342" i="11"/>
  <c r="V342" i="11"/>
  <c r="U342" i="11"/>
  <c r="T342" i="11"/>
  <c r="S342" i="11"/>
  <c r="R342" i="11"/>
  <c r="Q342" i="11"/>
  <c r="P342" i="11"/>
  <c r="O342" i="11"/>
  <c r="N342" i="11"/>
  <c r="M342" i="11"/>
  <c r="F342" i="11"/>
  <c r="E342" i="11"/>
  <c r="D342" i="11"/>
  <c r="C342" i="11"/>
  <c r="B342" i="11"/>
  <c r="X341" i="11"/>
  <c r="W341" i="11"/>
  <c r="V341" i="11"/>
  <c r="U341" i="11"/>
  <c r="T341" i="11"/>
  <c r="S341" i="11"/>
  <c r="R341" i="11"/>
  <c r="Q341" i="11"/>
  <c r="P341" i="11"/>
  <c r="O341" i="11"/>
  <c r="N341" i="11"/>
  <c r="M341" i="11"/>
  <c r="F341" i="11"/>
  <c r="E341" i="11"/>
  <c r="D341" i="11"/>
  <c r="C341" i="11"/>
  <c r="B341" i="11"/>
  <c r="X340" i="11"/>
  <c r="W340" i="11"/>
  <c r="V340" i="11"/>
  <c r="U340" i="11"/>
  <c r="T340" i="11"/>
  <c r="S340" i="11"/>
  <c r="R340" i="11"/>
  <c r="Q340" i="11"/>
  <c r="P340" i="11"/>
  <c r="O340" i="11"/>
  <c r="N340" i="11"/>
  <c r="M340" i="11"/>
  <c r="F340" i="11"/>
  <c r="E340" i="11"/>
  <c r="D340" i="11"/>
  <c r="C340" i="11"/>
  <c r="B340" i="11"/>
  <c r="X339" i="11"/>
  <c r="W339" i="11"/>
  <c r="V339" i="11"/>
  <c r="U339" i="11"/>
  <c r="T339" i="11"/>
  <c r="S339" i="11"/>
  <c r="R339" i="11"/>
  <c r="Q339" i="11"/>
  <c r="P339" i="11"/>
  <c r="O339" i="11"/>
  <c r="N339" i="11"/>
  <c r="M339" i="11"/>
  <c r="F339" i="11"/>
  <c r="E339" i="11"/>
  <c r="D339" i="11"/>
  <c r="C339" i="11"/>
  <c r="B339" i="11"/>
  <c r="X338" i="11"/>
  <c r="W338" i="11"/>
  <c r="V338" i="11"/>
  <c r="U338" i="11"/>
  <c r="T338" i="11"/>
  <c r="S338" i="11"/>
  <c r="R338" i="11"/>
  <c r="Q338" i="11"/>
  <c r="P338" i="11"/>
  <c r="O338" i="11"/>
  <c r="N338" i="11"/>
  <c r="M338" i="11"/>
  <c r="F338" i="11"/>
  <c r="E338" i="11"/>
  <c r="D338" i="11"/>
  <c r="C338" i="11"/>
  <c r="B338" i="11"/>
  <c r="X337" i="11"/>
  <c r="W337" i="11"/>
  <c r="V337" i="11"/>
  <c r="U337" i="11"/>
  <c r="T337" i="11"/>
  <c r="S337" i="11"/>
  <c r="R337" i="11"/>
  <c r="Q337" i="11"/>
  <c r="P337" i="11"/>
  <c r="O337" i="11"/>
  <c r="N337" i="11"/>
  <c r="M337" i="11"/>
  <c r="F337" i="11"/>
  <c r="E337" i="11"/>
  <c r="D337" i="11"/>
  <c r="C337" i="11"/>
  <c r="B337" i="11"/>
  <c r="X336" i="11"/>
  <c r="W336" i="11"/>
  <c r="V336" i="11"/>
  <c r="U336" i="11"/>
  <c r="T336" i="11"/>
  <c r="S336" i="11"/>
  <c r="R336" i="11"/>
  <c r="Q336" i="11"/>
  <c r="P336" i="11"/>
  <c r="O336" i="11"/>
  <c r="N336" i="11"/>
  <c r="M336" i="11"/>
  <c r="F336" i="11"/>
  <c r="E336" i="11"/>
  <c r="D336" i="11"/>
  <c r="C336" i="11"/>
  <c r="B336" i="11"/>
  <c r="X335" i="11"/>
  <c r="W335" i="11"/>
  <c r="V335" i="11"/>
  <c r="U335" i="11"/>
  <c r="T335" i="11"/>
  <c r="S335" i="11"/>
  <c r="R335" i="11"/>
  <c r="Q335" i="11"/>
  <c r="P335" i="11"/>
  <c r="O335" i="11"/>
  <c r="N335" i="11"/>
  <c r="M335" i="11"/>
  <c r="F335" i="11"/>
  <c r="E335" i="11"/>
  <c r="D335" i="11"/>
  <c r="C335" i="11"/>
  <c r="B335" i="11"/>
  <c r="X334" i="11"/>
  <c r="W334" i="11"/>
  <c r="V334" i="11"/>
  <c r="U334" i="11"/>
  <c r="T334" i="11"/>
  <c r="S334" i="11"/>
  <c r="R334" i="11"/>
  <c r="Q334" i="11"/>
  <c r="P334" i="11"/>
  <c r="O334" i="11"/>
  <c r="N334" i="11"/>
  <c r="M334" i="11"/>
  <c r="F334" i="11"/>
  <c r="E334" i="11"/>
  <c r="D334" i="11"/>
  <c r="C334" i="11"/>
  <c r="B334" i="11"/>
  <c r="X333" i="11"/>
  <c r="W333" i="11"/>
  <c r="V333" i="11"/>
  <c r="U333" i="11"/>
  <c r="T333" i="11"/>
  <c r="S333" i="11"/>
  <c r="R333" i="11"/>
  <c r="Q333" i="11"/>
  <c r="P333" i="11"/>
  <c r="O333" i="11"/>
  <c r="N333" i="11"/>
  <c r="M333" i="11"/>
  <c r="F333" i="11"/>
  <c r="E333" i="11"/>
  <c r="D333" i="11"/>
  <c r="C333" i="11"/>
  <c r="B333" i="11"/>
  <c r="X332" i="11"/>
  <c r="W332" i="11"/>
  <c r="V332" i="11"/>
  <c r="U332" i="11"/>
  <c r="T332" i="11"/>
  <c r="S332" i="11"/>
  <c r="R332" i="11"/>
  <c r="Q332" i="11"/>
  <c r="P332" i="11"/>
  <c r="O332" i="11"/>
  <c r="N332" i="11"/>
  <c r="M332" i="11"/>
  <c r="F332" i="11"/>
  <c r="E332" i="11"/>
  <c r="D332" i="11"/>
  <c r="C332" i="11"/>
  <c r="B332" i="11"/>
  <c r="X331" i="11"/>
  <c r="W331" i="11"/>
  <c r="V331" i="11"/>
  <c r="U331" i="11"/>
  <c r="T331" i="11"/>
  <c r="S331" i="11"/>
  <c r="R331" i="11"/>
  <c r="Q331" i="11"/>
  <c r="P331" i="11"/>
  <c r="O331" i="11"/>
  <c r="N331" i="11"/>
  <c r="M331" i="11"/>
  <c r="F331" i="11"/>
  <c r="E331" i="11"/>
  <c r="D331" i="11"/>
  <c r="C331" i="11"/>
  <c r="B331" i="11"/>
  <c r="X330" i="11"/>
  <c r="W330" i="11"/>
  <c r="V330" i="11"/>
  <c r="U330" i="11"/>
  <c r="T330" i="11"/>
  <c r="S330" i="11"/>
  <c r="R330" i="11"/>
  <c r="Q330" i="11"/>
  <c r="P330" i="11"/>
  <c r="O330" i="11"/>
  <c r="N330" i="11"/>
  <c r="M330" i="11"/>
  <c r="F330" i="11"/>
  <c r="E330" i="11"/>
  <c r="D330" i="11"/>
  <c r="C330" i="11"/>
  <c r="B330" i="11"/>
  <c r="X329" i="11"/>
  <c r="W329" i="11"/>
  <c r="V329" i="11"/>
  <c r="U329" i="11"/>
  <c r="T329" i="11"/>
  <c r="S329" i="11"/>
  <c r="R329" i="11"/>
  <c r="Q329" i="11"/>
  <c r="P329" i="11"/>
  <c r="O329" i="11"/>
  <c r="N329" i="11"/>
  <c r="M329" i="11"/>
  <c r="F329" i="11"/>
  <c r="E329" i="11"/>
  <c r="D329" i="11"/>
  <c r="C329" i="11"/>
  <c r="B329" i="11"/>
  <c r="X328" i="11"/>
  <c r="W328" i="11"/>
  <c r="V328" i="11"/>
  <c r="U328" i="11"/>
  <c r="T328" i="11"/>
  <c r="S328" i="11"/>
  <c r="R328" i="11"/>
  <c r="Q328" i="11"/>
  <c r="P328" i="11"/>
  <c r="O328" i="11"/>
  <c r="N328" i="11"/>
  <c r="M328" i="11"/>
  <c r="F328" i="11"/>
  <c r="E328" i="11"/>
  <c r="D328" i="11"/>
  <c r="C328" i="11"/>
  <c r="B328" i="11"/>
  <c r="X327" i="11"/>
  <c r="W327" i="11"/>
  <c r="V327" i="11"/>
  <c r="U327" i="11"/>
  <c r="T327" i="11"/>
  <c r="S327" i="11"/>
  <c r="R327" i="11"/>
  <c r="Q327" i="11"/>
  <c r="P327" i="11"/>
  <c r="O327" i="11"/>
  <c r="N327" i="11"/>
  <c r="M327" i="11"/>
  <c r="F327" i="11"/>
  <c r="E327" i="11"/>
  <c r="D327" i="11"/>
  <c r="C327" i="11"/>
  <c r="B327" i="11"/>
  <c r="X326" i="11"/>
  <c r="W326" i="11"/>
  <c r="V326" i="11"/>
  <c r="U326" i="11"/>
  <c r="T326" i="11"/>
  <c r="S326" i="11"/>
  <c r="R326" i="11"/>
  <c r="Q326" i="11"/>
  <c r="P326" i="11"/>
  <c r="O326" i="11"/>
  <c r="N326" i="11"/>
  <c r="M326" i="11"/>
  <c r="F326" i="11"/>
  <c r="E326" i="11"/>
  <c r="D326" i="11"/>
  <c r="C326" i="11"/>
  <c r="B326" i="11"/>
  <c r="X325" i="11"/>
  <c r="W325" i="11"/>
  <c r="V325" i="11"/>
  <c r="U325" i="11"/>
  <c r="T325" i="11"/>
  <c r="S325" i="11"/>
  <c r="R325" i="11"/>
  <c r="Q325" i="11"/>
  <c r="P325" i="11"/>
  <c r="O325" i="11"/>
  <c r="N325" i="11"/>
  <c r="M325" i="11"/>
  <c r="F325" i="11"/>
  <c r="E325" i="11"/>
  <c r="D325" i="11"/>
  <c r="C325" i="11"/>
  <c r="B325" i="11"/>
  <c r="X324" i="11"/>
  <c r="W324" i="11"/>
  <c r="V324" i="11"/>
  <c r="U324" i="11"/>
  <c r="T324" i="11"/>
  <c r="S324" i="11"/>
  <c r="R324" i="11"/>
  <c r="Q324" i="11"/>
  <c r="P324" i="11"/>
  <c r="O324" i="11"/>
  <c r="N324" i="11"/>
  <c r="M324" i="11"/>
  <c r="F324" i="11"/>
  <c r="E324" i="11"/>
  <c r="D324" i="11"/>
  <c r="C324" i="11"/>
  <c r="B324" i="11"/>
  <c r="X323" i="11"/>
  <c r="W323" i="11"/>
  <c r="V323" i="11"/>
  <c r="U323" i="11"/>
  <c r="T323" i="11"/>
  <c r="S323" i="11"/>
  <c r="R323" i="11"/>
  <c r="Q323" i="11"/>
  <c r="P323" i="11"/>
  <c r="O323" i="11"/>
  <c r="N323" i="11"/>
  <c r="M323" i="11"/>
  <c r="F323" i="11"/>
  <c r="E323" i="11"/>
  <c r="D323" i="11"/>
  <c r="C323" i="11"/>
  <c r="B323" i="11"/>
  <c r="X322" i="11"/>
  <c r="W322" i="11"/>
  <c r="V322" i="11"/>
  <c r="U322" i="11"/>
  <c r="T322" i="11"/>
  <c r="S322" i="11"/>
  <c r="R322" i="11"/>
  <c r="Q322" i="11"/>
  <c r="P322" i="11"/>
  <c r="O322" i="11"/>
  <c r="N322" i="11"/>
  <c r="M322" i="11"/>
  <c r="F322" i="11"/>
  <c r="E322" i="11"/>
  <c r="D322" i="11"/>
  <c r="C322" i="11"/>
  <c r="B322" i="11"/>
  <c r="X321" i="11"/>
  <c r="W321" i="11"/>
  <c r="V321" i="11"/>
  <c r="U321" i="11"/>
  <c r="T321" i="11"/>
  <c r="S321" i="11"/>
  <c r="R321" i="11"/>
  <c r="Q321" i="11"/>
  <c r="P321" i="11"/>
  <c r="O321" i="11"/>
  <c r="N321" i="11"/>
  <c r="M321" i="11"/>
  <c r="F321" i="11"/>
  <c r="E321" i="11"/>
  <c r="D321" i="11"/>
  <c r="C321" i="11"/>
  <c r="B321" i="11"/>
  <c r="X320" i="11"/>
  <c r="W320" i="11"/>
  <c r="V320" i="11"/>
  <c r="U320" i="11"/>
  <c r="T320" i="11"/>
  <c r="S320" i="11"/>
  <c r="R320" i="11"/>
  <c r="Q320" i="11"/>
  <c r="P320" i="11"/>
  <c r="O320" i="11"/>
  <c r="N320" i="11"/>
  <c r="M320" i="11"/>
  <c r="F320" i="11"/>
  <c r="E320" i="11"/>
  <c r="D320" i="11"/>
  <c r="C320" i="11"/>
  <c r="B320" i="11"/>
  <c r="X319" i="11"/>
  <c r="W319" i="11"/>
  <c r="V319" i="11"/>
  <c r="U319" i="11"/>
  <c r="T319" i="11"/>
  <c r="S319" i="11"/>
  <c r="R319" i="11"/>
  <c r="Q319" i="11"/>
  <c r="P319" i="11"/>
  <c r="O319" i="11"/>
  <c r="N319" i="11"/>
  <c r="M319" i="11"/>
  <c r="F319" i="11"/>
  <c r="E319" i="11"/>
  <c r="D319" i="11"/>
  <c r="C319" i="11"/>
  <c r="B319" i="11"/>
  <c r="X318" i="11"/>
  <c r="W318" i="11"/>
  <c r="V318" i="11"/>
  <c r="U318" i="11"/>
  <c r="T318" i="11"/>
  <c r="S318" i="11"/>
  <c r="R318" i="11"/>
  <c r="Q318" i="11"/>
  <c r="P318" i="11"/>
  <c r="O318" i="11"/>
  <c r="N318" i="11"/>
  <c r="M318" i="11"/>
  <c r="F318" i="11"/>
  <c r="E318" i="11"/>
  <c r="D318" i="11"/>
  <c r="C318" i="11"/>
  <c r="B318" i="11"/>
  <c r="X317" i="11"/>
  <c r="W317" i="11"/>
  <c r="V317" i="11"/>
  <c r="U317" i="11"/>
  <c r="T317" i="11"/>
  <c r="S317" i="11"/>
  <c r="R317" i="11"/>
  <c r="Q317" i="11"/>
  <c r="P317" i="11"/>
  <c r="O317" i="11"/>
  <c r="N317" i="11"/>
  <c r="M317" i="11"/>
  <c r="F317" i="11"/>
  <c r="E317" i="11"/>
  <c r="D317" i="11"/>
  <c r="C317" i="11"/>
  <c r="B317" i="11"/>
  <c r="X316" i="11"/>
  <c r="W316" i="11"/>
  <c r="V316" i="11"/>
  <c r="U316" i="11"/>
  <c r="T316" i="11"/>
  <c r="S316" i="11"/>
  <c r="R316" i="11"/>
  <c r="Q316" i="11"/>
  <c r="P316" i="11"/>
  <c r="O316" i="11"/>
  <c r="N316" i="11"/>
  <c r="M316" i="11"/>
  <c r="F316" i="11"/>
  <c r="E316" i="11"/>
  <c r="D316" i="11"/>
  <c r="C316" i="11"/>
  <c r="B316" i="11"/>
  <c r="X315" i="11"/>
  <c r="W315" i="11"/>
  <c r="V315" i="11"/>
  <c r="U315" i="11"/>
  <c r="T315" i="11"/>
  <c r="S315" i="11"/>
  <c r="R315" i="11"/>
  <c r="Q315" i="11"/>
  <c r="P315" i="11"/>
  <c r="O315" i="11"/>
  <c r="N315" i="11"/>
  <c r="M315" i="11"/>
  <c r="F315" i="11"/>
  <c r="E315" i="11"/>
  <c r="D315" i="11"/>
  <c r="C315" i="11"/>
  <c r="B315" i="11"/>
  <c r="X314" i="11"/>
  <c r="W314" i="11"/>
  <c r="V314" i="11"/>
  <c r="U314" i="11"/>
  <c r="T314" i="11"/>
  <c r="S314" i="11"/>
  <c r="R314" i="11"/>
  <c r="Q314" i="11"/>
  <c r="P314" i="11"/>
  <c r="O314" i="11"/>
  <c r="N314" i="11"/>
  <c r="M314" i="11"/>
  <c r="F314" i="11"/>
  <c r="E314" i="11"/>
  <c r="D314" i="11"/>
  <c r="C314" i="11"/>
  <c r="B314" i="11"/>
  <c r="X313" i="11"/>
  <c r="W313" i="11"/>
  <c r="V313" i="11"/>
  <c r="U313" i="11"/>
  <c r="T313" i="11"/>
  <c r="S313" i="11"/>
  <c r="R313" i="11"/>
  <c r="Q313" i="11"/>
  <c r="P313" i="11"/>
  <c r="O313" i="11"/>
  <c r="N313" i="11"/>
  <c r="M313" i="11"/>
  <c r="F313" i="11"/>
  <c r="E313" i="11"/>
  <c r="D313" i="11"/>
  <c r="C313" i="11"/>
  <c r="B313" i="11"/>
  <c r="X312" i="11"/>
  <c r="W312" i="11"/>
  <c r="V312" i="11"/>
  <c r="U312" i="11"/>
  <c r="T312" i="11"/>
  <c r="S312" i="11"/>
  <c r="R312" i="11"/>
  <c r="Q312" i="11"/>
  <c r="P312" i="11"/>
  <c r="O312" i="11"/>
  <c r="N312" i="11"/>
  <c r="M312" i="11"/>
  <c r="F312" i="11"/>
  <c r="E312" i="11"/>
  <c r="D312" i="11"/>
  <c r="C312" i="11"/>
  <c r="B312" i="11"/>
  <c r="X311" i="11"/>
  <c r="W311" i="11"/>
  <c r="V311" i="11"/>
  <c r="U311" i="11"/>
  <c r="T311" i="11"/>
  <c r="S311" i="11"/>
  <c r="R311" i="11"/>
  <c r="Q311" i="11"/>
  <c r="P311" i="11"/>
  <c r="O311" i="11"/>
  <c r="N311" i="11"/>
  <c r="M311" i="11"/>
  <c r="F311" i="11"/>
  <c r="E311" i="11"/>
  <c r="D311" i="11"/>
  <c r="C311" i="11"/>
  <c r="B311" i="11"/>
  <c r="X310" i="11"/>
  <c r="W310" i="11"/>
  <c r="V310" i="11"/>
  <c r="U310" i="11"/>
  <c r="T310" i="11"/>
  <c r="S310" i="11"/>
  <c r="R310" i="11"/>
  <c r="Q310" i="11"/>
  <c r="P310" i="11"/>
  <c r="O310" i="11"/>
  <c r="N310" i="11"/>
  <c r="M310" i="11"/>
  <c r="F310" i="11"/>
  <c r="E310" i="11"/>
  <c r="D310" i="11"/>
  <c r="C310" i="11"/>
  <c r="B310" i="11"/>
  <c r="X309" i="11"/>
  <c r="W309" i="11"/>
  <c r="V309" i="11"/>
  <c r="U309" i="11"/>
  <c r="T309" i="11"/>
  <c r="S309" i="11"/>
  <c r="R309" i="11"/>
  <c r="Q309" i="11"/>
  <c r="P309" i="11"/>
  <c r="O309" i="11"/>
  <c r="N309" i="11"/>
  <c r="M309" i="11"/>
  <c r="F309" i="11"/>
  <c r="E309" i="11"/>
  <c r="D309" i="11"/>
  <c r="C309" i="11"/>
  <c r="B309" i="11"/>
  <c r="X308" i="11"/>
  <c r="W308" i="11"/>
  <c r="V308" i="11"/>
  <c r="U308" i="11"/>
  <c r="T308" i="11"/>
  <c r="S308" i="11"/>
  <c r="R308" i="11"/>
  <c r="Q308" i="11"/>
  <c r="P308" i="11"/>
  <c r="O308" i="11"/>
  <c r="N308" i="11"/>
  <c r="M308" i="11"/>
  <c r="F308" i="11"/>
  <c r="E308" i="11"/>
  <c r="D308" i="11"/>
  <c r="C308" i="11"/>
  <c r="B308" i="11"/>
  <c r="X307" i="11"/>
  <c r="W307" i="11"/>
  <c r="V307" i="11"/>
  <c r="U307" i="11"/>
  <c r="T307" i="11"/>
  <c r="S307" i="11"/>
  <c r="R307" i="11"/>
  <c r="Q307" i="11"/>
  <c r="P307" i="11"/>
  <c r="O307" i="11"/>
  <c r="N307" i="11"/>
  <c r="M307" i="11"/>
  <c r="F307" i="11"/>
  <c r="E307" i="11"/>
  <c r="D307" i="11"/>
  <c r="C307" i="11"/>
  <c r="B307" i="11"/>
  <c r="X306" i="11"/>
  <c r="W306" i="11"/>
  <c r="V306" i="11"/>
  <c r="U306" i="11"/>
  <c r="T306" i="11"/>
  <c r="S306" i="11"/>
  <c r="R306" i="11"/>
  <c r="Q306" i="11"/>
  <c r="P306" i="11"/>
  <c r="O306" i="11"/>
  <c r="N306" i="11"/>
  <c r="M306" i="11"/>
  <c r="F306" i="11"/>
  <c r="E306" i="11"/>
  <c r="D306" i="11"/>
  <c r="C306" i="11"/>
  <c r="B306" i="11"/>
  <c r="X305" i="11"/>
  <c r="W305" i="11"/>
  <c r="V305" i="11"/>
  <c r="U305" i="11"/>
  <c r="T305" i="11"/>
  <c r="S305" i="11"/>
  <c r="R305" i="11"/>
  <c r="Q305" i="11"/>
  <c r="P305" i="11"/>
  <c r="O305" i="11"/>
  <c r="N305" i="11"/>
  <c r="M305" i="11"/>
  <c r="F305" i="11"/>
  <c r="E305" i="11"/>
  <c r="D305" i="11"/>
  <c r="C305" i="11"/>
  <c r="B305" i="11"/>
  <c r="X304" i="11"/>
  <c r="W304" i="11"/>
  <c r="V304" i="11"/>
  <c r="U304" i="11"/>
  <c r="T304" i="11"/>
  <c r="S304" i="11"/>
  <c r="R304" i="11"/>
  <c r="Q304" i="11"/>
  <c r="P304" i="11"/>
  <c r="O304" i="11"/>
  <c r="N304" i="11"/>
  <c r="M304" i="11"/>
  <c r="F304" i="11"/>
  <c r="E304" i="11"/>
  <c r="D304" i="11"/>
  <c r="C304" i="11"/>
  <c r="B304" i="11"/>
  <c r="X303" i="11"/>
  <c r="W303" i="11"/>
  <c r="V303" i="11"/>
  <c r="U303" i="11"/>
  <c r="T303" i="11"/>
  <c r="S303" i="11"/>
  <c r="R303" i="11"/>
  <c r="Q303" i="11"/>
  <c r="P303" i="11"/>
  <c r="O303" i="11"/>
  <c r="N303" i="11"/>
  <c r="M303" i="11"/>
  <c r="F303" i="11"/>
  <c r="E303" i="11"/>
  <c r="D303" i="11"/>
  <c r="C303" i="11"/>
  <c r="B303" i="11"/>
  <c r="X302" i="11"/>
  <c r="W302" i="11"/>
  <c r="V302" i="11"/>
  <c r="U302" i="11"/>
  <c r="T302" i="11"/>
  <c r="S302" i="11"/>
  <c r="R302" i="11"/>
  <c r="Q302" i="11"/>
  <c r="P302" i="11"/>
  <c r="O302" i="11"/>
  <c r="N302" i="11"/>
  <c r="M302" i="11"/>
  <c r="F302" i="11"/>
  <c r="E302" i="11"/>
  <c r="D302" i="11"/>
  <c r="C302" i="11"/>
  <c r="B302" i="11"/>
  <c r="X301" i="11"/>
  <c r="W301" i="11"/>
  <c r="V301" i="11"/>
  <c r="U301" i="11"/>
  <c r="T301" i="11"/>
  <c r="S301" i="11"/>
  <c r="R301" i="11"/>
  <c r="Q301" i="11"/>
  <c r="P301" i="11"/>
  <c r="O301" i="11"/>
  <c r="N301" i="11"/>
  <c r="M301" i="11"/>
  <c r="F301" i="11"/>
  <c r="E301" i="11"/>
  <c r="D301" i="11"/>
  <c r="C301" i="11"/>
  <c r="B301" i="11"/>
  <c r="X300" i="11"/>
  <c r="W300" i="11"/>
  <c r="V300" i="11"/>
  <c r="U300" i="11"/>
  <c r="T300" i="11"/>
  <c r="S300" i="11"/>
  <c r="R300" i="11"/>
  <c r="Q300" i="11"/>
  <c r="P300" i="11"/>
  <c r="O300" i="11"/>
  <c r="N300" i="11"/>
  <c r="M300" i="11"/>
  <c r="F300" i="11"/>
  <c r="E300" i="11"/>
  <c r="D300" i="11"/>
  <c r="C300" i="11"/>
  <c r="B300" i="11"/>
  <c r="X299" i="11"/>
  <c r="W299" i="11"/>
  <c r="V299" i="11"/>
  <c r="U299" i="11"/>
  <c r="T299" i="11"/>
  <c r="S299" i="11"/>
  <c r="R299" i="11"/>
  <c r="Q299" i="11"/>
  <c r="P299" i="11"/>
  <c r="O299" i="11"/>
  <c r="N299" i="11"/>
  <c r="M299" i="11"/>
  <c r="F299" i="11"/>
  <c r="E299" i="11"/>
  <c r="D299" i="11"/>
  <c r="C299" i="11"/>
  <c r="B299" i="11"/>
  <c r="X298" i="11"/>
  <c r="W298" i="11"/>
  <c r="V298" i="11"/>
  <c r="U298" i="11"/>
  <c r="T298" i="11"/>
  <c r="S298" i="11"/>
  <c r="R298" i="11"/>
  <c r="Q298" i="11"/>
  <c r="P298" i="11"/>
  <c r="O298" i="11"/>
  <c r="N298" i="11"/>
  <c r="M298" i="11"/>
  <c r="F298" i="11"/>
  <c r="E298" i="11"/>
  <c r="D298" i="11"/>
  <c r="C298" i="11"/>
  <c r="B298" i="11"/>
  <c r="X297" i="11"/>
  <c r="W297" i="11"/>
  <c r="V297" i="11"/>
  <c r="U297" i="11"/>
  <c r="T297" i="11"/>
  <c r="S297" i="11"/>
  <c r="R297" i="11"/>
  <c r="Q297" i="11"/>
  <c r="P297" i="11"/>
  <c r="O297" i="11"/>
  <c r="N297" i="11"/>
  <c r="M297" i="11"/>
  <c r="F297" i="11"/>
  <c r="E297" i="11"/>
  <c r="D297" i="11"/>
  <c r="C297" i="11"/>
  <c r="B297" i="11"/>
  <c r="X296" i="11"/>
  <c r="W296" i="11"/>
  <c r="V296" i="11"/>
  <c r="U296" i="11"/>
  <c r="T296" i="11"/>
  <c r="S296" i="11"/>
  <c r="R296" i="11"/>
  <c r="Q296" i="11"/>
  <c r="P296" i="11"/>
  <c r="O296" i="11"/>
  <c r="N296" i="11"/>
  <c r="M296" i="11"/>
  <c r="F296" i="11"/>
  <c r="E296" i="11"/>
  <c r="D296" i="11"/>
  <c r="C296" i="11"/>
  <c r="B296" i="11"/>
  <c r="X295" i="11"/>
  <c r="W295" i="11"/>
  <c r="V295" i="11"/>
  <c r="U295" i="11"/>
  <c r="T295" i="11"/>
  <c r="S295" i="11"/>
  <c r="R295" i="11"/>
  <c r="Q295" i="11"/>
  <c r="P295" i="11"/>
  <c r="O295" i="11"/>
  <c r="N295" i="11"/>
  <c r="M295" i="11"/>
  <c r="F295" i="11"/>
  <c r="E295" i="11"/>
  <c r="D295" i="11"/>
  <c r="C295" i="11"/>
  <c r="B295" i="11"/>
  <c r="X294" i="11"/>
  <c r="W294" i="11"/>
  <c r="V294" i="11"/>
  <c r="U294" i="11"/>
  <c r="T294" i="11"/>
  <c r="S294" i="11"/>
  <c r="R294" i="11"/>
  <c r="Q294" i="11"/>
  <c r="P294" i="11"/>
  <c r="O294" i="11"/>
  <c r="N294" i="11"/>
  <c r="M294" i="11"/>
  <c r="F294" i="11"/>
  <c r="E294" i="11"/>
  <c r="D294" i="11"/>
  <c r="C294" i="11"/>
  <c r="B294" i="11"/>
  <c r="X293" i="11"/>
  <c r="W293" i="11"/>
  <c r="V293" i="11"/>
  <c r="U293" i="11"/>
  <c r="T293" i="11"/>
  <c r="S293" i="11"/>
  <c r="R293" i="11"/>
  <c r="Q293" i="11"/>
  <c r="P293" i="11"/>
  <c r="O293" i="11"/>
  <c r="N293" i="11"/>
  <c r="M293" i="11"/>
  <c r="F293" i="11"/>
  <c r="E293" i="11"/>
  <c r="D293" i="11"/>
  <c r="C293" i="11"/>
  <c r="B293" i="11"/>
  <c r="X292" i="11"/>
  <c r="W292" i="11"/>
  <c r="V292" i="11"/>
  <c r="U292" i="11"/>
  <c r="T292" i="11"/>
  <c r="S292" i="11"/>
  <c r="R292" i="11"/>
  <c r="Q292" i="11"/>
  <c r="P292" i="11"/>
  <c r="O292" i="11"/>
  <c r="N292" i="11"/>
  <c r="M292" i="11"/>
  <c r="F292" i="11"/>
  <c r="E292" i="11"/>
  <c r="D292" i="11"/>
  <c r="C292" i="11"/>
  <c r="B292" i="11"/>
  <c r="X291" i="11"/>
  <c r="W291" i="11"/>
  <c r="V291" i="11"/>
  <c r="U291" i="11"/>
  <c r="T291" i="11"/>
  <c r="S291" i="11"/>
  <c r="R291" i="11"/>
  <c r="Q291" i="11"/>
  <c r="P291" i="11"/>
  <c r="O291" i="11"/>
  <c r="N291" i="11"/>
  <c r="M291" i="11"/>
  <c r="F291" i="11"/>
  <c r="E291" i="11"/>
  <c r="D291" i="11"/>
  <c r="C291" i="11"/>
  <c r="B291" i="11"/>
  <c r="X290" i="11"/>
  <c r="W290" i="11"/>
  <c r="V290" i="11"/>
  <c r="U290" i="11"/>
  <c r="T290" i="11"/>
  <c r="S290" i="11"/>
  <c r="R290" i="11"/>
  <c r="Q290" i="11"/>
  <c r="P290" i="11"/>
  <c r="O290" i="11"/>
  <c r="N290" i="11"/>
  <c r="M290" i="11"/>
  <c r="F290" i="11"/>
  <c r="E290" i="11"/>
  <c r="D290" i="11"/>
  <c r="C290" i="11"/>
  <c r="B290" i="11"/>
  <c r="X289" i="11"/>
  <c r="W289" i="11"/>
  <c r="V289" i="11"/>
  <c r="U289" i="11"/>
  <c r="T289" i="11"/>
  <c r="S289" i="11"/>
  <c r="R289" i="11"/>
  <c r="Q289" i="11"/>
  <c r="P289" i="11"/>
  <c r="O289" i="11"/>
  <c r="N289" i="11"/>
  <c r="M289" i="11"/>
  <c r="F289" i="11"/>
  <c r="E289" i="11"/>
  <c r="D289" i="11"/>
  <c r="C289" i="11"/>
  <c r="B289" i="11"/>
  <c r="X288" i="11"/>
  <c r="W288" i="11"/>
  <c r="V288" i="11"/>
  <c r="U288" i="11"/>
  <c r="T288" i="11"/>
  <c r="S288" i="11"/>
  <c r="R288" i="11"/>
  <c r="Q288" i="11"/>
  <c r="P288" i="11"/>
  <c r="O288" i="11"/>
  <c r="N288" i="11"/>
  <c r="M288" i="11"/>
  <c r="F288" i="11"/>
  <c r="E288" i="11"/>
  <c r="D288" i="11"/>
  <c r="C288" i="11"/>
  <c r="B288" i="11"/>
  <c r="X287" i="11"/>
  <c r="W287" i="11"/>
  <c r="V287" i="11"/>
  <c r="U287" i="11"/>
  <c r="T287" i="11"/>
  <c r="S287" i="11"/>
  <c r="R287" i="11"/>
  <c r="Q287" i="11"/>
  <c r="P287" i="11"/>
  <c r="O287" i="11"/>
  <c r="N287" i="11"/>
  <c r="M287" i="11"/>
  <c r="F287" i="11"/>
  <c r="E287" i="11"/>
  <c r="D287" i="11"/>
  <c r="C287" i="11"/>
  <c r="B287" i="11"/>
  <c r="X286" i="11"/>
  <c r="W286" i="11"/>
  <c r="V286" i="11"/>
  <c r="U286" i="11"/>
  <c r="T286" i="11"/>
  <c r="S286" i="11"/>
  <c r="R286" i="11"/>
  <c r="Q286" i="11"/>
  <c r="P286" i="11"/>
  <c r="O286" i="11"/>
  <c r="N286" i="11"/>
  <c r="M286" i="11"/>
  <c r="F286" i="11"/>
  <c r="E286" i="11"/>
  <c r="D286" i="11"/>
  <c r="C286" i="11"/>
  <c r="B286" i="11"/>
  <c r="X285" i="11"/>
  <c r="W285" i="11"/>
  <c r="V285" i="11"/>
  <c r="U285" i="11"/>
  <c r="T285" i="11"/>
  <c r="S285" i="11"/>
  <c r="R285" i="11"/>
  <c r="Q285" i="11"/>
  <c r="P285" i="11"/>
  <c r="O285" i="11"/>
  <c r="N285" i="11"/>
  <c r="M285" i="11"/>
  <c r="F285" i="11"/>
  <c r="E285" i="11"/>
  <c r="D285" i="11"/>
  <c r="C285" i="11"/>
  <c r="B285" i="11"/>
  <c r="X284" i="11"/>
  <c r="W284" i="11"/>
  <c r="V284" i="11"/>
  <c r="U284" i="11"/>
  <c r="T284" i="11"/>
  <c r="S284" i="11"/>
  <c r="R284" i="11"/>
  <c r="Q284" i="11"/>
  <c r="P284" i="11"/>
  <c r="O284" i="11"/>
  <c r="N284" i="11"/>
  <c r="M284" i="11"/>
  <c r="F284" i="11"/>
  <c r="E284" i="11"/>
  <c r="D284" i="11"/>
  <c r="C284" i="11"/>
  <c r="B284" i="11"/>
  <c r="X283" i="11"/>
  <c r="W283" i="11"/>
  <c r="V283" i="11"/>
  <c r="U283" i="11"/>
  <c r="T283" i="11"/>
  <c r="S283" i="11"/>
  <c r="R283" i="11"/>
  <c r="Q283" i="11"/>
  <c r="P283" i="11"/>
  <c r="O283" i="11"/>
  <c r="N283" i="11"/>
  <c r="M283" i="11"/>
  <c r="F283" i="11"/>
  <c r="E283" i="11"/>
  <c r="D283" i="11"/>
  <c r="C283" i="11"/>
  <c r="B283" i="11"/>
  <c r="X282" i="11"/>
  <c r="W282" i="11"/>
  <c r="V282" i="11"/>
  <c r="U282" i="11"/>
  <c r="T282" i="11"/>
  <c r="S282" i="11"/>
  <c r="R282" i="11"/>
  <c r="Q282" i="11"/>
  <c r="P282" i="11"/>
  <c r="O282" i="11"/>
  <c r="N282" i="11"/>
  <c r="M282" i="11"/>
  <c r="F282" i="11"/>
  <c r="E282" i="11"/>
  <c r="D282" i="11"/>
  <c r="C282" i="11"/>
  <c r="B282" i="11"/>
  <c r="X281" i="11"/>
  <c r="W281" i="11"/>
  <c r="V281" i="11"/>
  <c r="U281" i="11"/>
  <c r="T281" i="11"/>
  <c r="S281" i="11"/>
  <c r="R281" i="11"/>
  <c r="Q281" i="11"/>
  <c r="P281" i="11"/>
  <c r="O281" i="11"/>
  <c r="N281" i="11"/>
  <c r="M281" i="11"/>
  <c r="F281" i="11"/>
  <c r="E281" i="11"/>
  <c r="D281" i="11"/>
  <c r="C281" i="11"/>
  <c r="B281" i="11"/>
  <c r="X280" i="11"/>
  <c r="W280" i="11"/>
  <c r="V280" i="11"/>
  <c r="U280" i="11"/>
  <c r="T280" i="11"/>
  <c r="S280" i="11"/>
  <c r="R280" i="11"/>
  <c r="Q280" i="11"/>
  <c r="P280" i="11"/>
  <c r="O280" i="11"/>
  <c r="N280" i="11"/>
  <c r="M280" i="11"/>
  <c r="F280" i="11"/>
  <c r="E280" i="11"/>
  <c r="D280" i="11"/>
  <c r="C280" i="11"/>
  <c r="B280" i="11"/>
  <c r="X279" i="11"/>
  <c r="W279" i="11"/>
  <c r="V279" i="11"/>
  <c r="U279" i="11"/>
  <c r="T279" i="11"/>
  <c r="S279" i="11"/>
  <c r="R279" i="11"/>
  <c r="Q279" i="11"/>
  <c r="P279" i="11"/>
  <c r="O279" i="11"/>
  <c r="N279" i="11"/>
  <c r="M279" i="11"/>
  <c r="F279" i="11"/>
  <c r="E279" i="11"/>
  <c r="D279" i="11"/>
  <c r="C279" i="11"/>
  <c r="B279" i="11"/>
  <c r="X278" i="11"/>
  <c r="W278" i="11"/>
  <c r="V278" i="11"/>
  <c r="U278" i="11"/>
  <c r="T278" i="11"/>
  <c r="S278" i="11"/>
  <c r="R278" i="11"/>
  <c r="Q278" i="11"/>
  <c r="P278" i="11"/>
  <c r="O278" i="11"/>
  <c r="N278" i="11"/>
  <c r="M278" i="11"/>
  <c r="F278" i="11"/>
  <c r="E278" i="11"/>
  <c r="D278" i="11"/>
  <c r="C278" i="11"/>
  <c r="B278" i="11"/>
  <c r="X277" i="11"/>
  <c r="W277" i="11"/>
  <c r="V277" i="11"/>
  <c r="U277" i="11"/>
  <c r="T277" i="11"/>
  <c r="S277" i="11"/>
  <c r="R277" i="11"/>
  <c r="Q277" i="11"/>
  <c r="P277" i="11"/>
  <c r="O277" i="11"/>
  <c r="N277" i="11"/>
  <c r="M277" i="11"/>
  <c r="F277" i="11"/>
  <c r="E277" i="11"/>
  <c r="D277" i="11"/>
  <c r="C277" i="11"/>
  <c r="B277" i="11"/>
  <c r="X276" i="11"/>
  <c r="W276" i="11"/>
  <c r="V276" i="11"/>
  <c r="U276" i="11"/>
  <c r="T276" i="11"/>
  <c r="S276" i="11"/>
  <c r="R276" i="11"/>
  <c r="Q276" i="11"/>
  <c r="P276" i="11"/>
  <c r="O276" i="11"/>
  <c r="N276" i="11"/>
  <c r="M276" i="11"/>
  <c r="F276" i="11"/>
  <c r="E276" i="11"/>
  <c r="D276" i="11"/>
  <c r="C276" i="11"/>
  <c r="B276" i="11"/>
  <c r="X275" i="11"/>
  <c r="W275" i="11"/>
  <c r="V275" i="11"/>
  <c r="U275" i="11"/>
  <c r="T275" i="11"/>
  <c r="S275" i="11"/>
  <c r="R275" i="11"/>
  <c r="Q275" i="11"/>
  <c r="P275" i="11"/>
  <c r="O275" i="11"/>
  <c r="N275" i="11"/>
  <c r="M275" i="11"/>
  <c r="F275" i="11"/>
  <c r="E275" i="11"/>
  <c r="D275" i="11"/>
  <c r="C275" i="11"/>
  <c r="B275" i="11"/>
  <c r="X274" i="11"/>
  <c r="W274" i="11"/>
  <c r="V274" i="11"/>
  <c r="U274" i="11"/>
  <c r="T274" i="11"/>
  <c r="S274" i="11"/>
  <c r="R274" i="11"/>
  <c r="Q274" i="11"/>
  <c r="P274" i="11"/>
  <c r="O274" i="11"/>
  <c r="N274" i="11"/>
  <c r="M274" i="11"/>
  <c r="F274" i="11"/>
  <c r="E274" i="11"/>
  <c r="D274" i="11"/>
  <c r="C274" i="11"/>
  <c r="B274" i="11"/>
  <c r="X273" i="11"/>
  <c r="W273" i="11"/>
  <c r="V273" i="11"/>
  <c r="U273" i="11"/>
  <c r="T273" i="11"/>
  <c r="S273" i="11"/>
  <c r="R273" i="11"/>
  <c r="Q273" i="11"/>
  <c r="P273" i="11"/>
  <c r="O273" i="11"/>
  <c r="N273" i="11"/>
  <c r="M273" i="11"/>
  <c r="F273" i="11"/>
  <c r="E273" i="11"/>
  <c r="D273" i="11"/>
  <c r="C273" i="11"/>
  <c r="B273" i="11"/>
  <c r="X272" i="11"/>
  <c r="W272" i="11"/>
  <c r="V272" i="11"/>
  <c r="U272" i="11"/>
  <c r="T272" i="11"/>
  <c r="S272" i="11"/>
  <c r="R272" i="11"/>
  <c r="Q272" i="11"/>
  <c r="P272" i="11"/>
  <c r="O272" i="11"/>
  <c r="N272" i="11"/>
  <c r="M272" i="11"/>
  <c r="F272" i="11"/>
  <c r="E272" i="11"/>
  <c r="D272" i="11"/>
  <c r="C272" i="11"/>
  <c r="B272" i="11"/>
  <c r="X271" i="11"/>
  <c r="W271" i="11"/>
  <c r="V271" i="11"/>
  <c r="U271" i="11"/>
  <c r="T271" i="11"/>
  <c r="S271" i="11"/>
  <c r="R271" i="11"/>
  <c r="Q271" i="11"/>
  <c r="P271" i="11"/>
  <c r="O271" i="11"/>
  <c r="N271" i="11"/>
  <c r="M271" i="11"/>
  <c r="F271" i="11"/>
  <c r="E271" i="11"/>
  <c r="D271" i="11"/>
  <c r="C271" i="11"/>
  <c r="B271" i="11"/>
  <c r="X270" i="11"/>
  <c r="W270" i="11"/>
  <c r="V270" i="11"/>
  <c r="U270" i="11"/>
  <c r="T270" i="11"/>
  <c r="S270" i="11"/>
  <c r="R270" i="11"/>
  <c r="Q270" i="11"/>
  <c r="P270" i="11"/>
  <c r="O270" i="11"/>
  <c r="N270" i="11"/>
  <c r="M270" i="11"/>
  <c r="F270" i="11"/>
  <c r="E270" i="11"/>
  <c r="D270" i="11"/>
  <c r="C270" i="11"/>
  <c r="B270" i="11"/>
  <c r="X269" i="11"/>
  <c r="W269" i="11"/>
  <c r="V269" i="11"/>
  <c r="U269" i="11"/>
  <c r="T269" i="11"/>
  <c r="S269" i="11"/>
  <c r="R269" i="11"/>
  <c r="Q269" i="11"/>
  <c r="P269" i="11"/>
  <c r="O269" i="11"/>
  <c r="N269" i="11"/>
  <c r="M269" i="11"/>
  <c r="F269" i="11"/>
  <c r="E269" i="11"/>
  <c r="D269" i="11"/>
  <c r="C269" i="11"/>
  <c r="B269" i="11"/>
  <c r="X268" i="11"/>
  <c r="W268" i="11"/>
  <c r="V268" i="11"/>
  <c r="U268" i="11"/>
  <c r="T268" i="11"/>
  <c r="S268" i="11"/>
  <c r="R268" i="11"/>
  <c r="Q268" i="11"/>
  <c r="P268" i="11"/>
  <c r="O268" i="11"/>
  <c r="N268" i="11"/>
  <c r="M268" i="11"/>
  <c r="F268" i="11"/>
  <c r="E268" i="11"/>
  <c r="D268" i="11"/>
  <c r="C268" i="11"/>
  <c r="B268" i="11"/>
  <c r="X267" i="11"/>
  <c r="W267" i="11"/>
  <c r="V267" i="11"/>
  <c r="U267" i="11"/>
  <c r="T267" i="11"/>
  <c r="S267" i="11"/>
  <c r="R267" i="11"/>
  <c r="Q267" i="11"/>
  <c r="P267" i="11"/>
  <c r="O267" i="11"/>
  <c r="N267" i="11"/>
  <c r="M267" i="11"/>
  <c r="F267" i="11"/>
  <c r="E267" i="11"/>
  <c r="D267" i="11"/>
  <c r="C267" i="11"/>
  <c r="B267" i="11"/>
  <c r="X266" i="11"/>
  <c r="W266" i="11"/>
  <c r="V266" i="11"/>
  <c r="U266" i="11"/>
  <c r="T266" i="11"/>
  <c r="S266" i="11"/>
  <c r="R266" i="11"/>
  <c r="Q266" i="11"/>
  <c r="P266" i="11"/>
  <c r="O266" i="11"/>
  <c r="N266" i="11"/>
  <c r="M266" i="11"/>
  <c r="F266" i="11"/>
  <c r="E266" i="11"/>
  <c r="D266" i="11"/>
  <c r="C266" i="11"/>
  <c r="B266" i="11"/>
  <c r="X265" i="11"/>
  <c r="W265" i="11"/>
  <c r="V265" i="11"/>
  <c r="U265" i="11"/>
  <c r="T265" i="11"/>
  <c r="S265" i="11"/>
  <c r="R265" i="11"/>
  <c r="Q265" i="11"/>
  <c r="P265" i="11"/>
  <c r="O265" i="11"/>
  <c r="N265" i="11"/>
  <c r="M265" i="11"/>
  <c r="F265" i="11"/>
  <c r="E265" i="11"/>
  <c r="D265" i="11"/>
  <c r="C265" i="11"/>
  <c r="B265" i="11"/>
  <c r="X264" i="11"/>
  <c r="W264" i="11"/>
  <c r="V264" i="11"/>
  <c r="U264" i="11"/>
  <c r="T264" i="11"/>
  <c r="S264" i="11"/>
  <c r="R264" i="11"/>
  <c r="Q264" i="11"/>
  <c r="P264" i="11"/>
  <c r="O264" i="11"/>
  <c r="N264" i="11"/>
  <c r="M264" i="11"/>
  <c r="F264" i="11"/>
  <c r="E264" i="11"/>
  <c r="D264" i="11"/>
  <c r="C264" i="11"/>
  <c r="B264" i="11"/>
  <c r="X263" i="11"/>
  <c r="W263" i="11"/>
  <c r="V263" i="11"/>
  <c r="U263" i="11"/>
  <c r="T263" i="11"/>
  <c r="S263" i="11"/>
  <c r="R263" i="11"/>
  <c r="Q263" i="11"/>
  <c r="P263" i="11"/>
  <c r="O263" i="11"/>
  <c r="N263" i="11"/>
  <c r="M263" i="11"/>
  <c r="F263" i="11"/>
  <c r="E263" i="11"/>
  <c r="D263" i="11"/>
  <c r="C263" i="11"/>
  <c r="B263" i="11"/>
  <c r="X262" i="11"/>
  <c r="W262" i="11"/>
  <c r="V262" i="11"/>
  <c r="U262" i="11"/>
  <c r="T262" i="11"/>
  <c r="S262" i="11"/>
  <c r="R262" i="11"/>
  <c r="Q262" i="11"/>
  <c r="P262" i="11"/>
  <c r="O262" i="11"/>
  <c r="N262" i="11"/>
  <c r="M262" i="11"/>
  <c r="F262" i="11"/>
  <c r="E262" i="11"/>
  <c r="D262" i="11"/>
  <c r="C262" i="11"/>
  <c r="B262" i="11"/>
  <c r="X261" i="11"/>
  <c r="W261" i="11"/>
  <c r="V261" i="11"/>
  <c r="U261" i="11"/>
  <c r="T261" i="11"/>
  <c r="S261" i="11"/>
  <c r="R261" i="11"/>
  <c r="Q261" i="11"/>
  <c r="P261" i="11"/>
  <c r="O261" i="11"/>
  <c r="N261" i="11"/>
  <c r="M261" i="11"/>
  <c r="F261" i="11"/>
  <c r="E261" i="11"/>
  <c r="D261" i="11"/>
  <c r="C261" i="11"/>
  <c r="B261" i="11"/>
  <c r="X260" i="11"/>
  <c r="W260" i="11"/>
  <c r="V260" i="11"/>
  <c r="U260" i="11"/>
  <c r="T260" i="11"/>
  <c r="S260" i="11"/>
  <c r="R260" i="11"/>
  <c r="Q260" i="11"/>
  <c r="P260" i="11"/>
  <c r="O260" i="11"/>
  <c r="N260" i="11"/>
  <c r="M260" i="11"/>
  <c r="F260" i="11"/>
  <c r="E260" i="11"/>
  <c r="D260" i="11"/>
  <c r="C260" i="11"/>
  <c r="B260" i="11"/>
  <c r="X259" i="11"/>
  <c r="W259" i="11"/>
  <c r="V259" i="11"/>
  <c r="U259" i="11"/>
  <c r="T259" i="11"/>
  <c r="S259" i="11"/>
  <c r="R259" i="11"/>
  <c r="Q259" i="11"/>
  <c r="P259" i="11"/>
  <c r="O259" i="11"/>
  <c r="N259" i="11"/>
  <c r="M259" i="11"/>
  <c r="F259" i="11"/>
  <c r="E259" i="11"/>
  <c r="D259" i="11"/>
  <c r="C259" i="11"/>
  <c r="B259" i="11"/>
  <c r="X258" i="11"/>
  <c r="W258" i="11"/>
  <c r="V258" i="11"/>
  <c r="U258" i="11"/>
  <c r="T258" i="11"/>
  <c r="S258" i="11"/>
  <c r="R258" i="11"/>
  <c r="Q258" i="11"/>
  <c r="P258" i="11"/>
  <c r="O258" i="11"/>
  <c r="N258" i="11"/>
  <c r="M258" i="11"/>
  <c r="F258" i="11"/>
  <c r="E258" i="11"/>
  <c r="D258" i="11"/>
  <c r="C258" i="11"/>
  <c r="B258" i="11"/>
  <c r="X257" i="11"/>
  <c r="W257" i="11"/>
  <c r="V257" i="11"/>
  <c r="U257" i="11"/>
  <c r="T257" i="11"/>
  <c r="S257" i="11"/>
  <c r="R257" i="11"/>
  <c r="Q257" i="11"/>
  <c r="P257" i="11"/>
  <c r="O257" i="11"/>
  <c r="N257" i="11"/>
  <c r="M257" i="11"/>
  <c r="F257" i="11"/>
  <c r="E257" i="11"/>
  <c r="D257" i="11"/>
  <c r="C257" i="11"/>
  <c r="B257" i="11"/>
  <c r="X256" i="11"/>
  <c r="W256" i="11"/>
  <c r="V256" i="11"/>
  <c r="U256" i="11"/>
  <c r="T256" i="11"/>
  <c r="S256" i="11"/>
  <c r="R256" i="11"/>
  <c r="Q256" i="11"/>
  <c r="P256" i="11"/>
  <c r="O256" i="11"/>
  <c r="N256" i="11"/>
  <c r="M256" i="11"/>
  <c r="F256" i="11"/>
  <c r="E256" i="11"/>
  <c r="D256" i="11"/>
  <c r="C256" i="11"/>
  <c r="B256" i="11"/>
  <c r="X255" i="11"/>
  <c r="W255" i="11"/>
  <c r="V255" i="11"/>
  <c r="U255" i="11"/>
  <c r="T255" i="11"/>
  <c r="S255" i="11"/>
  <c r="R255" i="11"/>
  <c r="Q255" i="11"/>
  <c r="P255" i="11"/>
  <c r="O255" i="11"/>
  <c r="N255" i="11"/>
  <c r="M255" i="11"/>
  <c r="F255" i="11"/>
  <c r="E255" i="11"/>
  <c r="D255" i="11"/>
  <c r="C255" i="11"/>
  <c r="B255" i="11"/>
  <c r="X254" i="11"/>
  <c r="W254" i="11"/>
  <c r="V254" i="11"/>
  <c r="U254" i="11"/>
  <c r="T254" i="11"/>
  <c r="S254" i="11"/>
  <c r="R254" i="11"/>
  <c r="Q254" i="11"/>
  <c r="P254" i="11"/>
  <c r="O254" i="11"/>
  <c r="N254" i="11"/>
  <c r="M254" i="11"/>
  <c r="F254" i="11"/>
  <c r="E254" i="11"/>
  <c r="D254" i="11"/>
  <c r="C254" i="11"/>
  <c r="B254" i="11"/>
  <c r="X253" i="11"/>
  <c r="W253" i="11"/>
  <c r="V253" i="11"/>
  <c r="U253" i="11"/>
  <c r="T253" i="11"/>
  <c r="S253" i="11"/>
  <c r="R253" i="11"/>
  <c r="Q253" i="11"/>
  <c r="P253" i="11"/>
  <c r="O253" i="11"/>
  <c r="N253" i="11"/>
  <c r="M253" i="11"/>
  <c r="F253" i="11"/>
  <c r="E253" i="11"/>
  <c r="D253" i="11"/>
  <c r="C253" i="11"/>
  <c r="B253" i="11"/>
  <c r="X252" i="11"/>
  <c r="W252" i="11"/>
  <c r="V252" i="11"/>
  <c r="U252" i="11"/>
  <c r="T252" i="11"/>
  <c r="S252" i="11"/>
  <c r="R252" i="11"/>
  <c r="Q252" i="11"/>
  <c r="P252" i="11"/>
  <c r="O252" i="11"/>
  <c r="N252" i="11"/>
  <c r="M252" i="11"/>
  <c r="F252" i="11"/>
  <c r="E252" i="11"/>
  <c r="D252" i="11"/>
  <c r="C252" i="11"/>
  <c r="B252" i="11"/>
  <c r="X251" i="11"/>
  <c r="W251" i="11"/>
  <c r="V251" i="11"/>
  <c r="U251" i="11"/>
  <c r="T251" i="11"/>
  <c r="S251" i="11"/>
  <c r="R251" i="11"/>
  <c r="Q251" i="11"/>
  <c r="P251" i="11"/>
  <c r="O251" i="11"/>
  <c r="N251" i="11"/>
  <c r="M251" i="11"/>
  <c r="F251" i="11"/>
  <c r="E251" i="11"/>
  <c r="D251" i="11"/>
  <c r="C251" i="11"/>
  <c r="B251" i="11"/>
  <c r="X250" i="11"/>
  <c r="W250" i="11"/>
  <c r="V250" i="11"/>
  <c r="U250" i="11"/>
  <c r="T250" i="11"/>
  <c r="S250" i="11"/>
  <c r="R250" i="11"/>
  <c r="Q250" i="11"/>
  <c r="P250" i="11"/>
  <c r="O250" i="11"/>
  <c r="N250" i="11"/>
  <c r="M250" i="11"/>
  <c r="F250" i="11"/>
  <c r="E250" i="11"/>
  <c r="D250" i="11"/>
  <c r="C250" i="11"/>
  <c r="B250" i="11"/>
  <c r="X249" i="11"/>
  <c r="W249" i="11"/>
  <c r="V249" i="11"/>
  <c r="U249" i="11"/>
  <c r="T249" i="11"/>
  <c r="S249" i="11"/>
  <c r="R249" i="11"/>
  <c r="Q249" i="11"/>
  <c r="P249" i="11"/>
  <c r="O249" i="11"/>
  <c r="N249" i="11"/>
  <c r="M249" i="11"/>
  <c r="F249" i="11"/>
  <c r="E249" i="11"/>
  <c r="D249" i="11"/>
  <c r="C249" i="11"/>
  <c r="B249" i="11"/>
  <c r="X248" i="11"/>
  <c r="W248" i="11"/>
  <c r="V248" i="11"/>
  <c r="U248" i="11"/>
  <c r="T248" i="11"/>
  <c r="S248" i="11"/>
  <c r="R248" i="11"/>
  <c r="Q248" i="11"/>
  <c r="P248" i="11"/>
  <c r="O248" i="11"/>
  <c r="N248" i="11"/>
  <c r="M248" i="11"/>
  <c r="F248" i="11"/>
  <c r="E248" i="11"/>
  <c r="D248" i="11"/>
  <c r="C248" i="11"/>
  <c r="B248" i="11"/>
  <c r="X247" i="11"/>
  <c r="W247" i="11"/>
  <c r="V247" i="11"/>
  <c r="U247" i="11"/>
  <c r="T247" i="11"/>
  <c r="S247" i="11"/>
  <c r="R247" i="11"/>
  <c r="Q247" i="11"/>
  <c r="P247" i="11"/>
  <c r="O247" i="11"/>
  <c r="N247" i="11"/>
  <c r="M247" i="11"/>
  <c r="F247" i="11"/>
  <c r="E247" i="11"/>
  <c r="D247" i="11"/>
  <c r="C247" i="11"/>
  <c r="B247" i="11"/>
  <c r="X246" i="11"/>
  <c r="W246" i="11"/>
  <c r="V246" i="11"/>
  <c r="U246" i="11"/>
  <c r="T246" i="11"/>
  <c r="S246" i="11"/>
  <c r="R246" i="11"/>
  <c r="Q246" i="11"/>
  <c r="P246" i="11"/>
  <c r="O246" i="11"/>
  <c r="N246" i="11"/>
  <c r="M246" i="11"/>
  <c r="F246" i="11"/>
  <c r="E246" i="11"/>
  <c r="D246" i="11"/>
  <c r="C246" i="11"/>
  <c r="B246" i="11"/>
  <c r="X245" i="11"/>
  <c r="W245" i="11"/>
  <c r="V245" i="11"/>
  <c r="U245" i="11"/>
  <c r="T245" i="11"/>
  <c r="S245" i="11"/>
  <c r="R245" i="11"/>
  <c r="Q245" i="11"/>
  <c r="P245" i="11"/>
  <c r="O245" i="11"/>
  <c r="N245" i="11"/>
  <c r="M245" i="11"/>
  <c r="F245" i="11"/>
  <c r="E245" i="11"/>
  <c r="D245" i="11"/>
  <c r="C245" i="11"/>
  <c r="B245" i="11"/>
  <c r="X244" i="11"/>
  <c r="W244" i="11"/>
  <c r="V244" i="11"/>
  <c r="U244" i="11"/>
  <c r="T244" i="11"/>
  <c r="S244" i="11"/>
  <c r="R244" i="11"/>
  <c r="Q244" i="11"/>
  <c r="P244" i="11"/>
  <c r="O244" i="11"/>
  <c r="N244" i="11"/>
  <c r="M244" i="11"/>
  <c r="F244" i="11"/>
  <c r="E244" i="11"/>
  <c r="D244" i="11"/>
  <c r="C244" i="11"/>
  <c r="B244" i="11"/>
  <c r="X243" i="11"/>
  <c r="W243" i="11"/>
  <c r="V243" i="11"/>
  <c r="U243" i="11"/>
  <c r="T243" i="11"/>
  <c r="S243" i="11"/>
  <c r="R243" i="11"/>
  <c r="Q243" i="11"/>
  <c r="P243" i="11"/>
  <c r="O243" i="11"/>
  <c r="N243" i="11"/>
  <c r="M243" i="11"/>
  <c r="F243" i="11"/>
  <c r="E243" i="11"/>
  <c r="D243" i="11"/>
  <c r="C243" i="11"/>
  <c r="B243" i="11"/>
  <c r="X242" i="11"/>
  <c r="W242" i="11"/>
  <c r="V242" i="11"/>
  <c r="U242" i="11"/>
  <c r="T242" i="11"/>
  <c r="S242" i="11"/>
  <c r="R242" i="11"/>
  <c r="Q242" i="11"/>
  <c r="P242" i="11"/>
  <c r="O242" i="11"/>
  <c r="N242" i="11"/>
  <c r="M242" i="11"/>
  <c r="F242" i="11"/>
  <c r="E242" i="11"/>
  <c r="D242" i="11"/>
  <c r="C242" i="11"/>
  <c r="B242" i="11"/>
  <c r="X241" i="11"/>
  <c r="W241" i="11"/>
  <c r="V241" i="11"/>
  <c r="U241" i="11"/>
  <c r="T241" i="11"/>
  <c r="S241" i="11"/>
  <c r="R241" i="11"/>
  <c r="Q241" i="11"/>
  <c r="P241" i="11"/>
  <c r="O241" i="11"/>
  <c r="N241" i="11"/>
  <c r="M241" i="11"/>
  <c r="F241" i="11"/>
  <c r="E241" i="11"/>
  <c r="D241" i="11"/>
  <c r="C241" i="11"/>
  <c r="B241" i="11"/>
  <c r="X240" i="11"/>
  <c r="W240" i="11"/>
  <c r="V240" i="11"/>
  <c r="U240" i="11"/>
  <c r="T240" i="11"/>
  <c r="S240" i="11"/>
  <c r="R240" i="11"/>
  <c r="Q240" i="11"/>
  <c r="P240" i="11"/>
  <c r="O240" i="11"/>
  <c r="N240" i="11"/>
  <c r="M240" i="11"/>
  <c r="F240" i="11"/>
  <c r="E240" i="11"/>
  <c r="D240" i="11"/>
  <c r="C240" i="11"/>
  <c r="B240" i="11"/>
  <c r="X239" i="11"/>
  <c r="W239" i="11"/>
  <c r="V239" i="11"/>
  <c r="U239" i="11"/>
  <c r="T239" i="11"/>
  <c r="S239" i="11"/>
  <c r="R239" i="11"/>
  <c r="Q239" i="11"/>
  <c r="P239" i="11"/>
  <c r="O239" i="11"/>
  <c r="N239" i="11"/>
  <c r="M239" i="11"/>
  <c r="F239" i="11"/>
  <c r="E239" i="11"/>
  <c r="D239" i="11"/>
  <c r="C239" i="11"/>
  <c r="B239" i="11"/>
  <c r="X238" i="11"/>
  <c r="W238" i="11"/>
  <c r="V238" i="11"/>
  <c r="U238" i="11"/>
  <c r="T238" i="11"/>
  <c r="S238" i="11"/>
  <c r="R238" i="11"/>
  <c r="Q238" i="11"/>
  <c r="P238" i="11"/>
  <c r="O238" i="11"/>
  <c r="N238" i="11"/>
  <c r="M238" i="11"/>
  <c r="F238" i="11"/>
  <c r="E238" i="11"/>
  <c r="D238" i="11"/>
  <c r="C238" i="11"/>
  <c r="B238" i="11"/>
  <c r="X237" i="11"/>
  <c r="W237" i="11"/>
  <c r="V237" i="11"/>
  <c r="U237" i="11"/>
  <c r="T237" i="11"/>
  <c r="S237" i="11"/>
  <c r="R237" i="11"/>
  <c r="Q237" i="11"/>
  <c r="P237" i="11"/>
  <c r="O237" i="11"/>
  <c r="N237" i="11"/>
  <c r="M237" i="11"/>
  <c r="F237" i="11"/>
  <c r="E237" i="11"/>
  <c r="D237" i="11"/>
  <c r="C237" i="11"/>
  <c r="B237" i="11"/>
  <c r="X236" i="11"/>
  <c r="W236" i="11"/>
  <c r="V236" i="11"/>
  <c r="U236" i="11"/>
  <c r="T236" i="11"/>
  <c r="S236" i="11"/>
  <c r="R236" i="11"/>
  <c r="Q236" i="11"/>
  <c r="P236" i="11"/>
  <c r="O236" i="11"/>
  <c r="N236" i="11"/>
  <c r="M236" i="11"/>
  <c r="F236" i="11"/>
  <c r="E236" i="11"/>
  <c r="D236" i="11"/>
  <c r="C236" i="11"/>
  <c r="B236" i="11"/>
  <c r="X235" i="11"/>
  <c r="W235" i="11"/>
  <c r="V235" i="11"/>
  <c r="U235" i="11"/>
  <c r="T235" i="11"/>
  <c r="S235" i="11"/>
  <c r="R235" i="11"/>
  <c r="Q235" i="11"/>
  <c r="P235" i="11"/>
  <c r="O235" i="11"/>
  <c r="N235" i="11"/>
  <c r="M235" i="11"/>
  <c r="F235" i="11"/>
  <c r="E235" i="11"/>
  <c r="D235" i="11"/>
  <c r="C235" i="11"/>
  <c r="B235" i="11"/>
  <c r="X234" i="11"/>
  <c r="W234" i="11"/>
  <c r="V234" i="11"/>
  <c r="U234" i="11"/>
  <c r="T234" i="11"/>
  <c r="S234" i="11"/>
  <c r="R234" i="11"/>
  <c r="Q234" i="11"/>
  <c r="P234" i="11"/>
  <c r="O234" i="11"/>
  <c r="N234" i="11"/>
  <c r="M234" i="11"/>
  <c r="F234" i="11"/>
  <c r="E234" i="11"/>
  <c r="D234" i="11"/>
  <c r="C234" i="11"/>
  <c r="B234" i="11"/>
  <c r="X233" i="11"/>
  <c r="W233" i="11"/>
  <c r="V233" i="11"/>
  <c r="U233" i="11"/>
  <c r="T233" i="11"/>
  <c r="S233" i="11"/>
  <c r="R233" i="11"/>
  <c r="Q233" i="11"/>
  <c r="P233" i="11"/>
  <c r="O233" i="11"/>
  <c r="N233" i="11"/>
  <c r="M233" i="11"/>
  <c r="F233" i="11"/>
  <c r="E233" i="11"/>
  <c r="D233" i="11"/>
  <c r="C233" i="11"/>
  <c r="B233" i="11"/>
  <c r="X232" i="11"/>
  <c r="W232" i="11"/>
  <c r="V232" i="11"/>
  <c r="U232" i="11"/>
  <c r="T232" i="11"/>
  <c r="S232" i="11"/>
  <c r="R232" i="11"/>
  <c r="Q232" i="11"/>
  <c r="P232" i="11"/>
  <c r="O232" i="11"/>
  <c r="N232" i="11"/>
  <c r="M232" i="11"/>
  <c r="F232" i="11"/>
  <c r="E232" i="11"/>
  <c r="D232" i="11"/>
  <c r="C232" i="11"/>
  <c r="B232" i="11"/>
  <c r="X231" i="11"/>
  <c r="W231" i="11"/>
  <c r="V231" i="11"/>
  <c r="U231" i="11"/>
  <c r="T231" i="11"/>
  <c r="S231" i="11"/>
  <c r="R231" i="11"/>
  <c r="Q231" i="11"/>
  <c r="P231" i="11"/>
  <c r="O231" i="11"/>
  <c r="N231" i="11"/>
  <c r="M231" i="11"/>
  <c r="F231" i="11"/>
  <c r="E231" i="11"/>
  <c r="D231" i="11"/>
  <c r="C231" i="11"/>
  <c r="B231" i="11"/>
  <c r="X230" i="11"/>
  <c r="W230" i="11"/>
  <c r="V230" i="11"/>
  <c r="U230" i="11"/>
  <c r="T230" i="11"/>
  <c r="S230" i="11"/>
  <c r="R230" i="11"/>
  <c r="Q230" i="11"/>
  <c r="P230" i="11"/>
  <c r="O230" i="11"/>
  <c r="N230" i="11"/>
  <c r="M230" i="11"/>
  <c r="F230" i="11"/>
  <c r="E230" i="11"/>
  <c r="D230" i="11"/>
  <c r="C230" i="11"/>
  <c r="B230" i="11"/>
  <c r="X229" i="11"/>
  <c r="W229" i="11"/>
  <c r="V229" i="11"/>
  <c r="U229" i="11"/>
  <c r="T229" i="11"/>
  <c r="S229" i="11"/>
  <c r="R229" i="11"/>
  <c r="Q229" i="11"/>
  <c r="P229" i="11"/>
  <c r="O229" i="11"/>
  <c r="N229" i="11"/>
  <c r="M229" i="11"/>
  <c r="F229" i="11"/>
  <c r="E229" i="11"/>
  <c r="D229" i="11"/>
  <c r="C229" i="11"/>
  <c r="B229" i="11"/>
  <c r="X228" i="11"/>
  <c r="W228" i="11"/>
  <c r="V228" i="11"/>
  <c r="U228" i="11"/>
  <c r="T228" i="11"/>
  <c r="S228" i="11"/>
  <c r="R228" i="11"/>
  <c r="Q228" i="11"/>
  <c r="P228" i="11"/>
  <c r="O228" i="11"/>
  <c r="N228" i="11"/>
  <c r="M228" i="11"/>
  <c r="F228" i="11"/>
  <c r="E228" i="11"/>
  <c r="D228" i="11"/>
  <c r="C228" i="11"/>
  <c r="B228" i="11"/>
  <c r="X227" i="11"/>
  <c r="W227" i="11"/>
  <c r="V227" i="11"/>
  <c r="U227" i="11"/>
  <c r="T227" i="11"/>
  <c r="S227" i="11"/>
  <c r="R227" i="11"/>
  <c r="Q227" i="11"/>
  <c r="P227" i="11"/>
  <c r="O227" i="11"/>
  <c r="N227" i="11"/>
  <c r="M227" i="11"/>
  <c r="F227" i="11"/>
  <c r="E227" i="11"/>
  <c r="D227" i="11"/>
  <c r="C227" i="11"/>
  <c r="B227" i="11"/>
  <c r="X226" i="11"/>
  <c r="W226" i="11"/>
  <c r="V226" i="11"/>
  <c r="U226" i="11"/>
  <c r="T226" i="11"/>
  <c r="S226" i="11"/>
  <c r="R226" i="11"/>
  <c r="Q226" i="11"/>
  <c r="P226" i="11"/>
  <c r="O226" i="11"/>
  <c r="N226" i="11"/>
  <c r="M226" i="11"/>
  <c r="F226" i="11"/>
  <c r="E226" i="11"/>
  <c r="D226" i="11"/>
  <c r="C226" i="11"/>
  <c r="B226" i="11"/>
  <c r="X225" i="11"/>
  <c r="W225" i="11"/>
  <c r="V225" i="11"/>
  <c r="U225" i="11"/>
  <c r="T225" i="11"/>
  <c r="S225" i="11"/>
  <c r="R225" i="11"/>
  <c r="Q225" i="11"/>
  <c r="P225" i="11"/>
  <c r="O225" i="11"/>
  <c r="N225" i="11"/>
  <c r="M225" i="11"/>
  <c r="F225" i="11"/>
  <c r="E225" i="11"/>
  <c r="D225" i="11"/>
  <c r="C225" i="11"/>
  <c r="B225" i="11"/>
  <c r="X224" i="11"/>
  <c r="W224" i="11"/>
  <c r="V224" i="11"/>
  <c r="U224" i="11"/>
  <c r="T224" i="11"/>
  <c r="S224" i="11"/>
  <c r="R224" i="11"/>
  <c r="Q224" i="11"/>
  <c r="P224" i="11"/>
  <c r="O224" i="11"/>
  <c r="N224" i="11"/>
  <c r="M224" i="11"/>
  <c r="F224" i="11"/>
  <c r="E224" i="11"/>
  <c r="D224" i="11"/>
  <c r="C224" i="11"/>
  <c r="B224" i="11"/>
  <c r="X223" i="11"/>
  <c r="W223" i="11"/>
  <c r="V223" i="11"/>
  <c r="U223" i="11"/>
  <c r="T223" i="11"/>
  <c r="S223" i="11"/>
  <c r="R223" i="11"/>
  <c r="Q223" i="11"/>
  <c r="P223" i="11"/>
  <c r="O223" i="11"/>
  <c r="N223" i="11"/>
  <c r="M223" i="11"/>
  <c r="F223" i="11"/>
  <c r="E223" i="11"/>
  <c r="D223" i="11"/>
  <c r="C223" i="11"/>
  <c r="B223" i="11"/>
  <c r="X222" i="11"/>
  <c r="W222" i="11"/>
  <c r="V222" i="11"/>
  <c r="U222" i="11"/>
  <c r="T222" i="11"/>
  <c r="S222" i="11"/>
  <c r="R222" i="11"/>
  <c r="Q222" i="11"/>
  <c r="P222" i="11"/>
  <c r="O222" i="11"/>
  <c r="N222" i="11"/>
  <c r="M222" i="11"/>
  <c r="F222" i="11"/>
  <c r="E222" i="11"/>
  <c r="D222" i="11"/>
  <c r="C222" i="11"/>
  <c r="B222" i="11"/>
  <c r="X221" i="11"/>
  <c r="W221" i="11"/>
  <c r="V221" i="11"/>
  <c r="U221" i="11"/>
  <c r="T221" i="11"/>
  <c r="S221" i="11"/>
  <c r="R221" i="11"/>
  <c r="Q221" i="11"/>
  <c r="P221" i="11"/>
  <c r="O221" i="11"/>
  <c r="N221" i="11"/>
  <c r="M221" i="11"/>
  <c r="F221" i="11"/>
  <c r="E221" i="11"/>
  <c r="D221" i="11"/>
  <c r="C221" i="11"/>
  <c r="B221" i="11"/>
  <c r="X220" i="11"/>
  <c r="W220" i="11"/>
  <c r="V220" i="11"/>
  <c r="U220" i="11"/>
  <c r="T220" i="11"/>
  <c r="S220" i="11"/>
  <c r="R220" i="11"/>
  <c r="Q220" i="11"/>
  <c r="P220" i="11"/>
  <c r="O220" i="11"/>
  <c r="N220" i="11"/>
  <c r="M220" i="11"/>
  <c r="F220" i="11"/>
  <c r="E220" i="11"/>
  <c r="D220" i="11"/>
  <c r="C220" i="11"/>
  <c r="B220" i="11"/>
  <c r="X219" i="11"/>
  <c r="W219" i="11"/>
  <c r="V219" i="11"/>
  <c r="U219" i="11"/>
  <c r="T219" i="11"/>
  <c r="S219" i="11"/>
  <c r="R219" i="11"/>
  <c r="Q219" i="11"/>
  <c r="P219" i="11"/>
  <c r="O219" i="11"/>
  <c r="N219" i="11"/>
  <c r="M219" i="11"/>
  <c r="F219" i="11"/>
  <c r="E219" i="11"/>
  <c r="D219" i="11"/>
  <c r="C219" i="11"/>
  <c r="B219" i="11"/>
  <c r="X218" i="11"/>
  <c r="W218" i="11"/>
  <c r="V218" i="11"/>
  <c r="U218" i="11"/>
  <c r="T218" i="11"/>
  <c r="S218" i="11"/>
  <c r="R218" i="11"/>
  <c r="Q218" i="11"/>
  <c r="P218" i="11"/>
  <c r="O218" i="11"/>
  <c r="N218" i="11"/>
  <c r="M218" i="11"/>
  <c r="F218" i="11"/>
  <c r="E218" i="11"/>
  <c r="D218" i="11"/>
  <c r="C218" i="11"/>
  <c r="B218" i="11"/>
  <c r="X217" i="11"/>
  <c r="W217" i="11"/>
  <c r="V217" i="11"/>
  <c r="U217" i="11"/>
  <c r="T217" i="11"/>
  <c r="S217" i="11"/>
  <c r="R217" i="11"/>
  <c r="Q217" i="11"/>
  <c r="P217" i="11"/>
  <c r="O217" i="11"/>
  <c r="N217" i="11"/>
  <c r="M217" i="11"/>
  <c r="F217" i="11"/>
  <c r="E217" i="11"/>
  <c r="D217" i="11"/>
  <c r="C217" i="11"/>
  <c r="B217" i="11"/>
  <c r="X216" i="11"/>
  <c r="W216" i="11"/>
  <c r="V216" i="11"/>
  <c r="U216" i="11"/>
  <c r="T216" i="11"/>
  <c r="S216" i="11"/>
  <c r="R216" i="11"/>
  <c r="Q216" i="11"/>
  <c r="P216" i="11"/>
  <c r="O216" i="11"/>
  <c r="N216" i="11"/>
  <c r="M216" i="11"/>
  <c r="F216" i="11"/>
  <c r="E216" i="11"/>
  <c r="D216" i="11"/>
  <c r="C216" i="11"/>
  <c r="B216" i="11"/>
  <c r="X215" i="11"/>
  <c r="W215" i="11"/>
  <c r="V215" i="11"/>
  <c r="U215" i="11"/>
  <c r="T215" i="11"/>
  <c r="S215" i="11"/>
  <c r="R215" i="11"/>
  <c r="Q215" i="11"/>
  <c r="P215" i="11"/>
  <c r="O215" i="11"/>
  <c r="N215" i="11"/>
  <c r="M215" i="11"/>
  <c r="F215" i="11"/>
  <c r="E215" i="11"/>
  <c r="D215" i="11"/>
  <c r="C215" i="11"/>
  <c r="B215" i="11"/>
  <c r="X214" i="11"/>
  <c r="W214" i="11"/>
  <c r="V214" i="11"/>
  <c r="U214" i="11"/>
  <c r="T214" i="11"/>
  <c r="S214" i="11"/>
  <c r="R214" i="11"/>
  <c r="Q214" i="11"/>
  <c r="P214" i="11"/>
  <c r="O214" i="11"/>
  <c r="N214" i="11"/>
  <c r="M214" i="11"/>
  <c r="F214" i="11"/>
  <c r="E214" i="11"/>
  <c r="D214" i="11"/>
  <c r="C214" i="11"/>
  <c r="B214" i="11"/>
  <c r="X213" i="11"/>
  <c r="W213" i="11"/>
  <c r="V213" i="11"/>
  <c r="U213" i="11"/>
  <c r="T213" i="11"/>
  <c r="S213" i="11"/>
  <c r="R213" i="11"/>
  <c r="Q213" i="11"/>
  <c r="P213" i="11"/>
  <c r="O213" i="11"/>
  <c r="N213" i="11"/>
  <c r="M213" i="11"/>
  <c r="F213" i="11"/>
  <c r="E213" i="11"/>
  <c r="D213" i="11"/>
  <c r="C213" i="11"/>
  <c r="B213" i="11"/>
  <c r="X212" i="11"/>
  <c r="W212" i="11"/>
  <c r="V212" i="11"/>
  <c r="U212" i="11"/>
  <c r="T212" i="11"/>
  <c r="S212" i="11"/>
  <c r="R212" i="11"/>
  <c r="Q212" i="11"/>
  <c r="P212" i="11"/>
  <c r="O212" i="11"/>
  <c r="N212" i="11"/>
  <c r="M212" i="11"/>
  <c r="F212" i="11"/>
  <c r="E212" i="11"/>
  <c r="D212" i="11"/>
  <c r="C212" i="11"/>
  <c r="B212" i="11"/>
  <c r="X211" i="11"/>
  <c r="W211" i="11"/>
  <c r="V211" i="11"/>
  <c r="U211" i="11"/>
  <c r="T211" i="11"/>
  <c r="S211" i="11"/>
  <c r="R211" i="11"/>
  <c r="Q211" i="11"/>
  <c r="P211" i="11"/>
  <c r="O211" i="11"/>
  <c r="N211" i="11"/>
  <c r="M211" i="11"/>
  <c r="F211" i="11"/>
  <c r="E211" i="11"/>
  <c r="D211" i="11"/>
  <c r="C211" i="11"/>
  <c r="B211" i="11"/>
  <c r="X210" i="11"/>
  <c r="W210" i="11"/>
  <c r="V210" i="11"/>
  <c r="U210" i="11"/>
  <c r="T210" i="11"/>
  <c r="S210" i="11"/>
  <c r="R210" i="11"/>
  <c r="Q210" i="11"/>
  <c r="P210" i="11"/>
  <c r="O210" i="11"/>
  <c r="N210" i="11"/>
  <c r="M210" i="11"/>
  <c r="F210" i="11"/>
  <c r="E210" i="11"/>
  <c r="D210" i="11"/>
  <c r="C210" i="11"/>
  <c r="B210" i="11"/>
  <c r="X209" i="11"/>
  <c r="W209" i="11"/>
  <c r="V209" i="11"/>
  <c r="U209" i="11"/>
  <c r="T209" i="11"/>
  <c r="S209" i="11"/>
  <c r="R209" i="11"/>
  <c r="Q209" i="11"/>
  <c r="P209" i="11"/>
  <c r="O209" i="11"/>
  <c r="N209" i="11"/>
  <c r="M209" i="11"/>
  <c r="F209" i="11"/>
  <c r="E209" i="11"/>
  <c r="D209" i="11"/>
  <c r="C209" i="11"/>
  <c r="B209" i="11"/>
  <c r="X208" i="11"/>
  <c r="W208" i="11"/>
  <c r="V208" i="11"/>
  <c r="U208" i="11"/>
  <c r="T208" i="11"/>
  <c r="S208" i="11"/>
  <c r="R208" i="11"/>
  <c r="Q208" i="11"/>
  <c r="P208" i="11"/>
  <c r="O208" i="11"/>
  <c r="N208" i="11"/>
  <c r="M208" i="11"/>
  <c r="F208" i="11"/>
  <c r="E208" i="11"/>
  <c r="D208" i="11"/>
  <c r="C208" i="11"/>
  <c r="B208" i="11"/>
  <c r="X207" i="11"/>
  <c r="W207" i="11"/>
  <c r="V207" i="11"/>
  <c r="U207" i="11"/>
  <c r="T207" i="11"/>
  <c r="S207" i="11"/>
  <c r="R207" i="11"/>
  <c r="Q207" i="11"/>
  <c r="P207" i="11"/>
  <c r="O207" i="11"/>
  <c r="N207" i="11"/>
  <c r="M207" i="11"/>
  <c r="F207" i="11"/>
  <c r="E207" i="11"/>
  <c r="D207" i="11"/>
  <c r="C207" i="11"/>
  <c r="B207" i="11"/>
  <c r="X206" i="11"/>
  <c r="W206" i="11"/>
  <c r="V206" i="11"/>
  <c r="U206" i="11"/>
  <c r="T206" i="11"/>
  <c r="S206" i="11"/>
  <c r="R206" i="11"/>
  <c r="Q206" i="11"/>
  <c r="P206" i="11"/>
  <c r="O206" i="11"/>
  <c r="N206" i="11"/>
  <c r="M206" i="11"/>
  <c r="F206" i="11"/>
  <c r="E206" i="11"/>
  <c r="D206" i="11"/>
  <c r="C206" i="11"/>
  <c r="B206" i="11"/>
  <c r="X205" i="11"/>
  <c r="W205" i="11"/>
  <c r="V205" i="11"/>
  <c r="U205" i="11"/>
  <c r="T205" i="11"/>
  <c r="S205" i="11"/>
  <c r="R205" i="11"/>
  <c r="Q205" i="11"/>
  <c r="P205" i="11"/>
  <c r="O205" i="11"/>
  <c r="N205" i="11"/>
  <c r="M205" i="11"/>
  <c r="F205" i="11"/>
  <c r="E205" i="11"/>
  <c r="D205" i="11"/>
  <c r="C205" i="11"/>
  <c r="B205" i="11"/>
  <c r="X204" i="11"/>
  <c r="W204" i="11"/>
  <c r="V204" i="11"/>
  <c r="U204" i="11"/>
  <c r="T204" i="11"/>
  <c r="S204" i="11"/>
  <c r="R204" i="11"/>
  <c r="Q204" i="11"/>
  <c r="P204" i="11"/>
  <c r="O204" i="11"/>
  <c r="N204" i="11"/>
  <c r="M204" i="11"/>
  <c r="F204" i="11"/>
  <c r="E204" i="11"/>
  <c r="D204" i="11"/>
  <c r="C204" i="11"/>
  <c r="B204" i="11"/>
  <c r="X203" i="11"/>
  <c r="W203" i="11"/>
  <c r="V203" i="11"/>
  <c r="U203" i="11"/>
  <c r="T203" i="11"/>
  <c r="S203" i="11"/>
  <c r="R203" i="11"/>
  <c r="Q203" i="11"/>
  <c r="P203" i="11"/>
  <c r="O203" i="11"/>
  <c r="N203" i="11"/>
  <c r="M203" i="11"/>
  <c r="F203" i="11"/>
  <c r="E203" i="11"/>
  <c r="D203" i="11"/>
  <c r="C203" i="11"/>
  <c r="B203" i="11"/>
  <c r="X202" i="11"/>
  <c r="W202" i="11"/>
  <c r="V202" i="11"/>
  <c r="U202" i="11"/>
  <c r="T202" i="11"/>
  <c r="S202" i="11"/>
  <c r="R202" i="11"/>
  <c r="Q202" i="11"/>
  <c r="P202" i="11"/>
  <c r="O202" i="11"/>
  <c r="N202" i="11"/>
  <c r="M202" i="11"/>
  <c r="F202" i="11"/>
  <c r="E202" i="11"/>
  <c r="D202" i="11"/>
  <c r="C202" i="11"/>
  <c r="B202" i="11"/>
  <c r="X201" i="11"/>
  <c r="W201" i="11"/>
  <c r="V201" i="11"/>
  <c r="U201" i="11"/>
  <c r="T201" i="11"/>
  <c r="S201" i="11"/>
  <c r="R201" i="11"/>
  <c r="Q201" i="11"/>
  <c r="P201" i="11"/>
  <c r="O201" i="11"/>
  <c r="N201" i="11"/>
  <c r="M201" i="11"/>
  <c r="F201" i="11"/>
  <c r="E201" i="11"/>
  <c r="D201" i="11"/>
  <c r="C201" i="11"/>
  <c r="B201" i="11"/>
  <c r="X200" i="11"/>
  <c r="W200" i="11"/>
  <c r="V200" i="11"/>
  <c r="U200" i="11"/>
  <c r="T200" i="11"/>
  <c r="S200" i="11"/>
  <c r="R200" i="11"/>
  <c r="Q200" i="11"/>
  <c r="P200" i="11"/>
  <c r="O200" i="11"/>
  <c r="N200" i="11"/>
  <c r="M200" i="11"/>
  <c r="F200" i="11"/>
  <c r="E200" i="11"/>
  <c r="D200" i="11"/>
  <c r="C200" i="11"/>
  <c r="B200" i="11"/>
  <c r="X199" i="11"/>
  <c r="W199" i="11"/>
  <c r="V199" i="11"/>
  <c r="U199" i="11"/>
  <c r="T199" i="11"/>
  <c r="S199" i="11"/>
  <c r="R199" i="11"/>
  <c r="Q199" i="11"/>
  <c r="P199" i="11"/>
  <c r="O199" i="11"/>
  <c r="N199" i="11"/>
  <c r="M199" i="11"/>
  <c r="F199" i="11"/>
  <c r="E199" i="11"/>
  <c r="D199" i="11"/>
  <c r="C199" i="11"/>
  <c r="B199" i="11"/>
  <c r="X198" i="11"/>
  <c r="W198" i="11"/>
  <c r="V198" i="11"/>
  <c r="U198" i="11"/>
  <c r="T198" i="11"/>
  <c r="S198" i="11"/>
  <c r="R198" i="11"/>
  <c r="Q198" i="11"/>
  <c r="P198" i="11"/>
  <c r="O198" i="11"/>
  <c r="N198" i="11"/>
  <c r="M198" i="11"/>
  <c r="F198" i="11"/>
  <c r="E198" i="11"/>
  <c r="D198" i="11"/>
  <c r="C198" i="11"/>
  <c r="B198" i="11"/>
  <c r="X197" i="11"/>
  <c r="W197" i="11"/>
  <c r="V197" i="11"/>
  <c r="U197" i="11"/>
  <c r="T197" i="11"/>
  <c r="S197" i="11"/>
  <c r="R197" i="11"/>
  <c r="Q197" i="11"/>
  <c r="P197" i="11"/>
  <c r="O197" i="11"/>
  <c r="N197" i="11"/>
  <c r="M197" i="11"/>
  <c r="F197" i="11"/>
  <c r="E197" i="11"/>
  <c r="D197" i="11"/>
  <c r="C197" i="11"/>
  <c r="B197" i="11"/>
  <c r="X196" i="11"/>
  <c r="W196" i="11"/>
  <c r="V196" i="11"/>
  <c r="U196" i="11"/>
  <c r="T196" i="11"/>
  <c r="S196" i="11"/>
  <c r="R196" i="11"/>
  <c r="Q196" i="11"/>
  <c r="P196" i="11"/>
  <c r="O196" i="11"/>
  <c r="N196" i="11"/>
  <c r="M196" i="11"/>
  <c r="F196" i="11"/>
  <c r="E196" i="11"/>
  <c r="D196" i="11"/>
  <c r="C196" i="11"/>
  <c r="B196" i="11"/>
  <c r="X195" i="11"/>
  <c r="W195" i="11"/>
  <c r="V195" i="11"/>
  <c r="U195" i="11"/>
  <c r="T195" i="11"/>
  <c r="S195" i="11"/>
  <c r="R195" i="11"/>
  <c r="Q195" i="11"/>
  <c r="P195" i="11"/>
  <c r="O195" i="11"/>
  <c r="N195" i="11"/>
  <c r="M195" i="11"/>
  <c r="F195" i="11"/>
  <c r="E195" i="11"/>
  <c r="D195" i="11"/>
  <c r="C195" i="11"/>
  <c r="B195" i="11"/>
  <c r="X194" i="11"/>
  <c r="W194" i="11"/>
  <c r="V194" i="11"/>
  <c r="U194" i="11"/>
  <c r="T194" i="11"/>
  <c r="S194" i="11"/>
  <c r="R194" i="11"/>
  <c r="Q194" i="11"/>
  <c r="P194" i="11"/>
  <c r="O194" i="11"/>
  <c r="N194" i="11"/>
  <c r="M194" i="11"/>
  <c r="F194" i="11"/>
  <c r="E194" i="11"/>
  <c r="D194" i="11"/>
  <c r="C194" i="11"/>
  <c r="B194" i="11"/>
  <c r="X193" i="11"/>
  <c r="W193" i="11"/>
  <c r="V193" i="11"/>
  <c r="U193" i="11"/>
  <c r="T193" i="11"/>
  <c r="S193" i="11"/>
  <c r="R193" i="11"/>
  <c r="Q193" i="11"/>
  <c r="P193" i="11"/>
  <c r="O193" i="11"/>
  <c r="N193" i="11"/>
  <c r="M193" i="11"/>
  <c r="F193" i="11"/>
  <c r="E193" i="11"/>
  <c r="D193" i="11"/>
  <c r="C193" i="11"/>
  <c r="B193" i="11"/>
  <c r="X192" i="11"/>
  <c r="W192" i="11"/>
  <c r="V192" i="11"/>
  <c r="U192" i="11"/>
  <c r="T192" i="11"/>
  <c r="S192" i="11"/>
  <c r="R192" i="11"/>
  <c r="Q192" i="11"/>
  <c r="P192" i="11"/>
  <c r="O192" i="11"/>
  <c r="N192" i="11"/>
  <c r="M192" i="11"/>
  <c r="F192" i="11"/>
  <c r="E192" i="11"/>
  <c r="D192" i="11"/>
  <c r="C192" i="11"/>
  <c r="B192" i="11"/>
  <c r="X191" i="11"/>
  <c r="W191" i="11"/>
  <c r="V191" i="11"/>
  <c r="U191" i="11"/>
  <c r="T191" i="11"/>
  <c r="S191" i="11"/>
  <c r="R191" i="11"/>
  <c r="Q191" i="11"/>
  <c r="P191" i="11"/>
  <c r="O191" i="11"/>
  <c r="N191" i="11"/>
  <c r="M191" i="11"/>
  <c r="F191" i="11"/>
  <c r="E191" i="11"/>
  <c r="D191" i="11"/>
  <c r="C191" i="11"/>
  <c r="B191" i="11"/>
  <c r="X190" i="11"/>
  <c r="W190" i="11"/>
  <c r="V190" i="11"/>
  <c r="U190" i="11"/>
  <c r="T190" i="11"/>
  <c r="S190" i="11"/>
  <c r="R190" i="11"/>
  <c r="Q190" i="11"/>
  <c r="P190" i="11"/>
  <c r="O190" i="11"/>
  <c r="N190" i="11"/>
  <c r="M190" i="11"/>
  <c r="F190" i="11"/>
  <c r="E190" i="11"/>
  <c r="D190" i="11"/>
  <c r="C190" i="11"/>
  <c r="B190" i="11"/>
  <c r="X189" i="11"/>
  <c r="W189" i="11"/>
  <c r="V189" i="11"/>
  <c r="U189" i="11"/>
  <c r="T189" i="11"/>
  <c r="S189" i="11"/>
  <c r="R189" i="11"/>
  <c r="Q189" i="11"/>
  <c r="P189" i="11"/>
  <c r="O189" i="11"/>
  <c r="N189" i="11"/>
  <c r="M189" i="11"/>
  <c r="F189" i="11"/>
  <c r="E189" i="11"/>
  <c r="D189" i="11"/>
  <c r="C189" i="11"/>
  <c r="B189" i="11"/>
  <c r="X188" i="11"/>
  <c r="W188" i="11"/>
  <c r="V188" i="11"/>
  <c r="U188" i="11"/>
  <c r="T188" i="11"/>
  <c r="S188" i="11"/>
  <c r="R188" i="11"/>
  <c r="Q188" i="11"/>
  <c r="P188" i="11"/>
  <c r="O188" i="11"/>
  <c r="N188" i="11"/>
  <c r="M188" i="11"/>
  <c r="F188" i="11"/>
  <c r="E188" i="11"/>
  <c r="D188" i="11"/>
  <c r="C188" i="11"/>
  <c r="B188" i="11"/>
  <c r="X187" i="11"/>
  <c r="W187" i="11"/>
  <c r="V187" i="11"/>
  <c r="U187" i="11"/>
  <c r="T187" i="11"/>
  <c r="S187" i="11"/>
  <c r="R187" i="11"/>
  <c r="Q187" i="11"/>
  <c r="P187" i="11"/>
  <c r="O187" i="11"/>
  <c r="N187" i="11"/>
  <c r="M187" i="11"/>
  <c r="F187" i="11"/>
  <c r="E187" i="11"/>
  <c r="D187" i="11"/>
  <c r="C187" i="11"/>
  <c r="B187" i="11"/>
  <c r="X186" i="11"/>
  <c r="W186" i="11"/>
  <c r="V186" i="11"/>
  <c r="U186" i="11"/>
  <c r="T186" i="11"/>
  <c r="S186" i="11"/>
  <c r="R186" i="11"/>
  <c r="Q186" i="11"/>
  <c r="P186" i="11"/>
  <c r="O186" i="11"/>
  <c r="N186" i="11"/>
  <c r="M186" i="11"/>
  <c r="F186" i="11"/>
  <c r="E186" i="11"/>
  <c r="D186" i="11"/>
  <c r="C186" i="11"/>
  <c r="B186" i="11"/>
  <c r="X185" i="11"/>
  <c r="W185" i="11"/>
  <c r="V185" i="11"/>
  <c r="U185" i="11"/>
  <c r="T185" i="11"/>
  <c r="S185" i="11"/>
  <c r="R185" i="11"/>
  <c r="Q185" i="11"/>
  <c r="P185" i="11"/>
  <c r="O185" i="11"/>
  <c r="N185" i="11"/>
  <c r="M185" i="11"/>
  <c r="F185" i="11"/>
  <c r="E185" i="11"/>
  <c r="D185" i="11"/>
  <c r="C185" i="11"/>
  <c r="B185" i="11"/>
  <c r="X184" i="11"/>
  <c r="W184" i="11"/>
  <c r="V184" i="11"/>
  <c r="U184" i="11"/>
  <c r="T184" i="11"/>
  <c r="S184" i="11"/>
  <c r="R184" i="11"/>
  <c r="Q184" i="11"/>
  <c r="P184" i="11"/>
  <c r="O184" i="11"/>
  <c r="N184" i="11"/>
  <c r="M184" i="11"/>
  <c r="F184" i="11"/>
  <c r="E184" i="11"/>
  <c r="D184" i="11"/>
  <c r="C184" i="11"/>
  <c r="B184" i="11"/>
  <c r="X183" i="11"/>
  <c r="W183" i="11"/>
  <c r="V183" i="11"/>
  <c r="U183" i="11"/>
  <c r="T183" i="11"/>
  <c r="S183" i="11"/>
  <c r="R183" i="11"/>
  <c r="Q183" i="11"/>
  <c r="P183" i="11"/>
  <c r="O183" i="11"/>
  <c r="N183" i="11"/>
  <c r="M183" i="11"/>
  <c r="F183" i="11"/>
  <c r="E183" i="11"/>
  <c r="D183" i="11"/>
  <c r="C183" i="11"/>
  <c r="B183" i="11"/>
  <c r="X182" i="11"/>
  <c r="W182" i="11"/>
  <c r="V182" i="11"/>
  <c r="U182" i="11"/>
  <c r="T182" i="11"/>
  <c r="S182" i="11"/>
  <c r="R182" i="11"/>
  <c r="Q182" i="11"/>
  <c r="P182" i="11"/>
  <c r="O182" i="11"/>
  <c r="N182" i="11"/>
  <c r="M182" i="11"/>
  <c r="F182" i="11"/>
  <c r="E182" i="11"/>
  <c r="D182" i="11"/>
  <c r="C182" i="11"/>
  <c r="B182" i="11"/>
  <c r="X181" i="11"/>
  <c r="W181" i="11"/>
  <c r="V181" i="11"/>
  <c r="U181" i="11"/>
  <c r="T181" i="11"/>
  <c r="S181" i="11"/>
  <c r="R181" i="11"/>
  <c r="Q181" i="11"/>
  <c r="P181" i="11"/>
  <c r="O181" i="11"/>
  <c r="N181" i="11"/>
  <c r="M181" i="11"/>
  <c r="F181" i="11"/>
  <c r="E181" i="11"/>
  <c r="D181" i="11"/>
  <c r="C181" i="11"/>
  <c r="B181" i="11"/>
  <c r="X180" i="11"/>
  <c r="W180" i="11"/>
  <c r="V180" i="11"/>
  <c r="U180" i="11"/>
  <c r="T180" i="11"/>
  <c r="S180" i="11"/>
  <c r="R180" i="11"/>
  <c r="Q180" i="11"/>
  <c r="P180" i="11"/>
  <c r="O180" i="11"/>
  <c r="N180" i="11"/>
  <c r="M180" i="11"/>
  <c r="F180" i="11"/>
  <c r="E180" i="11"/>
  <c r="D180" i="11"/>
  <c r="C180" i="11"/>
  <c r="B180" i="11"/>
  <c r="X179" i="11"/>
  <c r="W179" i="11"/>
  <c r="V179" i="11"/>
  <c r="U179" i="11"/>
  <c r="T179" i="11"/>
  <c r="S179" i="11"/>
  <c r="R179" i="11"/>
  <c r="Q179" i="11"/>
  <c r="P179" i="11"/>
  <c r="O179" i="11"/>
  <c r="N179" i="11"/>
  <c r="M179" i="11"/>
  <c r="F179" i="11"/>
  <c r="E179" i="11"/>
  <c r="D179" i="11"/>
  <c r="C179" i="11"/>
  <c r="B179" i="11"/>
  <c r="X178" i="11"/>
  <c r="W178" i="11"/>
  <c r="V178" i="11"/>
  <c r="U178" i="11"/>
  <c r="T178" i="11"/>
  <c r="S178" i="11"/>
  <c r="R178" i="11"/>
  <c r="Q178" i="11"/>
  <c r="P178" i="11"/>
  <c r="O178" i="11"/>
  <c r="N178" i="11"/>
  <c r="M178" i="11"/>
  <c r="F178" i="11"/>
  <c r="E178" i="11"/>
  <c r="D178" i="11"/>
  <c r="C178" i="11"/>
  <c r="B178" i="11"/>
  <c r="X177" i="11"/>
  <c r="W177" i="11"/>
  <c r="V177" i="11"/>
  <c r="U177" i="11"/>
  <c r="T177" i="11"/>
  <c r="S177" i="11"/>
  <c r="R177" i="11"/>
  <c r="Q177" i="11"/>
  <c r="P177" i="11"/>
  <c r="O177" i="11"/>
  <c r="N177" i="11"/>
  <c r="M177" i="11"/>
  <c r="F177" i="11"/>
  <c r="E177" i="11"/>
  <c r="D177" i="11"/>
  <c r="C177" i="11"/>
  <c r="B177" i="11"/>
  <c r="X176" i="11"/>
  <c r="W176" i="11"/>
  <c r="V176" i="11"/>
  <c r="U176" i="11"/>
  <c r="T176" i="11"/>
  <c r="S176" i="11"/>
  <c r="R176" i="11"/>
  <c r="Q176" i="11"/>
  <c r="P176" i="11"/>
  <c r="O176" i="11"/>
  <c r="N176" i="11"/>
  <c r="M176" i="11"/>
  <c r="F176" i="11"/>
  <c r="E176" i="11"/>
  <c r="D176" i="11"/>
  <c r="C176" i="11"/>
  <c r="B176" i="11"/>
  <c r="X175" i="11"/>
  <c r="W175" i="11"/>
  <c r="V175" i="11"/>
  <c r="U175" i="11"/>
  <c r="T175" i="11"/>
  <c r="S175" i="11"/>
  <c r="R175" i="11"/>
  <c r="Q175" i="11"/>
  <c r="P175" i="11"/>
  <c r="O175" i="11"/>
  <c r="N175" i="11"/>
  <c r="M175" i="11"/>
  <c r="F175" i="11"/>
  <c r="E175" i="11"/>
  <c r="D175" i="11"/>
  <c r="C175" i="11"/>
  <c r="B175" i="11"/>
  <c r="X174" i="11"/>
  <c r="W174" i="11"/>
  <c r="V174" i="11"/>
  <c r="U174" i="11"/>
  <c r="T174" i="11"/>
  <c r="S174" i="11"/>
  <c r="R174" i="11"/>
  <c r="Q174" i="11"/>
  <c r="P174" i="11"/>
  <c r="O174" i="11"/>
  <c r="N174" i="11"/>
  <c r="M174" i="11"/>
  <c r="F174" i="11"/>
  <c r="E174" i="11"/>
  <c r="D174" i="11"/>
  <c r="C174" i="11"/>
  <c r="B174" i="11"/>
  <c r="X173" i="11"/>
  <c r="W173" i="11"/>
  <c r="V173" i="11"/>
  <c r="U173" i="11"/>
  <c r="T173" i="11"/>
  <c r="S173" i="11"/>
  <c r="R173" i="11"/>
  <c r="Q173" i="11"/>
  <c r="P173" i="11"/>
  <c r="O173" i="11"/>
  <c r="N173" i="11"/>
  <c r="M173" i="11"/>
  <c r="F173" i="11"/>
  <c r="E173" i="11"/>
  <c r="D173" i="11"/>
  <c r="C173" i="11"/>
  <c r="B173" i="11"/>
  <c r="X172" i="11"/>
  <c r="W172" i="11"/>
  <c r="V172" i="11"/>
  <c r="U172" i="11"/>
  <c r="T172" i="11"/>
  <c r="S172" i="11"/>
  <c r="R172" i="11"/>
  <c r="Q172" i="11"/>
  <c r="P172" i="11"/>
  <c r="O172" i="11"/>
  <c r="N172" i="11"/>
  <c r="M172" i="11"/>
  <c r="F172" i="11"/>
  <c r="E172" i="11"/>
  <c r="D172" i="11"/>
  <c r="C172" i="11"/>
  <c r="B172" i="11"/>
  <c r="X171" i="11"/>
  <c r="W171" i="11"/>
  <c r="V171" i="11"/>
  <c r="U171" i="11"/>
  <c r="T171" i="11"/>
  <c r="S171" i="11"/>
  <c r="R171" i="11"/>
  <c r="Q171" i="11"/>
  <c r="P171" i="11"/>
  <c r="O171" i="11"/>
  <c r="N171" i="11"/>
  <c r="M171" i="11"/>
  <c r="F171" i="11"/>
  <c r="E171" i="11"/>
  <c r="D171" i="11"/>
  <c r="C171" i="11"/>
  <c r="B171" i="11"/>
  <c r="X170" i="11"/>
  <c r="W170" i="11"/>
  <c r="V170" i="11"/>
  <c r="U170" i="11"/>
  <c r="T170" i="11"/>
  <c r="S170" i="11"/>
  <c r="R170" i="11"/>
  <c r="Q170" i="11"/>
  <c r="P170" i="11"/>
  <c r="O170" i="11"/>
  <c r="N170" i="11"/>
  <c r="M170" i="11"/>
  <c r="F170" i="11"/>
  <c r="E170" i="11"/>
  <c r="D170" i="11"/>
  <c r="C170" i="11"/>
  <c r="B170" i="11"/>
  <c r="X169" i="11"/>
  <c r="W169" i="11"/>
  <c r="V169" i="11"/>
  <c r="U169" i="11"/>
  <c r="T169" i="11"/>
  <c r="S169" i="11"/>
  <c r="R169" i="11"/>
  <c r="Q169" i="11"/>
  <c r="P169" i="11"/>
  <c r="O169" i="11"/>
  <c r="N169" i="11"/>
  <c r="M169" i="11"/>
  <c r="F169" i="11"/>
  <c r="E169" i="11"/>
  <c r="D169" i="11"/>
  <c r="C169" i="11"/>
  <c r="B169" i="11"/>
  <c r="X168" i="11"/>
  <c r="W168" i="11"/>
  <c r="V168" i="11"/>
  <c r="U168" i="11"/>
  <c r="T168" i="11"/>
  <c r="S168" i="11"/>
  <c r="R168" i="11"/>
  <c r="Q168" i="11"/>
  <c r="P168" i="11"/>
  <c r="O168" i="11"/>
  <c r="N168" i="11"/>
  <c r="M168" i="11"/>
  <c r="F168" i="11"/>
  <c r="E168" i="11"/>
  <c r="D168" i="11"/>
  <c r="C168" i="11"/>
  <c r="B168" i="11"/>
  <c r="X167" i="11"/>
  <c r="W167" i="11"/>
  <c r="V167" i="11"/>
  <c r="U167" i="11"/>
  <c r="T167" i="11"/>
  <c r="S167" i="11"/>
  <c r="R167" i="11"/>
  <c r="Q167" i="11"/>
  <c r="P167" i="11"/>
  <c r="O167" i="11"/>
  <c r="N167" i="11"/>
  <c r="M167" i="11"/>
  <c r="F167" i="11"/>
  <c r="E167" i="11"/>
  <c r="D167" i="11"/>
  <c r="C167" i="11"/>
  <c r="B167" i="11"/>
  <c r="X166" i="11"/>
  <c r="W166" i="11"/>
  <c r="V166" i="11"/>
  <c r="U166" i="11"/>
  <c r="T166" i="11"/>
  <c r="S166" i="11"/>
  <c r="R166" i="11"/>
  <c r="Q166" i="11"/>
  <c r="P166" i="11"/>
  <c r="O166" i="11"/>
  <c r="N166" i="11"/>
  <c r="M166" i="11"/>
  <c r="F166" i="11"/>
  <c r="E166" i="11"/>
  <c r="D166" i="11"/>
  <c r="C166" i="11"/>
  <c r="B166" i="11"/>
  <c r="X165" i="11"/>
  <c r="W165" i="11"/>
  <c r="V165" i="11"/>
  <c r="U165" i="11"/>
  <c r="T165" i="11"/>
  <c r="S165" i="11"/>
  <c r="R165" i="11"/>
  <c r="Q165" i="11"/>
  <c r="P165" i="11"/>
  <c r="O165" i="11"/>
  <c r="N165" i="11"/>
  <c r="M165" i="11"/>
  <c r="F165" i="11"/>
  <c r="E165" i="11"/>
  <c r="D165" i="11"/>
  <c r="C165" i="11"/>
  <c r="B165" i="11"/>
  <c r="X164" i="11"/>
  <c r="W164" i="11"/>
  <c r="V164" i="11"/>
  <c r="U164" i="11"/>
  <c r="T164" i="11"/>
  <c r="S164" i="11"/>
  <c r="R164" i="11"/>
  <c r="Q164" i="11"/>
  <c r="P164" i="11"/>
  <c r="O164" i="11"/>
  <c r="N164" i="11"/>
  <c r="M164" i="11"/>
  <c r="F164" i="11"/>
  <c r="E164" i="11"/>
  <c r="D164" i="11"/>
  <c r="C164" i="11"/>
  <c r="B164" i="11"/>
  <c r="X163" i="11"/>
  <c r="W163" i="11"/>
  <c r="V163" i="11"/>
  <c r="U163" i="11"/>
  <c r="T163" i="11"/>
  <c r="S163" i="11"/>
  <c r="R163" i="11"/>
  <c r="Q163" i="11"/>
  <c r="P163" i="11"/>
  <c r="O163" i="11"/>
  <c r="N163" i="11"/>
  <c r="M163" i="11"/>
  <c r="F163" i="11"/>
  <c r="E163" i="11"/>
  <c r="D163" i="11"/>
  <c r="C163" i="11"/>
  <c r="B163" i="11"/>
  <c r="X162" i="11"/>
  <c r="W162" i="11"/>
  <c r="V162" i="11"/>
  <c r="U162" i="11"/>
  <c r="T162" i="11"/>
  <c r="S162" i="11"/>
  <c r="R162" i="11"/>
  <c r="Q162" i="11"/>
  <c r="P162" i="11"/>
  <c r="O162" i="11"/>
  <c r="N162" i="11"/>
  <c r="M162" i="11"/>
  <c r="F162" i="11"/>
  <c r="E162" i="11"/>
  <c r="D162" i="11"/>
  <c r="C162" i="11"/>
  <c r="B162" i="11"/>
  <c r="X161" i="11"/>
  <c r="W161" i="11"/>
  <c r="V161" i="11"/>
  <c r="U161" i="11"/>
  <c r="T161" i="11"/>
  <c r="S161" i="11"/>
  <c r="R161" i="11"/>
  <c r="Q161" i="11"/>
  <c r="P161" i="11"/>
  <c r="O161" i="11"/>
  <c r="N161" i="11"/>
  <c r="M161" i="11"/>
  <c r="F161" i="11"/>
  <c r="E161" i="11"/>
  <c r="D161" i="11"/>
  <c r="C161" i="11"/>
  <c r="B161" i="11"/>
  <c r="X160" i="11"/>
  <c r="W160" i="11"/>
  <c r="V160" i="11"/>
  <c r="U160" i="11"/>
  <c r="T160" i="11"/>
  <c r="S160" i="11"/>
  <c r="R160" i="11"/>
  <c r="Q160" i="11"/>
  <c r="P160" i="11"/>
  <c r="O160" i="11"/>
  <c r="N160" i="11"/>
  <c r="M160" i="11"/>
  <c r="F160" i="11"/>
  <c r="E160" i="11"/>
  <c r="D160" i="11"/>
  <c r="C160" i="11"/>
  <c r="B160" i="11"/>
  <c r="X159" i="11"/>
  <c r="W159" i="11"/>
  <c r="V159" i="11"/>
  <c r="U159" i="11"/>
  <c r="T159" i="11"/>
  <c r="S159" i="11"/>
  <c r="R159" i="11"/>
  <c r="Q159" i="11"/>
  <c r="P159" i="11"/>
  <c r="O159" i="11"/>
  <c r="N159" i="11"/>
  <c r="M159" i="11"/>
  <c r="F159" i="11"/>
  <c r="E159" i="11"/>
  <c r="D159" i="11"/>
  <c r="C159" i="11"/>
  <c r="B159" i="11"/>
  <c r="X158" i="11"/>
  <c r="W158" i="11"/>
  <c r="V158" i="11"/>
  <c r="U158" i="11"/>
  <c r="T158" i="11"/>
  <c r="S158" i="11"/>
  <c r="R158" i="11"/>
  <c r="Q158" i="11"/>
  <c r="P158" i="11"/>
  <c r="O158" i="11"/>
  <c r="N158" i="11"/>
  <c r="M158" i="11"/>
  <c r="F158" i="11"/>
  <c r="E158" i="11"/>
  <c r="D158" i="11"/>
  <c r="C158" i="11"/>
  <c r="B158" i="11"/>
  <c r="X157" i="11"/>
  <c r="W157" i="11"/>
  <c r="V157" i="11"/>
  <c r="U157" i="11"/>
  <c r="T157" i="11"/>
  <c r="S157" i="11"/>
  <c r="R157" i="11"/>
  <c r="Q157" i="11"/>
  <c r="P157" i="11"/>
  <c r="O157" i="11"/>
  <c r="N157" i="11"/>
  <c r="M157" i="11"/>
  <c r="F157" i="11"/>
  <c r="E157" i="11"/>
  <c r="D157" i="11"/>
  <c r="C157" i="11"/>
  <c r="B157" i="11"/>
  <c r="X156" i="11"/>
  <c r="W156" i="11"/>
  <c r="V156" i="11"/>
  <c r="U156" i="11"/>
  <c r="T156" i="11"/>
  <c r="S156" i="11"/>
  <c r="R156" i="11"/>
  <c r="Q156" i="11"/>
  <c r="P156" i="11"/>
  <c r="O156" i="11"/>
  <c r="N156" i="11"/>
  <c r="M156" i="11"/>
  <c r="F156" i="11"/>
  <c r="E156" i="11"/>
  <c r="D156" i="11"/>
  <c r="C156" i="11"/>
  <c r="B156" i="11"/>
  <c r="X155" i="11"/>
  <c r="W155" i="11"/>
  <c r="V155" i="11"/>
  <c r="U155" i="11"/>
  <c r="T155" i="11"/>
  <c r="S155" i="11"/>
  <c r="R155" i="11"/>
  <c r="Q155" i="11"/>
  <c r="P155" i="11"/>
  <c r="O155" i="11"/>
  <c r="N155" i="11"/>
  <c r="M155" i="11"/>
  <c r="F155" i="11"/>
  <c r="E155" i="11"/>
  <c r="D155" i="11"/>
  <c r="C155" i="11"/>
  <c r="B155" i="11"/>
  <c r="X154" i="11"/>
  <c r="W154" i="11"/>
  <c r="V154" i="11"/>
  <c r="U154" i="11"/>
  <c r="T154" i="11"/>
  <c r="S154" i="11"/>
  <c r="R154" i="11"/>
  <c r="Q154" i="11"/>
  <c r="P154" i="11"/>
  <c r="O154" i="11"/>
  <c r="N154" i="11"/>
  <c r="M154" i="11"/>
  <c r="F154" i="11"/>
  <c r="E154" i="11"/>
  <c r="D154" i="11"/>
  <c r="C154" i="11"/>
  <c r="B154" i="11"/>
  <c r="X153" i="11"/>
  <c r="W153" i="11"/>
  <c r="V153" i="11"/>
  <c r="U153" i="11"/>
  <c r="T153" i="11"/>
  <c r="S153" i="11"/>
  <c r="R153" i="11"/>
  <c r="Q153" i="11"/>
  <c r="P153" i="11"/>
  <c r="O153" i="11"/>
  <c r="N153" i="11"/>
  <c r="M153" i="11"/>
  <c r="F153" i="11"/>
  <c r="E153" i="11"/>
  <c r="D153" i="11"/>
  <c r="C153" i="11"/>
  <c r="B153" i="11"/>
  <c r="X152" i="11"/>
  <c r="W152" i="11"/>
  <c r="V152" i="11"/>
  <c r="U152" i="11"/>
  <c r="T152" i="11"/>
  <c r="S152" i="11"/>
  <c r="R152" i="11"/>
  <c r="Q152" i="11"/>
  <c r="P152" i="11"/>
  <c r="O152" i="11"/>
  <c r="N152" i="11"/>
  <c r="M152" i="11"/>
  <c r="F152" i="11"/>
  <c r="E152" i="11"/>
  <c r="D152" i="11"/>
  <c r="C152" i="11"/>
  <c r="B152" i="11"/>
  <c r="X151" i="11"/>
  <c r="W151" i="11"/>
  <c r="V151" i="11"/>
  <c r="U151" i="11"/>
  <c r="T151" i="11"/>
  <c r="S151" i="11"/>
  <c r="R151" i="11"/>
  <c r="Q151" i="11"/>
  <c r="P151" i="11"/>
  <c r="O151" i="11"/>
  <c r="N151" i="11"/>
  <c r="M151" i="11"/>
  <c r="F151" i="11"/>
  <c r="E151" i="11"/>
  <c r="D151" i="11"/>
  <c r="C151" i="11"/>
  <c r="B151" i="11"/>
  <c r="X150" i="11"/>
  <c r="W150" i="11"/>
  <c r="V150" i="11"/>
  <c r="U150" i="11"/>
  <c r="T150" i="11"/>
  <c r="S150" i="11"/>
  <c r="R150" i="11"/>
  <c r="Q150" i="11"/>
  <c r="P150" i="11"/>
  <c r="O150" i="11"/>
  <c r="N150" i="11"/>
  <c r="M150" i="11"/>
  <c r="F150" i="11"/>
  <c r="E150" i="11"/>
  <c r="D150" i="11"/>
  <c r="C150" i="11"/>
  <c r="B150" i="11"/>
  <c r="X149" i="11"/>
  <c r="W149" i="11"/>
  <c r="V149" i="11"/>
  <c r="U149" i="11"/>
  <c r="T149" i="11"/>
  <c r="S149" i="11"/>
  <c r="R149" i="11"/>
  <c r="Q149" i="11"/>
  <c r="P149" i="11"/>
  <c r="O149" i="11"/>
  <c r="N149" i="11"/>
  <c r="M149" i="11"/>
  <c r="F149" i="11"/>
  <c r="E149" i="11"/>
  <c r="D149" i="11"/>
  <c r="C149" i="11"/>
  <c r="B149" i="11"/>
  <c r="X148" i="11"/>
  <c r="W148" i="11"/>
  <c r="V148" i="11"/>
  <c r="U148" i="11"/>
  <c r="T148" i="11"/>
  <c r="S148" i="11"/>
  <c r="R148" i="11"/>
  <c r="Q148" i="11"/>
  <c r="P148" i="11"/>
  <c r="O148" i="11"/>
  <c r="N148" i="11"/>
  <c r="M148" i="11"/>
  <c r="F148" i="11"/>
  <c r="E148" i="11"/>
  <c r="D148" i="11"/>
  <c r="C148" i="11"/>
  <c r="B148" i="11"/>
  <c r="X147" i="11"/>
  <c r="W147" i="11"/>
  <c r="V147" i="11"/>
  <c r="U147" i="11"/>
  <c r="T147" i="11"/>
  <c r="S147" i="11"/>
  <c r="R147" i="11"/>
  <c r="Q147" i="11"/>
  <c r="P147" i="11"/>
  <c r="O147" i="11"/>
  <c r="N147" i="11"/>
  <c r="M147" i="11"/>
  <c r="F147" i="11"/>
  <c r="E147" i="11"/>
  <c r="D147" i="11"/>
  <c r="C147" i="11"/>
  <c r="B147" i="11"/>
  <c r="X146" i="11"/>
  <c r="W146" i="11"/>
  <c r="V146" i="11"/>
  <c r="U146" i="11"/>
  <c r="T146" i="11"/>
  <c r="S146" i="11"/>
  <c r="R146" i="11"/>
  <c r="Q146" i="11"/>
  <c r="P146" i="11"/>
  <c r="O146" i="11"/>
  <c r="N146" i="11"/>
  <c r="M146" i="11"/>
  <c r="F146" i="11"/>
  <c r="E146" i="11"/>
  <c r="D146" i="11"/>
  <c r="C146" i="11"/>
  <c r="B146" i="11"/>
  <c r="X145" i="11"/>
  <c r="W145" i="11"/>
  <c r="V145" i="11"/>
  <c r="U145" i="11"/>
  <c r="T145" i="11"/>
  <c r="S145" i="11"/>
  <c r="R145" i="11"/>
  <c r="Q145" i="11"/>
  <c r="P145" i="11"/>
  <c r="O145" i="11"/>
  <c r="N145" i="11"/>
  <c r="M145" i="11"/>
  <c r="F145" i="11"/>
  <c r="E145" i="11"/>
  <c r="D145" i="11"/>
  <c r="C145" i="11"/>
  <c r="B145" i="11"/>
  <c r="X144" i="11"/>
  <c r="W144" i="11"/>
  <c r="V144" i="11"/>
  <c r="U144" i="11"/>
  <c r="T144" i="11"/>
  <c r="S144" i="11"/>
  <c r="R144" i="11"/>
  <c r="Q144" i="11"/>
  <c r="P144" i="11"/>
  <c r="O144" i="11"/>
  <c r="N144" i="11"/>
  <c r="M144" i="11"/>
  <c r="F144" i="11"/>
  <c r="E144" i="11"/>
  <c r="D144" i="11"/>
  <c r="C144" i="11"/>
  <c r="B144" i="11"/>
  <c r="X143" i="11"/>
  <c r="W143" i="11"/>
  <c r="V143" i="11"/>
  <c r="U143" i="11"/>
  <c r="T143" i="11"/>
  <c r="S143" i="11"/>
  <c r="R143" i="11"/>
  <c r="Q143" i="11"/>
  <c r="P143" i="11"/>
  <c r="O143" i="11"/>
  <c r="N143" i="11"/>
  <c r="M143" i="11"/>
  <c r="F143" i="11"/>
  <c r="E143" i="11"/>
  <c r="D143" i="11"/>
  <c r="C143" i="11"/>
  <c r="B143" i="11"/>
  <c r="X142" i="11"/>
  <c r="W142" i="11"/>
  <c r="V142" i="11"/>
  <c r="U142" i="11"/>
  <c r="T142" i="11"/>
  <c r="S142" i="11"/>
  <c r="R142" i="11"/>
  <c r="Q142" i="11"/>
  <c r="P142" i="11"/>
  <c r="O142" i="11"/>
  <c r="N142" i="11"/>
  <c r="M142" i="11"/>
  <c r="F142" i="11"/>
  <c r="E142" i="11"/>
  <c r="D142" i="11"/>
  <c r="C142" i="11"/>
  <c r="B142" i="11"/>
  <c r="X141" i="11"/>
  <c r="W141" i="11"/>
  <c r="V141" i="11"/>
  <c r="U141" i="11"/>
  <c r="T141" i="11"/>
  <c r="S141" i="11"/>
  <c r="R141" i="11"/>
  <c r="Q141" i="11"/>
  <c r="P141" i="11"/>
  <c r="O141" i="11"/>
  <c r="N141" i="11"/>
  <c r="M141" i="11"/>
  <c r="F141" i="11"/>
  <c r="E141" i="11"/>
  <c r="D141" i="11"/>
  <c r="C141" i="11"/>
  <c r="B141" i="11"/>
  <c r="X140" i="11"/>
  <c r="W140" i="11"/>
  <c r="V140" i="11"/>
  <c r="U140" i="11"/>
  <c r="T140" i="11"/>
  <c r="S140" i="11"/>
  <c r="R140" i="11"/>
  <c r="Q140" i="11"/>
  <c r="P140" i="11"/>
  <c r="O140" i="11"/>
  <c r="N140" i="11"/>
  <c r="M140" i="11"/>
  <c r="F140" i="11"/>
  <c r="E140" i="11"/>
  <c r="D140" i="11"/>
  <c r="C140" i="11"/>
  <c r="B140" i="11"/>
  <c r="X139" i="11"/>
  <c r="W139" i="11"/>
  <c r="V139" i="11"/>
  <c r="U139" i="11"/>
  <c r="T139" i="11"/>
  <c r="S139" i="11"/>
  <c r="R139" i="11"/>
  <c r="Q139" i="11"/>
  <c r="P139" i="11"/>
  <c r="O139" i="11"/>
  <c r="N139" i="11"/>
  <c r="M139" i="11"/>
  <c r="F139" i="11"/>
  <c r="E139" i="11"/>
  <c r="D139" i="11"/>
  <c r="C139" i="11"/>
  <c r="B139" i="11"/>
  <c r="X138" i="11"/>
  <c r="W138" i="11"/>
  <c r="V138" i="11"/>
  <c r="U138" i="11"/>
  <c r="T138" i="11"/>
  <c r="S138" i="11"/>
  <c r="R138" i="11"/>
  <c r="Q138" i="11"/>
  <c r="P138" i="11"/>
  <c r="O138" i="11"/>
  <c r="N138" i="11"/>
  <c r="M138" i="11"/>
  <c r="F138" i="11"/>
  <c r="E138" i="11"/>
  <c r="D138" i="11"/>
  <c r="C138" i="11"/>
  <c r="B138" i="11"/>
  <c r="X137" i="11"/>
  <c r="W137" i="11"/>
  <c r="V137" i="11"/>
  <c r="U137" i="11"/>
  <c r="T137" i="11"/>
  <c r="S137" i="11"/>
  <c r="R137" i="11"/>
  <c r="Q137" i="11"/>
  <c r="P137" i="11"/>
  <c r="O137" i="11"/>
  <c r="N137" i="11"/>
  <c r="M137" i="11"/>
  <c r="F137" i="11"/>
  <c r="E137" i="11"/>
  <c r="D137" i="11"/>
  <c r="C137" i="11"/>
  <c r="B137" i="11"/>
  <c r="X136" i="11"/>
  <c r="W136" i="11"/>
  <c r="V136" i="11"/>
  <c r="U136" i="11"/>
  <c r="T136" i="11"/>
  <c r="S136" i="11"/>
  <c r="R136" i="11"/>
  <c r="Q136" i="11"/>
  <c r="P136" i="11"/>
  <c r="O136" i="11"/>
  <c r="N136" i="11"/>
  <c r="M136" i="11"/>
  <c r="F136" i="11"/>
  <c r="E136" i="11"/>
  <c r="D136" i="11"/>
  <c r="C136" i="11"/>
  <c r="B136" i="11"/>
  <c r="X135" i="11"/>
  <c r="W135" i="11"/>
  <c r="V135" i="11"/>
  <c r="U135" i="11"/>
  <c r="T135" i="11"/>
  <c r="S135" i="11"/>
  <c r="R135" i="11"/>
  <c r="Q135" i="11"/>
  <c r="P135" i="11"/>
  <c r="O135" i="11"/>
  <c r="N135" i="11"/>
  <c r="M135" i="11"/>
  <c r="F135" i="11"/>
  <c r="E135" i="11"/>
  <c r="D135" i="11"/>
  <c r="C135" i="11"/>
  <c r="B135" i="11"/>
  <c r="X134" i="11"/>
  <c r="W134" i="11"/>
  <c r="V134" i="11"/>
  <c r="U134" i="11"/>
  <c r="T134" i="11"/>
  <c r="S134" i="11"/>
  <c r="R134" i="11"/>
  <c r="Q134" i="11"/>
  <c r="P134" i="11"/>
  <c r="O134" i="11"/>
  <c r="N134" i="11"/>
  <c r="M134" i="11"/>
  <c r="F134" i="11"/>
  <c r="E134" i="11"/>
  <c r="D134" i="11"/>
  <c r="C134" i="11"/>
  <c r="B134" i="11"/>
  <c r="X133" i="11"/>
  <c r="W133" i="11"/>
  <c r="V133" i="11"/>
  <c r="U133" i="11"/>
  <c r="T133" i="11"/>
  <c r="S133" i="11"/>
  <c r="R133" i="11"/>
  <c r="Q133" i="11"/>
  <c r="P133" i="11"/>
  <c r="O133" i="11"/>
  <c r="N133" i="11"/>
  <c r="M133" i="11"/>
  <c r="F133" i="11"/>
  <c r="E133" i="11"/>
  <c r="D133" i="11"/>
  <c r="C133" i="11"/>
  <c r="B133" i="11"/>
  <c r="X132" i="11"/>
  <c r="W132" i="11"/>
  <c r="V132" i="11"/>
  <c r="U132" i="11"/>
  <c r="T132" i="11"/>
  <c r="S132" i="11"/>
  <c r="R132" i="11"/>
  <c r="Q132" i="11"/>
  <c r="P132" i="11"/>
  <c r="O132" i="11"/>
  <c r="N132" i="11"/>
  <c r="M132" i="11"/>
  <c r="F132" i="11"/>
  <c r="E132" i="11"/>
  <c r="D132" i="11"/>
  <c r="C132" i="11"/>
  <c r="B132" i="11"/>
  <c r="X131" i="11"/>
  <c r="W131" i="11"/>
  <c r="V131" i="11"/>
  <c r="U131" i="11"/>
  <c r="T131" i="11"/>
  <c r="S131" i="11"/>
  <c r="R131" i="11"/>
  <c r="Q131" i="11"/>
  <c r="P131" i="11"/>
  <c r="O131" i="11"/>
  <c r="N131" i="11"/>
  <c r="M131" i="11"/>
  <c r="F131" i="11"/>
  <c r="E131" i="11"/>
  <c r="D131" i="11"/>
  <c r="C131" i="11"/>
  <c r="B131" i="11"/>
  <c r="X130" i="11"/>
  <c r="W130" i="11"/>
  <c r="V130" i="11"/>
  <c r="U130" i="11"/>
  <c r="T130" i="11"/>
  <c r="S130" i="11"/>
  <c r="R130" i="11"/>
  <c r="Q130" i="11"/>
  <c r="P130" i="11"/>
  <c r="O130" i="11"/>
  <c r="N130" i="11"/>
  <c r="M130" i="11"/>
  <c r="F130" i="11"/>
  <c r="E130" i="11"/>
  <c r="D130" i="11"/>
  <c r="C130" i="11"/>
  <c r="B130" i="11"/>
  <c r="X129" i="11"/>
  <c r="W129" i="11"/>
  <c r="V129" i="11"/>
  <c r="U129" i="11"/>
  <c r="T129" i="11"/>
  <c r="S129" i="11"/>
  <c r="R129" i="11"/>
  <c r="Q129" i="11"/>
  <c r="P129" i="11"/>
  <c r="O129" i="11"/>
  <c r="N129" i="11"/>
  <c r="M129" i="11"/>
  <c r="F129" i="11"/>
  <c r="E129" i="11"/>
  <c r="D129" i="11"/>
  <c r="C129" i="11"/>
  <c r="B129" i="11"/>
  <c r="X128" i="11"/>
  <c r="W128" i="11"/>
  <c r="V128" i="11"/>
  <c r="U128" i="11"/>
  <c r="T128" i="11"/>
  <c r="S128" i="11"/>
  <c r="R128" i="11"/>
  <c r="Q128" i="11"/>
  <c r="P128" i="11"/>
  <c r="O128" i="11"/>
  <c r="N128" i="11"/>
  <c r="M128" i="11"/>
  <c r="F128" i="11"/>
  <c r="E128" i="11"/>
  <c r="D128" i="11"/>
  <c r="C128" i="11"/>
  <c r="B128" i="11"/>
  <c r="X127" i="11"/>
  <c r="W127" i="11"/>
  <c r="V127" i="11"/>
  <c r="U127" i="11"/>
  <c r="T127" i="11"/>
  <c r="S127" i="11"/>
  <c r="R127" i="11"/>
  <c r="Q127" i="11"/>
  <c r="P127" i="11"/>
  <c r="O127" i="11"/>
  <c r="N127" i="11"/>
  <c r="M127" i="11"/>
  <c r="F127" i="11"/>
  <c r="E127" i="11"/>
  <c r="D127" i="11"/>
  <c r="C127" i="11"/>
  <c r="B127" i="11"/>
  <c r="X126" i="11"/>
  <c r="W126" i="11"/>
  <c r="V126" i="11"/>
  <c r="U126" i="11"/>
  <c r="T126" i="11"/>
  <c r="S126" i="11"/>
  <c r="R126" i="11"/>
  <c r="Q126" i="11"/>
  <c r="P126" i="11"/>
  <c r="O126" i="11"/>
  <c r="N126" i="11"/>
  <c r="M126" i="11"/>
  <c r="F126" i="11"/>
  <c r="E126" i="11"/>
  <c r="D126" i="11"/>
  <c r="C126" i="11"/>
  <c r="B126" i="11"/>
  <c r="X125" i="11"/>
  <c r="W125" i="11"/>
  <c r="V125" i="11"/>
  <c r="U125" i="11"/>
  <c r="T125" i="11"/>
  <c r="S125" i="11"/>
  <c r="R125" i="11"/>
  <c r="Q125" i="11"/>
  <c r="P125" i="11"/>
  <c r="O125" i="11"/>
  <c r="N125" i="11"/>
  <c r="M125" i="11"/>
  <c r="F125" i="11"/>
  <c r="E125" i="11"/>
  <c r="D125" i="11"/>
  <c r="C125" i="11"/>
  <c r="B125" i="11"/>
  <c r="X124" i="11"/>
  <c r="W124" i="11"/>
  <c r="V124" i="11"/>
  <c r="U124" i="11"/>
  <c r="T124" i="11"/>
  <c r="S124" i="11"/>
  <c r="R124" i="11"/>
  <c r="Q124" i="11"/>
  <c r="P124" i="11"/>
  <c r="O124" i="11"/>
  <c r="N124" i="11"/>
  <c r="M124" i="11"/>
  <c r="F124" i="11"/>
  <c r="E124" i="11"/>
  <c r="D124" i="11"/>
  <c r="C124" i="11"/>
  <c r="B124" i="11"/>
  <c r="X123" i="11"/>
  <c r="W123" i="11"/>
  <c r="V123" i="11"/>
  <c r="U123" i="11"/>
  <c r="T123" i="11"/>
  <c r="S123" i="11"/>
  <c r="R123" i="11"/>
  <c r="Q123" i="11"/>
  <c r="P123" i="11"/>
  <c r="O123" i="11"/>
  <c r="N123" i="11"/>
  <c r="M123" i="11"/>
  <c r="F123" i="11"/>
  <c r="E123" i="11"/>
  <c r="D123" i="11"/>
  <c r="C123" i="11"/>
  <c r="B123" i="11"/>
  <c r="X122" i="11"/>
  <c r="W122" i="11"/>
  <c r="V122" i="11"/>
  <c r="U122" i="11"/>
  <c r="T122" i="11"/>
  <c r="S122" i="11"/>
  <c r="R122" i="11"/>
  <c r="Q122" i="11"/>
  <c r="P122" i="11"/>
  <c r="O122" i="11"/>
  <c r="N122" i="11"/>
  <c r="M122" i="11"/>
  <c r="F122" i="11"/>
  <c r="E122" i="11"/>
  <c r="D122" i="11"/>
  <c r="C122" i="11"/>
  <c r="B122" i="11"/>
  <c r="X121" i="11"/>
  <c r="W121" i="11"/>
  <c r="V121" i="11"/>
  <c r="U121" i="11"/>
  <c r="T121" i="11"/>
  <c r="S121" i="11"/>
  <c r="R121" i="11"/>
  <c r="Q121" i="11"/>
  <c r="P121" i="11"/>
  <c r="O121" i="11"/>
  <c r="N121" i="11"/>
  <c r="M121" i="11"/>
  <c r="F121" i="11"/>
  <c r="E121" i="11"/>
  <c r="D121" i="11"/>
  <c r="C121" i="11"/>
  <c r="B121" i="11"/>
  <c r="X120" i="11"/>
  <c r="W120" i="11"/>
  <c r="V120" i="11"/>
  <c r="U120" i="11"/>
  <c r="T120" i="11"/>
  <c r="S120" i="11"/>
  <c r="R120" i="11"/>
  <c r="Q120" i="11"/>
  <c r="P120" i="11"/>
  <c r="O120" i="11"/>
  <c r="N120" i="11"/>
  <c r="M120" i="11"/>
  <c r="F120" i="11"/>
  <c r="E120" i="11"/>
  <c r="D120" i="11"/>
  <c r="C120" i="11"/>
  <c r="B120" i="11"/>
  <c r="X119" i="11"/>
  <c r="W119" i="11"/>
  <c r="V119" i="11"/>
  <c r="U119" i="11"/>
  <c r="T119" i="11"/>
  <c r="S119" i="11"/>
  <c r="R119" i="11"/>
  <c r="Q119" i="11"/>
  <c r="P119" i="11"/>
  <c r="O119" i="11"/>
  <c r="N119" i="11"/>
  <c r="M119" i="11"/>
  <c r="F119" i="11"/>
  <c r="E119" i="11"/>
  <c r="D119" i="11"/>
  <c r="C119" i="11"/>
  <c r="B119" i="11"/>
  <c r="X118" i="11"/>
  <c r="W118" i="11"/>
  <c r="V118" i="11"/>
  <c r="U118" i="11"/>
  <c r="T118" i="11"/>
  <c r="S118" i="11"/>
  <c r="R118" i="11"/>
  <c r="Q118" i="11"/>
  <c r="P118" i="11"/>
  <c r="O118" i="11"/>
  <c r="N118" i="11"/>
  <c r="M118" i="11"/>
  <c r="F118" i="11"/>
  <c r="E118" i="11"/>
  <c r="D118" i="11"/>
  <c r="C118" i="11"/>
  <c r="B118" i="11"/>
  <c r="X117" i="11"/>
  <c r="W117" i="11"/>
  <c r="V117" i="11"/>
  <c r="U117" i="11"/>
  <c r="T117" i="11"/>
  <c r="S117" i="11"/>
  <c r="R117" i="11"/>
  <c r="Q117" i="11"/>
  <c r="P117" i="11"/>
  <c r="O117" i="11"/>
  <c r="N117" i="11"/>
  <c r="M117" i="11"/>
  <c r="F117" i="11"/>
  <c r="E117" i="11"/>
  <c r="D117" i="11"/>
  <c r="C117" i="11"/>
  <c r="B117" i="11"/>
  <c r="X116" i="11"/>
  <c r="W116" i="11"/>
  <c r="V116" i="11"/>
  <c r="U116" i="11"/>
  <c r="T116" i="11"/>
  <c r="S116" i="11"/>
  <c r="R116" i="11"/>
  <c r="Q116" i="11"/>
  <c r="P116" i="11"/>
  <c r="O116" i="11"/>
  <c r="N116" i="11"/>
  <c r="M116" i="11"/>
  <c r="F116" i="11"/>
  <c r="E116" i="11"/>
  <c r="D116" i="11"/>
  <c r="C116" i="11"/>
  <c r="B116" i="11"/>
  <c r="X115" i="11"/>
  <c r="W115" i="11"/>
  <c r="V115" i="11"/>
  <c r="U115" i="11"/>
  <c r="T115" i="11"/>
  <c r="S115" i="11"/>
  <c r="R115" i="11"/>
  <c r="Q115" i="11"/>
  <c r="P115" i="11"/>
  <c r="O115" i="11"/>
  <c r="N115" i="11"/>
  <c r="M115" i="11"/>
  <c r="F115" i="11"/>
  <c r="E115" i="11"/>
  <c r="D115" i="11"/>
  <c r="C115" i="11"/>
  <c r="B115" i="11"/>
  <c r="X114" i="11"/>
  <c r="W114" i="11"/>
  <c r="V114" i="11"/>
  <c r="U114" i="11"/>
  <c r="T114" i="11"/>
  <c r="S114" i="11"/>
  <c r="R114" i="11"/>
  <c r="Q114" i="11"/>
  <c r="P114" i="11"/>
  <c r="O114" i="11"/>
  <c r="N114" i="11"/>
  <c r="M114" i="11"/>
  <c r="F114" i="11"/>
  <c r="E114" i="11"/>
  <c r="D114" i="11"/>
  <c r="C114" i="11"/>
  <c r="B114" i="11"/>
  <c r="X113" i="11"/>
  <c r="W113" i="11"/>
  <c r="V113" i="11"/>
  <c r="U113" i="11"/>
  <c r="T113" i="11"/>
  <c r="S113" i="11"/>
  <c r="R113" i="11"/>
  <c r="Q113" i="11"/>
  <c r="P113" i="11"/>
  <c r="O113" i="11"/>
  <c r="N113" i="11"/>
  <c r="M113" i="11"/>
  <c r="F113" i="11"/>
  <c r="E113" i="11"/>
  <c r="D113" i="11"/>
  <c r="C113" i="11"/>
  <c r="B113" i="11"/>
  <c r="X112" i="11"/>
  <c r="W112" i="11"/>
  <c r="V112" i="11"/>
  <c r="U112" i="11"/>
  <c r="T112" i="11"/>
  <c r="S112" i="11"/>
  <c r="R112" i="11"/>
  <c r="Q112" i="11"/>
  <c r="P112" i="11"/>
  <c r="O112" i="11"/>
  <c r="N112" i="11"/>
  <c r="M112" i="11"/>
  <c r="F112" i="11"/>
  <c r="E112" i="11"/>
  <c r="D112" i="11"/>
  <c r="C112" i="11"/>
  <c r="B112" i="11"/>
  <c r="X111" i="11"/>
  <c r="W111" i="11"/>
  <c r="V111" i="11"/>
  <c r="U111" i="11"/>
  <c r="T111" i="11"/>
  <c r="S111" i="11"/>
  <c r="R111" i="11"/>
  <c r="Q111" i="11"/>
  <c r="P111" i="11"/>
  <c r="O111" i="11"/>
  <c r="N111" i="11"/>
  <c r="M111" i="11"/>
  <c r="F111" i="11"/>
  <c r="E111" i="11"/>
  <c r="D111" i="11"/>
  <c r="C111" i="11"/>
  <c r="B111" i="11"/>
  <c r="X110" i="11"/>
  <c r="W110" i="11"/>
  <c r="V110" i="11"/>
  <c r="U110" i="11"/>
  <c r="T110" i="11"/>
  <c r="S110" i="11"/>
  <c r="R110" i="11"/>
  <c r="Q110" i="11"/>
  <c r="P110" i="11"/>
  <c r="O110" i="11"/>
  <c r="N110" i="11"/>
  <c r="M110" i="11"/>
  <c r="F110" i="11"/>
  <c r="E110" i="11"/>
  <c r="D110" i="11"/>
  <c r="C110" i="11"/>
  <c r="B110" i="11"/>
  <c r="X109" i="11"/>
  <c r="W109" i="11"/>
  <c r="V109" i="11"/>
  <c r="U109" i="11"/>
  <c r="T109" i="11"/>
  <c r="S109" i="11"/>
  <c r="R109" i="11"/>
  <c r="Q109" i="11"/>
  <c r="P109" i="11"/>
  <c r="O109" i="11"/>
  <c r="N109" i="11"/>
  <c r="M109" i="11"/>
  <c r="F109" i="11"/>
  <c r="E109" i="11"/>
  <c r="D109" i="11"/>
  <c r="C109" i="11"/>
  <c r="B109" i="11"/>
  <c r="X108" i="11"/>
  <c r="W108" i="11"/>
  <c r="V108" i="11"/>
  <c r="U108" i="11"/>
  <c r="T108" i="11"/>
  <c r="S108" i="11"/>
  <c r="R108" i="11"/>
  <c r="Q108" i="11"/>
  <c r="P108" i="11"/>
  <c r="O108" i="11"/>
  <c r="N108" i="11"/>
  <c r="M108" i="11"/>
  <c r="F108" i="11"/>
  <c r="E108" i="11"/>
  <c r="D108" i="11"/>
  <c r="C108" i="11"/>
  <c r="B108" i="11"/>
  <c r="X107" i="11"/>
  <c r="W107" i="11"/>
  <c r="V107" i="11"/>
  <c r="U107" i="11"/>
  <c r="T107" i="11"/>
  <c r="S107" i="11"/>
  <c r="R107" i="11"/>
  <c r="Q107" i="11"/>
  <c r="P107" i="11"/>
  <c r="O107" i="11"/>
  <c r="N107" i="11"/>
  <c r="M107" i="11"/>
  <c r="F107" i="11"/>
  <c r="E107" i="11"/>
  <c r="D107" i="11"/>
  <c r="C107" i="11"/>
  <c r="B107" i="11"/>
  <c r="X106" i="11"/>
  <c r="W106" i="11"/>
  <c r="V106" i="11"/>
  <c r="U106" i="11"/>
  <c r="T106" i="11"/>
  <c r="S106" i="11"/>
  <c r="R106" i="11"/>
  <c r="Q106" i="11"/>
  <c r="P106" i="11"/>
  <c r="O106" i="11"/>
  <c r="N106" i="11"/>
  <c r="M106" i="11"/>
  <c r="F106" i="11"/>
  <c r="E106" i="11"/>
  <c r="D106" i="11"/>
  <c r="C106" i="11"/>
  <c r="B106" i="11"/>
  <c r="X105" i="11"/>
  <c r="W105" i="11"/>
  <c r="V105" i="11"/>
  <c r="U105" i="11"/>
  <c r="T105" i="11"/>
  <c r="S105" i="11"/>
  <c r="R105" i="11"/>
  <c r="Q105" i="11"/>
  <c r="P105" i="11"/>
  <c r="O105" i="11"/>
  <c r="N105" i="11"/>
  <c r="M105" i="11"/>
  <c r="F105" i="11"/>
  <c r="E105" i="11"/>
  <c r="D105" i="11"/>
  <c r="C105" i="11"/>
  <c r="B105" i="11"/>
  <c r="X104" i="11"/>
  <c r="W104" i="11"/>
  <c r="V104" i="11"/>
  <c r="U104" i="11"/>
  <c r="T104" i="11"/>
  <c r="S104" i="11"/>
  <c r="R104" i="11"/>
  <c r="Q104" i="11"/>
  <c r="P104" i="11"/>
  <c r="O104" i="11"/>
  <c r="N104" i="11"/>
  <c r="M104" i="11"/>
  <c r="F104" i="11"/>
  <c r="E104" i="11"/>
  <c r="D104" i="11"/>
  <c r="C104" i="11"/>
  <c r="B104" i="11"/>
  <c r="X103" i="11"/>
  <c r="W103" i="11"/>
  <c r="V103" i="11"/>
  <c r="U103" i="11"/>
  <c r="T103" i="11"/>
  <c r="S103" i="11"/>
  <c r="R103" i="11"/>
  <c r="Q103" i="11"/>
  <c r="P103" i="11"/>
  <c r="O103" i="11"/>
  <c r="N103" i="11"/>
  <c r="M103" i="11"/>
  <c r="F103" i="11"/>
  <c r="E103" i="11"/>
  <c r="D103" i="11"/>
  <c r="C103" i="11"/>
  <c r="B103" i="11"/>
  <c r="X102" i="11"/>
  <c r="W102" i="11"/>
  <c r="V102" i="11"/>
  <c r="U102" i="11"/>
  <c r="T102" i="11"/>
  <c r="S102" i="11"/>
  <c r="R102" i="11"/>
  <c r="Q102" i="11"/>
  <c r="P102" i="11"/>
  <c r="O102" i="11"/>
  <c r="N102" i="11"/>
  <c r="M102" i="11"/>
  <c r="F102" i="11"/>
  <c r="E102" i="11"/>
  <c r="D102" i="11"/>
  <c r="C102" i="11"/>
  <c r="B102" i="11"/>
  <c r="X101" i="11"/>
  <c r="W101" i="11"/>
  <c r="V101" i="11"/>
  <c r="U101" i="11"/>
  <c r="T101" i="11"/>
  <c r="S101" i="11"/>
  <c r="R101" i="11"/>
  <c r="Q101" i="11"/>
  <c r="P101" i="11"/>
  <c r="O101" i="11"/>
  <c r="N101" i="11"/>
  <c r="M101" i="11"/>
  <c r="F101" i="11"/>
  <c r="E101" i="11"/>
  <c r="D101" i="11"/>
  <c r="C101" i="11"/>
  <c r="B101" i="11"/>
  <c r="X100" i="11"/>
  <c r="W100" i="11"/>
  <c r="V100" i="11"/>
  <c r="U100" i="11"/>
  <c r="T100" i="11"/>
  <c r="S100" i="11"/>
  <c r="R100" i="11"/>
  <c r="Q100" i="11"/>
  <c r="P100" i="11"/>
  <c r="O100" i="11"/>
  <c r="N100" i="11"/>
  <c r="M100" i="11"/>
  <c r="F100" i="11"/>
  <c r="E100" i="11"/>
  <c r="D100" i="11"/>
  <c r="C100" i="11"/>
  <c r="B100" i="11"/>
  <c r="X99" i="11"/>
  <c r="W99" i="11"/>
  <c r="V99" i="11"/>
  <c r="U99" i="11"/>
  <c r="T99" i="11"/>
  <c r="S99" i="11"/>
  <c r="R99" i="11"/>
  <c r="Q99" i="11"/>
  <c r="P99" i="11"/>
  <c r="O99" i="11"/>
  <c r="N99" i="11"/>
  <c r="M99" i="11"/>
  <c r="F99" i="11"/>
  <c r="E99" i="11"/>
  <c r="D99" i="11"/>
  <c r="C99" i="11"/>
  <c r="B99" i="11"/>
  <c r="X98" i="11"/>
  <c r="W98" i="11"/>
  <c r="V98" i="11"/>
  <c r="U98" i="11"/>
  <c r="T98" i="11"/>
  <c r="S98" i="11"/>
  <c r="R98" i="11"/>
  <c r="Q98" i="11"/>
  <c r="P98" i="11"/>
  <c r="O98" i="11"/>
  <c r="N98" i="11"/>
  <c r="M98" i="11"/>
  <c r="F98" i="11"/>
  <c r="E98" i="11"/>
  <c r="D98" i="11"/>
  <c r="C98" i="11"/>
  <c r="B98" i="11"/>
  <c r="X97" i="11"/>
  <c r="W97" i="11"/>
  <c r="V97" i="11"/>
  <c r="U97" i="11"/>
  <c r="T97" i="11"/>
  <c r="S97" i="11"/>
  <c r="R97" i="11"/>
  <c r="Q97" i="11"/>
  <c r="P97" i="11"/>
  <c r="O97" i="11"/>
  <c r="N97" i="11"/>
  <c r="M97" i="11"/>
  <c r="F97" i="11"/>
  <c r="E97" i="11"/>
  <c r="D97" i="11"/>
  <c r="C97" i="11"/>
  <c r="B97" i="11"/>
  <c r="X96" i="11"/>
  <c r="W96" i="11"/>
  <c r="V96" i="11"/>
  <c r="U96" i="11"/>
  <c r="T96" i="11"/>
  <c r="S96" i="11"/>
  <c r="R96" i="11"/>
  <c r="Q96" i="11"/>
  <c r="P96" i="11"/>
  <c r="O96" i="11"/>
  <c r="N96" i="11"/>
  <c r="M96" i="11"/>
  <c r="F96" i="11"/>
  <c r="E96" i="11"/>
  <c r="D96" i="11"/>
  <c r="C96" i="11"/>
  <c r="B96" i="11"/>
  <c r="X95" i="11"/>
  <c r="W95" i="11"/>
  <c r="V95" i="11"/>
  <c r="U95" i="11"/>
  <c r="T95" i="11"/>
  <c r="S95" i="11"/>
  <c r="R95" i="11"/>
  <c r="Q95" i="11"/>
  <c r="P95" i="11"/>
  <c r="O95" i="11"/>
  <c r="N95" i="11"/>
  <c r="M95" i="11"/>
  <c r="F95" i="11"/>
  <c r="E95" i="11"/>
  <c r="D95" i="11"/>
  <c r="C95" i="11"/>
  <c r="B95" i="11"/>
  <c r="X94" i="11"/>
  <c r="W94" i="11"/>
  <c r="V94" i="11"/>
  <c r="U94" i="11"/>
  <c r="T94" i="11"/>
  <c r="S94" i="11"/>
  <c r="R94" i="11"/>
  <c r="Q94" i="11"/>
  <c r="P94" i="11"/>
  <c r="O94" i="11"/>
  <c r="N94" i="11"/>
  <c r="M94" i="11"/>
  <c r="F94" i="11"/>
  <c r="E94" i="11"/>
  <c r="D94" i="11"/>
  <c r="C94" i="11"/>
  <c r="B94" i="11"/>
  <c r="X93" i="11"/>
  <c r="W93" i="11"/>
  <c r="V93" i="11"/>
  <c r="U93" i="11"/>
  <c r="T93" i="11"/>
  <c r="S93" i="11"/>
  <c r="R93" i="11"/>
  <c r="Q93" i="11"/>
  <c r="P93" i="11"/>
  <c r="O93" i="11"/>
  <c r="N93" i="11"/>
  <c r="M93" i="11"/>
  <c r="F93" i="11"/>
  <c r="E93" i="11"/>
  <c r="D93" i="11"/>
  <c r="C93" i="11"/>
  <c r="B93" i="11"/>
  <c r="X92" i="11"/>
  <c r="W92" i="11"/>
  <c r="V92" i="11"/>
  <c r="U92" i="11"/>
  <c r="T92" i="11"/>
  <c r="S92" i="11"/>
  <c r="R92" i="11"/>
  <c r="Q92" i="11"/>
  <c r="P92" i="11"/>
  <c r="O92" i="11"/>
  <c r="N92" i="11"/>
  <c r="M92" i="11"/>
  <c r="F92" i="11"/>
  <c r="E92" i="11"/>
  <c r="D92" i="11"/>
  <c r="C92" i="11"/>
  <c r="B92" i="11"/>
  <c r="X91" i="11"/>
  <c r="W91" i="11"/>
  <c r="V91" i="11"/>
  <c r="U91" i="11"/>
  <c r="T91" i="11"/>
  <c r="S91" i="11"/>
  <c r="R91" i="11"/>
  <c r="Q91" i="11"/>
  <c r="P91" i="11"/>
  <c r="O91" i="11"/>
  <c r="N91" i="11"/>
  <c r="M91" i="11"/>
  <c r="F91" i="11"/>
  <c r="E91" i="11"/>
  <c r="D91" i="11"/>
  <c r="C91" i="11"/>
  <c r="B91" i="11"/>
  <c r="X90" i="11"/>
  <c r="W90" i="11"/>
  <c r="V90" i="11"/>
  <c r="U90" i="11"/>
  <c r="T90" i="11"/>
  <c r="S90" i="11"/>
  <c r="R90" i="11"/>
  <c r="Q90" i="11"/>
  <c r="P90" i="11"/>
  <c r="O90" i="11"/>
  <c r="N90" i="11"/>
  <c r="M90" i="11"/>
  <c r="F90" i="11"/>
  <c r="E90" i="11"/>
  <c r="D90" i="11"/>
  <c r="C90" i="11"/>
  <c r="B90" i="11"/>
  <c r="X89" i="11"/>
  <c r="W89" i="11"/>
  <c r="V89" i="11"/>
  <c r="U89" i="11"/>
  <c r="T89" i="11"/>
  <c r="S89" i="11"/>
  <c r="R89" i="11"/>
  <c r="Q89" i="11"/>
  <c r="P89" i="11"/>
  <c r="O89" i="11"/>
  <c r="N89" i="11"/>
  <c r="M89" i="11"/>
  <c r="F89" i="11"/>
  <c r="E89" i="11"/>
  <c r="D89" i="11"/>
  <c r="C89" i="11"/>
  <c r="B89" i="11"/>
  <c r="X88" i="11"/>
  <c r="W88" i="11"/>
  <c r="V88" i="11"/>
  <c r="U88" i="11"/>
  <c r="T88" i="11"/>
  <c r="S88" i="11"/>
  <c r="R88" i="11"/>
  <c r="Q88" i="11"/>
  <c r="P88" i="11"/>
  <c r="O88" i="11"/>
  <c r="N88" i="11"/>
  <c r="M88" i="11"/>
  <c r="F88" i="11"/>
  <c r="E88" i="11"/>
  <c r="D88" i="11"/>
  <c r="C88" i="11"/>
  <c r="B88" i="11"/>
  <c r="X87" i="11"/>
  <c r="W87" i="11"/>
  <c r="V87" i="11"/>
  <c r="U87" i="11"/>
  <c r="T87" i="11"/>
  <c r="S87" i="11"/>
  <c r="R87" i="11"/>
  <c r="Q87" i="11"/>
  <c r="P87" i="11"/>
  <c r="O87" i="11"/>
  <c r="N87" i="11"/>
  <c r="M87" i="11"/>
  <c r="F87" i="11"/>
  <c r="E87" i="11"/>
  <c r="D87" i="11"/>
  <c r="C87" i="11"/>
  <c r="B87" i="11"/>
  <c r="X86" i="11"/>
  <c r="W86" i="11"/>
  <c r="V86" i="11"/>
  <c r="U86" i="11"/>
  <c r="T86" i="11"/>
  <c r="S86" i="11"/>
  <c r="R86" i="11"/>
  <c r="Q86" i="11"/>
  <c r="P86" i="11"/>
  <c r="O86" i="11"/>
  <c r="N86" i="11"/>
  <c r="M86" i="11"/>
  <c r="F86" i="11"/>
  <c r="E86" i="11"/>
  <c r="D86" i="11"/>
  <c r="C86" i="11"/>
  <c r="B86" i="11"/>
  <c r="X85" i="11"/>
  <c r="W85" i="11"/>
  <c r="V85" i="11"/>
  <c r="U85" i="11"/>
  <c r="T85" i="11"/>
  <c r="S85" i="11"/>
  <c r="R85" i="11"/>
  <c r="Q85" i="11"/>
  <c r="P85" i="11"/>
  <c r="O85" i="11"/>
  <c r="N85" i="11"/>
  <c r="M85" i="11"/>
  <c r="F85" i="11"/>
  <c r="E85" i="11"/>
  <c r="D85" i="11"/>
  <c r="C85" i="11"/>
  <c r="B85" i="11"/>
  <c r="X84" i="11"/>
  <c r="W84" i="11"/>
  <c r="V84" i="11"/>
  <c r="U84" i="11"/>
  <c r="T84" i="11"/>
  <c r="S84" i="11"/>
  <c r="R84" i="11"/>
  <c r="Q84" i="11"/>
  <c r="P84" i="11"/>
  <c r="O84" i="11"/>
  <c r="N84" i="11"/>
  <c r="M84" i="11"/>
  <c r="F84" i="11"/>
  <c r="E84" i="11"/>
  <c r="D84" i="11"/>
  <c r="C84" i="11"/>
  <c r="B84" i="11"/>
  <c r="X83" i="11"/>
  <c r="W83" i="11"/>
  <c r="V83" i="11"/>
  <c r="U83" i="11"/>
  <c r="T83" i="11"/>
  <c r="S83" i="11"/>
  <c r="R83" i="11"/>
  <c r="Q83" i="11"/>
  <c r="P83" i="11"/>
  <c r="O83" i="11"/>
  <c r="N83" i="11"/>
  <c r="M83" i="11"/>
  <c r="F83" i="11"/>
  <c r="E83" i="11"/>
  <c r="D83" i="11"/>
  <c r="C83" i="11"/>
  <c r="B83" i="11"/>
  <c r="X82" i="11"/>
  <c r="W82" i="11"/>
  <c r="V82" i="11"/>
  <c r="U82" i="11"/>
  <c r="T82" i="11"/>
  <c r="S82" i="11"/>
  <c r="R82" i="11"/>
  <c r="Q82" i="11"/>
  <c r="P82" i="11"/>
  <c r="O82" i="11"/>
  <c r="N82" i="11"/>
  <c r="M82" i="11"/>
  <c r="F82" i="11"/>
  <c r="E82" i="11"/>
  <c r="D82" i="11"/>
  <c r="C82" i="11"/>
  <c r="B82" i="11"/>
  <c r="X81" i="11"/>
  <c r="W81" i="11"/>
  <c r="V81" i="11"/>
  <c r="U81" i="11"/>
  <c r="T81" i="11"/>
  <c r="S81" i="11"/>
  <c r="R81" i="11"/>
  <c r="Q81" i="11"/>
  <c r="P81" i="11"/>
  <c r="O81" i="11"/>
  <c r="N81" i="11"/>
  <c r="M81" i="11"/>
  <c r="F81" i="11"/>
  <c r="E81" i="11"/>
  <c r="D81" i="11"/>
  <c r="C81" i="11"/>
  <c r="B81" i="11"/>
  <c r="X80" i="11"/>
  <c r="W80" i="11"/>
  <c r="V80" i="11"/>
  <c r="U80" i="11"/>
  <c r="T80" i="11"/>
  <c r="S80" i="11"/>
  <c r="R80" i="11"/>
  <c r="Q80" i="11"/>
  <c r="P80" i="11"/>
  <c r="O80" i="11"/>
  <c r="N80" i="11"/>
  <c r="M80" i="11"/>
  <c r="F80" i="11"/>
  <c r="E80" i="11"/>
  <c r="D80" i="11"/>
  <c r="C80" i="11"/>
  <c r="B80" i="11"/>
  <c r="X79" i="11"/>
  <c r="W79" i="11"/>
  <c r="V79" i="11"/>
  <c r="U79" i="11"/>
  <c r="T79" i="11"/>
  <c r="S79" i="11"/>
  <c r="R79" i="11"/>
  <c r="Q79" i="11"/>
  <c r="P79" i="11"/>
  <c r="O79" i="11"/>
  <c r="N79" i="11"/>
  <c r="M79" i="11"/>
  <c r="F79" i="11"/>
  <c r="E79" i="11"/>
  <c r="D79" i="11"/>
  <c r="C79" i="11"/>
  <c r="B79" i="11"/>
  <c r="X78" i="11"/>
  <c r="W78" i="11"/>
  <c r="V78" i="11"/>
  <c r="U78" i="11"/>
  <c r="T78" i="11"/>
  <c r="S78" i="11"/>
  <c r="R78" i="11"/>
  <c r="Q78" i="11"/>
  <c r="P78" i="11"/>
  <c r="O78" i="11"/>
  <c r="N78" i="11"/>
  <c r="M78" i="11"/>
  <c r="F78" i="11"/>
  <c r="E78" i="11"/>
  <c r="D78" i="11"/>
  <c r="C78" i="11"/>
  <c r="B78" i="11"/>
  <c r="X77" i="11"/>
  <c r="W77" i="11"/>
  <c r="V77" i="11"/>
  <c r="U77" i="11"/>
  <c r="T77" i="11"/>
  <c r="S77" i="11"/>
  <c r="R77" i="11"/>
  <c r="Q77" i="11"/>
  <c r="P77" i="11"/>
  <c r="O77" i="11"/>
  <c r="N77" i="11"/>
  <c r="M77" i="11"/>
  <c r="F77" i="11"/>
  <c r="E77" i="11"/>
  <c r="D77" i="11"/>
  <c r="C77" i="11"/>
  <c r="B77" i="11"/>
  <c r="X76" i="11"/>
  <c r="W76" i="11"/>
  <c r="V76" i="11"/>
  <c r="U76" i="11"/>
  <c r="T76" i="11"/>
  <c r="S76" i="11"/>
  <c r="R76" i="11"/>
  <c r="Q76" i="11"/>
  <c r="P76" i="11"/>
  <c r="O76" i="11"/>
  <c r="N76" i="11"/>
  <c r="M76" i="11"/>
  <c r="F76" i="11"/>
  <c r="E76" i="11"/>
  <c r="D76" i="11"/>
  <c r="C76" i="11"/>
  <c r="B76" i="11"/>
  <c r="X75" i="11"/>
  <c r="W75" i="11"/>
  <c r="V75" i="11"/>
  <c r="U75" i="11"/>
  <c r="T75" i="11"/>
  <c r="S75" i="11"/>
  <c r="R75" i="11"/>
  <c r="Q75" i="11"/>
  <c r="P75" i="11"/>
  <c r="O75" i="11"/>
  <c r="N75" i="11"/>
  <c r="M75" i="11"/>
  <c r="F75" i="11"/>
  <c r="E75" i="11"/>
  <c r="D75" i="11"/>
  <c r="C75" i="11"/>
  <c r="B75" i="11"/>
  <c r="X74" i="11"/>
  <c r="W74" i="11"/>
  <c r="V74" i="11"/>
  <c r="U74" i="11"/>
  <c r="T74" i="11"/>
  <c r="S74" i="11"/>
  <c r="R74" i="11"/>
  <c r="Q74" i="11"/>
  <c r="P74" i="11"/>
  <c r="O74" i="11"/>
  <c r="N74" i="11"/>
  <c r="M74" i="11"/>
  <c r="F74" i="11"/>
  <c r="E74" i="11"/>
  <c r="D74" i="11"/>
  <c r="C74" i="11"/>
  <c r="B74" i="11"/>
  <c r="X73" i="11"/>
  <c r="W73" i="11"/>
  <c r="V73" i="11"/>
  <c r="U73" i="11"/>
  <c r="T73" i="11"/>
  <c r="S73" i="11"/>
  <c r="R73" i="11"/>
  <c r="Q73" i="11"/>
  <c r="P73" i="11"/>
  <c r="O73" i="11"/>
  <c r="N73" i="11"/>
  <c r="M73" i="11"/>
  <c r="F73" i="11"/>
  <c r="E73" i="11"/>
  <c r="D73" i="11"/>
  <c r="C73" i="11"/>
  <c r="B73" i="11"/>
  <c r="X72" i="11"/>
  <c r="W72" i="11"/>
  <c r="V72" i="11"/>
  <c r="U72" i="11"/>
  <c r="T72" i="11"/>
  <c r="S72" i="11"/>
  <c r="R72" i="11"/>
  <c r="Q72" i="11"/>
  <c r="P72" i="11"/>
  <c r="O72" i="11"/>
  <c r="N72" i="11"/>
  <c r="M72" i="11"/>
  <c r="F72" i="11"/>
  <c r="E72" i="11"/>
  <c r="D72" i="11"/>
  <c r="C72" i="11"/>
  <c r="B72" i="11"/>
  <c r="X71" i="11"/>
  <c r="W71" i="11"/>
  <c r="V71" i="11"/>
  <c r="U71" i="11"/>
  <c r="T71" i="11"/>
  <c r="S71" i="11"/>
  <c r="R71" i="11"/>
  <c r="Q71" i="11"/>
  <c r="P71" i="11"/>
  <c r="O71" i="11"/>
  <c r="N71" i="11"/>
  <c r="M71" i="11"/>
  <c r="F71" i="11"/>
  <c r="E71" i="11"/>
  <c r="D71" i="11"/>
  <c r="C71" i="11"/>
  <c r="B71" i="11"/>
  <c r="X70" i="11"/>
  <c r="W70" i="11"/>
  <c r="V70" i="11"/>
  <c r="U70" i="11"/>
  <c r="T70" i="11"/>
  <c r="S70" i="11"/>
  <c r="R70" i="11"/>
  <c r="Q70" i="11"/>
  <c r="P70" i="11"/>
  <c r="O70" i="11"/>
  <c r="N70" i="11"/>
  <c r="M70" i="11"/>
  <c r="F70" i="11"/>
  <c r="E70" i="11"/>
  <c r="D70" i="11"/>
  <c r="C70" i="11"/>
  <c r="B70" i="11"/>
  <c r="X69" i="11"/>
  <c r="W69" i="11"/>
  <c r="V69" i="11"/>
  <c r="U69" i="11"/>
  <c r="T69" i="11"/>
  <c r="S69" i="11"/>
  <c r="R69" i="11"/>
  <c r="Q69" i="11"/>
  <c r="P69" i="11"/>
  <c r="O69" i="11"/>
  <c r="N69" i="11"/>
  <c r="M69" i="11"/>
  <c r="F69" i="11"/>
  <c r="E69" i="11"/>
  <c r="D69" i="11"/>
  <c r="C69" i="11"/>
  <c r="B69" i="11"/>
  <c r="X68" i="11"/>
  <c r="W68" i="11"/>
  <c r="V68" i="11"/>
  <c r="U68" i="11"/>
  <c r="T68" i="11"/>
  <c r="S68" i="11"/>
  <c r="R68" i="11"/>
  <c r="Q68" i="11"/>
  <c r="P68" i="11"/>
  <c r="O68" i="11"/>
  <c r="N68" i="11"/>
  <c r="M68" i="11"/>
  <c r="F68" i="11"/>
  <c r="E68" i="11"/>
  <c r="D68" i="11"/>
  <c r="C68" i="11"/>
  <c r="B68" i="11"/>
  <c r="X67" i="11"/>
  <c r="W67" i="11"/>
  <c r="V67" i="11"/>
  <c r="U67" i="11"/>
  <c r="T67" i="11"/>
  <c r="S67" i="11"/>
  <c r="R67" i="11"/>
  <c r="Q67" i="11"/>
  <c r="P67" i="11"/>
  <c r="O67" i="11"/>
  <c r="N67" i="11"/>
  <c r="M67" i="11"/>
  <c r="F67" i="11"/>
  <c r="E67" i="11"/>
  <c r="D67" i="11"/>
  <c r="C67" i="11"/>
  <c r="B67" i="11"/>
  <c r="X66" i="11"/>
  <c r="W66" i="11"/>
  <c r="V66" i="11"/>
  <c r="U66" i="11"/>
  <c r="T66" i="11"/>
  <c r="S66" i="11"/>
  <c r="R66" i="11"/>
  <c r="Q66" i="11"/>
  <c r="P66" i="11"/>
  <c r="O66" i="11"/>
  <c r="N66" i="11"/>
  <c r="M66" i="11"/>
  <c r="F66" i="11"/>
  <c r="E66" i="11"/>
  <c r="D66" i="11"/>
  <c r="C66" i="11"/>
  <c r="B66" i="11"/>
  <c r="X65" i="11"/>
  <c r="W65" i="11"/>
  <c r="V65" i="11"/>
  <c r="U65" i="11"/>
  <c r="T65" i="11"/>
  <c r="S65" i="11"/>
  <c r="R65" i="11"/>
  <c r="Q65" i="11"/>
  <c r="P65" i="11"/>
  <c r="O65" i="11"/>
  <c r="N65" i="11"/>
  <c r="M65" i="11"/>
  <c r="F65" i="11"/>
  <c r="E65" i="11"/>
  <c r="D65" i="11"/>
  <c r="C65" i="11"/>
  <c r="B65" i="11"/>
  <c r="X64" i="11"/>
  <c r="W64" i="11"/>
  <c r="V64" i="11"/>
  <c r="U64" i="11"/>
  <c r="T64" i="11"/>
  <c r="S64" i="11"/>
  <c r="R64" i="11"/>
  <c r="Q64" i="11"/>
  <c r="P64" i="11"/>
  <c r="O64" i="11"/>
  <c r="N64" i="11"/>
  <c r="M64" i="11"/>
  <c r="F64" i="11"/>
  <c r="E64" i="11"/>
  <c r="D64" i="11"/>
  <c r="C64" i="11"/>
  <c r="B64" i="11"/>
  <c r="X63" i="11"/>
  <c r="W63" i="11"/>
  <c r="V63" i="11"/>
  <c r="U63" i="11"/>
  <c r="T63" i="11"/>
  <c r="S63" i="11"/>
  <c r="R63" i="11"/>
  <c r="Q63" i="11"/>
  <c r="P63" i="11"/>
  <c r="O63" i="11"/>
  <c r="N63" i="11"/>
  <c r="M63" i="11"/>
  <c r="F63" i="11"/>
  <c r="E63" i="11"/>
  <c r="D63" i="11"/>
  <c r="C63" i="11"/>
  <c r="B63" i="11"/>
  <c r="X62" i="11"/>
  <c r="W62" i="11"/>
  <c r="V62" i="11"/>
  <c r="U62" i="11"/>
  <c r="T62" i="11"/>
  <c r="S62" i="11"/>
  <c r="R62" i="11"/>
  <c r="Q62" i="11"/>
  <c r="P62" i="11"/>
  <c r="O62" i="11"/>
  <c r="N62" i="11"/>
  <c r="M62" i="11"/>
  <c r="F62" i="11"/>
  <c r="E62" i="11"/>
  <c r="D62" i="11"/>
  <c r="C62" i="11"/>
  <c r="B62" i="11"/>
  <c r="X61" i="11"/>
  <c r="W61" i="11"/>
  <c r="V61" i="11"/>
  <c r="U61" i="11"/>
  <c r="T61" i="11"/>
  <c r="S61" i="11"/>
  <c r="R61" i="11"/>
  <c r="Q61" i="11"/>
  <c r="P61" i="11"/>
  <c r="O61" i="11"/>
  <c r="N61" i="11"/>
  <c r="M61" i="11"/>
  <c r="F61" i="11"/>
  <c r="E61" i="11"/>
  <c r="D61" i="11"/>
  <c r="C61" i="11"/>
  <c r="B61" i="11"/>
  <c r="X60" i="11"/>
  <c r="W60" i="11"/>
  <c r="V60" i="11"/>
  <c r="U60" i="11"/>
  <c r="T60" i="11"/>
  <c r="S60" i="11"/>
  <c r="R60" i="11"/>
  <c r="Q60" i="11"/>
  <c r="P60" i="11"/>
  <c r="O60" i="11"/>
  <c r="N60" i="11"/>
  <c r="M60" i="11"/>
  <c r="F60" i="11"/>
  <c r="E60" i="11"/>
  <c r="D60" i="11"/>
  <c r="C60" i="11"/>
  <c r="B60" i="11"/>
  <c r="X59" i="11"/>
  <c r="W59" i="11"/>
  <c r="V59" i="11"/>
  <c r="U59" i="11"/>
  <c r="T59" i="11"/>
  <c r="S59" i="11"/>
  <c r="R59" i="11"/>
  <c r="Q59" i="11"/>
  <c r="P59" i="11"/>
  <c r="O59" i="11"/>
  <c r="N59" i="11"/>
  <c r="M59" i="11"/>
  <c r="F59" i="11"/>
  <c r="E59" i="11"/>
  <c r="D59" i="11"/>
  <c r="C59" i="11"/>
  <c r="B59" i="11"/>
  <c r="X58" i="11"/>
  <c r="W58" i="11"/>
  <c r="V58" i="11"/>
  <c r="U58" i="11"/>
  <c r="T58" i="11"/>
  <c r="S58" i="11"/>
  <c r="R58" i="11"/>
  <c r="Q58" i="11"/>
  <c r="P58" i="11"/>
  <c r="O58" i="11"/>
  <c r="N58" i="11"/>
  <c r="M58" i="11"/>
  <c r="F58" i="11"/>
  <c r="E58" i="11"/>
  <c r="D58" i="11"/>
  <c r="C58" i="11"/>
  <c r="B58" i="11"/>
  <c r="X57" i="11"/>
  <c r="W57" i="11"/>
  <c r="V57" i="11"/>
  <c r="U57" i="11"/>
  <c r="T57" i="11"/>
  <c r="S57" i="11"/>
  <c r="R57" i="11"/>
  <c r="Q57" i="11"/>
  <c r="P57" i="11"/>
  <c r="O57" i="11"/>
  <c r="N57" i="11"/>
  <c r="M57" i="11"/>
  <c r="F57" i="11"/>
  <c r="E57" i="11"/>
  <c r="D57" i="11"/>
  <c r="C57" i="11"/>
  <c r="B57" i="11"/>
  <c r="X56" i="11"/>
  <c r="W56" i="11"/>
  <c r="V56" i="11"/>
  <c r="U56" i="11"/>
  <c r="T56" i="11"/>
  <c r="S56" i="11"/>
  <c r="R56" i="11"/>
  <c r="Q56" i="11"/>
  <c r="P56" i="11"/>
  <c r="O56" i="11"/>
  <c r="N56" i="11"/>
  <c r="M56" i="11"/>
  <c r="F56" i="11"/>
  <c r="E56" i="11"/>
  <c r="D56" i="11"/>
  <c r="C56" i="11"/>
  <c r="B56" i="11"/>
  <c r="X55" i="11"/>
  <c r="W55" i="11"/>
  <c r="V55" i="11"/>
  <c r="U55" i="11"/>
  <c r="T55" i="11"/>
  <c r="S55" i="11"/>
  <c r="R55" i="11"/>
  <c r="Q55" i="11"/>
  <c r="P55" i="11"/>
  <c r="O55" i="11"/>
  <c r="N55" i="11"/>
  <c r="M55" i="11"/>
  <c r="F55" i="11"/>
  <c r="E55" i="11"/>
  <c r="D55" i="11"/>
  <c r="C55" i="11"/>
  <c r="B55" i="11"/>
  <c r="X54" i="11"/>
  <c r="W54" i="11"/>
  <c r="V54" i="11"/>
  <c r="U54" i="11"/>
  <c r="T54" i="11"/>
  <c r="S54" i="11"/>
  <c r="R54" i="11"/>
  <c r="Q54" i="11"/>
  <c r="P54" i="11"/>
  <c r="O54" i="11"/>
  <c r="N54" i="11"/>
  <c r="M54" i="11"/>
  <c r="F54" i="11"/>
  <c r="E54" i="11"/>
  <c r="D54" i="11"/>
  <c r="C54" i="11"/>
  <c r="B54" i="11"/>
  <c r="X53" i="11"/>
  <c r="W53" i="11"/>
  <c r="V53" i="11"/>
  <c r="U53" i="11"/>
  <c r="T53" i="11"/>
  <c r="S53" i="11"/>
  <c r="R53" i="11"/>
  <c r="Q53" i="11"/>
  <c r="P53" i="11"/>
  <c r="O53" i="11"/>
  <c r="N53" i="11"/>
  <c r="M53" i="11"/>
  <c r="F53" i="11"/>
  <c r="E53" i="11"/>
  <c r="D53" i="11"/>
  <c r="C53" i="11"/>
  <c r="B53" i="11"/>
  <c r="X52" i="11"/>
  <c r="W52" i="11"/>
  <c r="V52" i="11"/>
  <c r="U52" i="11"/>
  <c r="T52" i="11"/>
  <c r="S52" i="11"/>
  <c r="R52" i="11"/>
  <c r="Q52" i="11"/>
  <c r="P52" i="11"/>
  <c r="O52" i="11"/>
  <c r="N52" i="11"/>
  <c r="M52" i="11"/>
  <c r="F52" i="11"/>
  <c r="E52" i="11"/>
  <c r="D52" i="11"/>
  <c r="C52" i="11"/>
  <c r="B52" i="11"/>
  <c r="X51" i="11"/>
  <c r="W51" i="11"/>
  <c r="V51" i="11"/>
  <c r="U51" i="11"/>
  <c r="T51" i="11"/>
  <c r="S51" i="11"/>
  <c r="R51" i="11"/>
  <c r="Q51" i="11"/>
  <c r="P51" i="11"/>
  <c r="O51" i="11"/>
  <c r="N51" i="11"/>
  <c r="M51" i="11"/>
  <c r="F51" i="11"/>
  <c r="E51" i="11"/>
  <c r="D51" i="11"/>
  <c r="C51" i="11"/>
  <c r="B51" i="11"/>
  <c r="X50" i="11"/>
  <c r="W50" i="11"/>
  <c r="V50" i="11"/>
  <c r="U50" i="11"/>
  <c r="T50" i="11"/>
  <c r="S50" i="11"/>
  <c r="R50" i="11"/>
  <c r="Q50" i="11"/>
  <c r="P50" i="11"/>
  <c r="O50" i="11"/>
  <c r="N50" i="11"/>
  <c r="M50" i="11"/>
  <c r="F50" i="11"/>
  <c r="E50" i="11"/>
  <c r="D50" i="11"/>
  <c r="C50" i="11"/>
  <c r="B50" i="11"/>
  <c r="X49" i="11"/>
  <c r="W49" i="11"/>
  <c r="V49" i="11"/>
  <c r="U49" i="11"/>
  <c r="T49" i="11"/>
  <c r="S49" i="11"/>
  <c r="R49" i="11"/>
  <c r="Q49" i="11"/>
  <c r="P49" i="11"/>
  <c r="O49" i="11"/>
  <c r="N49" i="11"/>
  <c r="M49" i="11"/>
  <c r="F49" i="11"/>
  <c r="E49" i="11"/>
  <c r="D49" i="11"/>
  <c r="C49" i="11"/>
  <c r="B49" i="11"/>
  <c r="X48" i="11"/>
  <c r="W48" i="11"/>
  <c r="V48" i="11"/>
  <c r="U48" i="11"/>
  <c r="T48" i="11"/>
  <c r="S48" i="11"/>
  <c r="R48" i="11"/>
  <c r="Q48" i="11"/>
  <c r="P48" i="11"/>
  <c r="O48" i="11"/>
  <c r="N48" i="11"/>
  <c r="M48" i="11"/>
  <c r="F48" i="11"/>
  <c r="E48" i="11"/>
  <c r="D48" i="11"/>
  <c r="C48" i="11"/>
  <c r="B48" i="11"/>
  <c r="X47" i="11"/>
  <c r="W47" i="11"/>
  <c r="V47" i="11"/>
  <c r="U47" i="11"/>
  <c r="T47" i="11"/>
  <c r="S47" i="11"/>
  <c r="R47" i="11"/>
  <c r="Q47" i="11"/>
  <c r="P47" i="11"/>
  <c r="O47" i="11"/>
  <c r="N47" i="11"/>
  <c r="M47" i="11"/>
  <c r="F47" i="11"/>
  <c r="E47" i="11"/>
  <c r="D47" i="11"/>
  <c r="C47" i="11"/>
  <c r="B47" i="11"/>
  <c r="X46" i="11"/>
  <c r="W46" i="11"/>
  <c r="V46" i="11"/>
  <c r="U46" i="11"/>
  <c r="T46" i="11"/>
  <c r="S46" i="11"/>
  <c r="R46" i="11"/>
  <c r="Q46" i="11"/>
  <c r="P46" i="11"/>
  <c r="O46" i="11"/>
  <c r="N46" i="11"/>
  <c r="M46" i="11"/>
  <c r="F46" i="11"/>
  <c r="E46" i="11"/>
  <c r="D46" i="11"/>
  <c r="C46" i="11"/>
  <c r="B46" i="11"/>
  <c r="X45" i="11"/>
  <c r="W45" i="11"/>
  <c r="V45" i="11"/>
  <c r="U45" i="11"/>
  <c r="T45" i="11"/>
  <c r="S45" i="11"/>
  <c r="R45" i="11"/>
  <c r="Q45" i="11"/>
  <c r="P45" i="11"/>
  <c r="O45" i="11"/>
  <c r="N45" i="11"/>
  <c r="M45" i="11"/>
  <c r="F45" i="11"/>
  <c r="E45" i="11"/>
  <c r="D45" i="11"/>
  <c r="C45" i="11"/>
  <c r="B45" i="11"/>
  <c r="X44" i="11"/>
  <c r="W44" i="11"/>
  <c r="V44" i="11"/>
  <c r="U44" i="11"/>
  <c r="T44" i="11"/>
  <c r="S44" i="11"/>
  <c r="R44" i="11"/>
  <c r="Q44" i="11"/>
  <c r="P44" i="11"/>
  <c r="O44" i="11"/>
  <c r="N44" i="11"/>
  <c r="M44" i="11"/>
  <c r="F44" i="11"/>
  <c r="E44" i="11"/>
  <c r="D44" i="11"/>
  <c r="C44" i="11"/>
  <c r="B44" i="11"/>
  <c r="X43" i="11"/>
  <c r="W43" i="11"/>
  <c r="V43" i="11"/>
  <c r="U43" i="11"/>
  <c r="T43" i="11"/>
  <c r="S43" i="11"/>
  <c r="R43" i="11"/>
  <c r="Q43" i="11"/>
  <c r="P43" i="11"/>
  <c r="O43" i="11"/>
  <c r="N43" i="11"/>
  <c r="M43" i="11"/>
  <c r="F43" i="11"/>
  <c r="E43" i="11"/>
  <c r="D43" i="11"/>
  <c r="C43" i="11"/>
  <c r="B43" i="11"/>
  <c r="X42" i="11"/>
  <c r="W42" i="11"/>
  <c r="V42" i="11"/>
  <c r="U42" i="11"/>
  <c r="T42" i="11"/>
  <c r="S42" i="11"/>
  <c r="R42" i="11"/>
  <c r="Q42" i="11"/>
  <c r="P42" i="11"/>
  <c r="O42" i="11"/>
  <c r="N42" i="11"/>
  <c r="M42" i="11"/>
  <c r="F42" i="11"/>
  <c r="E42" i="11"/>
  <c r="D42" i="11"/>
  <c r="C42" i="11"/>
  <c r="B42" i="11"/>
  <c r="X41" i="11"/>
  <c r="W41" i="11"/>
  <c r="V41" i="11"/>
  <c r="U41" i="11"/>
  <c r="T41" i="11"/>
  <c r="S41" i="11"/>
  <c r="R41" i="11"/>
  <c r="Q41" i="11"/>
  <c r="P41" i="11"/>
  <c r="O41" i="11"/>
  <c r="N41" i="11"/>
  <c r="M41" i="11"/>
  <c r="F41" i="11"/>
  <c r="E41" i="11"/>
  <c r="D41" i="11"/>
  <c r="C41" i="11"/>
  <c r="B41" i="11"/>
  <c r="X40" i="11"/>
  <c r="W40" i="11"/>
  <c r="V40" i="11"/>
  <c r="U40" i="11"/>
  <c r="T40" i="11"/>
  <c r="S40" i="11"/>
  <c r="R40" i="11"/>
  <c r="Q40" i="11"/>
  <c r="P40" i="11"/>
  <c r="O40" i="11"/>
  <c r="N40" i="11"/>
  <c r="M40" i="11"/>
  <c r="F40" i="11"/>
  <c r="E40" i="11"/>
  <c r="D40" i="11"/>
  <c r="C40" i="11"/>
  <c r="B40" i="11"/>
  <c r="X39" i="11"/>
  <c r="W39" i="11"/>
  <c r="V39" i="11"/>
  <c r="U39" i="11"/>
  <c r="T39" i="11"/>
  <c r="S39" i="11"/>
  <c r="R39" i="11"/>
  <c r="Q39" i="11"/>
  <c r="P39" i="11"/>
  <c r="O39" i="11"/>
  <c r="N39" i="11"/>
  <c r="M39" i="11"/>
  <c r="F39" i="11"/>
  <c r="E39" i="11"/>
  <c r="D39" i="11"/>
  <c r="C39" i="11"/>
  <c r="B39" i="11"/>
  <c r="X38" i="11"/>
  <c r="W38" i="11"/>
  <c r="V38" i="11"/>
  <c r="U38" i="11"/>
  <c r="T38" i="11"/>
  <c r="S38" i="11"/>
  <c r="R38" i="11"/>
  <c r="Q38" i="11"/>
  <c r="P38" i="11"/>
  <c r="O38" i="11"/>
  <c r="N38" i="11"/>
  <c r="M38" i="11"/>
  <c r="F38" i="11"/>
  <c r="E38" i="11"/>
  <c r="D38" i="11"/>
  <c r="C38" i="11"/>
  <c r="B38" i="11"/>
  <c r="X37" i="11"/>
  <c r="W37" i="11"/>
  <c r="V37" i="11"/>
  <c r="U37" i="11"/>
  <c r="T37" i="11"/>
  <c r="S37" i="11"/>
  <c r="R37" i="11"/>
  <c r="Q37" i="11"/>
  <c r="P37" i="11"/>
  <c r="O37" i="11"/>
  <c r="N37" i="11"/>
  <c r="M37" i="11"/>
  <c r="F37" i="11"/>
  <c r="E37" i="11"/>
  <c r="D37" i="11"/>
  <c r="C37" i="11"/>
  <c r="B37" i="11"/>
  <c r="X36" i="11"/>
  <c r="W36" i="11"/>
  <c r="V36" i="11"/>
  <c r="U36" i="11"/>
  <c r="T36" i="11"/>
  <c r="S36" i="11"/>
  <c r="R36" i="11"/>
  <c r="Q36" i="11"/>
  <c r="P36" i="11"/>
  <c r="O36" i="11"/>
  <c r="N36" i="11"/>
  <c r="M36" i="11"/>
  <c r="F36" i="11"/>
  <c r="E36" i="11"/>
  <c r="D36" i="11"/>
  <c r="C36" i="11"/>
  <c r="B36" i="11"/>
  <c r="X35" i="11"/>
  <c r="W35" i="11"/>
  <c r="V35" i="11"/>
  <c r="U35" i="11"/>
  <c r="T35" i="11"/>
  <c r="S35" i="11"/>
  <c r="R35" i="11"/>
  <c r="Q35" i="11"/>
  <c r="P35" i="11"/>
  <c r="O35" i="11"/>
  <c r="N35" i="11"/>
  <c r="M35" i="11"/>
  <c r="F35" i="11"/>
  <c r="E35" i="11"/>
  <c r="D35" i="11"/>
  <c r="C35" i="11"/>
  <c r="B35" i="11"/>
  <c r="X34" i="11"/>
  <c r="W34" i="11"/>
  <c r="V34" i="11"/>
  <c r="U34" i="11"/>
  <c r="T34" i="11"/>
  <c r="S34" i="11"/>
  <c r="R34" i="11"/>
  <c r="Q34" i="11"/>
  <c r="P34" i="11"/>
  <c r="O34" i="11"/>
  <c r="N34" i="11"/>
  <c r="M34" i="11"/>
  <c r="F34" i="11"/>
  <c r="E34" i="11"/>
  <c r="D34" i="11"/>
  <c r="C34" i="11"/>
  <c r="B34" i="11"/>
  <c r="X33" i="11"/>
  <c r="W33" i="11"/>
  <c r="V33" i="11"/>
  <c r="U33" i="11"/>
  <c r="T33" i="11"/>
  <c r="S33" i="11"/>
  <c r="R33" i="11"/>
  <c r="Q33" i="11"/>
  <c r="P33" i="11"/>
  <c r="O33" i="11"/>
  <c r="N33" i="11"/>
  <c r="M33" i="11"/>
  <c r="F33" i="11"/>
  <c r="E33" i="11"/>
  <c r="D33" i="11"/>
  <c r="C33" i="11"/>
  <c r="B33" i="11"/>
  <c r="X32" i="11"/>
  <c r="W32" i="11"/>
  <c r="V32" i="11"/>
  <c r="U32" i="11"/>
  <c r="T32" i="11"/>
  <c r="S32" i="11"/>
  <c r="R32" i="11"/>
  <c r="Q32" i="11"/>
  <c r="P32" i="11"/>
  <c r="O32" i="11"/>
  <c r="N32" i="11"/>
  <c r="M32" i="11"/>
  <c r="F32" i="11"/>
  <c r="E32" i="11"/>
  <c r="D32" i="11"/>
  <c r="C32" i="11"/>
  <c r="B32" i="11"/>
  <c r="X31" i="11"/>
  <c r="W31" i="11"/>
  <c r="V31" i="11"/>
  <c r="U31" i="11"/>
  <c r="T31" i="11"/>
  <c r="S31" i="11"/>
  <c r="R31" i="11"/>
  <c r="Q31" i="11"/>
  <c r="P31" i="11"/>
  <c r="O31" i="11"/>
  <c r="N31" i="11"/>
  <c r="M31" i="11"/>
  <c r="F31" i="11"/>
  <c r="E31" i="11"/>
  <c r="D31" i="11"/>
  <c r="C31" i="11"/>
  <c r="B31" i="11"/>
  <c r="X30" i="11"/>
  <c r="W30" i="11"/>
  <c r="V30" i="11"/>
  <c r="U30" i="11"/>
  <c r="T30" i="11"/>
  <c r="S30" i="11"/>
  <c r="R30" i="11"/>
  <c r="Q30" i="11"/>
  <c r="P30" i="11"/>
  <c r="O30" i="11"/>
  <c r="N30" i="11"/>
  <c r="M30" i="11"/>
  <c r="F30" i="11"/>
  <c r="E30" i="11"/>
  <c r="D30" i="11"/>
  <c r="C30" i="11"/>
  <c r="B30" i="11"/>
  <c r="X29" i="11"/>
  <c r="W29" i="11"/>
  <c r="V29" i="11"/>
  <c r="U29" i="11"/>
  <c r="T29" i="11"/>
  <c r="S29" i="11"/>
  <c r="R29" i="11"/>
  <c r="Q29" i="11"/>
  <c r="P29" i="11"/>
  <c r="O29" i="11"/>
  <c r="N29" i="11"/>
  <c r="M29" i="11"/>
  <c r="F29" i="11"/>
  <c r="E29" i="11"/>
  <c r="D29" i="11"/>
  <c r="C29" i="11"/>
  <c r="B29" i="11"/>
  <c r="X28" i="11"/>
  <c r="W28" i="11"/>
  <c r="V28" i="11"/>
  <c r="U28" i="11"/>
  <c r="T28" i="11"/>
  <c r="S28" i="11"/>
  <c r="R28" i="11"/>
  <c r="Q28" i="11"/>
  <c r="P28" i="11"/>
  <c r="O28" i="11"/>
  <c r="N28" i="11"/>
  <c r="M28" i="11"/>
  <c r="F28" i="11"/>
  <c r="E28" i="11"/>
  <c r="D28" i="11"/>
  <c r="C28" i="11"/>
  <c r="B28" i="11"/>
  <c r="X27" i="11"/>
  <c r="W27" i="11"/>
  <c r="V27" i="11"/>
  <c r="U27" i="11"/>
  <c r="T27" i="11"/>
  <c r="S27" i="11"/>
  <c r="R27" i="11"/>
  <c r="Q27" i="11"/>
  <c r="P27" i="11"/>
  <c r="O27" i="11"/>
  <c r="N27" i="11"/>
  <c r="M27" i="11"/>
  <c r="F27" i="11"/>
  <c r="E27" i="11"/>
  <c r="D27" i="11"/>
  <c r="C27" i="11"/>
  <c r="B27" i="11"/>
  <c r="X26" i="11"/>
  <c r="W26" i="11"/>
  <c r="V26" i="11"/>
  <c r="U26" i="11"/>
  <c r="T26" i="11"/>
  <c r="S26" i="11"/>
  <c r="R26" i="11"/>
  <c r="Q26" i="11"/>
  <c r="P26" i="11"/>
  <c r="O26" i="11"/>
  <c r="N26" i="11"/>
  <c r="M26" i="11"/>
  <c r="F26" i="11"/>
  <c r="E26" i="11"/>
  <c r="D26" i="11"/>
  <c r="C26" i="11"/>
  <c r="B26" i="11"/>
  <c r="X25" i="11"/>
  <c r="W25" i="11"/>
  <c r="V25" i="11"/>
  <c r="U25" i="11"/>
  <c r="T25" i="11"/>
  <c r="S25" i="11"/>
  <c r="R25" i="11"/>
  <c r="Q25" i="11"/>
  <c r="P25" i="11"/>
  <c r="O25" i="11"/>
  <c r="N25" i="11"/>
  <c r="M25" i="11"/>
  <c r="F25" i="11"/>
  <c r="E25" i="11"/>
  <c r="D25" i="11"/>
  <c r="C25" i="11"/>
  <c r="B25" i="11"/>
  <c r="X24" i="11"/>
  <c r="W24" i="11"/>
  <c r="V24" i="11"/>
  <c r="U24" i="11"/>
  <c r="T24" i="11"/>
  <c r="S24" i="11"/>
  <c r="R24" i="11"/>
  <c r="Q24" i="11"/>
  <c r="P24" i="11"/>
  <c r="O24" i="11"/>
  <c r="N24" i="11"/>
  <c r="M24" i="11"/>
  <c r="F24" i="11"/>
  <c r="E24" i="11"/>
  <c r="D24" i="11"/>
  <c r="C24" i="11"/>
  <c r="B24" i="11"/>
  <c r="D18" i="7"/>
  <c r="E15" i="7"/>
  <c r="D15" i="7"/>
  <c r="D14" i="7"/>
  <c r="E14" i="7" s="1"/>
  <c r="D13" i="7"/>
  <c r="E13" i="7" s="1"/>
  <c r="D12" i="7"/>
  <c r="E12" i="7" s="1"/>
  <c r="D11" i="7"/>
  <c r="E11" i="7" s="1"/>
  <c r="D10" i="7"/>
  <c r="D8" i="7"/>
  <c r="E8" i="7" s="1"/>
  <c r="E7" i="7"/>
  <c r="D7" i="7"/>
  <c r="D6" i="7"/>
  <c r="E6" i="7" s="1"/>
  <c r="J17" i="6"/>
  <c r="J16" i="6"/>
  <c r="J15" i="6"/>
  <c r="J14" i="6"/>
  <c r="J13" i="6"/>
  <c r="J12" i="6"/>
  <c r="J11" i="6"/>
  <c r="J10" i="6"/>
  <c r="J9" i="6"/>
  <c r="J6" i="6"/>
  <c r="J5" i="6"/>
  <c r="J3" i="6"/>
  <c r="J2" i="6"/>
  <c r="C5" i="5"/>
  <c r="C4" i="5"/>
  <c r="C3" i="5"/>
  <c r="C2" i="5"/>
  <c r="P6" i="4"/>
  <c r="M6" i="4"/>
  <c r="L6" i="4"/>
  <c r="K6" i="4"/>
  <c r="J6" i="4"/>
  <c r="I6" i="4"/>
  <c r="H6" i="4"/>
  <c r="G6" i="4"/>
  <c r="F6" i="4"/>
  <c r="E6" i="4"/>
  <c r="D6" i="4"/>
  <c r="C6" i="4"/>
  <c r="B6" i="4"/>
  <c r="N5" i="4"/>
  <c r="B5" i="5" s="1"/>
  <c r="N4" i="4"/>
  <c r="N3" i="4"/>
  <c r="B3" i="5" s="1"/>
  <c r="N2" i="4"/>
  <c r="B2" i="5" s="1"/>
  <c r="H14" i="2"/>
  <c r="F14" i="2"/>
  <c r="H13" i="2"/>
  <c r="F13" i="2"/>
  <c r="H12" i="2"/>
  <c r="F12" i="2"/>
  <c r="H11" i="2"/>
  <c r="F11" i="2"/>
  <c r="F7" i="2"/>
  <c r="F6" i="2"/>
  <c r="F5" i="2"/>
  <c r="F4" i="2"/>
  <c r="E18" i="7" l="1"/>
  <c r="E5" i="5"/>
  <c r="G849" i="11"/>
  <c r="J849" i="11" s="1"/>
  <c r="G576" i="11"/>
  <c r="K576" i="11" s="1"/>
  <c r="G985" i="11"/>
  <c r="I985" i="11" s="1"/>
  <c r="G513" i="11"/>
  <c r="G553" i="11"/>
  <c r="I553" i="11" s="1"/>
  <c r="G490" i="11"/>
  <c r="G555" i="11"/>
  <c r="I555" i="11" s="1"/>
  <c r="G771" i="11"/>
  <c r="L771" i="11" s="1"/>
  <c r="G184" i="11"/>
  <c r="H184" i="11" s="1"/>
  <c r="G407" i="11"/>
  <c r="K407" i="11" s="1"/>
  <c r="G1017" i="11"/>
  <c r="I1017" i="11" s="1"/>
  <c r="G348" i="11"/>
  <c r="K348" i="11" s="1"/>
  <c r="G449" i="11"/>
  <c r="J449" i="11" s="1"/>
  <c r="G777" i="11"/>
  <c r="K777" i="11" s="1"/>
  <c r="G124" i="11"/>
  <c r="J124" i="11" s="1"/>
  <c r="G460" i="11"/>
  <c r="K460" i="11" s="1"/>
  <c r="G660" i="11"/>
  <c r="H660" i="11" s="1"/>
  <c r="G668" i="11"/>
  <c r="L668" i="11" s="1"/>
  <c r="G684" i="11"/>
  <c r="L684" i="11" s="1"/>
  <c r="G796" i="11"/>
  <c r="J796" i="11" s="1"/>
  <c r="G804" i="11"/>
  <c r="H804" i="11" s="1"/>
  <c r="G46" i="11"/>
  <c r="I46" i="11" s="1"/>
  <c r="G269" i="11"/>
  <c r="K269" i="11" s="1"/>
  <c r="G319" i="11"/>
  <c r="I319" i="11" s="1"/>
  <c r="G327" i="11"/>
  <c r="H327" i="11" s="1"/>
  <c r="G606" i="11"/>
  <c r="I606" i="11" s="1"/>
  <c r="G628" i="11"/>
  <c r="J628" i="11" s="1"/>
  <c r="G710" i="11"/>
  <c r="L710" i="11" s="1"/>
  <c r="G718" i="11"/>
  <c r="K718" i="11" s="1"/>
  <c r="G766" i="11"/>
  <c r="L766" i="11" s="1"/>
  <c r="G1003" i="11"/>
  <c r="I1003" i="11" s="1"/>
  <c r="G247" i="11"/>
  <c r="I247" i="11" s="1"/>
  <c r="G623" i="11"/>
  <c r="H623" i="11" s="1"/>
  <c r="G160" i="11"/>
  <c r="J160" i="11" s="1"/>
  <c r="G176" i="11"/>
  <c r="H176" i="11" s="1"/>
  <c r="G478" i="11"/>
  <c r="J478" i="11" s="1"/>
  <c r="G128" i="11"/>
  <c r="K128" i="11" s="1"/>
  <c r="G219" i="11"/>
  <c r="J219" i="11" s="1"/>
  <c r="G817" i="11"/>
  <c r="K817" i="11" s="1"/>
  <c r="G929" i="11"/>
  <c r="K929" i="11" s="1"/>
  <c r="G937" i="11"/>
  <c r="I937" i="11" s="1"/>
  <c r="G301" i="11"/>
  <c r="J301" i="11" s="1"/>
  <c r="G316" i="11"/>
  <c r="H316" i="11" s="1"/>
  <c r="G110" i="11"/>
  <c r="J110" i="11" s="1"/>
  <c r="G253" i="11"/>
  <c r="H253" i="11" s="1"/>
  <c r="G622" i="11"/>
  <c r="G237" i="11"/>
  <c r="I237" i="11" s="1"/>
  <c r="G43" i="11"/>
  <c r="L43" i="11" s="1"/>
  <c r="G356" i="11"/>
  <c r="H356" i="11" s="1"/>
  <c r="G435" i="11"/>
  <c r="J435" i="11" s="1"/>
  <c r="G676" i="11"/>
  <c r="J676" i="11" s="1"/>
  <c r="G780" i="11"/>
  <c r="L780" i="11" s="1"/>
  <c r="G835" i="11"/>
  <c r="L835" i="11" s="1"/>
  <c r="G850" i="11"/>
  <c r="I850" i="11" s="1"/>
  <c r="G876" i="11"/>
  <c r="K876" i="11" s="1"/>
  <c r="G916" i="11"/>
  <c r="H916" i="11" s="1"/>
  <c r="G94" i="11"/>
  <c r="H94" i="11" s="1"/>
  <c r="G127" i="11"/>
  <c r="I127" i="11" s="1"/>
  <c r="G141" i="11"/>
  <c r="H141" i="11" s="1"/>
  <c r="G229" i="11"/>
  <c r="H229" i="11" s="1"/>
  <c r="G351" i="11"/>
  <c r="K351" i="11" s="1"/>
  <c r="G399" i="11"/>
  <c r="K399" i="11" s="1"/>
  <c r="G563" i="11"/>
  <c r="L563" i="11" s="1"/>
  <c r="G571" i="11"/>
  <c r="K571" i="11" s="1"/>
  <c r="G664" i="11"/>
  <c r="L664" i="11" s="1"/>
  <c r="G704" i="11"/>
  <c r="L704" i="11" s="1"/>
  <c r="G814" i="11"/>
  <c r="H814" i="11" s="1"/>
  <c r="G821" i="11"/>
  <c r="H821" i="11" s="1"/>
  <c r="G828" i="11"/>
  <c r="H828" i="11" s="1"/>
  <c r="G948" i="11"/>
  <c r="H948" i="11" s="1"/>
  <c r="G428" i="11"/>
  <c r="G466" i="11"/>
  <c r="K466" i="11" s="1"/>
  <c r="G556" i="11"/>
  <c r="J556" i="11" s="1"/>
  <c r="G569" i="11"/>
  <c r="L569" i="11" s="1"/>
  <c r="G626" i="11"/>
  <c r="H626" i="11" s="1"/>
  <c r="G711" i="11"/>
  <c r="I711" i="11" s="1"/>
  <c r="G788" i="11"/>
  <c r="L788" i="11" s="1"/>
  <c r="G812" i="11"/>
  <c r="L812" i="11" s="1"/>
  <c r="G846" i="11"/>
  <c r="L846" i="11" s="1"/>
  <c r="G987" i="11"/>
  <c r="K987" i="11" s="1"/>
  <c r="G168" i="11"/>
  <c r="K168" i="11" s="1"/>
  <c r="G206" i="11"/>
  <c r="L206" i="11" s="1"/>
  <c r="G463" i="11"/>
  <c r="H463" i="11" s="1"/>
  <c r="G769" i="11"/>
  <c r="H769" i="11" s="1"/>
  <c r="G837" i="11"/>
  <c r="I837" i="11" s="1"/>
  <c r="G879" i="11"/>
  <c r="J879" i="11" s="1"/>
  <c r="G887" i="11"/>
  <c r="L887" i="11" s="1"/>
  <c r="G911" i="11"/>
  <c r="J911" i="11" s="1"/>
  <c r="G942" i="11"/>
  <c r="J942" i="11" s="1"/>
  <c r="G107" i="11"/>
  <c r="G277" i="11"/>
  <c r="J277" i="11" s="1"/>
  <c r="G285" i="11"/>
  <c r="G293" i="11"/>
  <c r="H293" i="11" s="1"/>
  <c r="G391" i="11"/>
  <c r="L391" i="11" s="1"/>
  <c r="G455" i="11"/>
  <c r="I455" i="11" s="1"/>
  <c r="G564" i="11"/>
  <c r="L564" i="11" s="1"/>
  <c r="G601" i="11"/>
  <c r="I601" i="11" s="1"/>
  <c r="G627" i="11"/>
  <c r="K627" i="11" s="1"/>
  <c r="G633" i="11"/>
  <c r="K633" i="11" s="1"/>
  <c r="G652" i="11"/>
  <c r="G722" i="11"/>
  <c r="H722" i="11" s="1"/>
  <c r="G739" i="11"/>
  <c r="L739" i="11" s="1"/>
  <c r="G747" i="11"/>
  <c r="L747" i="11" s="1"/>
  <c r="G755" i="11"/>
  <c r="H755" i="11" s="1"/>
  <c r="G793" i="11"/>
  <c r="J793" i="11" s="1"/>
  <c r="G809" i="11"/>
  <c r="H809" i="11" s="1"/>
  <c r="G995" i="11"/>
  <c r="I995" i="11" s="1"/>
  <c r="G115" i="11"/>
  <c r="G590" i="11"/>
  <c r="L590" i="11" s="1"/>
  <c r="G770" i="11"/>
  <c r="I770" i="11" s="1"/>
  <c r="G858" i="11"/>
  <c r="J858" i="11" s="1"/>
  <c r="G890" i="11"/>
  <c r="I890" i="11" s="1"/>
  <c r="G950" i="11"/>
  <c r="I950" i="11" s="1"/>
  <c r="G992" i="11"/>
  <c r="J992" i="11" s="1"/>
  <c r="G1014" i="11"/>
  <c r="L1014" i="11" s="1"/>
  <c r="G218" i="11"/>
  <c r="L218" i="11" s="1"/>
  <c r="G263" i="11"/>
  <c r="H263" i="11" s="1"/>
  <c r="G271" i="11"/>
  <c r="K271" i="11" s="1"/>
  <c r="G279" i="11"/>
  <c r="I279" i="11" s="1"/>
  <c r="G419" i="11"/>
  <c r="L419" i="11" s="1"/>
  <c r="G505" i="11"/>
  <c r="I505" i="11" s="1"/>
  <c r="G568" i="11"/>
  <c r="L568" i="11" s="1"/>
  <c r="G715" i="11"/>
  <c r="H715" i="11" s="1"/>
  <c r="G928" i="11"/>
  <c r="H928" i="11" s="1"/>
  <c r="G1000" i="11"/>
  <c r="I1000" i="11" s="1"/>
  <c r="G30" i="11"/>
  <c r="H30" i="11" s="1"/>
  <c r="G152" i="11"/>
  <c r="H152" i="11" s="1"/>
  <c r="G153" i="11"/>
  <c r="J153" i="11" s="1"/>
  <c r="G126" i="11"/>
  <c r="L126" i="11" s="1"/>
  <c r="G95" i="11"/>
  <c r="L95" i="11" s="1"/>
  <c r="G103" i="11"/>
  <c r="G172" i="11"/>
  <c r="K172" i="11" s="1"/>
  <c r="G75" i="11"/>
  <c r="I75" i="11" s="1"/>
  <c r="G344" i="11"/>
  <c r="H344" i="11" s="1"/>
  <c r="G355" i="11"/>
  <c r="J355" i="11" s="1"/>
  <c r="G379" i="11"/>
  <c r="H379" i="11" s="1"/>
  <c r="G443" i="11"/>
  <c r="H443" i="11" s="1"/>
  <c r="G320" i="11"/>
  <c r="L320" i="11" s="1"/>
  <c r="G387" i="11"/>
  <c r="H387" i="11" s="1"/>
  <c r="G400" i="11"/>
  <c r="H400" i="11" s="1"/>
  <c r="G438" i="11"/>
  <c r="G452" i="11"/>
  <c r="L452" i="11" s="1"/>
  <c r="G465" i="11"/>
  <c r="G376" i="11"/>
  <c r="H376" i="11" s="1"/>
  <c r="G446" i="11"/>
  <c r="K446" i="11" s="1"/>
  <c r="G62" i="11"/>
  <c r="H62" i="11" s="1"/>
  <c r="G161" i="11"/>
  <c r="H161" i="11" s="1"/>
  <c r="G169" i="11"/>
  <c r="H169" i="11" s="1"/>
  <c r="G192" i="11"/>
  <c r="J192" i="11" s="1"/>
  <c r="G207" i="11"/>
  <c r="J207" i="11" s="1"/>
  <c r="G245" i="11"/>
  <c r="J245" i="11" s="1"/>
  <c r="G309" i="11"/>
  <c r="I309" i="11" s="1"/>
  <c r="G328" i="11"/>
  <c r="H328" i="11" s="1"/>
  <c r="G427" i="11"/>
  <c r="G78" i="11"/>
  <c r="G117" i="11"/>
  <c r="H117" i="11" s="1"/>
  <c r="G135" i="11"/>
  <c r="L135" i="11" s="1"/>
  <c r="G231" i="11"/>
  <c r="H231" i="11" s="1"/>
  <c r="G295" i="11"/>
  <c r="H295" i="11" s="1"/>
  <c r="G383" i="11"/>
  <c r="I383" i="11" s="1"/>
  <c r="G408" i="11"/>
  <c r="L408" i="11" s="1"/>
  <c r="G514" i="11"/>
  <c r="G156" i="11"/>
  <c r="H156" i="11" s="1"/>
  <c r="G261" i="11"/>
  <c r="J261" i="11" s="1"/>
  <c r="G323" i="11"/>
  <c r="H323" i="11" s="1"/>
  <c r="G384" i="11"/>
  <c r="H384" i="11" s="1"/>
  <c r="G441" i="11"/>
  <c r="J441" i="11" s="1"/>
  <c r="G188" i="11"/>
  <c r="H188" i="11" s="1"/>
  <c r="G203" i="11"/>
  <c r="H203" i="11" s="1"/>
  <c r="G239" i="11"/>
  <c r="L239" i="11" s="1"/>
  <c r="G303" i="11"/>
  <c r="K303" i="11" s="1"/>
  <c r="G312" i="11"/>
  <c r="H312" i="11" s="1"/>
  <c r="G324" i="11"/>
  <c r="H324" i="11" s="1"/>
  <c r="G359" i="11"/>
  <c r="K359" i="11" s="1"/>
  <c r="G403" i="11"/>
  <c r="L403" i="11" s="1"/>
  <c r="G462" i="11"/>
  <c r="L462" i="11" s="1"/>
  <c r="G538" i="11"/>
  <c r="K538" i="11" s="1"/>
  <c r="G598" i="11"/>
  <c r="G857" i="11"/>
  <c r="J857" i="11" s="1"/>
  <c r="G882" i="11"/>
  <c r="J882" i="11" s="1"/>
  <c r="G111" i="11"/>
  <c r="I111" i="11" s="1"/>
  <c r="G177" i="11"/>
  <c r="I177" i="11" s="1"/>
  <c r="G368" i="11"/>
  <c r="I368" i="11" s="1"/>
  <c r="G425" i="11"/>
  <c r="J425" i="11" s="1"/>
  <c r="G558" i="11"/>
  <c r="L558" i="11" s="1"/>
  <c r="G630" i="11"/>
  <c r="K630" i="11" s="1"/>
  <c r="G656" i="11"/>
  <c r="L656" i="11" s="1"/>
  <c r="G696" i="11"/>
  <c r="L696" i="11" s="1"/>
  <c r="G702" i="11"/>
  <c r="K702" i="11" s="1"/>
  <c r="G730" i="11"/>
  <c r="J730" i="11" s="1"/>
  <c r="G735" i="11"/>
  <c r="H735" i="11" s="1"/>
  <c r="G751" i="11"/>
  <c r="I751" i="11" s="1"/>
  <c r="G826" i="11"/>
  <c r="L826" i="11" s="1"/>
  <c r="G593" i="11"/>
  <c r="I593" i="11" s="1"/>
  <c r="G615" i="11"/>
  <c r="G680" i="11"/>
  <c r="G931" i="11"/>
  <c r="H931" i="11" s="1"/>
  <c r="G954" i="11"/>
  <c r="K954" i="11" s="1"/>
  <c r="G686" i="11"/>
  <c r="H686" i="11" s="1"/>
  <c r="G727" i="11"/>
  <c r="I727" i="11" s="1"/>
  <c r="G900" i="11"/>
  <c r="H900" i="11" s="1"/>
  <c r="G908" i="11"/>
  <c r="L908" i="11" s="1"/>
  <c r="G910" i="11"/>
  <c r="I910" i="11" s="1"/>
  <c r="G137" i="11"/>
  <c r="H137" i="11" s="1"/>
  <c r="G148" i="11"/>
  <c r="H148" i="11" s="1"/>
  <c r="G185" i="11"/>
  <c r="J185" i="11" s="1"/>
  <c r="G336" i="11"/>
  <c r="J336" i="11" s="1"/>
  <c r="G352" i="11"/>
  <c r="J352" i="11" s="1"/>
  <c r="G395" i="11"/>
  <c r="H395" i="11" s="1"/>
  <c r="G471" i="11"/>
  <c r="L471" i="11" s="1"/>
  <c r="G498" i="11"/>
  <c r="I498" i="11" s="1"/>
  <c r="G522" i="11"/>
  <c r="J522" i="11" s="1"/>
  <c r="G577" i="11"/>
  <c r="I577" i="11" s="1"/>
  <c r="G582" i="11"/>
  <c r="L582" i="11" s="1"/>
  <c r="G618" i="11"/>
  <c r="K618" i="11" s="1"/>
  <c r="G743" i="11"/>
  <c r="K743" i="11" s="1"/>
  <c r="G759" i="11"/>
  <c r="K759" i="11" s="1"/>
  <c r="G816" i="11"/>
  <c r="K816" i="11" s="1"/>
  <c r="G863" i="11"/>
  <c r="I863" i="11" s="1"/>
  <c r="G889" i="11"/>
  <c r="L889" i="11" s="1"/>
  <c r="G1021" i="11"/>
  <c r="I1021" i="11" s="1"/>
  <c r="G122" i="11"/>
  <c r="G164" i="11"/>
  <c r="K164" i="11" s="1"/>
  <c r="G360" i="11"/>
  <c r="G411" i="11"/>
  <c r="H411" i="11" s="1"/>
  <c r="G424" i="11"/>
  <c r="K424" i="11" s="1"/>
  <c r="G458" i="11"/>
  <c r="H458" i="11" s="1"/>
  <c r="G530" i="11"/>
  <c r="H530" i="11" s="1"/>
  <c r="G648" i="11"/>
  <c r="G688" i="11"/>
  <c r="I688" i="11" s="1"/>
  <c r="G694" i="11"/>
  <c r="L694" i="11" s="1"/>
  <c r="G719" i="11"/>
  <c r="L719" i="11" s="1"/>
  <c r="G852" i="11"/>
  <c r="I852" i="11" s="1"/>
  <c r="G867" i="11"/>
  <c r="G897" i="11"/>
  <c r="H897" i="11" s="1"/>
  <c r="G979" i="11"/>
  <c r="K979" i="11" s="1"/>
  <c r="G119" i="11"/>
  <c r="L119" i="11" s="1"/>
  <c r="G145" i="11"/>
  <c r="G180" i="11"/>
  <c r="K180" i="11" s="1"/>
  <c r="G208" i="11"/>
  <c r="I208" i="11" s="1"/>
  <c r="G255" i="11"/>
  <c r="K255" i="11" s="1"/>
  <c r="G287" i="11"/>
  <c r="L287" i="11" s="1"/>
  <c r="G392" i="11"/>
  <c r="I392" i="11" s="1"/>
  <c r="G545" i="11"/>
  <c r="K545" i="11" s="1"/>
  <c r="G609" i="11"/>
  <c r="H609" i="11" s="1"/>
  <c r="G625" i="11"/>
  <c r="L625" i="11" s="1"/>
  <c r="G672" i="11"/>
  <c r="H672" i="11" s="1"/>
  <c r="G716" i="11"/>
  <c r="J716" i="11" s="1"/>
  <c r="G725" i="11"/>
  <c r="J725" i="11" s="1"/>
  <c r="G824" i="11"/>
  <c r="J824" i="11" s="1"/>
  <c r="G960" i="11"/>
  <c r="E3" i="5"/>
  <c r="N6" i="4"/>
  <c r="O3" i="4" s="1"/>
  <c r="D16" i="7"/>
  <c r="E10" i="7"/>
  <c r="B4" i="5"/>
  <c r="E4" i="5"/>
  <c r="E2" i="5"/>
  <c r="G26" i="11"/>
  <c r="I26" i="11" s="1"/>
  <c r="G29" i="11"/>
  <c r="H29" i="11" s="1"/>
  <c r="G32" i="11"/>
  <c r="L32" i="11" s="1"/>
  <c r="G58" i="11"/>
  <c r="I58" i="11" s="1"/>
  <c r="G61" i="11"/>
  <c r="H61" i="11" s="1"/>
  <c r="G64" i="11"/>
  <c r="L64" i="11" s="1"/>
  <c r="G90" i="11"/>
  <c r="G93" i="11"/>
  <c r="H93" i="11" s="1"/>
  <c r="G96" i="11"/>
  <c r="K96" i="11" s="1"/>
  <c r="G41" i="11"/>
  <c r="H41" i="11" s="1"/>
  <c r="G73" i="11"/>
  <c r="J73" i="11" s="1"/>
  <c r="G105" i="11"/>
  <c r="L105" i="11" s="1"/>
  <c r="G34" i="11"/>
  <c r="G37" i="11"/>
  <c r="L37" i="11" s="1"/>
  <c r="G40" i="11"/>
  <c r="L40" i="11" s="1"/>
  <c r="G54" i="11"/>
  <c r="G66" i="11"/>
  <c r="I66" i="11" s="1"/>
  <c r="G69" i="11"/>
  <c r="H69" i="11" s="1"/>
  <c r="G72" i="11"/>
  <c r="L72" i="11" s="1"/>
  <c r="G86" i="11"/>
  <c r="J86" i="11" s="1"/>
  <c r="G98" i="11"/>
  <c r="I98" i="11" s="1"/>
  <c r="G101" i="11"/>
  <c r="H101" i="11" s="1"/>
  <c r="G104" i="11"/>
  <c r="K104" i="11" s="1"/>
  <c r="G49" i="11"/>
  <c r="H49" i="11" s="1"/>
  <c r="G51" i="11"/>
  <c r="J51" i="11" s="1"/>
  <c r="G81" i="11"/>
  <c r="L81" i="11" s="1"/>
  <c r="G83" i="11"/>
  <c r="K83" i="11" s="1"/>
  <c r="G113" i="11"/>
  <c r="G42" i="11"/>
  <c r="H42" i="11" s="1"/>
  <c r="G45" i="11"/>
  <c r="L45" i="11" s="1"/>
  <c r="G48" i="11"/>
  <c r="L48" i="11" s="1"/>
  <c r="G74" i="11"/>
  <c r="G77" i="11"/>
  <c r="L77" i="11" s="1"/>
  <c r="G80" i="11"/>
  <c r="L80" i="11" s="1"/>
  <c r="G106" i="11"/>
  <c r="G109" i="11"/>
  <c r="H109" i="11" s="1"/>
  <c r="G112" i="11"/>
  <c r="K112" i="11" s="1"/>
  <c r="G25" i="11"/>
  <c r="J25" i="11" s="1"/>
  <c r="G27" i="11"/>
  <c r="G57" i="11"/>
  <c r="K57" i="11" s="1"/>
  <c r="G59" i="11"/>
  <c r="K59" i="11" s="1"/>
  <c r="G89" i="11"/>
  <c r="L89" i="11" s="1"/>
  <c r="G91" i="11"/>
  <c r="J91" i="11" s="1"/>
  <c r="G24" i="11"/>
  <c r="L24" i="11" s="1"/>
  <c r="G38" i="11"/>
  <c r="J38" i="11" s="1"/>
  <c r="G50" i="11"/>
  <c r="H50" i="11" s="1"/>
  <c r="G53" i="11"/>
  <c r="H53" i="11" s="1"/>
  <c r="G56" i="11"/>
  <c r="G70" i="11"/>
  <c r="J70" i="11" s="1"/>
  <c r="G82" i="11"/>
  <c r="G85" i="11"/>
  <c r="H85" i="11" s="1"/>
  <c r="G88" i="11"/>
  <c r="K88" i="11" s="1"/>
  <c r="G102" i="11"/>
  <c r="L102" i="11" s="1"/>
  <c r="G33" i="11"/>
  <c r="K33" i="11" s="1"/>
  <c r="G35" i="11"/>
  <c r="J35" i="11" s="1"/>
  <c r="G65" i="11"/>
  <c r="J65" i="11" s="1"/>
  <c r="G67" i="11"/>
  <c r="G97" i="11"/>
  <c r="L97" i="11" s="1"/>
  <c r="G99" i="11"/>
  <c r="G138" i="11"/>
  <c r="L138" i="11" s="1"/>
  <c r="G181" i="11"/>
  <c r="I181" i="11" s="1"/>
  <c r="G235" i="11"/>
  <c r="H235" i="11" s="1"/>
  <c r="G118" i="11"/>
  <c r="G130" i="11"/>
  <c r="I130" i="11" s="1"/>
  <c r="G157" i="11"/>
  <c r="J157" i="11" s="1"/>
  <c r="G332" i="11"/>
  <c r="I332" i="11" s="1"/>
  <c r="G120" i="11"/>
  <c r="K120" i="11" s="1"/>
  <c r="G123" i="11"/>
  <c r="H123" i="11" s="1"/>
  <c r="G267" i="11"/>
  <c r="H267" i="11" s="1"/>
  <c r="G129" i="11"/>
  <c r="G173" i="11"/>
  <c r="J173" i="11" s="1"/>
  <c r="G31" i="11"/>
  <c r="I31" i="11" s="1"/>
  <c r="G39" i="11"/>
  <c r="I39" i="11" s="1"/>
  <c r="G47" i="11"/>
  <c r="G55" i="11"/>
  <c r="I55" i="11" s="1"/>
  <c r="G63" i="11"/>
  <c r="I63" i="11" s="1"/>
  <c r="G71" i="11"/>
  <c r="I71" i="11" s="1"/>
  <c r="G79" i="11"/>
  <c r="I79" i="11" s="1"/>
  <c r="G87" i="11"/>
  <c r="I87" i="11" s="1"/>
  <c r="G121" i="11"/>
  <c r="J121" i="11" s="1"/>
  <c r="G131" i="11"/>
  <c r="J131" i="11" s="1"/>
  <c r="G149" i="11"/>
  <c r="J149" i="11" s="1"/>
  <c r="G299" i="11"/>
  <c r="H299" i="11" s="1"/>
  <c r="G136" i="11"/>
  <c r="I136" i="11" s="1"/>
  <c r="G140" i="11"/>
  <c r="G189" i="11"/>
  <c r="I189" i="11" s="1"/>
  <c r="G251" i="11"/>
  <c r="J251" i="11" s="1"/>
  <c r="G165" i="11"/>
  <c r="I165" i="11" s="1"/>
  <c r="G114" i="11"/>
  <c r="G125" i="11"/>
  <c r="I125" i="11" s="1"/>
  <c r="G142" i="11"/>
  <c r="J142" i="11" s="1"/>
  <c r="G143" i="11"/>
  <c r="G144" i="11"/>
  <c r="H144" i="11" s="1"/>
  <c r="G223" i="11"/>
  <c r="G283" i="11"/>
  <c r="K283" i="11" s="1"/>
  <c r="G147" i="11"/>
  <c r="J147" i="11" s="1"/>
  <c r="G155" i="11"/>
  <c r="J155" i="11" s="1"/>
  <c r="G163" i="11"/>
  <c r="J163" i="11" s="1"/>
  <c r="G171" i="11"/>
  <c r="I171" i="11" s="1"/>
  <c r="G179" i="11"/>
  <c r="J179" i="11" s="1"/>
  <c r="G187" i="11"/>
  <c r="J187" i="11" s="1"/>
  <c r="G215" i="11"/>
  <c r="I215" i="11" s="1"/>
  <c r="G220" i="11"/>
  <c r="I220" i="11" s="1"/>
  <c r="G221" i="11"/>
  <c r="K221" i="11" s="1"/>
  <c r="G224" i="11"/>
  <c r="K224" i="11" s="1"/>
  <c r="G240" i="11"/>
  <c r="K240" i="11" s="1"/>
  <c r="G256" i="11"/>
  <c r="K256" i="11" s="1"/>
  <c r="G272" i="11"/>
  <c r="K272" i="11" s="1"/>
  <c r="G288" i="11"/>
  <c r="K288" i="11" s="1"/>
  <c r="G304" i="11"/>
  <c r="J304" i="11" s="1"/>
  <c r="G372" i="11"/>
  <c r="J372" i="11" s="1"/>
  <c r="G178" i="11"/>
  <c r="J178" i="11" s="1"/>
  <c r="G186" i="11"/>
  <c r="K186" i="11" s="1"/>
  <c r="G311" i="11"/>
  <c r="J311" i="11" s="1"/>
  <c r="G321" i="11"/>
  <c r="J321" i="11" s="1"/>
  <c r="G216" i="11"/>
  <c r="G238" i="11"/>
  <c r="J238" i="11" s="1"/>
  <c r="G254" i="11"/>
  <c r="J254" i="11" s="1"/>
  <c r="G270" i="11"/>
  <c r="G286" i="11"/>
  <c r="J286" i="11" s="1"/>
  <c r="G302" i="11"/>
  <c r="J302" i="11" s="1"/>
  <c r="G393" i="11"/>
  <c r="J393" i="11" s="1"/>
  <c r="G146" i="11"/>
  <c r="G154" i="11"/>
  <c r="K154" i="11" s="1"/>
  <c r="G162" i="11"/>
  <c r="G170" i="11"/>
  <c r="K170" i="11" s="1"/>
  <c r="G331" i="11"/>
  <c r="H331" i="11" s="1"/>
  <c r="G343" i="11"/>
  <c r="J343" i="11" s="1"/>
  <c r="G353" i="11"/>
  <c r="J353" i="11" s="1"/>
  <c r="G193" i="11"/>
  <c r="J193" i="11" s="1"/>
  <c r="G194" i="11"/>
  <c r="G199" i="11"/>
  <c r="G204" i="11"/>
  <c r="K204" i="11" s="1"/>
  <c r="G205" i="11"/>
  <c r="K205" i="11" s="1"/>
  <c r="G210" i="11"/>
  <c r="L210" i="11" s="1"/>
  <c r="G211" i="11"/>
  <c r="H211" i="11" s="1"/>
  <c r="G222" i="11"/>
  <c r="H222" i="11" s="1"/>
  <c r="G227" i="11"/>
  <c r="K227" i="11" s="1"/>
  <c r="G232" i="11"/>
  <c r="G243" i="11"/>
  <c r="H243" i="11" s="1"/>
  <c r="G248" i="11"/>
  <c r="K248" i="11" s="1"/>
  <c r="G259" i="11"/>
  <c r="H259" i="11" s="1"/>
  <c r="G264" i="11"/>
  <c r="J264" i="11" s="1"/>
  <c r="G275" i="11"/>
  <c r="H275" i="11" s="1"/>
  <c r="G280" i="11"/>
  <c r="J280" i="11" s="1"/>
  <c r="G291" i="11"/>
  <c r="G296" i="11"/>
  <c r="K296" i="11" s="1"/>
  <c r="G307" i="11"/>
  <c r="J307" i="11" s="1"/>
  <c r="G335" i="11"/>
  <c r="I335" i="11" s="1"/>
  <c r="G363" i="11"/>
  <c r="I363" i="11" s="1"/>
  <c r="G375" i="11"/>
  <c r="J375" i="11" s="1"/>
  <c r="G28" i="11"/>
  <c r="G36" i="11"/>
  <c r="L36" i="11" s="1"/>
  <c r="G44" i="11"/>
  <c r="L44" i="11" s="1"/>
  <c r="G52" i="11"/>
  <c r="L52" i="11" s="1"/>
  <c r="G60" i="11"/>
  <c r="L60" i="11" s="1"/>
  <c r="G68" i="11"/>
  <c r="L68" i="11" s="1"/>
  <c r="G76" i="11"/>
  <c r="L76" i="11" s="1"/>
  <c r="G84" i="11"/>
  <c r="G92" i="11"/>
  <c r="G100" i="11"/>
  <c r="L100" i="11" s="1"/>
  <c r="G108" i="11"/>
  <c r="L108" i="11" s="1"/>
  <c r="G116" i="11"/>
  <c r="L116" i="11" s="1"/>
  <c r="G132" i="11"/>
  <c r="L132" i="11" s="1"/>
  <c r="G133" i="11"/>
  <c r="G134" i="11"/>
  <c r="L134" i="11" s="1"/>
  <c r="G139" i="11"/>
  <c r="L139" i="11" s="1"/>
  <c r="G150" i="11"/>
  <c r="K150" i="11" s="1"/>
  <c r="G151" i="11"/>
  <c r="H151" i="11" s="1"/>
  <c r="G158" i="11"/>
  <c r="J158" i="11" s="1"/>
  <c r="G159" i="11"/>
  <c r="L159" i="11" s="1"/>
  <c r="G166" i="11"/>
  <c r="G167" i="11"/>
  <c r="H167" i="11" s="1"/>
  <c r="G174" i="11"/>
  <c r="G175" i="11"/>
  <c r="L175" i="11" s="1"/>
  <c r="G182" i="11"/>
  <c r="H182" i="11" s="1"/>
  <c r="G183" i="11"/>
  <c r="H183" i="11" s="1"/>
  <c r="G190" i="11"/>
  <c r="G191" i="11"/>
  <c r="L191" i="11" s="1"/>
  <c r="G195" i="11"/>
  <c r="H195" i="11" s="1"/>
  <c r="G198" i="11"/>
  <c r="H198" i="11" s="1"/>
  <c r="G202" i="11"/>
  <c r="L202" i="11" s="1"/>
  <c r="G213" i="11"/>
  <c r="G340" i="11"/>
  <c r="I340" i="11" s="1"/>
  <c r="G197" i="11"/>
  <c r="G200" i="11"/>
  <c r="G230" i="11"/>
  <c r="J230" i="11" s="1"/>
  <c r="G246" i="11"/>
  <c r="J246" i="11" s="1"/>
  <c r="G262" i="11"/>
  <c r="J262" i="11" s="1"/>
  <c r="G278" i="11"/>
  <c r="K278" i="11" s="1"/>
  <c r="G294" i="11"/>
  <c r="J294" i="11" s="1"/>
  <c r="G209" i="11"/>
  <c r="L209" i="11" s="1"/>
  <c r="G345" i="11"/>
  <c r="J345" i="11" s="1"/>
  <c r="G377" i="11"/>
  <c r="J377" i="11" s="1"/>
  <c r="G385" i="11"/>
  <c r="K385" i="11" s="1"/>
  <c r="G396" i="11"/>
  <c r="I396" i="11" s="1"/>
  <c r="G421" i="11"/>
  <c r="L421" i="11" s="1"/>
  <c r="G310" i="11"/>
  <c r="J310" i="11" s="1"/>
  <c r="G369" i="11"/>
  <c r="L369" i="11" s="1"/>
  <c r="G388" i="11"/>
  <c r="J388" i="11" s="1"/>
  <c r="G412" i="11"/>
  <c r="J412" i="11" s="1"/>
  <c r="G212" i="11"/>
  <c r="K212" i="11" s="1"/>
  <c r="G226" i="11"/>
  <c r="L226" i="11" s="1"/>
  <c r="G234" i="11"/>
  <c r="G242" i="11"/>
  <c r="L242" i="11" s="1"/>
  <c r="G250" i="11"/>
  <c r="L250" i="11" s="1"/>
  <c r="G258" i="11"/>
  <c r="G266" i="11"/>
  <c r="L266" i="11" s="1"/>
  <c r="G274" i="11"/>
  <c r="L274" i="11" s="1"/>
  <c r="G282" i="11"/>
  <c r="L282" i="11" s="1"/>
  <c r="G290" i="11"/>
  <c r="G298" i="11"/>
  <c r="G306" i="11"/>
  <c r="L306" i="11" s="1"/>
  <c r="G315" i="11"/>
  <c r="I315" i="11" s="1"/>
  <c r="G347" i="11"/>
  <c r="G364" i="11"/>
  <c r="J364" i="11" s="1"/>
  <c r="G201" i="11"/>
  <c r="K201" i="11" s="1"/>
  <c r="G217" i="11"/>
  <c r="G329" i="11"/>
  <c r="L329" i="11" s="1"/>
  <c r="G361" i="11"/>
  <c r="L361" i="11" s="1"/>
  <c r="G380" i="11"/>
  <c r="J380" i="11" s="1"/>
  <c r="G423" i="11"/>
  <c r="G196" i="11"/>
  <c r="H196" i="11" s="1"/>
  <c r="G214" i="11"/>
  <c r="K214" i="11" s="1"/>
  <c r="G228" i="11"/>
  <c r="I228" i="11" s="1"/>
  <c r="G236" i="11"/>
  <c r="G244" i="11"/>
  <c r="J244" i="11" s="1"/>
  <c r="G252" i="11"/>
  <c r="I252" i="11" s="1"/>
  <c r="G260" i="11"/>
  <c r="G268" i="11"/>
  <c r="I268" i="11" s="1"/>
  <c r="G276" i="11"/>
  <c r="G284" i="11"/>
  <c r="J284" i="11" s="1"/>
  <c r="G292" i="11"/>
  <c r="I292" i="11" s="1"/>
  <c r="G300" i="11"/>
  <c r="G308" i="11"/>
  <c r="J308" i="11" s="1"/>
  <c r="G339" i="11"/>
  <c r="G367" i="11"/>
  <c r="H367" i="11" s="1"/>
  <c r="G371" i="11"/>
  <c r="L371" i="11" s="1"/>
  <c r="G404" i="11"/>
  <c r="I404" i="11" s="1"/>
  <c r="G313" i="11"/>
  <c r="L313" i="11" s="1"/>
  <c r="G314" i="11"/>
  <c r="J314" i="11" s="1"/>
  <c r="G322" i="11"/>
  <c r="J322" i="11" s="1"/>
  <c r="G330" i="11"/>
  <c r="J330" i="11" s="1"/>
  <c r="G337" i="11"/>
  <c r="L337" i="11" s="1"/>
  <c r="G338" i="11"/>
  <c r="J338" i="11" s="1"/>
  <c r="G346" i="11"/>
  <c r="J346" i="11" s="1"/>
  <c r="G354" i="11"/>
  <c r="J354" i="11" s="1"/>
  <c r="G362" i="11"/>
  <c r="J362" i="11" s="1"/>
  <c r="G370" i="11"/>
  <c r="J370" i="11" s="1"/>
  <c r="G378" i="11"/>
  <c r="J378" i="11" s="1"/>
  <c r="G386" i="11"/>
  <c r="K386" i="11" s="1"/>
  <c r="G394" i="11"/>
  <c r="J394" i="11" s="1"/>
  <c r="G402" i="11"/>
  <c r="J402" i="11" s="1"/>
  <c r="G410" i="11"/>
  <c r="J410" i="11" s="1"/>
  <c r="G417" i="11"/>
  <c r="L417" i="11" s="1"/>
  <c r="G418" i="11"/>
  <c r="H418" i="11" s="1"/>
  <c r="G444" i="11"/>
  <c r="K444" i="11" s="1"/>
  <c r="G416" i="11"/>
  <c r="H416" i="11" s="1"/>
  <c r="G439" i="11"/>
  <c r="L439" i="11" s="1"/>
  <c r="G415" i="11"/>
  <c r="H415" i="11" s="1"/>
  <c r="G447" i="11"/>
  <c r="L447" i="11" s="1"/>
  <c r="G501" i="11"/>
  <c r="G401" i="11"/>
  <c r="L401" i="11" s="1"/>
  <c r="G409" i="11"/>
  <c r="L409" i="11" s="1"/>
  <c r="G414" i="11"/>
  <c r="L414" i="11" s="1"/>
  <c r="G436" i="11"/>
  <c r="K436" i="11" s="1"/>
  <c r="G603" i="11"/>
  <c r="L603" i="11" s="1"/>
  <c r="G420" i="11"/>
  <c r="J420" i="11" s="1"/>
  <c r="G431" i="11"/>
  <c r="I431" i="11" s="1"/>
  <c r="G225" i="11"/>
  <c r="I225" i="11" s="1"/>
  <c r="G233" i="11"/>
  <c r="H233" i="11" s="1"/>
  <c r="G241" i="11"/>
  <c r="I241" i="11" s="1"/>
  <c r="G249" i="11"/>
  <c r="G257" i="11"/>
  <c r="G265" i="11"/>
  <c r="G273" i="11"/>
  <c r="I273" i="11" s="1"/>
  <c r="G281" i="11"/>
  <c r="J281" i="11" s="1"/>
  <c r="G289" i="11"/>
  <c r="I289" i="11" s="1"/>
  <c r="G297" i="11"/>
  <c r="G305" i="11"/>
  <c r="I305" i="11" s="1"/>
  <c r="G317" i="11"/>
  <c r="K317" i="11" s="1"/>
  <c r="G318" i="11"/>
  <c r="H318" i="11" s="1"/>
  <c r="G325" i="11"/>
  <c r="G326" i="11"/>
  <c r="G333" i="11"/>
  <c r="J333" i="11" s="1"/>
  <c r="G334" i="11"/>
  <c r="H334" i="11" s="1"/>
  <c r="G341" i="11"/>
  <c r="H341" i="11" s="1"/>
  <c r="G342" i="11"/>
  <c r="G349" i="11"/>
  <c r="K349" i="11" s="1"/>
  <c r="G350" i="11"/>
  <c r="H350" i="11" s="1"/>
  <c r="G357" i="11"/>
  <c r="K357" i="11" s="1"/>
  <c r="G358" i="11"/>
  <c r="G365" i="11"/>
  <c r="H365" i="11" s="1"/>
  <c r="G366" i="11"/>
  <c r="K366" i="11" s="1"/>
  <c r="G373" i="11"/>
  <c r="G374" i="11"/>
  <c r="L374" i="11" s="1"/>
  <c r="G381" i="11"/>
  <c r="K381" i="11" s="1"/>
  <c r="G382" i="11"/>
  <c r="H382" i="11" s="1"/>
  <c r="G389" i="11"/>
  <c r="G390" i="11"/>
  <c r="L390" i="11" s="1"/>
  <c r="G397" i="11"/>
  <c r="G398" i="11"/>
  <c r="H398" i="11" s="1"/>
  <c r="G405" i="11"/>
  <c r="H405" i="11" s="1"/>
  <c r="G406" i="11"/>
  <c r="H406" i="11" s="1"/>
  <c r="G474" i="11"/>
  <c r="I474" i="11" s="1"/>
  <c r="G422" i="11"/>
  <c r="I422" i="11" s="1"/>
  <c r="G493" i="11"/>
  <c r="H493" i="11" s="1"/>
  <c r="G472" i="11"/>
  <c r="H472" i="11" s="1"/>
  <c r="G536" i="11"/>
  <c r="H536" i="11" s="1"/>
  <c r="G548" i="11"/>
  <c r="L548" i="11" s="1"/>
  <c r="G426" i="11"/>
  <c r="I426" i="11" s="1"/>
  <c r="G434" i="11"/>
  <c r="H434" i="11" s="1"/>
  <c r="G442" i="11"/>
  <c r="I442" i="11" s="1"/>
  <c r="G448" i="11"/>
  <c r="H448" i="11" s="1"/>
  <c r="G454" i="11"/>
  <c r="J454" i="11" s="1"/>
  <c r="G486" i="11"/>
  <c r="G512" i="11"/>
  <c r="H512" i="11" s="1"/>
  <c r="G524" i="11"/>
  <c r="H524" i="11" s="1"/>
  <c r="G573" i="11"/>
  <c r="J573" i="11" s="1"/>
  <c r="J460" i="11"/>
  <c r="G461" i="11"/>
  <c r="G473" i="11"/>
  <c r="G482" i="11"/>
  <c r="H482" i="11" s="1"/>
  <c r="G506" i="11"/>
  <c r="I506" i="11" s="1"/>
  <c r="G518" i="11"/>
  <c r="G533" i="11"/>
  <c r="H533" i="11" s="1"/>
  <c r="G456" i="11"/>
  <c r="L456" i="11" s="1"/>
  <c r="G475" i="11"/>
  <c r="K475" i="11" s="1"/>
  <c r="G560" i="11"/>
  <c r="I560" i="11" s="1"/>
  <c r="G433" i="11"/>
  <c r="G477" i="11"/>
  <c r="G494" i="11"/>
  <c r="I494" i="11" s="1"/>
  <c r="G500" i="11"/>
  <c r="L500" i="11" s="1"/>
  <c r="G529" i="11"/>
  <c r="K529" i="11" s="1"/>
  <c r="G572" i="11"/>
  <c r="H572" i="11" s="1"/>
  <c r="G432" i="11"/>
  <c r="J432" i="11" s="1"/>
  <c r="G440" i="11"/>
  <c r="G450" i="11"/>
  <c r="I450" i="11" s="1"/>
  <c r="G453" i="11"/>
  <c r="G489" i="11"/>
  <c r="J489" i="11" s="1"/>
  <c r="G537" i="11"/>
  <c r="I537" i="11" s="1"/>
  <c r="G541" i="11"/>
  <c r="H541" i="11" s="1"/>
  <c r="G413" i="11"/>
  <c r="J413" i="11" s="1"/>
  <c r="G429" i="11"/>
  <c r="G430" i="11"/>
  <c r="G437" i="11"/>
  <c r="J437" i="11" s="1"/>
  <c r="G445" i="11"/>
  <c r="H445" i="11" s="1"/>
  <c r="G457" i="11"/>
  <c r="I457" i="11" s="1"/>
  <c r="G459" i="11"/>
  <c r="J459" i="11" s="1"/>
  <c r="G497" i="11"/>
  <c r="K497" i="11" s="1"/>
  <c r="G508" i="11"/>
  <c r="H508" i="11" s="1"/>
  <c r="G510" i="11"/>
  <c r="H510" i="11" s="1"/>
  <c r="G520" i="11"/>
  <c r="H520" i="11" s="1"/>
  <c r="G546" i="11"/>
  <c r="H546" i="11" s="1"/>
  <c r="G585" i="11"/>
  <c r="L585" i="11" s="1"/>
  <c r="G469" i="11"/>
  <c r="G484" i="11"/>
  <c r="G496" i="11"/>
  <c r="K496" i="11" s="1"/>
  <c r="G517" i="11"/>
  <c r="G534" i="11"/>
  <c r="H534" i="11" s="1"/>
  <c r="G532" i="11"/>
  <c r="L532" i="11" s="1"/>
  <c r="G544" i="11"/>
  <c r="K544" i="11" s="1"/>
  <c r="G584" i="11"/>
  <c r="I584" i="11" s="1"/>
  <c r="G464" i="11"/>
  <c r="K464" i="11" s="1"/>
  <c r="G480" i="11"/>
  <c r="H480" i="11" s="1"/>
  <c r="G492" i="11"/>
  <c r="I492" i="11" s="1"/>
  <c r="G504" i="11"/>
  <c r="H504" i="11" s="1"/>
  <c r="G525" i="11"/>
  <c r="H525" i="11" s="1"/>
  <c r="G542" i="11"/>
  <c r="H542" i="11" s="1"/>
  <c r="G550" i="11"/>
  <c r="K550" i="11" s="1"/>
  <c r="G467" i="11"/>
  <c r="J467" i="11" s="1"/>
  <c r="G470" i="11"/>
  <c r="H470" i="11" s="1"/>
  <c r="G479" i="11"/>
  <c r="H479" i="11" s="1"/>
  <c r="G485" i="11"/>
  <c r="L485" i="11" s="1"/>
  <c r="G502" i="11"/>
  <c r="H502" i="11" s="1"/>
  <c r="G516" i="11"/>
  <c r="J516" i="11" s="1"/>
  <c r="G521" i="11"/>
  <c r="K521" i="11" s="1"/>
  <c r="G528" i="11"/>
  <c r="H528" i="11" s="1"/>
  <c r="G579" i="11"/>
  <c r="G588" i="11"/>
  <c r="L588" i="11" s="1"/>
  <c r="G451" i="11"/>
  <c r="K451" i="11" s="1"/>
  <c r="G468" i="11"/>
  <c r="G481" i="11"/>
  <c r="G488" i="11"/>
  <c r="H488" i="11" s="1"/>
  <c r="G509" i="11"/>
  <c r="G526" i="11"/>
  <c r="K526" i="11" s="1"/>
  <c r="G540" i="11"/>
  <c r="L540" i="11" s="1"/>
  <c r="G589" i="11"/>
  <c r="I589" i="11" s="1"/>
  <c r="G561" i="11"/>
  <c r="K561" i="11" s="1"/>
  <c r="G565" i="11"/>
  <c r="J565" i="11" s="1"/>
  <c r="G596" i="11"/>
  <c r="G608" i="11"/>
  <c r="H608" i="11" s="1"/>
  <c r="G611" i="11"/>
  <c r="L611" i="11" s="1"/>
  <c r="G749" i="11"/>
  <c r="K749" i="11" s="1"/>
  <c r="G587" i="11"/>
  <c r="H587" i="11" s="1"/>
  <c r="G592" i="11"/>
  <c r="H592" i="11" s="1"/>
  <c r="G604" i="11"/>
  <c r="J604" i="11" s="1"/>
  <c r="G614" i="11"/>
  <c r="G641" i="11"/>
  <c r="G476" i="11"/>
  <c r="G483" i="11"/>
  <c r="G491" i="11"/>
  <c r="J491" i="11" s="1"/>
  <c r="G499" i="11"/>
  <c r="K499" i="11" s="1"/>
  <c r="G507" i="11"/>
  <c r="K507" i="11" s="1"/>
  <c r="G515" i="11"/>
  <c r="L515" i="11" s="1"/>
  <c r="G523" i="11"/>
  <c r="G531" i="11"/>
  <c r="J531" i="11" s="1"/>
  <c r="G539" i="11"/>
  <c r="G547" i="11"/>
  <c r="J547" i="11" s="1"/>
  <c r="G551" i="11"/>
  <c r="H551" i="11" s="1"/>
  <c r="G562" i="11"/>
  <c r="G574" i="11"/>
  <c r="K574" i="11" s="1"/>
  <c r="G580" i="11"/>
  <c r="I580" i="11" s="1"/>
  <c r="G597" i="11"/>
  <c r="G566" i="11"/>
  <c r="L566" i="11" s="1"/>
  <c r="G575" i="11"/>
  <c r="G605" i="11"/>
  <c r="H605" i="11" s="1"/>
  <c r="G495" i="11"/>
  <c r="K495" i="11" s="1"/>
  <c r="G511" i="11"/>
  <c r="I511" i="11" s="1"/>
  <c r="G581" i="11"/>
  <c r="I581" i="11" s="1"/>
  <c r="G595" i="11"/>
  <c r="L595" i="11" s="1"/>
  <c r="G600" i="11"/>
  <c r="I600" i="11" s="1"/>
  <c r="G554" i="11"/>
  <c r="L554" i="11" s="1"/>
  <c r="G567" i="11"/>
  <c r="L567" i="11" s="1"/>
  <c r="G689" i="11"/>
  <c r="K689" i="11" s="1"/>
  <c r="G700" i="11"/>
  <c r="J700" i="11" s="1"/>
  <c r="G703" i="11"/>
  <c r="G617" i="11"/>
  <c r="H617" i="11" s="1"/>
  <c r="G629" i="11"/>
  <c r="I629" i="11" s="1"/>
  <c r="G717" i="11"/>
  <c r="H717" i="11" s="1"/>
  <c r="G624" i="11"/>
  <c r="H624" i="11" s="1"/>
  <c r="G643" i="11"/>
  <c r="G687" i="11"/>
  <c r="J687" i="11" s="1"/>
  <c r="G708" i="11"/>
  <c r="K708" i="11" s="1"/>
  <c r="G731" i="11"/>
  <c r="L731" i="11" s="1"/>
  <c r="G638" i="11"/>
  <c r="H638" i="11" s="1"/>
  <c r="G646" i="11"/>
  <c r="L646" i="11" s="1"/>
  <c r="G654" i="11"/>
  <c r="H654" i="11" s="1"/>
  <c r="G662" i="11"/>
  <c r="L662" i="11" s="1"/>
  <c r="G670" i="11"/>
  <c r="G678" i="11"/>
  <c r="L678" i="11" s="1"/>
  <c r="G764" i="11"/>
  <c r="J764" i="11" s="1"/>
  <c r="G570" i="11"/>
  <c r="H570" i="11" s="1"/>
  <c r="G631" i="11"/>
  <c r="K631" i="11" s="1"/>
  <c r="G639" i="11"/>
  <c r="G647" i="11"/>
  <c r="G655" i="11"/>
  <c r="L655" i="11" s="1"/>
  <c r="G663" i="11"/>
  <c r="J663" i="11" s="1"/>
  <c r="G671" i="11"/>
  <c r="I671" i="11" s="1"/>
  <c r="G679" i="11"/>
  <c r="I679" i="11" s="1"/>
  <c r="G720" i="11"/>
  <c r="L720" i="11" s="1"/>
  <c r="G487" i="11"/>
  <c r="L487" i="11" s="1"/>
  <c r="G503" i="11"/>
  <c r="L503" i="11" s="1"/>
  <c r="G519" i="11"/>
  <c r="G527" i="11"/>
  <c r="G535" i="11"/>
  <c r="G543" i="11"/>
  <c r="G552" i="11"/>
  <c r="H552" i="11" s="1"/>
  <c r="G557" i="11"/>
  <c r="J557" i="11" s="1"/>
  <c r="G634" i="11"/>
  <c r="G636" i="11"/>
  <c r="L636" i="11" s="1"/>
  <c r="G640" i="11"/>
  <c r="G649" i="11"/>
  <c r="L649" i="11" s="1"/>
  <c r="G657" i="11"/>
  <c r="K657" i="11" s="1"/>
  <c r="G665" i="11"/>
  <c r="L665" i="11" s="1"/>
  <c r="G673" i="11"/>
  <c r="G681" i="11"/>
  <c r="K681" i="11" s="1"/>
  <c r="G721" i="11"/>
  <c r="H721" i="11" s="1"/>
  <c r="G549" i="11"/>
  <c r="I549" i="11" s="1"/>
  <c r="G559" i="11"/>
  <c r="J559" i="11" s="1"/>
  <c r="G583" i="11"/>
  <c r="J583" i="11" s="1"/>
  <c r="G591" i="11"/>
  <c r="G599" i="11"/>
  <c r="G607" i="11"/>
  <c r="G612" i="11"/>
  <c r="G613" i="11"/>
  <c r="I613" i="11" s="1"/>
  <c r="G620" i="11"/>
  <c r="G644" i="11"/>
  <c r="L644" i="11" s="1"/>
  <c r="G651" i="11"/>
  <c r="H651" i="11" s="1"/>
  <c r="G659" i="11"/>
  <c r="G667" i="11"/>
  <c r="I667" i="11" s="1"/>
  <c r="G675" i="11"/>
  <c r="I675" i="11" s="1"/>
  <c r="G683" i="11"/>
  <c r="G692" i="11"/>
  <c r="J692" i="11" s="1"/>
  <c r="G695" i="11"/>
  <c r="J695" i="11" s="1"/>
  <c r="G616" i="11"/>
  <c r="L616" i="11" s="1"/>
  <c r="G642" i="11"/>
  <c r="K642" i="11" s="1"/>
  <c r="G650" i="11"/>
  <c r="G658" i="11"/>
  <c r="G666" i="11"/>
  <c r="J666" i="11" s="1"/>
  <c r="G674" i="11"/>
  <c r="J674" i="11" s="1"/>
  <c r="G682" i="11"/>
  <c r="G690" i="11"/>
  <c r="J690" i="11" s="1"/>
  <c r="G698" i="11"/>
  <c r="I698" i="11" s="1"/>
  <c r="G706" i="11"/>
  <c r="G789" i="11"/>
  <c r="H789" i="11" s="1"/>
  <c r="G713" i="11"/>
  <c r="G712" i="11"/>
  <c r="H712" i="11" s="1"/>
  <c r="G733" i="11"/>
  <c r="K733" i="11" s="1"/>
  <c r="G741" i="11"/>
  <c r="G757" i="11"/>
  <c r="G697" i="11"/>
  <c r="G705" i="11"/>
  <c r="L705" i="11" s="1"/>
  <c r="G578" i="11"/>
  <c r="H578" i="11" s="1"/>
  <c r="G586" i="11"/>
  <c r="H586" i="11" s="1"/>
  <c r="G594" i="11"/>
  <c r="G602" i="11"/>
  <c r="G610" i="11"/>
  <c r="H610" i="11" s="1"/>
  <c r="G619" i="11"/>
  <c r="G632" i="11"/>
  <c r="G635" i="11"/>
  <c r="G783" i="11"/>
  <c r="I783" i="11" s="1"/>
  <c r="G621" i="11"/>
  <c r="G691" i="11"/>
  <c r="H691" i="11" s="1"/>
  <c r="G699" i="11"/>
  <c r="H699" i="11" s="1"/>
  <c r="G707" i="11"/>
  <c r="G723" i="11"/>
  <c r="G726" i="11"/>
  <c r="I726" i="11" s="1"/>
  <c r="G805" i="11"/>
  <c r="H805" i="11" s="1"/>
  <c r="G724" i="11"/>
  <c r="I724" i="11" s="1"/>
  <c r="G729" i="11"/>
  <c r="G737" i="11"/>
  <c r="G738" i="11"/>
  <c r="H738" i="11" s="1"/>
  <c r="G745" i="11"/>
  <c r="L745" i="11" s="1"/>
  <c r="G746" i="11"/>
  <c r="G753" i="11"/>
  <c r="L753" i="11" s="1"/>
  <c r="G754" i="11"/>
  <c r="H754" i="11" s="1"/>
  <c r="G768" i="11"/>
  <c r="G779" i="11"/>
  <c r="L779" i="11" s="1"/>
  <c r="G795" i="11"/>
  <c r="H795" i="11" s="1"/>
  <c r="G811" i="11"/>
  <c r="L811" i="11" s="1"/>
  <c r="G819" i="11"/>
  <c r="G765" i="11"/>
  <c r="I765" i="11" s="1"/>
  <c r="G784" i="11"/>
  <c r="I784" i="11" s="1"/>
  <c r="G800" i="11"/>
  <c r="G791" i="11"/>
  <c r="H791" i="11" s="1"/>
  <c r="G807" i="11"/>
  <c r="I807" i="11" s="1"/>
  <c r="I771" i="11"/>
  <c r="G781" i="11"/>
  <c r="G797" i="11"/>
  <c r="H797" i="11" s="1"/>
  <c r="G813" i="11"/>
  <c r="G734" i="11"/>
  <c r="G758" i="11"/>
  <c r="G763" i="11"/>
  <c r="H763" i="11" s="1"/>
  <c r="G773" i="11"/>
  <c r="G774" i="11"/>
  <c r="H774" i="11" s="1"/>
  <c r="G787" i="11"/>
  <c r="H787" i="11" s="1"/>
  <c r="G803" i="11"/>
  <c r="H803" i="11" s="1"/>
  <c r="G637" i="11"/>
  <c r="L637" i="11" s="1"/>
  <c r="G645" i="11"/>
  <c r="I645" i="11" s="1"/>
  <c r="G653" i="11"/>
  <c r="L653" i="11" s="1"/>
  <c r="G661" i="11"/>
  <c r="J661" i="11" s="1"/>
  <c r="G669" i="11"/>
  <c r="G677" i="11"/>
  <c r="L677" i="11" s="1"/>
  <c r="G685" i="11"/>
  <c r="L685" i="11" s="1"/>
  <c r="G693" i="11"/>
  <c r="G701" i="11"/>
  <c r="L701" i="11" s="1"/>
  <c r="G709" i="11"/>
  <c r="L709" i="11" s="1"/>
  <c r="G714" i="11"/>
  <c r="J714" i="11" s="1"/>
  <c r="G750" i="11"/>
  <c r="I750" i="11" s="1"/>
  <c r="G767" i="11"/>
  <c r="H767" i="11" s="1"/>
  <c r="G775" i="11"/>
  <c r="H775" i="11" s="1"/>
  <c r="G792" i="11"/>
  <c r="G808" i="11"/>
  <c r="H808" i="11" s="1"/>
  <c r="G728" i="11"/>
  <c r="G732" i="11"/>
  <c r="G736" i="11"/>
  <c r="K736" i="11" s="1"/>
  <c r="G740" i="11"/>
  <c r="I740" i="11" s="1"/>
  <c r="G744" i="11"/>
  <c r="G748" i="11"/>
  <c r="H748" i="11" s="1"/>
  <c r="G752" i="11"/>
  <c r="L752" i="11" s="1"/>
  <c r="G756" i="11"/>
  <c r="H756" i="11" s="1"/>
  <c r="G760" i="11"/>
  <c r="K760" i="11" s="1"/>
  <c r="G772" i="11"/>
  <c r="J772" i="11" s="1"/>
  <c r="G776" i="11"/>
  <c r="G785" i="11"/>
  <c r="K785" i="11" s="1"/>
  <c r="G799" i="11"/>
  <c r="G801" i="11"/>
  <c r="K801" i="11" s="1"/>
  <c r="G742" i="11"/>
  <c r="I742" i="11" s="1"/>
  <c r="G761" i="11"/>
  <c r="G762" i="11"/>
  <c r="K762" i="11" s="1"/>
  <c r="G778" i="11"/>
  <c r="I778" i="11" s="1"/>
  <c r="G782" i="11"/>
  <c r="K782" i="11" s="1"/>
  <c r="G786" i="11"/>
  <c r="H786" i="11" s="1"/>
  <c r="G790" i="11"/>
  <c r="G794" i="11"/>
  <c r="I794" i="11" s="1"/>
  <c r="G798" i="11"/>
  <c r="G802" i="11"/>
  <c r="G806" i="11"/>
  <c r="G810" i="11"/>
  <c r="I810" i="11" s="1"/>
  <c r="G818" i="11"/>
  <c r="K818" i="11" s="1"/>
  <c r="G820" i="11"/>
  <c r="K820" i="11" s="1"/>
  <c r="G844" i="11"/>
  <c r="I844" i="11" s="1"/>
  <c r="G825" i="11"/>
  <c r="K825" i="11" s="1"/>
  <c r="G880" i="11"/>
  <c r="H880" i="11" s="1"/>
  <c r="G822" i="11"/>
  <c r="G827" i="11"/>
  <c r="G855" i="11"/>
  <c r="G836" i="11"/>
  <c r="K836" i="11" s="1"/>
  <c r="G838" i="11"/>
  <c r="G839" i="11"/>
  <c r="G840" i="11"/>
  <c r="H840" i="11" s="1"/>
  <c r="G860" i="11"/>
  <c r="G923" i="11"/>
  <c r="H923" i="11" s="1"/>
  <c r="G873" i="11"/>
  <c r="L873" i="11" s="1"/>
  <c r="G815" i="11"/>
  <c r="L815" i="11" s="1"/>
  <c r="G823" i="11"/>
  <c r="K823" i="11" s="1"/>
  <c r="G830" i="11"/>
  <c r="I830" i="11" s="1"/>
  <c r="G831" i="11"/>
  <c r="G832" i="11"/>
  <c r="I832" i="11" s="1"/>
  <c r="G834" i="11"/>
  <c r="G841" i="11"/>
  <c r="L841" i="11" s="1"/>
  <c r="G870" i="11"/>
  <c r="I870" i="11" s="1"/>
  <c r="G891" i="11"/>
  <c r="H891" i="11" s="1"/>
  <c r="G895" i="11"/>
  <c r="J895" i="11" s="1"/>
  <c r="G906" i="11"/>
  <c r="K906" i="11" s="1"/>
  <c r="G918" i="11"/>
  <c r="G833" i="11"/>
  <c r="J833" i="11" s="1"/>
  <c r="G859" i="11"/>
  <c r="H859" i="11" s="1"/>
  <c r="G898" i="11"/>
  <c r="I898" i="11" s="1"/>
  <c r="G902" i="11"/>
  <c r="L902" i="11" s="1"/>
  <c r="G829" i="11"/>
  <c r="H829" i="11" s="1"/>
  <c r="G842" i="11"/>
  <c r="J842" i="11" s="1"/>
  <c r="G843" i="11"/>
  <c r="G847" i="11"/>
  <c r="L847" i="11" s="1"/>
  <c r="G862" i="11"/>
  <c r="I862" i="11" s="1"/>
  <c r="G875" i="11"/>
  <c r="I875" i="11" s="1"/>
  <c r="G848" i="11"/>
  <c r="I848" i="11" s="1"/>
  <c r="G854" i="11"/>
  <c r="L854" i="11" s="1"/>
  <c r="G864" i="11"/>
  <c r="L864" i="11" s="1"/>
  <c r="G905" i="11"/>
  <c r="L905" i="11" s="1"/>
  <c r="G933" i="11"/>
  <c r="I933" i="11" s="1"/>
  <c r="G904" i="11"/>
  <c r="J904" i="11" s="1"/>
  <c r="G845" i="11"/>
  <c r="I845" i="11" s="1"/>
  <c r="G851" i="11"/>
  <c r="H851" i="11" s="1"/>
  <c r="G866" i="11"/>
  <c r="H866" i="11" s="1"/>
  <c r="G868" i="11"/>
  <c r="G871" i="11"/>
  <c r="I871" i="11" s="1"/>
  <c r="G899" i="11"/>
  <c r="G912" i="11"/>
  <c r="H912" i="11" s="1"/>
  <c r="G935" i="11"/>
  <c r="I935" i="11" s="1"/>
  <c r="G869" i="11"/>
  <c r="H869" i="11" s="1"/>
  <c r="G874" i="11"/>
  <c r="G884" i="11"/>
  <c r="G926" i="11"/>
  <c r="K926" i="11" s="1"/>
  <c r="G940" i="11"/>
  <c r="L940" i="11" s="1"/>
  <c r="G921" i="11"/>
  <c r="G924" i="11"/>
  <c r="H924" i="11" s="1"/>
  <c r="G944" i="11"/>
  <c r="I944" i="11" s="1"/>
  <c r="G865" i="11"/>
  <c r="L865" i="11" s="1"/>
  <c r="G881" i="11"/>
  <c r="L881" i="11" s="1"/>
  <c r="G886" i="11"/>
  <c r="L886" i="11" s="1"/>
  <c r="G913" i="11"/>
  <c r="G952" i="11"/>
  <c r="H952" i="11" s="1"/>
  <c r="G894" i="11"/>
  <c r="H894" i="11" s="1"/>
  <c r="G903" i="11"/>
  <c r="G915" i="11"/>
  <c r="I915" i="11" s="1"/>
  <c r="G943" i="11"/>
  <c r="J943" i="11" s="1"/>
  <c r="G856" i="11"/>
  <c r="I856" i="11" s="1"/>
  <c r="G892" i="11"/>
  <c r="G927" i="11"/>
  <c r="I927" i="11" s="1"/>
  <c r="G872" i="11"/>
  <c r="L872" i="11" s="1"/>
  <c r="G896" i="11"/>
  <c r="G925" i="11"/>
  <c r="L925" i="11" s="1"/>
  <c r="G1013" i="11"/>
  <c r="I1013" i="11" s="1"/>
  <c r="G945" i="11"/>
  <c r="K945" i="11" s="1"/>
  <c r="G949" i="11"/>
  <c r="G853" i="11"/>
  <c r="H853" i="11" s="1"/>
  <c r="G861" i="11"/>
  <c r="J861" i="11" s="1"/>
  <c r="G878" i="11"/>
  <c r="G883" i="11"/>
  <c r="I883" i="11" s="1"/>
  <c r="G907" i="11"/>
  <c r="I907" i="11" s="1"/>
  <c r="G909" i="11"/>
  <c r="L909" i="11" s="1"/>
  <c r="G932" i="11"/>
  <c r="L932" i="11" s="1"/>
  <c r="G956" i="11"/>
  <c r="I956" i="11" s="1"/>
  <c r="G888" i="11"/>
  <c r="G917" i="11"/>
  <c r="G920" i="11"/>
  <c r="G936" i="11"/>
  <c r="G914" i="11"/>
  <c r="L914" i="11" s="1"/>
  <c r="G947" i="11"/>
  <c r="L947" i="11" s="1"/>
  <c r="G953" i="11"/>
  <c r="G990" i="11"/>
  <c r="H990" i="11" s="1"/>
  <c r="G967" i="11"/>
  <c r="L967" i="11" s="1"/>
  <c r="G955" i="11"/>
  <c r="G958" i="11"/>
  <c r="J958" i="11" s="1"/>
  <c r="G877" i="11"/>
  <c r="G885" i="11"/>
  <c r="I885" i="11" s="1"/>
  <c r="G893" i="11"/>
  <c r="L893" i="11" s="1"/>
  <c r="G901" i="11"/>
  <c r="I901" i="11" s="1"/>
  <c r="G919" i="11"/>
  <c r="K919" i="11" s="1"/>
  <c r="G934" i="11"/>
  <c r="H934" i="11" s="1"/>
  <c r="G941" i="11"/>
  <c r="I941" i="11" s="1"/>
  <c r="G951" i="11"/>
  <c r="L951" i="11" s="1"/>
  <c r="G957" i="11"/>
  <c r="J957" i="11" s="1"/>
  <c r="G939" i="11"/>
  <c r="G965" i="11"/>
  <c r="G975" i="11"/>
  <c r="G978" i="11"/>
  <c r="G989" i="11"/>
  <c r="H989" i="11" s="1"/>
  <c r="G968" i="11"/>
  <c r="L968" i="11" s="1"/>
  <c r="G974" i="11"/>
  <c r="H974" i="11" s="1"/>
  <c r="G959" i="11"/>
  <c r="I959" i="11" s="1"/>
  <c r="G966" i="11"/>
  <c r="L966" i="11" s="1"/>
  <c r="G980" i="11"/>
  <c r="L980" i="11" s="1"/>
  <c r="G981" i="11"/>
  <c r="K981" i="11" s="1"/>
  <c r="G998" i="11"/>
  <c r="G961" i="11"/>
  <c r="J961" i="11" s="1"/>
  <c r="G1006" i="11"/>
  <c r="G1007" i="11"/>
  <c r="I1007" i="11" s="1"/>
  <c r="G1011" i="11"/>
  <c r="L1011" i="11" s="1"/>
  <c r="G972" i="11"/>
  <c r="L972" i="11" s="1"/>
  <c r="G993" i="11"/>
  <c r="I993" i="11" s="1"/>
  <c r="G994" i="11"/>
  <c r="J994" i="11" s="1"/>
  <c r="G997" i="11"/>
  <c r="L997" i="11" s="1"/>
  <c r="G1001" i="11"/>
  <c r="H1001" i="11" s="1"/>
  <c r="G1002" i="11"/>
  <c r="I1002" i="11" s="1"/>
  <c r="G1015" i="11"/>
  <c r="G922" i="11"/>
  <c r="J922" i="11" s="1"/>
  <c r="G930" i="11"/>
  <c r="L930" i="11" s="1"/>
  <c r="G938" i="11"/>
  <c r="J938" i="11" s="1"/>
  <c r="G946" i="11"/>
  <c r="G963" i="11"/>
  <c r="J963" i="11" s="1"/>
  <c r="G969" i="11"/>
  <c r="K969" i="11" s="1"/>
  <c r="G970" i="11"/>
  <c r="L970" i="11" s="1"/>
  <c r="G971" i="11"/>
  <c r="L971" i="11" s="1"/>
  <c r="G977" i="11"/>
  <c r="G982" i="11"/>
  <c r="G962" i="11"/>
  <c r="H962" i="11" s="1"/>
  <c r="G983" i="11"/>
  <c r="I983" i="11" s="1"/>
  <c r="G976" i="11"/>
  <c r="G964" i="11"/>
  <c r="G973" i="11"/>
  <c r="L973" i="11" s="1"/>
  <c r="G984" i="11"/>
  <c r="H984" i="11" s="1"/>
  <c r="G991" i="11"/>
  <c r="H991" i="11" s="1"/>
  <c r="G999" i="11"/>
  <c r="I999" i="11" s="1"/>
  <c r="G1008" i="11"/>
  <c r="G1009" i="11"/>
  <c r="J1009" i="11" s="1"/>
  <c r="G1016" i="11"/>
  <c r="G986" i="11"/>
  <c r="I986" i="11" s="1"/>
  <c r="G1005" i="11"/>
  <c r="L1005" i="11" s="1"/>
  <c r="G1012" i="11"/>
  <c r="L1012" i="11" s="1"/>
  <c r="G1022" i="11"/>
  <c r="K1022" i="11" s="1"/>
  <c r="G1019" i="11"/>
  <c r="L1019" i="11" s="1"/>
  <c r="G1023" i="11"/>
  <c r="K1023" i="11" s="1"/>
  <c r="G1004" i="11"/>
  <c r="J1004" i="11" s="1"/>
  <c r="G1020" i="11"/>
  <c r="L1020" i="11" s="1"/>
  <c r="G988" i="11"/>
  <c r="J988" i="11" s="1"/>
  <c r="G996" i="11"/>
  <c r="K996" i="11" s="1"/>
  <c r="G1010" i="11"/>
  <c r="G1018" i="11"/>
  <c r="H319" i="11" l="1"/>
  <c r="I460" i="11"/>
  <c r="L184" i="11"/>
  <c r="I887" i="11"/>
  <c r="H455" i="11"/>
  <c r="L606" i="11"/>
  <c r="I747" i="11"/>
  <c r="K916" i="11"/>
  <c r="J771" i="11"/>
  <c r="K771" i="11"/>
  <c r="H556" i="11"/>
  <c r="L460" i="11"/>
  <c r="K793" i="11"/>
  <c r="H771" i="11"/>
  <c r="H460" i="11"/>
  <c r="L319" i="11"/>
  <c r="L247" i="11"/>
  <c r="J668" i="11"/>
  <c r="I664" i="11"/>
  <c r="H576" i="11"/>
  <c r="I407" i="11"/>
  <c r="L407" i="11"/>
  <c r="H668" i="11"/>
  <c r="I576" i="11"/>
  <c r="J407" i="11"/>
  <c r="K668" i="11"/>
  <c r="I668" i="11"/>
  <c r="J576" i="11"/>
  <c r="J184" i="11"/>
  <c r="I94" i="11"/>
  <c r="K606" i="11"/>
  <c r="L576" i="11"/>
  <c r="J606" i="11"/>
  <c r="H407" i="11"/>
  <c r="I327" i="11"/>
  <c r="J937" i="11"/>
  <c r="K849" i="11"/>
  <c r="I849" i="11"/>
  <c r="K623" i="11"/>
  <c r="J327" i="11"/>
  <c r="L327" i="11"/>
  <c r="K937" i="11"/>
  <c r="I660" i="11"/>
  <c r="I556" i="11"/>
  <c r="L942" i="11"/>
  <c r="H793" i="11"/>
  <c r="H664" i="11"/>
  <c r="L623" i="11"/>
  <c r="L556" i="11"/>
  <c r="K356" i="11"/>
  <c r="K327" i="11"/>
  <c r="I793" i="11"/>
  <c r="I623" i="11"/>
  <c r="K660" i="11"/>
  <c r="K556" i="11"/>
  <c r="I184" i="11"/>
  <c r="K184" i="11"/>
  <c r="H849" i="11"/>
  <c r="J168" i="11"/>
  <c r="I168" i="11"/>
  <c r="L168" i="11"/>
  <c r="K942" i="11"/>
  <c r="L937" i="11"/>
  <c r="L849" i="11"/>
  <c r="H937" i="11"/>
  <c r="L793" i="11"/>
  <c r="J623" i="11"/>
  <c r="J660" i="11"/>
  <c r="J601" i="11"/>
  <c r="K601" i="11"/>
  <c r="L660" i="11"/>
  <c r="J94" i="11"/>
  <c r="J356" i="11"/>
  <c r="I356" i="11"/>
  <c r="H168" i="11"/>
  <c r="I160" i="11"/>
  <c r="J890" i="11"/>
  <c r="H890" i="11"/>
  <c r="L911" i="11"/>
  <c r="H564" i="11"/>
  <c r="H1014" i="11"/>
  <c r="I704" i="11"/>
  <c r="J627" i="11"/>
  <c r="J569" i="11"/>
  <c r="I569" i="11"/>
  <c r="K435" i="11"/>
  <c r="I206" i="11"/>
  <c r="K569" i="11"/>
  <c r="L301" i="11"/>
  <c r="H569" i="11"/>
  <c r="L435" i="11"/>
  <c r="K301" i="11"/>
  <c r="H127" i="11"/>
  <c r="I301" i="11"/>
  <c r="L127" i="11"/>
  <c r="L160" i="11"/>
  <c r="L987" i="11"/>
  <c r="J929" i="11"/>
  <c r="I911" i="11"/>
  <c r="H911" i="11"/>
  <c r="J916" i="11"/>
  <c r="H987" i="11"/>
  <c r="I916" i="11"/>
  <c r="K911" i="11"/>
  <c r="I564" i="11"/>
  <c r="I987" i="11"/>
  <c r="K890" i="11"/>
  <c r="J987" i="11"/>
  <c r="I929" i="11"/>
  <c r="L916" i="11"/>
  <c r="L890" i="11"/>
  <c r="J419" i="11"/>
  <c r="H929" i="11"/>
  <c r="L929" i="11"/>
  <c r="L571" i="11"/>
  <c r="I466" i="11"/>
  <c r="L466" i="11"/>
  <c r="K564" i="11"/>
  <c r="L356" i="11"/>
  <c r="K755" i="11"/>
  <c r="J755" i="11"/>
  <c r="J564" i="11"/>
  <c r="J466" i="11"/>
  <c r="H466" i="11"/>
  <c r="K43" i="11"/>
  <c r="H247" i="11"/>
  <c r="I571" i="11"/>
  <c r="I379" i="11"/>
  <c r="K247" i="11"/>
  <c r="J43" i="11"/>
  <c r="K419" i="11"/>
  <c r="I43" i="11"/>
  <c r="K462" i="11"/>
  <c r="K1021" i="11"/>
  <c r="K279" i="11"/>
  <c r="H887" i="11"/>
  <c r="L355" i="11"/>
  <c r="L279" i="11"/>
  <c r="J887" i="11"/>
  <c r="H858" i="11"/>
  <c r="K887" i="11"/>
  <c r="H279" i="11"/>
  <c r="I858" i="11"/>
  <c r="L858" i="11"/>
  <c r="J747" i="11"/>
  <c r="K858" i="11"/>
  <c r="H747" i="11"/>
  <c r="J455" i="11"/>
  <c r="L628" i="11"/>
  <c r="K626" i="11"/>
  <c r="J863" i="11"/>
  <c r="J1000" i="11"/>
  <c r="L1000" i="11"/>
  <c r="J463" i="11"/>
  <c r="K628" i="11"/>
  <c r="K910" i="11"/>
  <c r="H1017" i="11"/>
  <c r="H676" i="11"/>
  <c r="H910" i="11"/>
  <c r="I882" i="11"/>
  <c r="J780" i="11"/>
  <c r="L702" i="11"/>
  <c r="K452" i="11"/>
  <c r="I696" i="11"/>
  <c r="J344" i="11"/>
  <c r="H770" i="11"/>
  <c r="J711" i="11"/>
  <c r="K110" i="11"/>
  <c r="L770" i="11"/>
  <c r="J395" i="11"/>
  <c r="H796" i="11"/>
  <c r="K127" i="11"/>
  <c r="K857" i="11"/>
  <c r="K160" i="11"/>
  <c r="L796" i="11"/>
  <c r="H719" i="11"/>
  <c r="L94" i="11"/>
  <c r="H43" i="11"/>
  <c r="J593" i="11"/>
  <c r="I271" i="11"/>
  <c r="I857" i="11"/>
  <c r="J471" i="11"/>
  <c r="J169" i="11"/>
  <c r="J30" i="11"/>
  <c r="J271" i="11"/>
  <c r="L271" i="11"/>
  <c r="H271" i="11"/>
  <c r="I656" i="11"/>
  <c r="J816" i="11"/>
  <c r="K770" i="11"/>
  <c r="J630" i="11"/>
  <c r="J900" i="11"/>
  <c r="H206" i="11"/>
  <c r="I172" i="11"/>
  <c r="J127" i="11"/>
  <c r="K900" i="11"/>
  <c r="H1000" i="11"/>
  <c r="K316" i="11"/>
  <c r="H301" i="11"/>
  <c r="K1000" i="11"/>
  <c r="I439" i="11"/>
  <c r="J568" i="11"/>
  <c r="I435" i="11"/>
  <c r="I387" i="11"/>
  <c r="L180" i="11"/>
  <c r="H164" i="11"/>
  <c r="L857" i="11"/>
  <c r="K735" i="11"/>
  <c r="J770" i="11"/>
  <c r="I676" i="11"/>
  <c r="H571" i="11"/>
  <c r="K455" i="11"/>
  <c r="J571" i="11"/>
  <c r="K229" i="11"/>
  <c r="H261" i="11"/>
  <c r="K319" i="11"/>
  <c r="K747" i="11"/>
  <c r="H688" i="11"/>
  <c r="H656" i="11"/>
  <c r="L593" i="11"/>
  <c r="J400" i="11"/>
  <c r="J319" i="11"/>
  <c r="J462" i="11"/>
  <c r="J247" i="11"/>
  <c r="I399" i="11"/>
  <c r="J328" i="11"/>
  <c r="I203" i="11"/>
  <c r="I618" i="11"/>
  <c r="K625" i="11"/>
  <c r="H625" i="11"/>
  <c r="I462" i="11"/>
  <c r="L387" i="11"/>
  <c r="I176" i="11"/>
  <c r="J618" i="11"/>
  <c r="J387" i="11"/>
  <c r="J309" i="11"/>
  <c r="L46" i="11"/>
  <c r="K727" i="11"/>
  <c r="I826" i="11"/>
  <c r="H694" i="11"/>
  <c r="J384" i="11"/>
  <c r="K387" i="11"/>
  <c r="H245" i="11"/>
  <c r="H348" i="11"/>
  <c r="H780" i="11"/>
  <c r="K395" i="11"/>
  <c r="I725" i="11"/>
  <c r="L219" i="11"/>
  <c r="H553" i="11"/>
  <c r="H696" i="11"/>
  <c r="L553" i="11"/>
  <c r="K309" i="11"/>
  <c r="L882" i="11"/>
  <c r="J320" i="11"/>
  <c r="H383" i="11"/>
  <c r="H309" i="11"/>
  <c r="J852" i="11"/>
  <c r="L725" i="11"/>
  <c r="L446" i="11"/>
  <c r="J376" i="11"/>
  <c r="J368" i="11"/>
  <c r="H126" i="11"/>
  <c r="K882" i="11"/>
  <c r="I780" i="11"/>
  <c r="L777" i="11"/>
  <c r="H446" i="11"/>
  <c r="L478" i="11"/>
  <c r="L269" i="11"/>
  <c r="K383" i="11"/>
  <c r="K75" i="11"/>
  <c r="H816" i="11"/>
  <c r="K1014" i="11"/>
  <c r="L910" i="11"/>
  <c r="I739" i="11"/>
  <c r="I530" i="11"/>
  <c r="L522" i="11"/>
  <c r="L309" i="11"/>
  <c r="H882" i="11"/>
  <c r="H593" i="11"/>
  <c r="I478" i="11"/>
  <c r="J391" i="11"/>
  <c r="H399" i="11"/>
  <c r="J229" i="11"/>
  <c r="H192" i="11"/>
  <c r="K94" i="11"/>
  <c r="L601" i="11"/>
  <c r="K739" i="11"/>
  <c r="H960" i="11"/>
  <c r="J960" i="11"/>
  <c r="K960" i="11"/>
  <c r="J122" i="11"/>
  <c r="I122" i="11"/>
  <c r="H598" i="11"/>
  <c r="J598" i="11"/>
  <c r="I598" i="11"/>
  <c r="L598" i="11"/>
  <c r="L960" i="11"/>
  <c r="H846" i="11"/>
  <c r="H555" i="11"/>
  <c r="I124" i="11"/>
  <c r="H465" i="11"/>
  <c r="J465" i="11"/>
  <c r="H633" i="11"/>
  <c r="L633" i="11"/>
  <c r="I277" i="11"/>
  <c r="L277" i="11"/>
  <c r="H277" i="11"/>
  <c r="K277" i="11"/>
  <c r="I769" i="11"/>
  <c r="L769" i="11"/>
  <c r="L711" i="11"/>
  <c r="K711" i="11"/>
  <c r="L821" i="11"/>
  <c r="J821" i="11"/>
  <c r="K821" i="11"/>
  <c r="H110" i="11"/>
  <c r="L110" i="11"/>
  <c r="I110" i="11"/>
  <c r="K710" i="11"/>
  <c r="H710" i="11"/>
  <c r="I513" i="11"/>
  <c r="H513" i="11"/>
  <c r="K995" i="11"/>
  <c r="J1014" i="11"/>
  <c r="H1003" i="11"/>
  <c r="I960" i="11"/>
  <c r="H879" i="11"/>
  <c r="K796" i="11"/>
  <c r="I796" i="11"/>
  <c r="K826" i="11"/>
  <c r="J769" i="11"/>
  <c r="J739" i="11"/>
  <c r="J555" i="11"/>
  <c r="L379" i="11"/>
  <c r="L348" i="11"/>
  <c r="K513" i="11"/>
  <c r="L1017" i="11"/>
  <c r="K1017" i="11"/>
  <c r="H628" i="11"/>
  <c r="H103" i="11"/>
  <c r="I103" i="11"/>
  <c r="J263" i="11"/>
  <c r="K263" i="11"/>
  <c r="L263" i="11"/>
  <c r="K391" i="11"/>
  <c r="I391" i="11"/>
  <c r="H391" i="11"/>
  <c r="H428" i="11"/>
  <c r="J428" i="11"/>
  <c r="I428" i="11"/>
  <c r="I563" i="11"/>
  <c r="K563" i="11"/>
  <c r="H563" i="11"/>
  <c r="J563" i="11"/>
  <c r="H876" i="11"/>
  <c r="J876" i="11"/>
  <c r="H237" i="11"/>
  <c r="K237" i="11"/>
  <c r="L237" i="11"/>
  <c r="I817" i="11"/>
  <c r="L817" i="11"/>
  <c r="H817" i="11"/>
  <c r="K1003" i="11"/>
  <c r="L1003" i="11"/>
  <c r="L876" i="11"/>
  <c r="J237" i="11"/>
  <c r="J323" i="11"/>
  <c r="L323" i="11"/>
  <c r="K948" i="11"/>
  <c r="L948" i="11"/>
  <c r="J850" i="11"/>
  <c r="L850" i="11"/>
  <c r="K622" i="11"/>
  <c r="J622" i="11"/>
  <c r="H219" i="11"/>
  <c r="K219" i="11"/>
  <c r="K766" i="11"/>
  <c r="I766" i="11"/>
  <c r="J766" i="11"/>
  <c r="H46" i="11"/>
  <c r="K46" i="11"/>
  <c r="J46" i="11"/>
  <c r="K490" i="11"/>
  <c r="L490" i="11"/>
  <c r="I490" i="11"/>
  <c r="L879" i="11"/>
  <c r="K428" i="11"/>
  <c r="L124" i="11"/>
  <c r="K686" i="11"/>
  <c r="L686" i="11"/>
  <c r="J490" i="11"/>
  <c r="L715" i="11"/>
  <c r="K715" i="11"/>
  <c r="I715" i="11"/>
  <c r="J115" i="11"/>
  <c r="K115" i="11"/>
  <c r="L652" i="11"/>
  <c r="I652" i="11"/>
  <c r="J285" i="11"/>
  <c r="I285" i="11"/>
  <c r="J553" i="11"/>
  <c r="K553" i="11"/>
  <c r="I1014" i="11"/>
  <c r="J948" i="11"/>
  <c r="K879" i="11"/>
  <c r="J826" i="11"/>
  <c r="I630" i="11"/>
  <c r="J545" i="11"/>
  <c r="L399" i="11"/>
  <c r="J303" i="11"/>
  <c r="J1017" i="11"/>
  <c r="J715" i="11"/>
  <c r="I777" i="11"/>
  <c r="L630" i="11"/>
  <c r="J710" i="11"/>
  <c r="I633" i="11"/>
  <c r="H622" i="11"/>
  <c r="I628" i="11"/>
  <c r="J458" i="11"/>
  <c r="H478" i="11"/>
  <c r="L229" i="11"/>
  <c r="I323" i="11"/>
  <c r="I303" i="11"/>
  <c r="L231" i="11"/>
  <c r="H269" i="11"/>
  <c r="I269" i="11"/>
  <c r="K124" i="11"/>
  <c r="E16" i="7"/>
  <c r="D17" i="7"/>
  <c r="G4" i="8" s="1"/>
  <c r="H615" i="11"/>
  <c r="J615" i="11"/>
  <c r="I710" i="11"/>
  <c r="H403" i="11"/>
  <c r="J403" i="11"/>
  <c r="L303" i="11"/>
  <c r="H124" i="11"/>
  <c r="I348" i="11"/>
  <c r="J348" i="11"/>
  <c r="L995" i="11"/>
  <c r="H826" i="11"/>
  <c r="K846" i="11"/>
  <c r="J686" i="11"/>
  <c r="L622" i="11"/>
  <c r="K598" i="11"/>
  <c r="J513" i="11"/>
  <c r="L555" i="11"/>
  <c r="L513" i="11"/>
  <c r="D4" i="5"/>
  <c r="D3" i="5"/>
  <c r="H777" i="11"/>
  <c r="J867" i="11"/>
  <c r="K867" i="11"/>
  <c r="L514" i="11"/>
  <c r="J514" i="11"/>
  <c r="K514" i="11"/>
  <c r="I514" i="11"/>
  <c r="I452" i="11"/>
  <c r="H452" i="11"/>
  <c r="K505" i="11"/>
  <c r="H505" i="11"/>
  <c r="L505" i="11"/>
  <c r="K950" i="11"/>
  <c r="L950" i="11"/>
  <c r="J950" i="11"/>
  <c r="H950" i="11"/>
  <c r="L809" i="11"/>
  <c r="K809" i="11"/>
  <c r="J809" i="11"/>
  <c r="I809" i="11"/>
  <c r="I627" i="11"/>
  <c r="L627" i="11"/>
  <c r="J107" i="11"/>
  <c r="I107" i="11"/>
  <c r="I463" i="11"/>
  <c r="K463" i="11"/>
  <c r="L463" i="11"/>
  <c r="I626" i="11"/>
  <c r="J626" i="11"/>
  <c r="L626" i="11"/>
  <c r="J814" i="11"/>
  <c r="L814" i="11"/>
  <c r="K676" i="11"/>
  <c r="L676" i="11"/>
  <c r="L176" i="11"/>
  <c r="K176" i="11"/>
  <c r="J176" i="11"/>
  <c r="I684" i="11"/>
  <c r="H684" i="11"/>
  <c r="J684" i="11"/>
  <c r="J985" i="11"/>
  <c r="H985" i="11"/>
  <c r="J1003" i="11"/>
  <c r="I879" i="11"/>
  <c r="H850" i="11"/>
  <c r="K780" i="11"/>
  <c r="K769" i="11"/>
  <c r="K684" i="11"/>
  <c r="J505" i="11"/>
  <c r="I522" i="11"/>
  <c r="K555" i="11"/>
  <c r="J392" i="11"/>
  <c r="K231" i="11"/>
  <c r="H863" i="11"/>
  <c r="K863" i="11"/>
  <c r="L863" i="11"/>
  <c r="I680" i="11"/>
  <c r="H680" i="11"/>
  <c r="H490" i="11"/>
  <c r="H427" i="11"/>
  <c r="L427" i="11"/>
  <c r="K427" i="11"/>
  <c r="J427" i="11"/>
  <c r="I427" i="11"/>
  <c r="J438" i="11"/>
  <c r="L438" i="11"/>
  <c r="L985" i="11"/>
  <c r="J995" i="11"/>
  <c r="H995" i="11"/>
  <c r="K852" i="11"/>
  <c r="L852" i="11"/>
  <c r="K985" i="11"/>
  <c r="I948" i="11"/>
  <c r="L931" i="11"/>
  <c r="K850" i="11"/>
  <c r="J846" i="11"/>
  <c r="I846" i="11"/>
  <c r="I821" i="11"/>
  <c r="H739" i="11"/>
  <c r="J777" i="11"/>
  <c r="J633" i="11"/>
  <c r="I622" i="11"/>
  <c r="H462" i="11"/>
  <c r="H438" i="11"/>
  <c r="K478" i="11"/>
  <c r="J316" i="11"/>
  <c r="I316" i="11"/>
  <c r="J399" i="11"/>
  <c r="L428" i="11"/>
  <c r="H303" i="11"/>
  <c r="I219" i="11"/>
  <c r="I229" i="11"/>
  <c r="J269" i="11"/>
  <c r="H942" i="11"/>
  <c r="K719" i="11"/>
  <c r="H704" i="11"/>
  <c r="H606" i="11"/>
  <c r="I419" i="11"/>
  <c r="H435" i="11"/>
  <c r="L395" i="11"/>
  <c r="K411" i="11"/>
  <c r="H160" i="11"/>
  <c r="I408" i="11"/>
  <c r="K593" i="11"/>
  <c r="J408" i="11"/>
  <c r="K206" i="11"/>
  <c r="I443" i="11"/>
  <c r="L261" i="11"/>
  <c r="I218" i="11"/>
  <c r="H590" i="11"/>
  <c r="I414" i="11"/>
  <c r="J218" i="11"/>
  <c r="L954" i="11"/>
  <c r="H837" i="11"/>
  <c r="L837" i="11"/>
  <c r="H1021" i="11"/>
  <c r="J928" i="11"/>
  <c r="H824" i="11"/>
  <c r="L293" i="11"/>
  <c r="H218" i="11"/>
  <c r="L1021" i="11"/>
  <c r="I928" i="11"/>
  <c r="J837" i="11"/>
  <c r="I824" i="11"/>
  <c r="L722" i="11"/>
  <c r="I590" i="11"/>
  <c r="K558" i="11"/>
  <c r="K293" i="11"/>
  <c r="I293" i="11"/>
  <c r="K218" i="11"/>
  <c r="J590" i="11"/>
  <c r="J293" i="11"/>
  <c r="K590" i="11"/>
  <c r="J1021" i="11"/>
  <c r="K897" i="11"/>
  <c r="K928" i="11"/>
  <c r="L897" i="11"/>
  <c r="K824" i="11"/>
  <c r="L928" i="11"/>
  <c r="K837" i="11"/>
  <c r="L824" i="11"/>
  <c r="I722" i="11"/>
  <c r="K577" i="11"/>
  <c r="L494" i="11"/>
  <c r="K494" i="11"/>
  <c r="K443" i="11"/>
  <c r="K261" i="11"/>
  <c r="H954" i="11"/>
  <c r="J812" i="11"/>
  <c r="I812" i="11"/>
  <c r="J954" i="11"/>
  <c r="K812" i="11"/>
  <c r="K751" i="11"/>
  <c r="K722" i="11"/>
  <c r="J577" i="11"/>
  <c r="I502" i="11"/>
  <c r="K420" i="11"/>
  <c r="L443" i="11"/>
  <c r="K207" i="11"/>
  <c r="I95" i="11"/>
  <c r="I155" i="11"/>
  <c r="J208" i="11"/>
  <c r="L363" i="11"/>
  <c r="L755" i="11"/>
  <c r="K208" i="11"/>
  <c r="I942" i="11"/>
  <c r="K403" i="11"/>
  <c r="L689" i="11"/>
  <c r="I716" i="11"/>
  <c r="L411" i="11"/>
  <c r="I41" i="11"/>
  <c r="I235" i="11"/>
  <c r="L315" i="11"/>
  <c r="I302" i="11"/>
  <c r="L472" i="11"/>
  <c r="H812" i="11"/>
  <c r="L525" i="11"/>
  <c r="K458" i="11"/>
  <c r="J359" i="11"/>
  <c r="H359" i="11"/>
  <c r="J452" i="11"/>
  <c r="I287" i="11"/>
  <c r="K65" i="11"/>
  <c r="H766" i="11"/>
  <c r="J817" i="11"/>
  <c r="K320" i="11"/>
  <c r="K720" i="11"/>
  <c r="I403" i="11"/>
  <c r="I355" i="11"/>
  <c r="H255" i="11"/>
  <c r="I137" i="11"/>
  <c r="I380" i="11"/>
  <c r="I157" i="11"/>
  <c r="K30" i="11"/>
  <c r="L574" i="11"/>
  <c r="L53" i="11"/>
  <c r="H997" i="11"/>
  <c r="H935" i="11"/>
  <c r="L386" i="11"/>
  <c r="H386" i="11"/>
  <c r="I187" i="11"/>
  <c r="J722" i="11"/>
  <c r="I263" i="11"/>
  <c r="K1007" i="11"/>
  <c r="I958" i="11"/>
  <c r="I655" i="11"/>
  <c r="I421" i="11"/>
  <c r="L164" i="11"/>
  <c r="L170" i="11"/>
  <c r="J279" i="11"/>
  <c r="K472" i="11"/>
  <c r="L345" i="11"/>
  <c r="I164" i="11"/>
  <c r="I86" i="11"/>
  <c r="H172" i="11"/>
  <c r="I608" i="11"/>
  <c r="L208" i="11"/>
  <c r="L69" i="11"/>
  <c r="K161" i="11"/>
  <c r="L49" i="11"/>
  <c r="K814" i="11"/>
  <c r="J696" i="11"/>
  <c r="K156" i="11"/>
  <c r="H408" i="11"/>
  <c r="H354" i="11"/>
  <c r="K107" i="11"/>
  <c r="I990" i="11"/>
  <c r="I592" i="11"/>
  <c r="J141" i="11"/>
  <c r="I141" i="11"/>
  <c r="H419" i="11"/>
  <c r="K636" i="11"/>
  <c r="L708" i="11"/>
  <c r="I173" i="11"/>
  <c r="H208" i="11"/>
  <c r="L107" i="11"/>
  <c r="L316" i="11"/>
  <c r="J655" i="11"/>
  <c r="J49" i="11"/>
  <c r="H107" i="11"/>
  <c r="L455" i="11"/>
  <c r="L992" i="11"/>
  <c r="K730" i="11"/>
  <c r="I615" i="11"/>
  <c r="L285" i="11"/>
  <c r="J908" i="11"/>
  <c r="L934" i="11"/>
  <c r="H862" i="11"/>
  <c r="J804" i="11"/>
  <c r="I804" i="11"/>
  <c r="K791" i="11"/>
  <c r="L718" i="11"/>
  <c r="J694" i="11"/>
  <c r="K652" i="11"/>
  <c r="I534" i="11"/>
  <c r="L524" i="11"/>
  <c r="K425" i="11"/>
  <c r="L377" i="11"/>
  <c r="K449" i="11"/>
  <c r="I351" i="11"/>
  <c r="L253" i="11"/>
  <c r="K285" i="11"/>
  <c r="J189" i="11"/>
  <c r="K264" i="11"/>
  <c r="H285" i="11"/>
  <c r="I156" i="11"/>
  <c r="I121" i="11"/>
  <c r="I30" i="11"/>
  <c r="L30" i="11"/>
  <c r="H711" i="11"/>
  <c r="J152" i="11"/>
  <c r="I152" i="11"/>
  <c r="I253" i="11"/>
  <c r="K908" i="11"/>
  <c r="I788" i="11"/>
  <c r="L791" i="11"/>
  <c r="I672" i="11"/>
  <c r="J652" i="11"/>
  <c r="K615" i="11"/>
  <c r="J580" i="11"/>
  <c r="I582" i="11"/>
  <c r="H568" i="11"/>
  <c r="K992" i="11"/>
  <c r="H908" i="11"/>
  <c r="H702" i="11"/>
  <c r="H652" i="11"/>
  <c r="K528" i="11"/>
  <c r="J582" i="11"/>
  <c r="L465" i="11"/>
  <c r="L545" i="11"/>
  <c r="L434" i="11"/>
  <c r="I568" i="11"/>
  <c r="I434" i="11"/>
  <c r="J332" i="11"/>
  <c r="J351" i="11"/>
  <c r="J443" i="11"/>
  <c r="K294" i="11"/>
  <c r="L245" i="11"/>
  <c r="H351" i="11"/>
  <c r="L148" i="11"/>
  <c r="H128" i="11"/>
  <c r="I180" i="11"/>
  <c r="J253" i="11"/>
  <c r="L207" i="11"/>
  <c r="K152" i="11"/>
  <c r="K138" i="11"/>
  <c r="K328" i="11"/>
  <c r="H441" i="11"/>
  <c r="J103" i="11"/>
  <c r="K262" i="11"/>
  <c r="K253" i="11"/>
  <c r="K135" i="11"/>
  <c r="J62" i="11"/>
  <c r="L62" i="11"/>
  <c r="H449" i="11"/>
  <c r="J718" i="11"/>
  <c r="L804" i="11"/>
  <c r="K582" i="11"/>
  <c r="L425" i="11"/>
  <c r="K568" i="11"/>
  <c r="I465" i="11"/>
  <c r="J324" i="11"/>
  <c r="H992" i="11"/>
  <c r="I996" i="11"/>
  <c r="L862" i="11"/>
  <c r="J828" i="11"/>
  <c r="K804" i="11"/>
  <c r="J702" i="11"/>
  <c r="I545" i="11"/>
  <c r="H611" i="11"/>
  <c r="L449" i="11"/>
  <c r="K441" i="11"/>
  <c r="K465" i="11"/>
  <c r="I324" i="11"/>
  <c r="I411" i="11"/>
  <c r="K286" i="11"/>
  <c r="J411" i="11"/>
  <c r="K245" i="11"/>
  <c r="L383" i="11"/>
  <c r="I245" i="11"/>
  <c r="L61" i="11"/>
  <c r="J156" i="11"/>
  <c r="J128" i="11"/>
  <c r="L828" i="11"/>
  <c r="I128" i="11"/>
  <c r="I992" i="11"/>
  <c r="J788" i="11"/>
  <c r="H718" i="11"/>
  <c r="H425" i="11"/>
  <c r="L351" i="11"/>
  <c r="K993" i="11"/>
  <c r="K889" i="11"/>
  <c r="H854" i="11"/>
  <c r="J835" i="11"/>
  <c r="H835" i="11"/>
  <c r="K788" i="11"/>
  <c r="I718" i="11"/>
  <c r="L730" i="11"/>
  <c r="L604" i="11"/>
  <c r="I538" i="11"/>
  <c r="I458" i="11"/>
  <c r="L458" i="11"/>
  <c r="L441" i="11"/>
  <c r="I449" i="11"/>
  <c r="J312" i="11"/>
  <c r="J383" i="11"/>
  <c r="K254" i="11"/>
  <c r="K324" i="11"/>
  <c r="J239" i="11"/>
  <c r="L172" i="11"/>
  <c r="L156" i="11"/>
  <c r="H286" i="11"/>
  <c r="L128" i="11"/>
  <c r="J75" i="11"/>
  <c r="L900" i="11"/>
  <c r="H581" i="11"/>
  <c r="L544" i="11"/>
  <c r="I565" i="11"/>
  <c r="J335" i="11"/>
  <c r="I415" i="11"/>
  <c r="L29" i="11"/>
  <c r="I38" i="11"/>
  <c r="I89" i="11"/>
  <c r="J1002" i="11"/>
  <c r="K1001" i="11"/>
  <c r="K724" i="11"/>
  <c r="I764" i="11"/>
  <c r="J385" i="11"/>
  <c r="L41" i="11"/>
  <c r="I446" i="11"/>
  <c r="H872" i="11"/>
  <c r="L895" i="11"/>
  <c r="J750" i="11"/>
  <c r="J990" i="11"/>
  <c r="J1001" i="11"/>
  <c r="J993" i="11"/>
  <c r="J847" i="11"/>
  <c r="I695" i="11"/>
  <c r="K690" i="11"/>
  <c r="L559" i="11"/>
  <c r="L354" i="11"/>
  <c r="H603" i="11"/>
  <c r="L137" i="11"/>
  <c r="I908" i="11"/>
  <c r="H857" i="11"/>
  <c r="J206" i="11"/>
  <c r="I814" i="11"/>
  <c r="J704" i="11"/>
  <c r="L1022" i="11"/>
  <c r="I994" i="11"/>
  <c r="L894" i="11"/>
  <c r="I772" i="11"/>
  <c r="K566" i="11"/>
  <c r="I364" i="11"/>
  <c r="I198" i="11"/>
  <c r="K173" i="11"/>
  <c r="H788" i="11"/>
  <c r="J664" i="11"/>
  <c r="J956" i="11"/>
  <c r="L243" i="11"/>
  <c r="J613" i="11"/>
  <c r="I637" i="11"/>
  <c r="H496" i="11"/>
  <c r="H338" i="11"/>
  <c r="K412" i="11"/>
  <c r="J138" i="11"/>
  <c r="J44" i="11"/>
  <c r="H751" i="11"/>
  <c r="H815" i="11"/>
  <c r="I583" i="11"/>
  <c r="H589" i="11"/>
  <c r="H381" i="11"/>
  <c r="H414" i="11"/>
  <c r="H278" i="11"/>
  <c r="H205" i="11"/>
  <c r="K547" i="11"/>
  <c r="H370" i="11"/>
  <c r="L167" i="11"/>
  <c r="H422" i="11"/>
  <c r="H89" i="11"/>
  <c r="J912" i="11"/>
  <c r="H927" i="11"/>
  <c r="I981" i="11"/>
  <c r="K905" i="11"/>
  <c r="K881" i="11"/>
  <c r="L681" i="11"/>
  <c r="H487" i="11"/>
  <c r="L803" i="11"/>
  <c r="H724" i="11"/>
  <c r="I412" i="11"/>
  <c r="L338" i="11"/>
  <c r="I254" i="11"/>
  <c r="J267" i="11"/>
  <c r="J235" i="11"/>
  <c r="I267" i="11"/>
  <c r="L155" i="11"/>
  <c r="K167" i="11"/>
  <c r="J243" i="11"/>
  <c r="L112" i="11"/>
  <c r="L73" i="11"/>
  <c r="K344" i="11"/>
  <c r="K829" i="11"/>
  <c r="I1020" i="11"/>
  <c r="I930" i="11"/>
  <c r="J731" i="11"/>
  <c r="J685" i="11"/>
  <c r="L385" i="11"/>
  <c r="L154" i="11"/>
  <c r="I243" i="11"/>
  <c r="K182" i="11"/>
  <c r="J137" i="11"/>
  <c r="L104" i="11"/>
  <c r="J182" i="11"/>
  <c r="H115" i="11"/>
  <c r="I876" i="11"/>
  <c r="I919" i="11"/>
  <c r="H1023" i="11"/>
  <c r="K988" i="11"/>
  <c r="I967" i="11"/>
  <c r="L961" i="11"/>
  <c r="I886" i="11"/>
  <c r="K783" i="11"/>
  <c r="J783" i="11"/>
  <c r="I690" i="11"/>
  <c r="L749" i="11"/>
  <c r="K508" i="11"/>
  <c r="J415" i="11"/>
  <c r="J416" i="11"/>
  <c r="J421" i="11"/>
  <c r="K338" i="11"/>
  <c r="L254" i="11"/>
  <c r="K280" i="11"/>
  <c r="I163" i="11"/>
  <c r="H180" i="11"/>
  <c r="L96" i="11"/>
  <c r="I81" i="11"/>
  <c r="I115" i="11"/>
  <c r="L115" i="11"/>
  <c r="I441" i="11"/>
  <c r="J737" i="11"/>
  <c r="H737" i="11"/>
  <c r="H893" i="11"/>
  <c r="L949" i="11"/>
  <c r="H949" i="11"/>
  <c r="J921" i="11"/>
  <c r="K921" i="11"/>
  <c r="I904" i="11"/>
  <c r="H845" i="11"/>
  <c r="J870" i="11"/>
  <c r="L741" i="11"/>
  <c r="K741" i="11"/>
  <c r="L430" i="11"/>
  <c r="H430" i="11"/>
  <c r="H397" i="11"/>
  <c r="J397" i="11"/>
  <c r="H429" i="11"/>
  <c r="K429" i="11"/>
  <c r="J429" i="11"/>
  <c r="K537" i="11"/>
  <c r="H537" i="11"/>
  <c r="L473" i="11"/>
  <c r="K473" i="11"/>
  <c r="J473" i="11"/>
  <c r="H442" i="11"/>
  <c r="L442" i="11"/>
  <c r="H358" i="11"/>
  <c r="L358" i="11"/>
  <c r="H944" i="11"/>
  <c r="J944" i="11"/>
  <c r="K869" i="11"/>
  <c r="J845" i="11"/>
  <c r="J475" i="11"/>
  <c r="J946" i="11"/>
  <c r="K946" i="11"/>
  <c r="H965" i="11"/>
  <c r="L965" i="11"/>
  <c r="K956" i="11"/>
  <c r="J703" i="11"/>
  <c r="I703" i="11"/>
  <c r="K433" i="11"/>
  <c r="L433" i="11"/>
  <c r="I473" i="11"/>
  <c r="J976" i="11"/>
  <c r="H976" i="11"/>
  <c r="K1006" i="11"/>
  <c r="I1006" i="11"/>
  <c r="L869" i="11"/>
  <c r="H778" i="11"/>
  <c r="L774" i="11"/>
  <c r="J949" i="11"/>
  <c r="H932" i="11"/>
  <c r="I932" i="11"/>
  <c r="I682" i="11"/>
  <c r="L682" i="11"/>
  <c r="K682" i="11"/>
  <c r="H670" i="11"/>
  <c r="L670" i="11"/>
  <c r="J588" i="11"/>
  <c r="I831" i="11"/>
  <c r="L831" i="11"/>
  <c r="J975" i="11"/>
  <c r="L975" i="11"/>
  <c r="I767" i="11"/>
  <c r="L767" i="11"/>
  <c r="J612" i="11"/>
  <c r="K612" i="11"/>
  <c r="I975" i="11"/>
  <c r="J959" i="11"/>
  <c r="H855" i="11"/>
  <c r="K855" i="11"/>
  <c r="K713" i="11"/>
  <c r="L713" i="11"/>
  <c r="J1012" i="11"/>
  <c r="I949" i="11"/>
  <c r="H964" i="11"/>
  <c r="K964" i="11"/>
  <c r="J964" i="11"/>
  <c r="H946" i="11"/>
  <c r="I947" i="11"/>
  <c r="H947" i="11"/>
  <c r="L927" i="11"/>
  <c r="K927" i="11"/>
  <c r="H895" i="11"/>
  <c r="I895" i="11"/>
  <c r="H662" i="11"/>
  <c r="I653" i="11"/>
  <c r="K483" i="11"/>
  <c r="J483" i="11"/>
  <c r="K644" i="11"/>
  <c r="K549" i="11"/>
  <c r="L418" i="11"/>
  <c r="I370" i="11"/>
  <c r="K304" i="11"/>
  <c r="L255" i="11"/>
  <c r="J357" i="11"/>
  <c r="K41" i="11"/>
  <c r="H45" i="11"/>
  <c r="L577" i="11"/>
  <c r="L91" i="11"/>
  <c r="H582" i="11"/>
  <c r="K380" i="11"/>
  <c r="H58" i="11"/>
  <c r="K355" i="11"/>
  <c r="K716" i="11"/>
  <c r="K393" i="11"/>
  <c r="J195" i="11"/>
  <c r="L283" i="11"/>
  <c r="I686" i="11"/>
  <c r="J369" i="11"/>
  <c r="J337" i="11"/>
  <c r="K189" i="11"/>
  <c r="J424" i="11"/>
  <c r="H601" i="11"/>
  <c r="H988" i="11"/>
  <c r="J914" i="11"/>
  <c r="I775" i="11"/>
  <c r="H701" i="11"/>
  <c r="I685" i="11"/>
  <c r="L533" i="11"/>
  <c r="K542" i="11"/>
  <c r="J502" i="11"/>
  <c r="J581" i="11"/>
  <c r="J447" i="11"/>
  <c r="J340" i="11"/>
  <c r="I508" i="11"/>
  <c r="H357" i="11"/>
  <c r="L431" i="11"/>
  <c r="L406" i="11"/>
  <c r="L370" i="11"/>
  <c r="H402" i="11"/>
  <c r="H322" i="11"/>
  <c r="H239" i="11"/>
  <c r="L205" i="11"/>
  <c r="H209" i="11"/>
  <c r="J287" i="11"/>
  <c r="I261" i="11"/>
  <c r="I354" i="11"/>
  <c r="I188" i="11"/>
  <c r="I179" i="11"/>
  <c r="K188" i="11"/>
  <c r="K121" i="11"/>
  <c r="J102" i="11"/>
  <c r="J172" i="11"/>
  <c r="I119" i="11"/>
  <c r="L152" i="11"/>
  <c r="K89" i="11"/>
  <c r="L195" i="11"/>
  <c r="J81" i="11"/>
  <c r="K108" i="11"/>
  <c r="K704" i="11"/>
  <c r="L141" i="11"/>
  <c r="H627" i="11"/>
  <c r="K95" i="11"/>
  <c r="J924" i="11"/>
  <c r="H902" i="11"/>
  <c r="J829" i="11"/>
  <c r="J815" i="11"/>
  <c r="L654" i="11"/>
  <c r="H613" i="11"/>
  <c r="I663" i="11"/>
  <c r="J644" i="11"/>
  <c r="J529" i="11"/>
  <c r="L402" i="11"/>
  <c r="I424" i="11"/>
  <c r="K406" i="11"/>
  <c r="I402" i="11"/>
  <c r="K230" i="11"/>
  <c r="K318" i="11"/>
  <c r="H287" i="11"/>
  <c r="I262" i="11"/>
  <c r="I238" i="11"/>
  <c r="L286" i="11"/>
  <c r="J255" i="11"/>
  <c r="I239" i="11"/>
  <c r="L188" i="11"/>
  <c r="L187" i="11"/>
  <c r="H207" i="11"/>
  <c r="H136" i="11"/>
  <c r="K287" i="11"/>
  <c r="J268" i="11"/>
  <c r="L101" i="11"/>
  <c r="I62" i="11"/>
  <c r="L88" i="11"/>
  <c r="I281" i="11"/>
  <c r="I49" i="11"/>
  <c r="J41" i="11"/>
  <c r="I44" i="11"/>
  <c r="K835" i="11"/>
  <c r="I835" i="11"/>
  <c r="K141" i="11"/>
  <c r="H135" i="11"/>
  <c r="L615" i="11"/>
  <c r="K408" i="11"/>
  <c r="J95" i="11"/>
  <c r="I966" i="11"/>
  <c r="K980" i="11"/>
  <c r="L990" i="11"/>
  <c r="I924" i="11"/>
  <c r="H986" i="11"/>
  <c r="I914" i="11"/>
  <c r="L690" i="11"/>
  <c r="H629" i="11"/>
  <c r="H540" i="11"/>
  <c r="L497" i="11"/>
  <c r="I451" i="11"/>
  <c r="L322" i="11"/>
  <c r="L424" i="11"/>
  <c r="L422" i="11"/>
  <c r="H424" i="11"/>
  <c r="H201" i="11"/>
  <c r="K382" i="11"/>
  <c r="I286" i="11"/>
  <c r="J161" i="11"/>
  <c r="I255" i="11"/>
  <c r="I209" i="11"/>
  <c r="I299" i="11"/>
  <c r="L186" i="11"/>
  <c r="K340" i="11"/>
  <c r="I192" i="11"/>
  <c r="K243" i="11"/>
  <c r="H155" i="11"/>
  <c r="K139" i="11"/>
  <c r="I57" i="11"/>
  <c r="I25" i="11"/>
  <c r="K91" i="11"/>
  <c r="K828" i="11"/>
  <c r="H630" i="11"/>
  <c r="I828" i="11"/>
  <c r="K664" i="11"/>
  <c r="I755" i="11"/>
  <c r="H355" i="11"/>
  <c r="H95" i="11"/>
  <c r="J986" i="11"/>
  <c r="H970" i="11"/>
  <c r="H943" i="11"/>
  <c r="I943" i="11"/>
  <c r="I965" i="11"/>
  <c r="L823" i="11"/>
  <c r="I763" i="11"/>
  <c r="L693" i="11"/>
  <c r="J693" i="11"/>
  <c r="I756" i="11"/>
  <c r="K698" i="11"/>
  <c r="K810" i="11"/>
  <c r="J650" i="11"/>
  <c r="H650" i="11"/>
  <c r="L698" i="11"/>
  <c r="I650" i="11"/>
  <c r="I642" i="11"/>
  <c r="K610" i="11"/>
  <c r="L84" i="11"/>
  <c r="J84" i="11"/>
  <c r="I84" i="11"/>
  <c r="K84" i="11"/>
  <c r="H291" i="11"/>
  <c r="J291" i="11"/>
  <c r="I291" i="11"/>
  <c r="I997" i="11"/>
  <c r="J980" i="11"/>
  <c r="H915" i="11"/>
  <c r="H925" i="11"/>
  <c r="H938" i="11"/>
  <c r="L855" i="11"/>
  <c r="H864" i="11"/>
  <c r="H842" i="11"/>
  <c r="I854" i="11"/>
  <c r="L845" i="11"/>
  <c r="J927" i="11"/>
  <c r="H740" i="11"/>
  <c r="L760" i="11"/>
  <c r="H784" i="11"/>
  <c r="L737" i="11"/>
  <c r="K737" i="11"/>
  <c r="L754" i="11"/>
  <c r="H685" i="11"/>
  <c r="L543" i="11"/>
  <c r="K543" i="11"/>
  <c r="I631" i="11"/>
  <c r="H678" i="11"/>
  <c r="H567" i="11"/>
  <c r="L528" i="11"/>
  <c r="L492" i="11"/>
  <c r="J492" i="11"/>
  <c r="K492" i="11"/>
  <c r="L534" i="11"/>
  <c r="J534" i="11"/>
  <c r="K512" i="11"/>
  <c r="L512" i="11"/>
  <c r="K342" i="11"/>
  <c r="H342" i="11"/>
  <c r="L342" i="11"/>
  <c r="J401" i="11"/>
  <c r="H417" i="11"/>
  <c r="H423" i="11"/>
  <c r="L423" i="11"/>
  <c r="H158" i="11"/>
  <c r="H363" i="11"/>
  <c r="I343" i="11"/>
  <c r="H84" i="11"/>
  <c r="H677" i="11"/>
  <c r="L666" i="11"/>
  <c r="K666" i="11"/>
  <c r="H666" i="11"/>
  <c r="H640" i="11"/>
  <c r="I640" i="11"/>
  <c r="H535" i="11"/>
  <c r="K535" i="11"/>
  <c r="L642" i="11"/>
  <c r="J535" i="11"/>
  <c r="H486" i="11"/>
  <c r="K486" i="11"/>
  <c r="J313" i="11"/>
  <c r="K313" i="11"/>
  <c r="L183" i="11"/>
  <c r="J227" i="11"/>
  <c r="L113" i="11"/>
  <c r="K113" i="11"/>
  <c r="H526" i="11"/>
  <c r="I526" i="11"/>
  <c r="H453" i="11"/>
  <c r="I453" i="11"/>
  <c r="K500" i="11"/>
  <c r="J500" i="11"/>
  <c r="H518" i="11"/>
  <c r="I518" i="11"/>
  <c r="L518" i="11"/>
  <c r="H573" i="11"/>
  <c r="I573" i="11"/>
  <c r="J486" i="11"/>
  <c r="K417" i="11"/>
  <c r="L416" i="11"/>
  <c r="I416" i="11"/>
  <c r="I339" i="11"/>
  <c r="L339" i="11"/>
  <c r="K369" i="11"/>
  <c r="K377" i="11"/>
  <c r="J278" i="11"/>
  <c r="I278" i="11"/>
  <c r="J273" i="11"/>
  <c r="L278" i="11"/>
  <c r="H283" i="11"/>
  <c r="I283" i="11"/>
  <c r="H227" i="11"/>
  <c r="L227" i="11"/>
  <c r="J270" i="11"/>
  <c r="L270" i="11"/>
  <c r="K270" i="11"/>
  <c r="J171" i="11"/>
  <c r="L171" i="11"/>
  <c r="K522" i="11"/>
  <c r="H522" i="11"/>
  <c r="I925" i="11"/>
  <c r="J726" i="11"/>
  <c r="J760" i="11"/>
  <c r="H698" i="11"/>
  <c r="I659" i="11"/>
  <c r="H659" i="11"/>
  <c r="L527" i="11"/>
  <c r="J527" i="11"/>
  <c r="I527" i="11"/>
  <c r="L974" i="11"/>
  <c r="K873" i="11"/>
  <c r="I666" i="11"/>
  <c r="J526" i="11"/>
  <c r="H494" i="11"/>
  <c r="J494" i="11"/>
  <c r="L461" i="11"/>
  <c r="K461" i="11"/>
  <c r="L220" i="11"/>
  <c r="K220" i="11"/>
  <c r="H220" i="11"/>
  <c r="K990" i="11"/>
  <c r="L1006" i="11"/>
  <c r="I970" i="11"/>
  <c r="J983" i="11"/>
  <c r="L958" i="11"/>
  <c r="K967" i="11"/>
  <c r="J967" i="11"/>
  <c r="K951" i="11"/>
  <c r="H909" i="11"/>
  <c r="L943" i="11"/>
  <c r="J901" i="11"/>
  <c r="H901" i="11"/>
  <c r="L924" i="11"/>
  <c r="J871" i="11"/>
  <c r="K844" i="11"/>
  <c r="J836" i="11"/>
  <c r="L787" i="11"/>
  <c r="I737" i="11"/>
  <c r="L724" i="11"/>
  <c r="J724" i="11"/>
  <c r="L657" i="11"/>
  <c r="K658" i="11"/>
  <c r="L658" i="11"/>
  <c r="J658" i="11"/>
  <c r="K685" i="11"/>
  <c r="J642" i="11"/>
  <c r="I701" i="11"/>
  <c r="I605" i="11"/>
  <c r="H464" i="11"/>
  <c r="L526" i="11"/>
  <c r="H317" i="11"/>
  <c r="K397" i="11"/>
  <c r="K333" i="11"/>
  <c r="K354" i="11"/>
  <c r="H307" i="11"/>
  <c r="K307" i="11"/>
  <c r="L222" i="11"/>
  <c r="I222" i="11"/>
  <c r="K222" i="11"/>
  <c r="H343" i="11"/>
  <c r="H171" i="11"/>
  <c r="K171" i="11"/>
  <c r="H251" i="11"/>
  <c r="I251" i="11"/>
  <c r="K251" i="11"/>
  <c r="L648" i="11"/>
  <c r="K648" i="11"/>
  <c r="J648" i="11"/>
  <c r="H648" i="11"/>
  <c r="I648" i="11"/>
  <c r="L360" i="11"/>
  <c r="K360" i="11"/>
  <c r="I360" i="11"/>
  <c r="H360" i="11"/>
  <c r="J360" i="11"/>
  <c r="I753" i="11"/>
  <c r="H794" i="11"/>
  <c r="L762" i="11"/>
  <c r="I762" i="11"/>
  <c r="L785" i="11"/>
  <c r="H753" i="11"/>
  <c r="K970" i="11"/>
  <c r="J945" i="11"/>
  <c r="L844" i="11"/>
  <c r="I567" i="11"/>
  <c r="L957" i="11"/>
  <c r="K961" i="11"/>
  <c r="L963" i="11"/>
  <c r="I988" i="11"/>
  <c r="H951" i="11"/>
  <c r="K924" i="11"/>
  <c r="K934" i="11"/>
  <c r="K898" i="11"/>
  <c r="J855" i="11"/>
  <c r="H861" i="11"/>
  <c r="I906" i="11"/>
  <c r="H823" i="11"/>
  <c r="L782" i="11"/>
  <c r="K833" i="11"/>
  <c r="J832" i="11"/>
  <c r="L645" i="11"/>
  <c r="J645" i="11"/>
  <c r="I791" i="11"/>
  <c r="H765" i="11"/>
  <c r="H833" i="11"/>
  <c r="K650" i="11"/>
  <c r="J599" i="11"/>
  <c r="I599" i="11"/>
  <c r="J631" i="11"/>
  <c r="I486" i="11"/>
  <c r="L488" i="11"/>
  <c r="I572" i="11"/>
  <c r="H509" i="11"/>
  <c r="L509" i="11"/>
  <c r="J508" i="11"/>
  <c r="L486" i="11"/>
  <c r="K534" i="11"/>
  <c r="K489" i="11"/>
  <c r="I489" i="11"/>
  <c r="L238" i="11"/>
  <c r="J197" i="11"/>
  <c r="I197" i="11"/>
  <c r="L307" i="11"/>
  <c r="H215" i="11"/>
  <c r="L251" i="11"/>
  <c r="K131" i="11"/>
  <c r="I131" i="11"/>
  <c r="I609" i="11"/>
  <c r="J609" i="11"/>
  <c r="K609" i="11"/>
  <c r="L609" i="11"/>
  <c r="L145" i="11"/>
  <c r="H145" i="11"/>
  <c r="J145" i="11"/>
  <c r="K145" i="11"/>
  <c r="I145" i="11"/>
  <c r="J753" i="11"/>
  <c r="J970" i="11"/>
  <c r="K871" i="11"/>
  <c r="I842" i="11"/>
  <c r="J791" i="11"/>
  <c r="L945" i="11"/>
  <c r="H810" i="11"/>
  <c r="H635" i="11"/>
  <c r="I635" i="11"/>
  <c r="L703" i="11"/>
  <c r="H584" i="11"/>
  <c r="J445" i="11"/>
  <c r="K445" i="11"/>
  <c r="L989" i="11"/>
  <c r="K971" i="11"/>
  <c r="I989" i="11"/>
  <c r="H971" i="11"/>
  <c r="J984" i="11"/>
  <c r="H914" i="11"/>
  <c r="J951" i="11"/>
  <c r="L926" i="11"/>
  <c r="I855" i="11"/>
  <c r="K901" i="11"/>
  <c r="H904" i="11"/>
  <c r="L833" i="11"/>
  <c r="K831" i="11"/>
  <c r="H762" i="11"/>
  <c r="L736" i="11"/>
  <c r="J762" i="11"/>
  <c r="H706" i="11"/>
  <c r="I706" i="11"/>
  <c r="H690" i="11"/>
  <c r="J639" i="11"/>
  <c r="I639" i="11"/>
  <c r="J698" i="11"/>
  <c r="L650" i="11"/>
  <c r="H543" i="11"/>
  <c r="L550" i="11"/>
  <c r="L508" i="11"/>
  <c r="K540" i="11"/>
  <c r="H484" i="11"/>
  <c r="I484" i="11"/>
  <c r="J484" i="11"/>
  <c r="K484" i="11"/>
  <c r="L484" i="11"/>
  <c r="L536" i="11"/>
  <c r="K536" i="11"/>
  <c r="J418" i="11"/>
  <c r="I418" i="11"/>
  <c r="J386" i="11"/>
  <c r="I386" i="11"/>
  <c r="K238" i="11"/>
  <c r="J283" i="11"/>
  <c r="L92" i="11"/>
  <c r="K92" i="11"/>
  <c r="L28" i="11"/>
  <c r="J28" i="11"/>
  <c r="L291" i="11"/>
  <c r="K183" i="11"/>
  <c r="J256" i="11"/>
  <c r="J220" i="11"/>
  <c r="L318" i="11"/>
  <c r="K267" i="11"/>
  <c r="L109" i="11"/>
  <c r="J100" i="11"/>
  <c r="I625" i="11"/>
  <c r="J625" i="11"/>
  <c r="L688" i="11"/>
  <c r="K688" i="11"/>
  <c r="L816" i="11"/>
  <c r="I816" i="11"/>
  <c r="H538" i="11"/>
  <c r="K931" i="11"/>
  <c r="I931" i="11"/>
  <c r="L735" i="11"/>
  <c r="J735" i="11"/>
  <c r="J558" i="11"/>
  <c r="I558" i="11"/>
  <c r="H558" i="11"/>
  <c r="L153" i="11"/>
  <c r="K153" i="11"/>
  <c r="I153" i="11"/>
  <c r="K117" i="11"/>
  <c r="I117" i="11"/>
  <c r="J538" i="11"/>
  <c r="L203" i="11"/>
  <c r="K137" i="11"/>
  <c r="K119" i="11"/>
  <c r="J119" i="11"/>
  <c r="H119" i="11"/>
  <c r="L759" i="11"/>
  <c r="J759" i="11"/>
  <c r="I759" i="11"/>
  <c r="H759" i="11"/>
  <c r="K498" i="11"/>
  <c r="J498" i="11"/>
  <c r="H498" i="11"/>
  <c r="L498" i="11"/>
  <c r="L368" i="11"/>
  <c r="H368" i="11"/>
  <c r="K368" i="11"/>
  <c r="L384" i="11"/>
  <c r="I384" i="11"/>
  <c r="H78" i="11"/>
  <c r="K78" i="11"/>
  <c r="L538" i="11"/>
  <c r="K438" i="11"/>
  <c r="I438" i="11"/>
  <c r="K177" i="11"/>
  <c r="L979" i="11"/>
  <c r="I979" i="11"/>
  <c r="H979" i="11"/>
  <c r="L122" i="11"/>
  <c r="K122" i="11"/>
  <c r="H122" i="11"/>
  <c r="L743" i="11"/>
  <c r="J743" i="11"/>
  <c r="I743" i="11"/>
  <c r="H743" i="11"/>
  <c r="K471" i="11"/>
  <c r="H471" i="11"/>
  <c r="I471" i="11"/>
  <c r="L680" i="11"/>
  <c r="K680" i="11"/>
  <c r="L177" i="11"/>
  <c r="H177" i="11"/>
  <c r="J295" i="11"/>
  <c r="I295" i="11"/>
  <c r="L324" i="11"/>
  <c r="I900" i="11"/>
  <c r="K384" i="11"/>
  <c r="I702" i="11"/>
  <c r="J379" i="11"/>
  <c r="K379" i="11"/>
  <c r="L392" i="11"/>
  <c r="H392" i="11"/>
  <c r="K530" i="11"/>
  <c r="L530" i="11"/>
  <c r="L727" i="11"/>
  <c r="J727" i="11"/>
  <c r="H727" i="11"/>
  <c r="L111" i="11"/>
  <c r="H111" i="11"/>
  <c r="J910" i="11"/>
  <c r="I425" i="11"/>
  <c r="J979" i="11"/>
  <c r="L400" i="11"/>
  <c r="I400" i="11"/>
  <c r="K400" i="11"/>
  <c r="K323" i="11"/>
  <c r="L103" i="11"/>
  <c r="K103" i="11"/>
  <c r="I320" i="11"/>
  <c r="K583" i="11"/>
  <c r="H565" i="11"/>
  <c r="J431" i="11"/>
  <c r="I395" i="11"/>
  <c r="I359" i="11"/>
  <c r="L359" i="11"/>
  <c r="K239" i="11"/>
  <c r="J78" i="11"/>
  <c r="K192" i="11"/>
  <c r="I78" i="11"/>
  <c r="J123" i="11"/>
  <c r="K25" i="11"/>
  <c r="J164" i="11"/>
  <c r="I126" i="11"/>
  <c r="L70" i="11"/>
  <c r="K126" i="11"/>
  <c r="I73" i="11"/>
  <c r="K100" i="11"/>
  <c r="L75" i="11"/>
  <c r="K725" i="11"/>
  <c r="H725" i="11"/>
  <c r="J897" i="11"/>
  <c r="I897" i="11"/>
  <c r="H730" i="11"/>
  <c r="J889" i="11"/>
  <c r="I889" i="11"/>
  <c r="H889" i="11"/>
  <c r="L618" i="11"/>
  <c r="H618" i="11"/>
  <c r="L352" i="11"/>
  <c r="H352" i="11"/>
  <c r="K352" i="11"/>
  <c r="I352" i="11"/>
  <c r="L312" i="11"/>
  <c r="K312" i="11"/>
  <c r="I312" i="11"/>
  <c r="J117" i="11"/>
  <c r="J446" i="11"/>
  <c r="J231" i="11"/>
  <c r="I231" i="11"/>
  <c r="I730" i="11"/>
  <c r="L328" i="11"/>
  <c r="I328" i="11"/>
  <c r="L169" i="11"/>
  <c r="K169" i="11"/>
  <c r="I169" i="11"/>
  <c r="J688" i="11"/>
  <c r="K392" i="11"/>
  <c r="J931" i="11"/>
  <c r="J656" i="11"/>
  <c r="I954" i="11"/>
  <c r="H577" i="11"/>
  <c r="H675" i="11"/>
  <c r="L612" i="11"/>
  <c r="L393" i="11"/>
  <c r="K421" i="11"/>
  <c r="J181" i="11"/>
  <c r="K295" i="11"/>
  <c r="I148" i="11"/>
  <c r="J214" i="11"/>
  <c r="I207" i="11"/>
  <c r="J148" i="11"/>
  <c r="L117" i="11"/>
  <c r="L192" i="11"/>
  <c r="I70" i="11"/>
  <c r="K49" i="11"/>
  <c r="J180" i="11"/>
  <c r="J89" i="11"/>
  <c r="I36" i="11"/>
  <c r="K62" i="11"/>
  <c r="J126" i="11"/>
  <c r="H75" i="11"/>
  <c r="L716" i="11"/>
  <c r="H716" i="11"/>
  <c r="L867" i="11"/>
  <c r="I867" i="11"/>
  <c r="H867" i="11"/>
  <c r="J719" i="11"/>
  <c r="I719" i="11"/>
  <c r="L336" i="11"/>
  <c r="I336" i="11"/>
  <c r="H336" i="11"/>
  <c r="K696" i="11"/>
  <c r="J680" i="11"/>
  <c r="H852" i="11"/>
  <c r="J530" i="11"/>
  <c r="L344" i="11"/>
  <c r="I344" i="11"/>
  <c r="J111" i="11"/>
  <c r="K370" i="11"/>
  <c r="J203" i="11"/>
  <c r="J177" i="11"/>
  <c r="L295" i="11"/>
  <c r="J228" i="11"/>
  <c r="H254" i="11"/>
  <c r="K203" i="11"/>
  <c r="H187" i="11"/>
  <c r="J188" i="11"/>
  <c r="K148" i="11"/>
  <c r="I102" i="11"/>
  <c r="L78" i="11"/>
  <c r="L672" i="11"/>
  <c r="J672" i="11"/>
  <c r="K694" i="11"/>
  <c r="I694" i="11"/>
  <c r="L185" i="11"/>
  <c r="I185" i="11"/>
  <c r="H185" i="11"/>
  <c r="K185" i="11"/>
  <c r="H545" i="11"/>
  <c r="L751" i="11"/>
  <c r="J751" i="11"/>
  <c r="J135" i="11"/>
  <c r="I135" i="11"/>
  <c r="K672" i="11"/>
  <c r="L161" i="11"/>
  <c r="I161" i="11"/>
  <c r="K656" i="11"/>
  <c r="L376" i="11"/>
  <c r="K376" i="11"/>
  <c r="I376" i="11"/>
  <c r="H320" i="11"/>
  <c r="I735" i="11"/>
  <c r="H514" i="11"/>
  <c r="K336" i="11"/>
  <c r="H153" i="11"/>
  <c r="K111" i="11"/>
  <c r="H647" i="11"/>
  <c r="K647" i="11"/>
  <c r="J647" i="11"/>
  <c r="L647" i="11"/>
  <c r="H903" i="11"/>
  <c r="K903" i="11"/>
  <c r="J903" i="11"/>
  <c r="I903" i="11"/>
  <c r="L903" i="11"/>
  <c r="I602" i="11"/>
  <c r="L602" i="11"/>
  <c r="K602" i="11"/>
  <c r="J602" i="11"/>
  <c r="H602" i="11"/>
  <c r="I892" i="11"/>
  <c r="L892" i="11"/>
  <c r="H892" i="11"/>
  <c r="K892" i="11"/>
  <c r="J918" i="11"/>
  <c r="I918" i="11"/>
  <c r="H918" i="11"/>
  <c r="L918" i="11"/>
  <c r="L669" i="11"/>
  <c r="J669" i="11"/>
  <c r="I669" i="11"/>
  <c r="K669" i="11"/>
  <c r="H669" i="11"/>
  <c r="J953" i="11"/>
  <c r="K953" i="11"/>
  <c r="H953" i="11"/>
  <c r="L953" i="11"/>
  <c r="I953" i="11"/>
  <c r="J848" i="11"/>
  <c r="L848" i="11"/>
  <c r="K848" i="11"/>
  <c r="H848" i="11"/>
  <c r="J728" i="11"/>
  <c r="I728" i="11"/>
  <c r="H728" i="11"/>
  <c r="L728" i="11"/>
  <c r="K728" i="11"/>
  <c r="I647" i="11"/>
  <c r="I620" i="11"/>
  <c r="L620" i="11"/>
  <c r="H620" i="11"/>
  <c r="K620" i="11"/>
  <c r="J620" i="11"/>
  <c r="I721" i="11"/>
  <c r="L721" i="11"/>
  <c r="J721" i="11"/>
  <c r="K721" i="11"/>
  <c r="L877" i="11"/>
  <c r="K877" i="11"/>
  <c r="H877" i="11"/>
  <c r="J877" i="11"/>
  <c r="I761" i="11"/>
  <c r="L761" i="11"/>
  <c r="K761" i="11"/>
  <c r="J761" i="11"/>
  <c r="H761" i="11"/>
  <c r="J673" i="11"/>
  <c r="I673" i="11"/>
  <c r="H673" i="11"/>
  <c r="K673" i="11"/>
  <c r="L673" i="11"/>
  <c r="K982" i="11"/>
  <c r="I982" i="11"/>
  <c r="J982" i="11"/>
  <c r="H982" i="11"/>
  <c r="L982" i="11"/>
  <c r="J874" i="11"/>
  <c r="L874" i="11"/>
  <c r="H874" i="11"/>
  <c r="K874" i="11"/>
  <c r="I874" i="11"/>
  <c r="K827" i="11"/>
  <c r="J827" i="11"/>
  <c r="I827" i="11"/>
  <c r="H827" i="11"/>
  <c r="L827" i="11"/>
  <c r="J806" i="11"/>
  <c r="H806" i="11"/>
  <c r="I806" i="11"/>
  <c r="L806" i="11"/>
  <c r="L776" i="11"/>
  <c r="K776" i="11"/>
  <c r="I776" i="11"/>
  <c r="J776" i="11"/>
  <c r="H776" i="11"/>
  <c r="L594" i="11"/>
  <c r="I594" i="11"/>
  <c r="K594" i="11"/>
  <c r="J594" i="11"/>
  <c r="H594" i="11"/>
  <c r="L1008" i="11"/>
  <c r="K1008" i="11"/>
  <c r="I1008" i="11"/>
  <c r="J1008" i="11"/>
  <c r="H1008" i="11"/>
  <c r="J822" i="11"/>
  <c r="I822" i="11"/>
  <c r="H822" i="11"/>
  <c r="K822" i="11"/>
  <c r="J742" i="11"/>
  <c r="L773" i="11"/>
  <c r="K773" i="11"/>
  <c r="I773" i="11"/>
  <c r="H773" i="11"/>
  <c r="J773" i="11"/>
  <c r="H758" i="11"/>
  <c r="L758" i="11"/>
  <c r="J758" i="11"/>
  <c r="K758" i="11"/>
  <c r="I758" i="11"/>
  <c r="K806" i="11"/>
  <c r="L729" i="11"/>
  <c r="K729" i="11"/>
  <c r="J729" i="11"/>
  <c r="I729" i="11"/>
  <c r="H729" i="11"/>
  <c r="J591" i="11"/>
  <c r="H591" i="11"/>
  <c r="I591" i="11"/>
  <c r="L591" i="11"/>
  <c r="K591" i="11"/>
  <c r="L519" i="11"/>
  <c r="I519" i="11"/>
  <c r="K519" i="11"/>
  <c r="J519" i="11"/>
  <c r="H519" i="11"/>
  <c r="K991" i="11"/>
  <c r="J991" i="11"/>
  <c r="L991" i="11"/>
  <c r="I991" i="11"/>
  <c r="I884" i="11"/>
  <c r="H884" i="11"/>
  <c r="K884" i="11"/>
  <c r="L884" i="11"/>
  <c r="J884" i="11"/>
  <c r="J790" i="11"/>
  <c r="H790" i="11"/>
  <c r="I790" i="11"/>
  <c r="K790" i="11"/>
  <c r="L790" i="11"/>
  <c r="I1009" i="11"/>
  <c r="H1009" i="11"/>
  <c r="K1009" i="11"/>
  <c r="H868" i="11"/>
  <c r="I868" i="11"/>
  <c r="L868" i="11"/>
  <c r="J868" i="11"/>
  <c r="H807" i="11"/>
  <c r="L807" i="11"/>
  <c r="J807" i="11"/>
  <c r="K807" i="11"/>
  <c r="I712" i="11"/>
  <c r="J712" i="11"/>
  <c r="L712" i="11"/>
  <c r="K712" i="11"/>
  <c r="L707" i="11"/>
  <c r="K707" i="11"/>
  <c r="J707" i="11"/>
  <c r="I707" i="11"/>
  <c r="H707" i="11"/>
  <c r="J825" i="11"/>
  <c r="I825" i="11"/>
  <c r="H825" i="11"/>
  <c r="L825" i="11"/>
  <c r="H799" i="11"/>
  <c r="L799" i="11"/>
  <c r="I799" i="11"/>
  <c r="J799" i="11"/>
  <c r="L800" i="11"/>
  <c r="K800" i="11"/>
  <c r="J800" i="11"/>
  <c r="H800" i="11"/>
  <c r="I800" i="11"/>
  <c r="K746" i="11"/>
  <c r="J746" i="11"/>
  <c r="I746" i="11"/>
  <c r="H746" i="11"/>
  <c r="L746" i="11"/>
  <c r="H723" i="11"/>
  <c r="L723" i="11"/>
  <c r="I723" i="11"/>
  <c r="J723" i="11"/>
  <c r="K723" i="11"/>
  <c r="I621" i="11"/>
  <c r="L621" i="11"/>
  <c r="H621" i="11"/>
  <c r="K621" i="11"/>
  <c r="J621" i="11"/>
  <c r="K939" i="11"/>
  <c r="J939" i="11"/>
  <c r="H939" i="11"/>
  <c r="I939" i="11"/>
  <c r="H734" i="11"/>
  <c r="L734" i="11"/>
  <c r="K734" i="11"/>
  <c r="J734" i="11"/>
  <c r="I734" i="11"/>
  <c r="J757" i="11"/>
  <c r="I757" i="11"/>
  <c r="H757" i="11"/>
  <c r="K757" i="11"/>
  <c r="L742" i="11"/>
  <c r="K742" i="11"/>
  <c r="H742" i="11"/>
  <c r="L757" i="11"/>
  <c r="J607" i="11"/>
  <c r="H607" i="11"/>
  <c r="L607" i="11"/>
  <c r="I607" i="11"/>
  <c r="K607" i="11"/>
  <c r="L1009" i="11"/>
  <c r="L822" i="11"/>
  <c r="K674" i="11"/>
  <c r="H674" i="11"/>
  <c r="L674" i="11"/>
  <c r="I674" i="11"/>
  <c r="K1018" i="11"/>
  <c r="L1018" i="11"/>
  <c r="J1018" i="11"/>
  <c r="H1018" i="11"/>
  <c r="I1018" i="11"/>
  <c r="H998" i="11"/>
  <c r="K998" i="11"/>
  <c r="L998" i="11"/>
  <c r="J998" i="11"/>
  <c r="I998" i="11"/>
  <c r="J892" i="11"/>
  <c r="K918" i="11"/>
  <c r="L732" i="11"/>
  <c r="K732" i="11"/>
  <c r="J732" i="11"/>
  <c r="I732" i="11"/>
  <c r="H732" i="11"/>
  <c r="L661" i="11"/>
  <c r="I661" i="11"/>
  <c r="H661" i="11"/>
  <c r="K661" i="11"/>
  <c r="K819" i="11"/>
  <c r="I819" i="11"/>
  <c r="J819" i="11"/>
  <c r="H819" i="11"/>
  <c r="L819" i="11"/>
  <c r="H679" i="11"/>
  <c r="K679" i="11"/>
  <c r="L679" i="11"/>
  <c r="J679" i="11"/>
  <c r="L1010" i="11"/>
  <c r="K1010" i="11"/>
  <c r="I1010" i="11"/>
  <c r="J1010" i="11"/>
  <c r="H1010" i="11"/>
  <c r="K1005" i="11"/>
  <c r="J1005" i="11"/>
  <c r="H1005" i="11"/>
  <c r="I1005" i="11"/>
  <c r="L976" i="11"/>
  <c r="K976" i="11"/>
  <c r="I976" i="11"/>
  <c r="K922" i="11"/>
  <c r="I922" i="11"/>
  <c r="H922" i="11"/>
  <c r="H955" i="11"/>
  <c r="I955" i="11"/>
  <c r="K955" i="11"/>
  <c r="L955" i="11"/>
  <c r="L922" i="11"/>
  <c r="L939" i="11"/>
  <c r="K868" i="11"/>
  <c r="L843" i="11"/>
  <c r="K843" i="11"/>
  <c r="J843" i="11"/>
  <c r="I843" i="11"/>
  <c r="J834" i="11"/>
  <c r="H834" i="11"/>
  <c r="I834" i="11"/>
  <c r="L834" i="11"/>
  <c r="K834" i="11"/>
  <c r="J880" i="11"/>
  <c r="L880" i="11"/>
  <c r="K880" i="11"/>
  <c r="I880" i="11"/>
  <c r="I969" i="11"/>
  <c r="H969" i="11"/>
  <c r="J969" i="11"/>
  <c r="L969" i="11"/>
  <c r="L1015" i="11"/>
  <c r="I1015" i="11"/>
  <c r="J1015" i="11"/>
  <c r="H1015" i="11"/>
  <c r="K1015" i="11"/>
  <c r="K885" i="11"/>
  <c r="H885" i="11"/>
  <c r="L885" i="11"/>
  <c r="J885" i="11"/>
  <c r="J955" i="11"/>
  <c r="L920" i="11"/>
  <c r="K920" i="11"/>
  <c r="J920" i="11"/>
  <c r="I920" i="11"/>
  <c r="H920" i="11"/>
  <c r="K878" i="11"/>
  <c r="H878" i="11"/>
  <c r="J878" i="11"/>
  <c r="I878" i="11"/>
  <c r="L878" i="11"/>
  <c r="L896" i="11"/>
  <c r="K896" i="11"/>
  <c r="I896" i="11"/>
  <c r="J896" i="11"/>
  <c r="H896" i="11"/>
  <c r="I913" i="11"/>
  <c r="H913" i="11"/>
  <c r="K913" i="11"/>
  <c r="L913" i="11"/>
  <c r="J913" i="11"/>
  <c r="I877" i="11"/>
  <c r="H843" i="11"/>
  <c r="K870" i="11"/>
  <c r="H870" i="11"/>
  <c r="L870" i="11"/>
  <c r="J923" i="11"/>
  <c r="K923" i="11"/>
  <c r="I923" i="11"/>
  <c r="L923" i="11"/>
  <c r="L756" i="11"/>
  <c r="K756" i="11"/>
  <c r="J756" i="11"/>
  <c r="K799" i="11"/>
  <c r="L765" i="11"/>
  <c r="K765" i="11"/>
  <c r="J765" i="11"/>
  <c r="K795" i="11"/>
  <c r="I795" i="11"/>
  <c r="J795" i="11"/>
  <c r="L795" i="11"/>
  <c r="L768" i="11"/>
  <c r="K768" i="11"/>
  <c r="J768" i="11"/>
  <c r="I768" i="11"/>
  <c r="H768" i="11"/>
  <c r="J649" i="11"/>
  <c r="I649" i="11"/>
  <c r="H649" i="11"/>
  <c r="J820" i="11"/>
  <c r="J752" i="11"/>
  <c r="J697" i="11"/>
  <c r="I697" i="11"/>
  <c r="H697" i="11"/>
  <c r="L683" i="11"/>
  <c r="J683" i="11"/>
  <c r="K683" i="11"/>
  <c r="J586" i="11"/>
  <c r="H671" i="11"/>
  <c r="K671" i="11"/>
  <c r="K587" i="11"/>
  <c r="J587" i="11"/>
  <c r="I587" i="11"/>
  <c r="H973" i="11"/>
  <c r="J996" i="11"/>
  <c r="L962" i="11"/>
  <c r="K962" i="11"/>
  <c r="I962" i="11"/>
  <c r="I977" i="11"/>
  <c r="J977" i="11"/>
  <c r="K1002" i="11"/>
  <c r="L1002" i="11"/>
  <c r="J997" i="11"/>
  <c r="K997" i="11"/>
  <c r="K1011" i="11"/>
  <c r="J1011" i="11"/>
  <c r="I1011" i="11"/>
  <c r="H1011" i="11"/>
  <c r="K966" i="11"/>
  <c r="H966" i="11"/>
  <c r="K978" i="11"/>
  <c r="L978" i="11"/>
  <c r="J966" i="11"/>
  <c r="L917" i="11"/>
  <c r="H917" i="11"/>
  <c r="K925" i="11"/>
  <c r="L899" i="11"/>
  <c r="I899" i="11"/>
  <c r="K899" i="11"/>
  <c r="J899" i="11"/>
  <c r="J902" i="11"/>
  <c r="I902" i="11"/>
  <c r="K902" i="11"/>
  <c r="H906" i="11"/>
  <c r="I860" i="11"/>
  <c r="H860" i="11"/>
  <c r="L860" i="11"/>
  <c r="K864" i="11"/>
  <c r="L818" i="11"/>
  <c r="J818" i="11"/>
  <c r="J831" i="11"/>
  <c r="L619" i="11"/>
  <c r="K619" i="11"/>
  <c r="I619" i="11"/>
  <c r="H658" i="11"/>
  <c r="K585" i="11"/>
  <c r="L639" i="11"/>
  <c r="K645" i="11"/>
  <c r="K575" i="11"/>
  <c r="L575" i="11"/>
  <c r="J575" i="11"/>
  <c r="I561" i="11"/>
  <c r="H561" i="11"/>
  <c r="L561" i="11"/>
  <c r="K485" i="11"/>
  <c r="J485" i="11"/>
  <c r="I485" i="11"/>
  <c r="L521" i="11"/>
  <c r="K546" i="11"/>
  <c r="L546" i="11"/>
  <c r="J546" i="11"/>
  <c r="L413" i="11"/>
  <c r="H413" i="11"/>
  <c r="H461" i="11"/>
  <c r="I374" i="11"/>
  <c r="J374" i="11"/>
  <c r="L297" i="11"/>
  <c r="K297" i="11"/>
  <c r="I444" i="11"/>
  <c r="L444" i="11"/>
  <c r="H444" i="11"/>
  <c r="K246" i="11"/>
  <c r="J363" i="11"/>
  <c r="K363" i="11"/>
  <c r="I248" i="11"/>
  <c r="H248" i="11"/>
  <c r="L248" i="11"/>
  <c r="K210" i="11"/>
  <c r="J210" i="11"/>
  <c r="I210" i="11"/>
  <c r="K194" i="11"/>
  <c r="I194" i="11"/>
  <c r="H194" i="11"/>
  <c r="L151" i="11"/>
  <c r="J331" i="11"/>
  <c r="K331" i="11"/>
  <c r="I162" i="11"/>
  <c r="H162" i="11"/>
  <c r="I146" i="11"/>
  <c r="H146" i="11"/>
  <c r="L294" i="11"/>
  <c r="H216" i="11"/>
  <c r="L216" i="11"/>
  <c r="I216" i="11"/>
  <c r="L181" i="11"/>
  <c r="H181" i="11"/>
  <c r="K986" i="11"/>
  <c r="L986" i="11"/>
  <c r="H996" i="11"/>
  <c r="J978" i="11"/>
  <c r="H983" i="11"/>
  <c r="L983" i="11"/>
  <c r="J968" i="11"/>
  <c r="I968" i="11"/>
  <c r="H968" i="11"/>
  <c r="K893" i="11"/>
  <c r="I893" i="11"/>
  <c r="H930" i="11"/>
  <c r="L1013" i="11"/>
  <c r="J1013" i="11"/>
  <c r="K1013" i="11"/>
  <c r="J930" i="11"/>
  <c r="L919" i="11"/>
  <c r="J893" i="11"/>
  <c r="L856" i="11"/>
  <c r="H856" i="11"/>
  <c r="K915" i="11"/>
  <c r="J915" i="11"/>
  <c r="I881" i="11"/>
  <c r="H881" i="11"/>
  <c r="J881" i="11"/>
  <c r="K943" i="11"/>
  <c r="H921" i="11"/>
  <c r="L921" i="11"/>
  <c r="I921" i="11"/>
  <c r="K912" i="11"/>
  <c r="L912" i="11"/>
  <c r="K856" i="11"/>
  <c r="J933" i="11"/>
  <c r="L933" i="11"/>
  <c r="K933" i="11"/>
  <c r="I872" i="11"/>
  <c r="H847" i="11"/>
  <c r="I847" i="11"/>
  <c r="I891" i="11"/>
  <c r="K932" i="11"/>
  <c r="L956" i="11"/>
  <c r="J872" i="11"/>
  <c r="L836" i="11"/>
  <c r="J864" i="11"/>
  <c r="H831" i="11"/>
  <c r="I786" i="11"/>
  <c r="I833" i="11"/>
  <c r="H832" i="11"/>
  <c r="J801" i="11"/>
  <c r="I801" i="11"/>
  <c r="H801" i="11"/>
  <c r="J744" i="11"/>
  <c r="I744" i="11"/>
  <c r="H744" i="11"/>
  <c r="L792" i="11"/>
  <c r="K792" i="11"/>
  <c r="J792" i="11"/>
  <c r="I792" i="11"/>
  <c r="L744" i="11"/>
  <c r="L813" i="11"/>
  <c r="K813" i="11"/>
  <c r="J813" i="11"/>
  <c r="I813" i="11"/>
  <c r="L781" i="11"/>
  <c r="K781" i="11"/>
  <c r="J781" i="11"/>
  <c r="I781" i="11"/>
  <c r="H709" i="11"/>
  <c r="L632" i="11"/>
  <c r="H632" i="11"/>
  <c r="I632" i="11"/>
  <c r="L610" i="11"/>
  <c r="I610" i="11"/>
  <c r="J705" i="11"/>
  <c r="I705" i="11"/>
  <c r="H705" i="11"/>
  <c r="J713" i="11"/>
  <c r="K697" i="11"/>
  <c r="J709" i="11"/>
  <c r="I692" i="11"/>
  <c r="H692" i="11"/>
  <c r="J634" i="11"/>
  <c r="K634" i="11"/>
  <c r="L634" i="11"/>
  <c r="L580" i="11"/>
  <c r="K613" i="11"/>
  <c r="K646" i="11"/>
  <c r="J646" i="11"/>
  <c r="I646" i="11"/>
  <c r="H619" i="11"/>
  <c r="L700" i="11"/>
  <c r="J636" i="11"/>
  <c r="I677" i="11"/>
  <c r="J629" i="11"/>
  <c r="L629" i="11"/>
  <c r="K629" i="11"/>
  <c r="H703" i="11"/>
  <c r="K703" i="11"/>
  <c r="K595" i="11"/>
  <c r="J595" i="11"/>
  <c r="I595" i="11"/>
  <c r="H527" i="11"/>
  <c r="H495" i="11"/>
  <c r="L495" i="11"/>
  <c r="I495" i="11"/>
  <c r="L493" i="11"/>
  <c r="K597" i="11"/>
  <c r="L597" i="11"/>
  <c r="J597" i="11"/>
  <c r="J574" i="11"/>
  <c r="H574" i="11"/>
  <c r="I574" i="11"/>
  <c r="L592" i="11"/>
  <c r="J592" i="11"/>
  <c r="K592" i="11"/>
  <c r="J749" i="11"/>
  <c r="I749" i="11"/>
  <c r="H749" i="11"/>
  <c r="J554" i="11"/>
  <c r="I516" i="11"/>
  <c r="J495" i="11"/>
  <c r="K579" i="11"/>
  <c r="J579" i="11"/>
  <c r="I579" i="11"/>
  <c r="K525" i="11"/>
  <c r="I525" i="11"/>
  <c r="J525" i="11"/>
  <c r="L584" i="11"/>
  <c r="J584" i="11"/>
  <c r="K584" i="11"/>
  <c r="J544" i="11"/>
  <c r="I544" i="11"/>
  <c r="I524" i="11"/>
  <c r="J503" i="11"/>
  <c r="K586" i="11"/>
  <c r="H459" i="11"/>
  <c r="L445" i="11"/>
  <c r="I445" i="11"/>
  <c r="L429" i="11"/>
  <c r="I429" i="11"/>
  <c r="I543" i="11"/>
  <c r="I500" i="11"/>
  <c r="L450" i="11"/>
  <c r="K450" i="11"/>
  <c r="H450" i="11"/>
  <c r="J540" i="11"/>
  <c r="I456" i="11"/>
  <c r="I540" i="11"/>
  <c r="K506" i="11"/>
  <c r="J506" i="11"/>
  <c r="L506" i="11"/>
  <c r="I548" i="11"/>
  <c r="J448" i="11"/>
  <c r="I448" i="11"/>
  <c r="L448" i="11"/>
  <c r="K448" i="11"/>
  <c r="J434" i="11"/>
  <c r="K434" i="11"/>
  <c r="I503" i="11"/>
  <c r="I406" i="11"/>
  <c r="J406" i="11"/>
  <c r="L381" i="11"/>
  <c r="I381" i="11"/>
  <c r="I366" i="11"/>
  <c r="J366" i="11"/>
  <c r="L341" i="11"/>
  <c r="I341" i="11"/>
  <c r="J341" i="11"/>
  <c r="L331" i="11"/>
  <c r="L265" i="11"/>
  <c r="K265" i="11"/>
  <c r="H431" i="11"/>
  <c r="K431" i="11"/>
  <c r="L410" i="11"/>
  <c r="L394" i="11"/>
  <c r="L378" i="11"/>
  <c r="L362" i="11"/>
  <c r="L346" i="11"/>
  <c r="L330" i="11"/>
  <c r="L314" i="11"/>
  <c r="K398" i="11"/>
  <c r="I417" i="11"/>
  <c r="J417" i="11"/>
  <c r="H366" i="11"/>
  <c r="I337" i="11"/>
  <c r="H337" i="11"/>
  <c r="K367" i="11"/>
  <c r="L367" i="11"/>
  <c r="I330" i="11"/>
  <c r="L260" i="11"/>
  <c r="K260" i="11"/>
  <c r="H260" i="11"/>
  <c r="K282" i="11"/>
  <c r="H282" i="11"/>
  <c r="J282" i="11"/>
  <c r="I282" i="11"/>
  <c r="L212" i="11"/>
  <c r="H212" i="11"/>
  <c r="I212" i="11"/>
  <c r="J212" i="11"/>
  <c r="I385" i="11"/>
  <c r="H385" i="11"/>
  <c r="H265" i="11"/>
  <c r="K209" i="11"/>
  <c r="J209" i="11"/>
  <c r="K299" i="11"/>
  <c r="K235" i="11"/>
  <c r="L340" i="11"/>
  <c r="H340" i="11"/>
  <c r="J299" i="11"/>
  <c r="J260" i="11"/>
  <c r="L214" i="11"/>
  <c r="I167" i="11"/>
  <c r="J167" i="11"/>
  <c r="K418" i="11"/>
  <c r="J305" i="11"/>
  <c r="I280" i="11"/>
  <c r="H280" i="11"/>
  <c r="L280" i="11"/>
  <c r="I260" i="11"/>
  <c r="J241" i="11"/>
  <c r="H204" i="11"/>
  <c r="I170" i="11"/>
  <c r="H170" i="11"/>
  <c r="I154" i="11"/>
  <c r="H154" i="11"/>
  <c r="L230" i="11"/>
  <c r="L197" i="11"/>
  <c r="I186" i="11"/>
  <c r="H186" i="11"/>
  <c r="I147" i="11"/>
  <c r="I304" i="11"/>
  <c r="H304" i="11"/>
  <c r="L304" i="11"/>
  <c r="I227" i="11"/>
  <c r="K147" i="11"/>
  <c r="K125" i="11"/>
  <c r="L125" i="11"/>
  <c r="J125" i="11"/>
  <c r="H92" i="11"/>
  <c r="H28" i="11"/>
  <c r="L85" i="11"/>
  <c r="K197" i="11"/>
  <c r="J150" i="11"/>
  <c r="K97" i="11"/>
  <c r="K73" i="11"/>
  <c r="L55" i="11"/>
  <c r="K55" i="11"/>
  <c r="J55" i="11"/>
  <c r="H55" i="11"/>
  <c r="L130" i="11"/>
  <c r="H125" i="11"/>
  <c r="K187" i="11"/>
  <c r="I138" i="11"/>
  <c r="H138" i="11"/>
  <c r="L131" i="11"/>
  <c r="I100" i="11"/>
  <c r="I68" i="11"/>
  <c r="J60" i="11"/>
  <c r="I59" i="11"/>
  <c r="H59" i="11"/>
  <c r="I28" i="11"/>
  <c r="K77" i="11"/>
  <c r="J77" i="11"/>
  <c r="I77" i="11"/>
  <c r="L59" i="11"/>
  <c r="L65" i="11"/>
  <c r="J76" i="11"/>
  <c r="J59" i="11"/>
  <c r="K37" i="11"/>
  <c r="I37" i="11"/>
  <c r="J37" i="11"/>
  <c r="L57" i="11"/>
  <c r="K36" i="11"/>
  <c r="L58" i="11"/>
  <c r="K58" i="11"/>
  <c r="J58" i="11"/>
  <c r="J36" i="11"/>
  <c r="H687" i="11"/>
  <c r="K687" i="11"/>
  <c r="I539" i="11"/>
  <c r="H539" i="11"/>
  <c r="I523" i="11"/>
  <c r="H523" i="11"/>
  <c r="I507" i="11"/>
  <c r="H507" i="11"/>
  <c r="I491" i="11"/>
  <c r="H491" i="11"/>
  <c r="J476" i="11"/>
  <c r="I476" i="11"/>
  <c r="K476" i="11"/>
  <c r="H614" i="11"/>
  <c r="K614" i="11"/>
  <c r="J468" i="11"/>
  <c r="H468" i="11"/>
  <c r="I468" i="11"/>
  <c r="L479" i="11"/>
  <c r="K479" i="11"/>
  <c r="I480" i="11"/>
  <c r="J480" i="11"/>
  <c r="I554" i="11"/>
  <c r="L523" i="11"/>
  <c r="I470" i="11"/>
  <c r="J520" i="11"/>
  <c r="I520" i="11"/>
  <c r="L459" i="11"/>
  <c r="K459" i="11"/>
  <c r="K541" i="11"/>
  <c r="J541" i="11"/>
  <c r="I541" i="11"/>
  <c r="I487" i="11"/>
  <c r="L529" i="11"/>
  <c r="K470" i="11"/>
  <c r="K503" i="11"/>
  <c r="L551" i="11"/>
  <c r="I459" i="11"/>
  <c r="L405" i="11"/>
  <c r="I405" i="11"/>
  <c r="L365" i="11"/>
  <c r="I365" i="11"/>
  <c r="I326" i="11"/>
  <c r="J326" i="11"/>
  <c r="L257" i="11"/>
  <c r="K257" i="11"/>
  <c r="I409" i="11"/>
  <c r="H409" i="11"/>
  <c r="J501" i="11"/>
  <c r="K501" i="11"/>
  <c r="I501" i="11"/>
  <c r="J409" i="11"/>
  <c r="K365" i="11"/>
  <c r="J405" i="11"/>
  <c r="I362" i="11"/>
  <c r="L300" i="11"/>
  <c r="K300" i="11"/>
  <c r="H300" i="11"/>
  <c r="L236" i="11"/>
  <c r="K236" i="11"/>
  <c r="H236" i="11"/>
  <c r="I329" i="11"/>
  <c r="H329" i="11"/>
  <c r="K258" i="11"/>
  <c r="H258" i="11"/>
  <c r="I258" i="11"/>
  <c r="J258" i="11"/>
  <c r="K394" i="11"/>
  <c r="I346" i="11"/>
  <c r="H257" i="11"/>
  <c r="L258" i="11"/>
  <c r="J213" i="11"/>
  <c r="I213" i="11"/>
  <c r="H213" i="11"/>
  <c r="I191" i="11"/>
  <c r="J191" i="11"/>
  <c r="L166" i="11"/>
  <c r="I166" i="11"/>
  <c r="K375" i="11"/>
  <c r="L375" i="11"/>
  <c r="K330" i="11"/>
  <c r="I204" i="11"/>
  <c r="L204" i="11"/>
  <c r="J204" i="11"/>
  <c r="K191" i="11"/>
  <c r="K196" i="11"/>
  <c r="H311" i="11"/>
  <c r="K311" i="11"/>
  <c r="L311" i="11"/>
  <c r="J300" i="11"/>
  <c r="J252" i="11"/>
  <c r="J236" i="11"/>
  <c r="I275" i="11"/>
  <c r="I224" i="11"/>
  <c r="H224" i="11"/>
  <c r="L224" i="11"/>
  <c r="L223" i="11"/>
  <c r="I223" i="11"/>
  <c r="K223" i="11"/>
  <c r="J223" i="11"/>
  <c r="L144" i="11"/>
  <c r="K144" i="11"/>
  <c r="L196" i="11"/>
  <c r="L149" i="11"/>
  <c r="H149" i="11"/>
  <c r="L31" i="11"/>
  <c r="K31" i="11"/>
  <c r="H31" i="11"/>
  <c r="J31" i="11"/>
  <c r="K129" i="11"/>
  <c r="I129" i="11"/>
  <c r="L129" i="11"/>
  <c r="H129" i="11"/>
  <c r="K163" i="11"/>
  <c r="H118" i="11"/>
  <c r="K118" i="11"/>
  <c r="L118" i="11"/>
  <c r="I99" i="11"/>
  <c r="H99" i="11"/>
  <c r="I67" i="11"/>
  <c r="H67" i="11"/>
  <c r="H38" i="11"/>
  <c r="K38" i="11"/>
  <c r="I27" i="11"/>
  <c r="H27" i="11"/>
  <c r="L74" i="11"/>
  <c r="K74" i="11"/>
  <c r="J74" i="11"/>
  <c r="I74" i="11"/>
  <c r="J52" i="11"/>
  <c r="L33" i="11"/>
  <c r="K134" i="11"/>
  <c r="H54" i="11"/>
  <c r="K54" i="11"/>
  <c r="L34" i="11"/>
  <c r="K34" i="11"/>
  <c r="J34" i="11"/>
  <c r="I76" i="11"/>
  <c r="L54" i="11"/>
  <c r="J33" i="11"/>
  <c r="K93" i="11"/>
  <c r="J93" i="11"/>
  <c r="I93" i="11"/>
  <c r="I33" i="11"/>
  <c r="I731" i="11"/>
  <c r="H731" i="11"/>
  <c r="L687" i="11"/>
  <c r="L624" i="11"/>
  <c r="K624" i="11"/>
  <c r="I624" i="11"/>
  <c r="K617" i="11"/>
  <c r="J617" i="11"/>
  <c r="H476" i="11"/>
  <c r="I614" i="11"/>
  <c r="L706" i="11"/>
  <c r="H596" i="11"/>
  <c r="K596" i="11"/>
  <c r="K491" i="11"/>
  <c r="K509" i="11"/>
  <c r="J509" i="11"/>
  <c r="I509" i="11"/>
  <c r="J550" i="11"/>
  <c r="I550" i="11"/>
  <c r="I504" i="11"/>
  <c r="J504" i="11"/>
  <c r="I517" i="11"/>
  <c r="K517" i="11"/>
  <c r="J517" i="11"/>
  <c r="J469" i="11"/>
  <c r="K469" i="11"/>
  <c r="I585" i="11"/>
  <c r="H585" i="11"/>
  <c r="K477" i="11"/>
  <c r="I477" i="11"/>
  <c r="J477" i="11"/>
  <c r="H477" i="11"/>
  <c r="L560" i="11"/>
  <c r="J560" i="11"/>
  <c r="K560" i="11"/>
  <c r="L480" i="11"/>
  <c r="I390" i="11"/>
  <c r="J390" i="11"/>
  <c r="I350" i="11"/>
  <c r="J350" i="11"/>
  <c r="L325" i="11"/>
  <c r="I325" i="11"/>
  <c r="L249" i="11"/>
  <c r="K249" i="11"/>
  <c r="K409" i="11"/>
  <c r="H501" i="11"/>
  <c r="L404" i="11"/>
  <c r="H404" i="11"/>
  <c r="L276" i="11"/>
  <c r="K276" i="11"/>
  <c r="H276" i="11"/>
  <c r="K329" i="11"/>
  <c r="L217" i="11"/>
  <c r="I217" i="11"/>
  <c r="K350" i="11"/>
  <c r="K298" i="11"/>
  <c r="H298" i="11"/>
  <c r="J298" i="11"/>
  <c r="I298" i="11"/>
  <c r="K234" i="11"/>
  <c r="H234" i="11"/>
  <c r="J234" i="11"/>
  <c r="I234" i="11"/>
  <c r="H388" i="11"/>
  <c r="L388" i="11"/>
  <c r="K390" i="11"/>
  <c r="H249" i="11"/>
  <c r="H294" i="11"/>
  <c r="H230" i="11"/>
  <c r="H200" i="11"/>
  <c r="L200" i="11"/>
  <c r="I200" i="11"/>
  <c r="J325" i="11"/>
  <c r="K213" i="11"/>
  <c r="L190" i="11"/>
  <c r="I190" i="11"/>
  <c r="H166" i="11"/>
  <c r="I151" i="11"/>
  <c r="J151" i="11"/>
  <c r="L133" i="11"/>
  <c r="J133" i="11"/>
  <c r="I375" i="11"/>
  <c r="I296" i="11"/>
  <c r="H296" i="11"/>
  <c r="L296" i="11"/>
  <c r="I276" i="11"/>
  <c r="J257" i="11"/>
  <c r="I232" i="11"/>
  <c r="H232" i="11"/>
  <c r="L232" i="11"/>
  <c r="L199" i="11"/>
  <c r="K199" i="11"/>
  <c r="J199" i="11"/>
  <c r="H375" i="11"/>
  <c r="H302" i="11"/>
  <c r="K275" i="11"/>
  <c r="J162" i="11"/>
  <c r="J146" i="11"/>
  <c r="I311" i="11"/>
  <c r="L298" i="11"/>
  <c r="L234" i="11"/>
  <c r="I300" i="11"/>
  <c r="I272" i="11"/>
  <c r="H272" i="11"/>
  <c r="L272" i="11"/>
  <c r="J249" i="11"/>
  <c r="J224" i="11"/>
  <c r="K166" i="11"/>
  <c r="H223" i="11"/>
  <c r="I143" i="11"/>
  <c r="J143" i="11"/>
  <c r="H76" i="11"/>
  <c r="K326" i="11"/>
  <c r="K149" i="11"/>
  <c r="L71" i="11"/>
  <c r="K71" i="11"/>
  <c r="J71" i="11"/>
  <c r="H71" i="11"/>
  <c r="K179" i="11"/>
  <c r="J129" i="11"/>
  <c r="H133" i="11"/>
  <c r="I249" i="11"/>
  <c r="I35" i="11"/>
  <c r="H35" i="11"/>
  <c r="K85" i="11"/>
  <c r="J85" i="11"/>
  <c r="I85" i="11"/>
  <c r="J56" i="11"/>
  <c r="I56" i="11"/>
  <c r="H56" i="11"/>
  <c r="L35" i="11"/>
  <c r="H57" i="11"/>
  <c r="K109" i="11"/>
  <c r="J109" i="11"/>
  <c r="I109" i="11"/>
  <c r="H74" i="11"/>
  <c r="K101" i="11"/>
  <c r="I101" i="11"/>
  <c r="J101" i="11"/>
  <c r="J72" i="11"/>
  <c r="I72" i="11"/>
  <c r="H72" i="11"/>
  <c r="L51" i="11"/>
  <c r="H34" i="11"/>
  <c r="K51" i="11"/>
  <c r="L25" i="11"/>
  <c r="L90" i="11"/>
  <c r="K90" i="11"/>
  <c r="J90" i="11"/>
  <c r="J68" i="11"/>
  <c r="J32" i="11"/>
  <c r="I32" i="11"/>
  <c r="H32" i="11"/>
  <c r="J616" i="11"/>
  <c r="L539" i="11"/>
  <c r="H560" i="11"/>
  <c r="H456" i="11"/>
  <c r="H521" i="11"/>
  <c r="K482" i="11"/>
  <c r="L482" i="11"/>
  <c r="J482" i="11"/>
  <c r="J479" i="11"/>
  <c r="H548" i="11"/>
  <c r="L389" i="11"/>
  <c r="I389" i="11"/>
  <c r="J389" i="11"/>
  <c r="L349" i="11"/>
  <c r="J349" i="11"/>
  <c r="I349" i="11"/>
  <c r="H325" i="11"/>
  <c r="L305" i="11"/>
  <c r="K305" i="11"/>
  <c r="L241" i="11"/>
  <c r="K241" i="11"/>
  <c r="H420" i="11"/>
  <c r="I420" i="11"/>
  <c r="L326" i="11"/>
  <c r="H410" i="11"/>
  <c r="H394" i="11"/>
  <c r="H378" i="11"/>
  <c r="H362" i="11"/>
  <c r="H346" i="11"/>
  <c r="K404" i="11"/>
  <c r="L252" i="11"/>
  <c r="K252" i="11"/>
  <c r="H252" i="11"/>
  <c r="J423" i="11"/>
  <c r="I361" i="11"/>
  <c r="H361" i="11"/>
  <c r="H217" i="11"/>
  <c r="K378" i="11"/>
  <c r="J347" i="11"/>
  <c r="K347" i="11"/>
  <c r="H347" i="11"/>
  <c r="J315" i="11"/>
  <c r="H315" i="11"/>
  <c r="K315" i="11"/>
  <c r="K274" i="11"/>
  <c r="H274" i="11"/>
  <c r="I274" i="11"/>
  <c r="J274" i="11"/>
  <c r="K388" i="11"/>
  <c r="H310" i="11"/>
  <c r="I378" i="11"/>
  <c r="L396" i="11"/>
  <c r="H396" i="11"/>
  <c r="H305" i="11"/>
  <c r="H241" i="11"/>
  <c r="J200" i="11"/>
  <c r="H190" i="11"/>
  <c r="I175" i="11"/>
  <c r="J175" i="11"/>
  <c r="L150" i="11"/>
  <c r="I150" i="11"/>
  <c r="J132" i="11"/>
  <c r="K132" i="11"/>
  <c r="J296" i="11"/>
  <c r="J232" i="11"/>
  <c r="I211" i="11"/>
  <c r="H199" i="11"/>
  <c r="I353" i="11"/>
  <c r="H353" i="11"/>
  <c r="K151" i="11"/>
  <c r="L246" i="11"/>
  <c r="K217" i="11"/>
  <c r="J194" i="11"/>
  <c r="J275" i="11"/>
  <c r="J259" i="11"/>
  <c r="J297" i="11"/>
  <c r="J272" i="11"/>
  <c r="J221" i="11"/>
  <c r="I221" i="11"/>
  <c r="H143" i="11"/>
  <c r="H68" i="11"/>
  <c r="J166" i="11"/>
  <c r="J217" i="11"/>
  <c r="H121" i="11"/>
  <c r="L47" i="11"/>
  <c r="H47" i="11"/>
  <c r="K47" i="11"/>
  <c r="J47" i="11"/>
  <c r="L123" i="11"/>
  <c r="I123" i="11"/>
  <c r="K123" i="11"/>
  <c r="H130" i="11"/>
  <c r="K130" i="11"/>
  <c r="H97" i="11"/>
  <c r="H65" i="11"/>
  <c r="H102" i="11"/>
  <c r="K102" i="11"/>
  <c r="L82" i="11"/>
  <c r="K82" i="11"/>
  <c r="J82" i="11"/>
  <c r="I82" i="11"/>
  <c r="K56" i="11"/>
  <c r="K99" i="11"/>
  <c r="K52" i="11"/>
  <c r="H25" i="11"/>
  <c r="L106" i="11"/>
  <c r="K106" i="11"/>
  <c r="J106" i="11"/>
  <c r="I106" i="11"/>
  <c r="J67" i="11"/>
  <c r="J48" i="11"/>
  <c r="I48" i="11"/>
  <c r="H48" i="11"/>
  <c r="H113" i="11"/>
  <c r="I83" i="11"/>
  <c r="H83" i="11"/>
  <c r="I52" i="11"/>
  <c r="K27" i="11"/>
  <c r="L98" i="11"/>
  <c r="K98" i="11"/>
  <c r="J98" i="11"/>
  <c r="K72" i="11"/>
  <c r="J27" i="11"/>
  <c r="H105" i="11"/>
  <c r="I134" i="11"/>
  <c r="H90" i="11"/>
  <c r="I65" i="11"/>
  <c r="K32" i="11"/>
  <c r="G6" i="8"/>
  <c r="G5" i="8"/>
  <c r="D4" i="7"/>
  <c r="D5" i="7"/>
  <c r="E5" i="7" s="1"/>
  <c r="O2" i="4"/>
  <c r="I230" i="11"/>
  <c r="L275" i="11"/>
  <c r="H270" i="11"/>
  <c r="I321" i="11"/>
  <c r="H321" i="11"/>
  <c r="I178" i="11"/>
  <c r="H178" i="11"/>
  <c r="I372" i="11"/>
  <c r="L372" i="11"/>
  <c r="H372" i="11"/>
  <c r="I240" i="11"/>
  <c r="H240" i="11"/>
  <c r="L240" i="11"/>
  <c r="H221" i="11"/>
  <c r="I196" i="11"/>
  <c r="H179" i="11"/>
  <c r="H163" i="11"/>
  <c r="H147" i="11"/>
  <c r="H142" i="11"/>
  <c r="L142" i="11"/>
  <c r="K142" i="11"/>
  <c r="H116" i="11"/>
  <c r="H60" i="11"/>
  <c r="L165" i="11"/>
  <c r="H165" i="11"/>
  <c r="J140" i="11"/>
  <c r="H140" i="11"/>
  <c r="K140" i="11"/>
  <c r="L87" i="11"/>
  <c r="K87" i="11"/>
  <c r="J87" i="11"/>
  <c r="H87" i="11"/>
  <c r="J134" i="11"/>
  <c r="J120" i="11"/>
  <c r="H120" i="11"/>
  <c r="I120" i="11"/>
  <c r="J130" i="11"/>
  <c r="L235" i="11"/>
  <c r="K60" i="11"/>
  <c r="H33" i="11"/>
  <c r="L99" i="11"/>
  <c r="H82" i="11"/>
  <c r="H106" i="11"/>
  <c r="K48" i="11"/>
  <c r="I51" i="11"/>
  <c r="H51" i="11"/>
  <c r="K116" i="11"/>
  <c r="H98" i="11"/>
  <c r="J116" i="11"/>
  <c r="L121" i="11"/>
  <c r="J83" i="11"/>
  <c r="J64" i="11"/>
  <c r="I64" i="11"/>
  <c r="H64" i="11"/>
  <c r="I34" i="11"/>
  <c r="H1019" i="11"/>
  <c r="K1019" i="11"/>
  <c r="J1019" i="11"/>
  <c r="I1019" i="11"/>
  <c r="H919" i="11"/>
  <c r="J906" i="11"/>
  <c r="L906" i="11"/>
  <c r="L802" i="11"/>
  <c r="J802" i="11"/>
  <c r="K706" i="11"/>
  <c r="L651" i="11"/>
  <c r="J651" i="11"/>
  <c r="K651" i="11"/>
  <c r="J706" i="11"/>
  <c r="K731" i="11"/>
  <c r="I521" i="11"/>
  <c r="I596" i="11"/>
  <c r="J488" i="11"/>
  <c r="I488" i="11"/>
  <c r="J539" i="11"/>
  <c r="H532" i="11"/>
  <c r="I496" i="11"/>
  <c r="J496" i="11"/>
  <c r="J457" i="11"/>
  <c r="H457" i="11"/>
  <c r="K457" i="11"/>
  <c r="L572" i="11"/>
  <c r="H1004" i="11"/>
  <c r="K1004" i="11"/>
  <c r="L1004" i="11"/>
  <c r="L977" i="11"/>
  <c r="J940" i="11"/>
  <c r="I864" i="11"/>
  <c r="H839" i="11"/>
  <c r="L839" i="11"/>
  <c r="K839" i="11"/>
  <c r="I802" i="11"/>
  <c r="L775" i="11"/>
  <c r="K775" i="11"/>
  <c r="L699" i="11"/>
  <c r="K699" i="11"/>
  <c r="J699" i="11"/>
  <c r="I699" i="11"/>
  <c r="H713" i="11"/>
  <c r="L557" i="11"/>
  <c r="K557" i="11"/>
  <c r="I557" i="11"/>
  <c r="H557" i="11"/>
  <c r="K638" i="11"/>
  <c r="J638" i="11"/>
  <c r="I638" i="11"/>
  <c r="I616" i="11"/>
  <c r="H511" i="11"/>
  <c r="L511" i="11"/>
  <c r="K504" i="11"/>
  <c r="J641" i="11"/>
  <c r="I641" i="11"/>
  <c r="H641" i="11"/>
  <c r="K539" i="11"/>
  <c r="J481" i="11"/>
  <c r="K481" i="11"/>
  <c r="H516" i="11"/>
  <c r="L516" i="11"/>
  <c r="I461" i="11"/>
  <c r="K456" i="11"/>
  <c r="L457" i="11"/>
  <c r="J524" i="11"/>
  <c r="J589" i="11"/>
  <c r="J426" i="11"/>
  <c r="K426" i="11"/>
  <c r="J404" i="11"/>
  <c r="I334" i="11"/>
  <c r="J334" i="11"/>
  <c r="H390" i="11"/>
  <c r="H330" i="11"/>
  <c r="L292" i="11"/>
  <c r="K292" i="11"/>
  <c r="H292" i="11"/>
  <c r="K361" i="11"/>
  <c r="K314" i="11"/>
  <c r="L174" i="11"/>
  <c r="I174" i="11"/>
  <c r="I1012" i="11"/>
  <c r="L1016" i="11"/>
  <c r="K1016" i="11"/>
  <c r="I1016" i="11"/>
  <c r="J1016" i="11"/>
  <c r="L964" i="11"/>
  <c r="I964" i="11"/>
  <c r="L996" i="11"/>
  <c r="H961" i="11"/>
  <c r="H956" i="11"/>
  <c r="H1002" i="11"/>
  <c r="K994" i="11"/>
  <c r="L994" i="11"/>
  <c r="H972" i="11"/>
  <c r="I972" i="11"/>
  <c r="L1007" i="11"/>
  <c r="J1007" i="11"/>
  <c r="L981" i="11"/>
  <c r="J981" i="11"/>
  <c r="K974" i="11"/>
  <c r="J974" i="11"/>
  <c r="I974" i="11"/>
  <c r="I978" i="11"/>
  <c r="H957" i="11"/>
  <c r="K957" i="11"/>
  <c r="I940" i="11"/>
  <c r="H978" i="11"/>
  <c r="K968" i="11"/>
  <c r="K947" i="11"/>
  <c r="J947" i="11"/>
  <c r="I917" i="11"/>
  <c r="L936" i="11"/>
  <c r="K936" i="11"/>
  <c r="K909" i="11"/>
  <c r="J909" i="11"/>
  <c r="I909" i="11"/>
  <c r="K883" i="11"/>
  <c r="J883" i="11"/>
  <c r="L883" i="11"/>
  <c r="K853" i="11"/>
  <c r="I853" i="11"/>
  <c r="I951" i="11"/>
  <c r="J917" i="11"/>
  <c r="H883" i="11"/>
  <c r="K949" i="11"/>
  <c r="J919" i="11"/>
  <c r="K865" i="11"/>
  <c r="J865" i="11"/>
  <c r="H865" i="11"/>
  <c r="I865" i="11"/>
  <c r="J925" i="11"/>
  <c r="I869" i="11"/>
  <c r="J869" i="11"/>
  <c r="L935" i="11"/>
  <c r="J935" i="11"/>
  <c r="H899" i="11"/>
  <c r="J866" i="11"/>
  <c r="K866" i="11"/>
  <c r="L866" i="11"/>
  <c r="I938" i="11"/>
  <c r="I905" i="11"/>
  <c r="J905" i="11"/>
  <c r="I839" i="11"/>
  <c r="L898" i="11"/>
  <c r="J898" i="11"/>
  <c r="K847" i="11"/>
  <c r="K830" i="11"/>
  <c r="J830" i="11"/>
  <c r="I873" i="11"/>
  <c r="J873" i="11"/>
  <c r="J839" i="11"/>
  <c r="J860" i="11"/>
  <c r="H838" i="11"/>
  <c r="K838" i="11"/>
  <c r="L838" i="11"/>
  <c r="L853" i="11"/>
  <c r="H818" i="11"/>
  <c r="J798" i="11"/>
  <c r="H798" i="11"/>
  <c r="I798" i="11"/>
  <c r="J782" i="11"/>
  <c r="H782" i="11"/>
  <c r="I782" i="11"/>
  <c r="H772" i="11"/>
  <c r="L772" i="11"/>
  <c r="K772" i="11"/>
  <c r="J736" i="11"/>
  <c r="I736" i="11"/>
  <c r="H736" i="11"/>
  <c r="K744" i="11"/>
  <c r="L784" i="11"/>
  <c r="K784" i="11"/>
  <c r="J784" i="11"/>
  <c r="L829" i="11"/>
  <c r="K811" i="11"/>
  <c r="I811" i="11"/>
  <c r="J811" i="11"/>
  <c r="K779" i="11"/>
  <c r="I779" i="11"/>
  <c r="J779" i="11"/>
  <c r="H653" i="11"/>
  <c r="K786" i="11"/>
  <c r="J745" i="11"/>
  <c r="J671" i="11"/>
  <c r="L617" i="11"/>
  <c r="K798" i="11"/>
  <c r="J733" i="11"/>
  <c r="I733" i="11"/>
  <c r="H733" i="11"/>
  <c r="K692" i="11"/>
  <c r="H682" i="11"/>
  <c r="H695" i="11"/>
  <c r="K695" i="11"/>
  <c r="J682" i="11"/>
  <c r="L549" i="11"/>
  <c r="H549" i="11"/>
  <c r="K665" i="11"/>
  <c r="J619" i="11"/>
  <c r="L552" i="11"/>
  <c r="J552" i="11"/>
  <c r="K552" i="11"/>
  <c r="I552" i="11"/>
  <c r="I720" i="11"/>
  <c r="H720" i="11"/>
  <c r="H663" i="11"/>
  <c r="K663" i="11"/>
  <c r="K616" i="11"/>
  <c r="K677" i="11"/>
  <c r="K654" i="11"/>
  <c r="J654" i="11"/>
  <c r="I654" i="11"/>
  <c r="J632" i="11"/>
  <c r="I708" i="11"/>
  <c r="H708" i="11"/>
  <c r="L643" i="11"/>
  <c r="J643" i="11"/>
  <c r="K643" i="11"/>
  <c r="I643" i="11"/>
  <c r="K637" i="11"/>
  <c r="K693" i="11"/>
  <c r="L641" i="11"/>
  <c r="L600" i="11"/>
  <c r="J600" i="11"/>
  <c r="K600" i="11"/>
  <c r="K581" i="11"/>
  <c r="L581" i="11"/>
  <c r="I542" i="11"/>
  <c r="I510" i="11"/>
  <c r="L599" i="11"/>
  <c r="H575" i="11"/>
  <c r="J521" i="11"/>
  <c r="L501" i="11"/>
  <c r="J562" i="11"/>
  <c r="L562" i="11"/>
  <c r="K562" i="11"/>
  <c r="I562" i="11"/>
  <c r="I547" i="11"/>
  <c r="H547" i="11"/>
  <c r="I531" i="11"/>
  <c r="H531" i="11"/>
  <c r="I515" i="11"/>
  <c r="H515" i="11"/>
  <c r="I499" i="11"/>
  <c r="H499" i="11"/>
  <c r="I483" i="11"/>
  <c r="H483" i="11"/>
  <c r="K641" i="11"/>
  <c r="H604" i="11"/>
  <c r="K604" i="11"/>
  <c r="K611" i="11"/>
  <c r="J611" i="11"/>
  <c r="I611" i="11"/>
  <c r="J561" i="11"/>
  <c r="K531" i="11"/>
  <c r="I479" i="11"/>
  <c r="H588" i="11"/>
  <c r="K588" i="11"/>
  <c r="J532" i="11"/>
  <c r="H485" i="11"/>
  <c r="K467" i="11"/>
  <c r="L467" i="11"/>
  <c r="I467" i="11"/>
  <c r="H467" i="11"/>
  <c r="L583" i="11"/>
  <c r="J542" i="11"/>
  <c r="K518" i="11"/>
  <c r="H492" i="11"/>
  <c r="K554" i="11"/>
  <c r="K527" i="11"/>
  <c r="J543" i="11"/>
  <c r="J510" i="11"/>
  <c r="L437" i="11"/>
  <c r="I437" i="11"/>
  <c r="K567" i="11"/>
  <c r="L537" i="11"/>
  <c r="L489" i="11"/>
  <c r="J456" i="11"/>
  <c r="H500" i="11"/>
  <c r="K516" i="11"/>
  <c r="J518" i="11"/>
  <c r="H497" i="11"/>
  <c r="L587" i="11"/>
  <c r="J523" i="11"/>
  <c r="L502" i="11"/>
  <c r="H426" i="11"/>
  <c r="J536" i="11"/>
  <c r="I536" i="11"/>
  <c r="L483" i="11"/>
  <c r="I423" i="11"/>
  <c r="H474" i="11"/>
  <c r="L474" i="11"/>
  <c r="K474" i="11"/>
  <c r="I413" i="11"/>
  <c r="I398" i="11"/>
  <c r="J398" i="11"/>
  <c r="I388" i="11"/>
  <c r="L373" i="11"/>
  <c r="J373" i="11"/>
  <c r="I373" i="11"/>
  <c r="I358" i="11"/>
  <c r="J358" i="11"/>
  <c r="L333" i="11"/>
  <c r="I333" i="11"/>
  <c r="L289" i="11"/>
  <c r="K289" i="11"/>
  <c r="L225" i="11"/>
  <c r="K225" i="11"/>
  <c r="L353" i="11"/>
  <c r="L321" i="11"/>
  <c r="I436" i="11"/>
  <c r="L436" i="11"/>
  <c r="H436" i="11"/>
  <c r="I401" i="11"/>
  <c r="H401" i="11"/>
  <c r="J444" i="11"/>
  <c r="K423" i="11"/>
  <c r="K405" i="11"/>
  <c r="K389" i="11"/>
  <c r="K373" i="11"/>
  <c r="K341" i="11"/>
  <c r="H326" i="11"/>
  <c r="I313" i="11"/>
  <c r="H313" i="11"/>
  <c r="K374" i="11"/>
  <c r="L268" i="11"/>
  <c r="K268" i="11"/>
  <c r="H268" i="11"/>
  <c r="L420" i="11"/>
  <c r="K290" i="11"/>
  <c r="H290" i="11"/>
  <c r="I290" i="11"/>
  <c r="J290" i="11"/>
  <c r="I270" i="11"/>
  <c r="K226" i="11"/>
  <c r="H226" i="11"/>
  <c r="I226" i="11"/>
  <c r="J226" i="11"/>
  <c r="K337" i="11"/>
  <c r="I367" i="11"/>
  <c r="I345" i="11"/>
  <c r="H345" i="11"/>
  <c r="H289" i="11"/>
  <c r="H225" i="11"/>
  <c r="J381" i="11"/>
  <c r="K232" i="11"/>
  <c r="I199" i="11"/>
  <c r="H174" i="11"/>
  <c r="I159" i="11"/>
  <c r="J159" i="11"/>
  <c r="I149" i="11"/>
  <c r="J248" i="11"/>
  <c r="H210" i="11"/>
  <c r="L194" i="11"/>
  <c r="L179" i="11"/>
  <c r="L163" i="11"/>
  <c r="L147" i="11"/>
  <c r="K216" i="11"/>
  <c r="K178" i="11"/>
  <c r="K162" i="11"/>
  <c r="K146" i="11"/>
  <c r="K334" i="11"/>
  <c r="K291" i="11"/>
  <c r="J216" i="11"/>
  <c r="K143" i="11"/>
  <c r="K321" i="11"/>
  <c r="J196" i="11"/>
  <c r="K372" i="11"/>
  <c r="I288" i="11"/>
  <c r="H288" i="11"/>
  <c r="L288" i="11"/>
  <c r="J265" i="11"/>
  <c r="J240" i="11"/>
  <c r="H191" i="11"/>
  <c r="H175" i="11"/>
  <c r="H159" i="11"/>
  <c r="L114" i="11"/>
  <c r="K114" i="11"/>
  <c r="J114" i="11"/>
  <c r="I114" i="11"/>
  <c r="H52" i="11"/>
  <c r="K165" i="11"/>
  <c r="J139" i="11"/>
  <c r="I118" i="11"/>
  <c r="I54" i="11"/>
  <c r="L299" i="11"/>
  <c r="K155" i="11"/>
  <c r="K81" i="11"/>
  <c r="L63" i="11"/>
  <c r="K63" i="11"/>
  <c r="J63" i="11"/>
  <c r="H63" i="11"/>
  <c r="J174" i="11"/>
  <c r="I144" i="11"/>
  <c r="I133" i="11"/>
  <c r="H114" i="11"/>
  <c r="L332" i="11"/>
  <c r="H332" i="11"/>
  <c r="L157" i="11"/>
  <c r="H157" i="11"/>
  <c r="L120" i="11"/>
  <c r="J222" i="11"/>
  <c r="K181" i="11"/>
  <c r="J57" i="11"/>
  <c r="K28" i="11"/>
  <c r="J92" i="11"/>
  <c r="K53" i="11"/>
  <c r="J53" i="11"/>
  <c r="I53" i="11"/>
  <c r="J24" i="11"/>
  <c r="I24" i="11"/>
  <c r="H24" i="11"/>
  <c r="I92" i="11"/>
  <c r="K67" i="11"/>
  <c r="J99" i="11"/>
  <c r="J80" i="11"/>
  <c r="I80" i="11"/>
  <c r="H80" i="11"/>
  <c r="J105" i="11"/>
  <c r="H81" i="11"/>
  <c r="J108" i="11"/>
  <c r="K69" i="11"/>
  <c r="I69" i="11"/>
  <c r="J69" i="11"/>
  <c r="J40" i="11"/>
  <c r="I40" i="11"/>
  <c r="H40" i="11"/>
  <c r="J97" i="11"/>
  <c r="H73" i="11"/>
  <c r="I116" i="11"/>
  <c r="I97" i="11"/>
  <c r="K64" i="11"/>
  <c r="K29" i="11"/>
  <c r="J29" i="11"/>
  <c r="I29" i="11"/>
  <c r="L27" i="11"/>
  <c r="O5" i="4"/>
  <c r="K662" i="11"/>
  <c r="J662" i="11"/>
  <c r="I662" i="11"/>
  <c r="J1022" i="11"/>
  <c r="I1022" i="11"/>
  <c r="H1022" i="11"/>
  <c r="I973" i="11"/>
  <c r="K973" i="11"/>
  <c r="J973" i="11"/>
  <c r="H963" i="11"/>
  <c r="I963" i="11"/>
  <c r="K963" i="11"/>
  <c r="K904" i="11"/>
  <c r="L904" i="11"/>
  <c r="K875" i="11"/>
  <c r="L875" i="11"/>
  <c r="L840" i="11"/>
  <c r="K840" i="11"/>
  <c r="J840" i="11"/>
  <c r="H820" i="11"/>
  <c r="L820" i="11"/>
  <c r="K714" i="11"/>
  <c r="L714" i="11"/>
  <c r="L586" i="11"/>
  <c r="I586" i="11"/>
  <c r="J741" i="11"/>
  <c r="I741" i="11"/>
  <c r="H741" i="11"/>
  <c r="L667" i="11"/>
  <c r="J667" i="11"/>
  <c r="K667" i="11"/>
  <c r="H639" i="11"/>
  <c r="K639" i="11"/>
  <c r="I617" i="11"/>
  <c r="H550" i="11"/>
  <c r="K551" i="11"/>
  <c r="J551" i="11"/>
  <c r="L469" i="11"/>
  <c r="L470" i="11"/>
  <c r="H469" i="11"/>
  <c r="L988" i="11"/>
  <c r="I861" i="11"/>
  <c r="K861" i="11"/>
  <c r="L861" i="11"/>
  <c r="J926" i="11"/>
  <c r="I926" i="11"/>
  <c r="H926" i="11"/>
  <c r="I840" i="11"/>
  <c r="L808" i="11"/>
  <c r="K808" i="11"/>
  <c r="J808" i="11"/>
  <c r="I808" i="11"/>
  <c r="H745" i="11"/>
  <c r="H667" i="11"/>
  <c r="H559" i="11"/>
  <c r="L596" i="11"/>
  <c r="L671" i="11"/>
  <c r="K678" i="11"/>
  <c r="J678" i="11"/>
  <c r="I678" i="11"/>
  <c r="K717" i="11"/>
  <c r="J717" i="11"/>
  <c r="I717" i="11"/>
  <c r="K605" i="11"/>
  <c r="L605" i="11"/>
  <c r="J605" i="11"/>
  <c r="L504" i="11"/>
  <c r="K520" i="11"/>
  <c r="K532" i="11"/>
  <c r="K468" i="11"/>
  <c r="J548" i="11"/>
  <c r="J433" i="11"/>
  <c r="H433" i="11"/>
  <c r="I433" i="11"/>
  <c r="L476" i="11"/>
  <c r="J512" i="11"/>
  <c r="I512" i="11"/>
  <c r="J493" i="11"/>
  <c r="I493" i="11"/>
  <c r="K493" i="11"/>
  <c r="H389" i="11"/>
  <c r="I394" i="11"/>
  <c r="H374" i="11"/>
  <c r="H314" i="11"/>
  <c r="I294" i="11"/>
  <c r="I1023" i="11"/>
  <c r="L999" i="11"/>
  <c r="J999" i="11"/>
  <c r="K999" i="11"/>
  <c r="H1020" i="11"/>
  <c r="K1020" i="11"/>
  <c r="I1004" i="11"/>
  <c r="H1016" i="11"/>
  <c r="H999" i="11"/>
  <c r="J1020" i="11"/>
  <c r="K972" i="11"/>
  <c r="I946" i="11"/>
  <c r="L946" i="11"/>
  <c r="I1001" i="11"/>
  <c r="L1001" i="11"/>
  <c r="H994" i="11"/>
  <c r="J972" i="11"/>
  <c r="H1007" i="11"/>
  <c r="H981" i="11"/>
  <c r="L959" i="11"/>
  <c r="K959" i="11"/>
  <c r="H959" i="11"/>
  <c r="I971" i="11"/>
  <c r="H977" i="11"/>
  <c r="K965" i="11"/>
  <c r="J965" i="11"/>
  <c r="I957" i="11"/>
  <c r="J934" i="11"/>
  <c r="I934" i="11"/>
  <c r="I961" i="11"/>
  <c r="H967" i="11"/>
  <c r="H936" i="11"/>
  <c r="L907" i="11"/>
  <c r="K907" i="11"/>
  <c r="H907" i="11"/>
  <c r="J962" i="11"/>
  <c r="H945" i="11"/>
  <c r="I945" i="11"/>
  <c r="K930" i="11"/>
  <c r="J894" i="11"/>
  <c r="K894" i="11"/>
  <c r="I894" i="11"/>
  <c r="K872" i="11"/>
  <c r="K917" i="11"/>
  <c r="J886" i="11"/>
  <c r="K886" i="11"/>
  <c r="H886" i="11"/>
  <c r="L944" i="11"/>
  <c r="K944" i="11"/>
  <c r="K914" i="11"/>
  <c r="I912" i="11"/>
  <c r="I866" i="11"/>
  <c r="K935" i="11"/>
  <c r="H905" i="11"/>
  <c r="J854" i="11"/>
  <c r="K854" i="11"/>
  <c r="J862" i="11"/>
  <c r="K862" i="11"/>
  <c r="H898" i="11"/>
  <c r="K895" i="11"/>
  <c r="H873" i="11"/>
  <c r="J838" i="11"/>
  <c r="J856" i="11"/>
  <c r="I838" i="11"/>
  <c r="H844" i="11"/>
  <c r="I823" i="11"/>
  <c r="H830" i="11"/>
  <c r="L798" i="11"/>
  <c r="I760" i="11"/>
  <c r="H760" i="11"/>
  <c r="L801" i="11"/>
  <c r="K767" i="11"/>
  <c r="J767" i="11"/>
  <c r="H750" i="11"/>
  <c r="L750" i="11"/>
  <c r="L763" i="11"/>
  <c r="K763" i="11"/>
  <c r="J763" i="11"/>
  <c r="K815" i="11"/>
  <c r="I815" i="11"/>
  <c r="H811" i="11"/>
  <c r="H779" i="11"/>
  <c r="K754" i="11"/>
  <c r="J754" i="11"/>
  <c r="I754" i="11"/>
  <c r="K738" i="11"/>
  <c r="J738" i="11"/>
  <c r="I738" i="11"/>
  <c r="L738" i="11"/>
  <c r="H693" i="11"/>
  <c r="H645" i="11"/>
  <c r="H783" i="11"/>
  <c r="L783" i="11"/>
  <c r="L638" i="11"/>
  <c r="H616" i="11"/>
  <c r="K802" i="11"/>
  <c r="L733" i="11"/>
  <c r="L717" i="11"/>
  <c r="L697" i="11"/>
  <c r="K753" i="11"/>
  <c r="I713" i="11"/>
  <c r="K750" i="11"/>
  <c r="H714" i="11"/>
  <c r="J701" i="11"/>
  <c r="J653" i="11"/>
  <c r="H642" i="11"/>
  <c r="L695" i="11"/>
  <c r="I644" i="11"/>
  <c r="H644" i="11"/>
  <c r="I612" i="11"/>
  <c r="H612" i="11"/>
  <c r="H599" i="11"/>
  <c r="H583" i="11"/>
  <c r="J681" i="11"/>
  <c r="I681" i="11"/>
  <c r="H681" i="11"/>
  <c r="I658" i="11"/>
  <c r="L640" i="11"/>
  <c r="K640" i="11"/>
  <c r="J640" i="11"/>
  <c r="L614" i="11"/>
  <c r="J720" i="11"/>
  <c r="L663" i="11"/>
  <c r="K632" i="11"/>
  <c r="L764" i="11"/>
  <c r="K764" i="11"/>
  <c r="H764" i="11"/>
  <c r="K653" i="11"/>
  <c r="J708" i="11"/>
  <c r="H643" i="11"/>
  <c r="I714" i="11"/>
  <c r="L692" i="11"/>
  <c r="H634" i="11"/>
  <c r="J572" i="11"/>
  <c r="H600" i="11"/>
  <c r="I575" i="11"/>
  <c r="H503" i="11"/>
  <c r="I683" i="11"/>
  <c r="I597" i="11"/>
  <c r="J566" i="11"/>
  <c r="I566" i="11"/>
  <c r="H566" i="11"/>
  <c r="L541" i="11"/>
  <c r="L520" i="11"/>
  <c r="J497" i="11"/>
  <c r="K599" i="11"/>
  <c r="L579" i="11"/>
  <c r="H562" i="11"/>
  <c r="I546" i="11"/>
  <c r="I482" i="11"/>
  <c r="I604" i="11"/>
  <c r="K548" i="11"/>
  <c r="L608" i="11"/>
  <c r="J608" i="11"/>
  <c r="K608" i="11"/>
  <c r="I559" i="11"/>
  <c r="K523" i="11"/>
  <c r="K502" i="11"/>
  <c r="I588" i="11"/>
  <c r="K511" i="11"/>
  <c r="I532" i="11"/>
  <c r="J515" i="11"/>
  <c r="H489" i="11"/>
  <c r="L464" i="11"/>
  <c r="I464" i="11"/>
  <c r="J464" i="11"/>
  <c r="K524" i="11"/>
  <c r="K510" i="11"/>
  <c r="I469" i="11"/>
  <c r="H437" i="11"/>
  <c r="J487" i="11"/>
  <c r="J453" i="11"/>
  <c r="K453" i="11"/>
  <c r="L453" i="11"/>
  <c r="L440" i="11"/>
  <c r="K440" i="11"/>
  <c r="H440" i="11"/>
  <c r="I440" i="11"/>
  <c r="L426" i="11"/>
  <c r="I475" i="11"/>
  <c r="H475" i="11"/>
  <c r="L475" i="11"/>
  <c r="H473" i="11"/>
  <c r="L510" i="11"/>
  <c r="L477" i="11"/>
  <c r="K422" i="11"/>
  <c r="J422" i="11"/>
  <c r="J396" i="11"/>
  <c r="J474" i="11"/>
  <c r="L397" i="11"/>
  <c r="I397" i="11"/>
  <c r="H373" i="11"/>
  <c r="L357" i="11"/>
  <c r="I357" i="11"/>
  <c r="L347" i="11"/>
  <c r="H333" i="11"/>
  <c r="I318" i="11"/>
  <c r="J318" i="11"/>
  <c r="L281" i="11"/>
  <c r="K281" i="11"/>
  <c r="J367" i="11"/>
  <c r="J436" i="11"/>
  <c r="K401" i="11"/>
  <c r="J440" i="11"/>
  <c r="L415" i="11"/>
  <c r="K415" i="11"/>
  <c r="I410" i="11"/>
  <c r="K325" i="11"/>
  <c r="K410" i="11"/>
  <c r="J371" i="11"/>
  <c r="K371" i="11"/>
  <c r="H371" i="11"/>
  <c r="J339" i="11"/>
  <c r="K339" i="11"/>
  <c r="H339" i="11"/>
  <c r="L308" i="11"/>
  <c r="K308" i="11"/>
  <c r="H308" i="11"/>
  <c r="L244" i="11"/>
  <c r="K244" i="11"/>
  <c r="H244" i="11"/>
  <c r="I347" i="11"/>
  <c r="L201" i="11"/>
  <c r="J201" i="11"/>
  <c r="I201" i="11"/>
  <c r="K413" i="11"/>
  <c r="L364" i="11"/>
  <c r="H364" i="11"/>
  <c r="I338" i="11"/>
  <c r="I310" i="11"/>
  <c r="K266" i="11"/>
  <c r="H266" i="11"/>
  <c r="J266" i="11"/>
  <c r="I266" i="11"/>
  <c r="I246" i="11"/>
  <c r="L221" i="11"/>
  <c r="K416" i="11"/>
  <c r="I369" i="11"/>
  <c r="H369" i="11"/>
  <c r="K364" i="11"/>
  <c r="H421" i="11"/>
  <c r="K345" i="11"/>
  <c r="H281" i="11"/>
  <c r="H214" i="11"/>
  <c r="H262" i="11"/>
  <c r="L213" i="11"/>
  <c r="H197" i="11"/>
  <c r="J165" i="11"/>
  <c r="I371" i="11"/>
  <c r="J292" i="11"/>
  <c r="L198" i="11"/>
  <c r="K198" i="11"/>
  <c r="I183" i="11"/>
  <c r="J183" i="11"/>
  <c r="L158" i="11"/>
  <c r="I158" i="11"/>
  <c r="I308" i="11"/>
  <c r="J289" i="11"/>
  <c r="I264" i="11"/>
  <c r="H264" i="11"/>
  <c r="L264" i="11"/>
  <c r="I244" i="11"/>
  <c r="J225" i="11"/>
  <c r="J205" i="11"/>
  <c r="I205" i="11"/>
  <c r="L193" i="11"/>
  <c r="K193" i="11"/>
  <c r="I193" i="11"/>
  <c r="H193" i="11"/>
  <c r="L178" i="11"/>
  <c r="L162" i="11"/>
  <c r="L146" i="11"/>
  <c r="L259" i="11"/>
  <c r="I393" i="11"/>
  <c r="H393" i="11"/>
  <c r="K322" i="11"/>
  <c r="L262" i="11"/>
  <c r="H238" i="11"/>
  <c r="I214" i="11"/>
  <c r="J186" i="11"/>
  <c r="J170" i="11"/>
  <c r="J154" i="11"/>
  <c r="L140" i="11"/>
  <c r="I195" i="11"/>
  <c r="J365" i="11"/>
  <c r="I322" i="11"/>
  <c r="J288" i="11"/>
  <c r="I259" i="11"/>
  <c r="I236" i="11"/>
  <c r="K190" i="11"/>
  <c r="K174" i="11"/>
  <c r="K158" i="11"/>
  <c r="I297" i="11"/>
  <c r="H108" i="11"/>
  <c r="H44" i="11"/>
  <c r="L93" i="11"/>
  <c r="J190" i="11"/>
  <c r="I47" i="11"/>
  <c r="K133" i="11"/>
  <c r="K105" i="11"/>
  <c r="L39" i="11"/>
  <c r="K39" i="11"/>
  <c r="J39" i="11"/>
  <c r="H39" i="11"/>
  <c r="L173" i="11"/>
  <c r="H173" i="11"/>
  <c r="L143" i="11"/>
  <c r="L267" i="11"/>
  <c r="H132" i="11"/>
  <c r="I113" i="11"/>
  <c r="K332" i="11"/>
  <c r="K157" i="11"/>
  <c r="H70" i="11"/>
  <c r="K70" i="11"/>
  <c r="L50" i="11"/>
  <c r="K50" i="11"/>
  <c r="J50" i="11"/>
  <c r="I50" i="11"/>
  <c r="K24" i="11"/>
  <c r="I91" i="11"/>
  <c r="H91" i="11"/>
  <c r="L38" i="11"/>
  <c r="K80" i="11"/>
  <c r="K45" i="11"/>
  <c r="J45" i="11"/>
  <c r="I45" i="11"/>
  <c r="K76" i="11"/>
  <c r="I105" i="11"/>
  <c r="H86" i="11"/>
  <c r="K86" i="11"/>
  <c r="L66" i="11"/>
  <c r="K66" i="11"/>
  <c r="J66" i="11"/>
  <c r="K40" i="11"/>
  <c r="K68" i="11"/>
  <c r="J96" i="11"/>
  <c r="I96" i="11"/>
  <c r="H96" i="11"/>
  <c r="L26" i="11"/>
  <c r="K26" i="11"/>
  <c r="J26" i="11"/>
  <c r="I90" i="11"/>
  <c r="D5" i="5"/>
  <c r="L941" i="11"/>
  <c r="K941" i="11"/>
  <c r="J941" i="11"/>
  <c r="H941" i="11"/>
  <c r="L888" i="11"/>
  <c r="J888" i="11"/>
  <c r="H888" i="11"/>
  <c r="L952" i="11"/>
  <c r="K952" i="11"/>
  <c r="J952" i="11"/>
  <c r="I952" i="11"/>
  <c r="K940" i="11"/>
  <c r="H940" i="11"/>
  <c r="K851" i="11"/>
  <c r="L851" i="11"/>
  <c r="L859" i="11"/>
  <c r="I859" i="11"/>
  <c r="K859" i="11"/>
  <c r="J859" i="11"/>
  <c r="L832" i="11"/>
  <c r="K832" i="11"/>
  <c r="J851" i="11"/>
  <c r="L786" i="11"/>
  <c r="J786" i="11"/>
  <c r="I752" i="11"/>
  <c r="H752" i="11"/>
  <c r="K787" i="11"/>
  <c r="I787" i="11"/>
  <c r="J787" i="11"/>
  <c r="K752" i="11"/>
  <c r="K649" i="11"/>
  <c r="J624" i="11"/>
  <c r="J614" i="11"/>
  <c r="I700" i="11"/>
  <c r="H700" i="11"/>
  <c r="H554" i="11"/>
  <c r="L565" i="11"/>
  <c r="K565" i="11"/>
  <c r="K589" i="11"/>
  <c r="L589" i="11"/>
  <c r="L491" i="11"/>
  <c r="H517" i="11"/>
  <c r="L432" i="11"/>
  <c r="K432" i="11"/>
  <c r="H432" i="11"/>
  <c r="I432" i="11"/>
  <c r="L842" i="11"/>
  <c r="K842" i="11"/>
  <c r="H802" i="11"/>
  <c r="I820" i="11"/>
  <c r="L740" i="11"/>
  <c r="K740" i="11"/>
  <c r="J740" i="11"/>
  <c r="L797" i="11"/>
  <c r="K797" i="11"/>
  <c r="J797" i="11"/>
  <c r="I797" i="11"/>
  <c r="K745" i="11"/>
  <c r="I578" i="11"/>
  <c r="K578" i="11"/>
  <c r="L578" i="11"/>
  <c r="H683" i="11"/>
  <c r="J665" i="11"/>
  <c r="I665" i="11"/>
  <c r="H665" i="11"/>
  <c r="I551" i="11"/>
  <c r="I709" i="11"/>
  <c r="H580" i="11"/>
  <c r="K580" i="11"/>
  <c r="K488" i="11"/>
  <c r="K480" i="11"/>
  <c r="L451" i="11"/>
  <c r="H451" i="11"/>
  <c r="L468" i="11"/>
  <c r="H529" i="11"/>
  <c r="J442" i="11"/>
  <c r="K442" i="11"/>
  <c r="H349" i="11"/>
  <c r="L233" i="11"/>
  <c r="K233" i="11"/>
  <c r="K603" i="11"/>
  <c r="J603" i="11"/>
  <c r="I603" i="11"/>
  <c r="I447" i="11"/>
  <c r="H447" i="11"/>
  <c r="H439" i="11"/>
  <c r="K439" i="11"/>
  <c r="K310" i="11"/>
  <c r="L228" i="11"/>
  <c r="K228" i="11"/>
  <c r="H228" i="11"/>
  <c r="K346" i="11"/>
  <c r="K250" i="11"/>
  <c r="H250" i="11"/>
  <c r="J250" i="11"/>
  <c r="I250" i="11"/>
  <c r="K396" i="11"/>
  <c r="H297" i="11"/>
  <c r="H246" i="11"/>
  <c r="K202" i="11"/>
  <c r="J202" i="11"/>
  <c r="I202" i="11"/>
  <c r="H202" i="11"/>
  <c r="H150" i="11"/>
  <c r="K353" i="11"/>
  <c r="L1023" i="11"/>
  <c r="J1023" i="11"/>
  <c r="H1012" i="11"/>
  <c r="K1012" i="11"/>
  <c r="L984" i="11"/>
  <c r="I984" i="11"/>
  <c r="K984" i="11"/>
  <c r="K983" i="11"/>
  <c r="K938" i="11"/>
  <c r="L938" i="11"/>
  <c r="H993" i="11"/>
  <c r="L993" i="11"/>
  <c r="J1006" i="11"/>
  <c r="H1006" i="11"/>
  <c r="K977" i="11"/>
  <c r="I980" i="11"/>
  <c r="H980" i="11"/>
  <c r="J989" i="11"/>
  <c r="K989" i="11"/>
  <c r="K975" i="11"/>
  <c r="H975" i="11"/>
  <c r="J971" i="11"/>
  <c r="H958" i="11"/>
  <c r="K958" i="11"/>
  <c r="J932" i="11"/>
  <c r="H875" i="11"/>
  <c r="H1013" i="11"/>
  <c r="J936" i="11"/>
  <c r="I888" i="11"/>
  <c r="L915" i="11"/>
  <c r="K888" i="11"/>
  <c r="J907" i="11"/>
  <c r="H871" i="11"/>
  <c r="L871" i="11"/>
  <c r="I936" i="11"/>
  <c r="H933" i="11"/>
  <c r="L901" i="11"/>
  <c r="J853" i="11"/>
  <c r="K891" i="11"/>
  <c r="J891" i="11"/>
  <c r="L891" i="11"/>
  <c r="K841" i="11"/>
  <c r="J841" i="11"/>
  <c r="I841" i="11"/>
  <c r="H841" i="11"/>
  <c r="K860" i="11"/>
  <c r="L830" i="11"/>
  <c r="I851" i="11"/>
  <c r="I836" i="11"/>
  <c r="H836" i="11"/>
  <c r="K845" i="11"/>
  <c r="J875" i="11"/>
  <c r="I818" i="11"/>
  <c r="I829" i="11"/>
  <c r="L810" i="11"/>
  <c r="J810" i="11"/>
  <c r="L794" i="11"/>
  <c r="K794" i="11"/>
  <c r="J794" i="11"/>
  <c r="L778" i="11"/>
  <c r="K778" i="11"/>
  <c r="J778" i="11"/>
  <c r="J844" i="11"/>
  <c r="J823" i="11"/>
  <c r="J785" i="11"/>
  <c r="I785" i="11"/>
  <c r="H785" i="11"/>
  <c r="L748" i="11"/>
  <c r="K748" i="11"/>
  <c r="J748" i="11"/>
  <c r="H792" i="11"/>
  <c r="K803" i="11"/>
  <c r="I803" i="11"/>
  <c r="J803" i="11"/>
  <c r="K774" i="11"/>
  <c r="J774" i="11"/>
  <c r="I774" i="11"/>
  <c r="H813" i="11"/>
  <c r="H781" i="11"/>
  <c r="I745" i="11"/>
  <c r="K805" i="11"/>
  <c r="J805" i="11"/>
  <c r="I805" i="11"/>
  <c r="L805" i="11"/>
  <c r="L726" i="11"/>
  <c r="K726" i="11"/>
  <c r="H726" i="11"/>
  <c r="L691" i="11"/>
  <c r="K691" i="11"/>
  <c r="J691" i="11"/>
  <c r="I691" i="11"/>
  <c r="H637" i="11"/>
  <c r="L635" i="11"/>
  <c r="J635" i="11"/>
  <c r="K635" i="11"/>
  <c r="I687" i="11"/>
  <c r="I748" i="11"/>
  <c r="K705" i="11"/>
  <c r="K789" i="11"/>
  <c r="J789" i="11"/>
  <c r="I789" i="11"/>
  <c r="L789" i="11"/>
  <c r="K700" i="11"/>
  <c r="J677" i="11"/>
  <c r="J637" i="11"/>
  <c r="I693" i="11"/>
  <c r="L675" i="11"/>
  <c r="J675" i="11"/>
  <c r="K675" i="11"/>
  <c r="L659" i="11"/>
  <c r="J659" i="11"/>
  <c r="K659" i="11"/>
  <c r="J610" i="11"/>
  <c r="J578" i="11"/>
  <c r="J775" i="11"/>
  <c r="J657" i="11"/>
  <c r="I657" i="11"/>
  <c r="H657" i="11"/>
  <c r="I636" i="11"/>
  <c r="H636" i="11"/>
  <c r="L613" i="11"/>
  <c r="J585" i="11"/>
  <c r="L535" i="11"/>
  <c r="I535" i="11"/>
  <c r="K709" i="11"/>
  <c r="H655" i="11"/>
  <c r="K655" i="11"/>
  <c r="H631" i="11"/>
  <c r="L631" i="11"/>
  <c r="L570" i="11"/>
  <c r="K570" i="11"/>
  <c r="J570" i="11"/>
  <c r="I570" i="11"/>
  <c r="K670" i="11"/>
  <c r="J670" i="11"/>
  <c r="I670" i="11"/>
  <c r="H646" i="11"/>
  <c r="K701" i="11"/>
  <c r="I634" i="11"/>
  <c r="J689" i="11"/>
  <c r="I689" i="11"/>
  <c r="H689" i="11"/>
  <c r="H595" i="11"/>
  <c r="K572" i="11"/>
  <c r="J537" i="11"/>
  <c r="L517" i="11"/>
  <c r="L496" i="11"/>
  <c r="H597" i="11"/>
  <c r="K559" i="11"/>
  <c r="I529" i="11"/>
  <c r="I497" i="11"/>
  <c r="I481" i="11"/>
  <c r="J596" i="11"/>
  <c r="L547" i="11"/>
  <c r="K515" i="11"/>
  <c r="L542" i="11"/>
  <c r="J499" i="11"/>
  <c r="H579" i="11"/>
  <c r="J528" i="11"/>
  <c r="I528" i="11"/>
  <c r="L481" i="11"/>
  <c r="L531" i="11"/>
  <c r="J511" i="11"/>
  <c r="K487" i="11"/>
  <c r="H544" i="11"/>
  <c r="J567" i="11"/>
  <c r="J507" i="11"/>
  <c r="H481" i="11"/>
  <c r="K447" i="11"/>
  <c r="J450" i="11"/>
  <c r="K430" i="11"/>
  <c r="J430" i="11"/>
  <c r="I430" i="11"/>
  <c r="J451" i="11"/>
  <c r="J439" i="11"/>
  <c r="J461" i="11"/>
  <c r="J549" i="11"/>
  <c r="I651" i="11"/>
  <c r="K533" i="11"/>
  <c r="J533" i="11"/>
  <c r="I533" i="11"/>
  <c r="H506" i="11"/>
  <c r="J470" i="11"/>
  <c r="K573" i="11"/>
  <c r="L573" i="11"/>
  <c r="H454" i="11"/>
  <c r="L454" i="11"/>
  <c r="K454" i="11"/>
  <c r="I454" i="11"/>
  <c r="K437" i="11"/>
  <c r="L507" i="11"/>
  <c r="I472" i="11"/>
  <c r="J472" i="11"/>
  <c r="I382" i="11"/>
  <c r="J382" i="11"/>
  <c r="I342" i="11"/>
  <c r="J342" i="11"/>
  <c r="L317" i="11"/>
  <c r="J317" i="11"/>
  <c r="I317" i="11"/>
  <c r="L273" i="11"/>
  <c r="K273" i="11"/>
  <c r="L499" i="11"/>
  <c r="L398" i="11"/>
  <c r="L382" i="11"/>
  <c r="L366" i="11"/>
  <c r="L350" i="11"/>
  <c r="L334" i="11"/>
  <c r="K414" i="11"/>
  <c r="J414" i="11"/>
  <c r="K302" i="11"/>
  <c r="L284" i="11"/>
  <c r="K284" i="11"/>
  <c r="H284" i="11"/>
  <c r="H380" i="11"/>
  <c r="L380" i="11"/>
  <c r="J361" i="11"/>
  <c r="J329" i="11"/>
  <c r="K306" i="11"/>
  <c r="H306" i="11"/>
  <c r="I306" i="11"/>
  <c r="J306" i="11"/>
  <c r="K242" i="11"/>
  <c r="H242" i="11"/>
  <c r="I242" i="11"/>
  <c r="J242" i="11"/>
  <c r="L412" i="11"/>
  <c r="H412" i="11"/>
  <c r="K358" i="11"/>
  <c r="K402" i="11"/>
  <c r="I377" i="11"/>
  <c r="H377" i="11"/>
  <c r="I331" i="11"/>
  <c r="H273" i="11"/>
  <c r="J211" i="11"/>
  <c r="L302" i="11"/>
  <c r="K211" i="11"/>
  <c r="K362" i="11"/>
  <c r="L290" i="11"/>
  <c r="J276" i="11"/>
  <c r="L182" i="11"/>
  <c r="I182" i="11"/>
  <c r="H139" i="11"/>
  <c r="I139" i="11"/>
  <c r="H335" i="11"/>
  <c r="K335" i="11"/>
  <c r="L335" i="11"/>
  <c r="J144" i="11"/>
  <c r="K343" i="11"/>
  <c r="L343" i="11"/>
  <c r="I314" i="11"/>
  <c r="I257" i="11"/>
  <c r="K195" i="11"/>
  <c r="K175" i="11"/>
  <c r="K159" i="11"/>
  <c r="L310" i="11"/>
  <c r="K259" i="11"/>
  <c r="I307" i="11"/>
  <c r="I284" i="11"/>
  <c r="I256" i="11"/>
  <c r="H256" i="11"/>
  <c r="L256" i="11"/>
  <c r="J233" i="11"/>
  <c r="L215" i="11"/>
  <c r="K215" i="11"/>
  <c r="J215" i="11"/>
  <c r="H100" i="11"/>
  <c r="H36" i="11"/>
  <c r="J118" i="11"/>
  <c r="J54" i="11"/>
  <c r="I265" i="11"/>
  <c r="L189" i="11"/>
  <c r="H189" i="11"/>
  <c r="K136" i="11"/>
  <c r="L136" i="11"/>
  <c r="J136" i="11"/>
  <c r="J198" i="11"/>
  <c r="H131" i="11"/>
  <c r="L79" i="11"/>
  <c r="H79" i="11"/>
  <c r="K79" i="11"/>
  <c r="J79" i="11"/>
  <c r="L56" i="11"/>
  <c r="I233" i="11"/>
  <c r="I142" i="11"/>
  <c r="L211" i="11"/>
  <c r="I140" i="11"/>
  <c r="K200" i="11"/>
  <c r="H134" i="11"/>
  <c r="I132" i="11"/>
  <c r="J88" i="11"/>
  <c r="I88" i="11"/>
  <c r="H88" i="11"/>
  <c r="L67" i="11"/>
  <c r="J113" i="11"/>
  <c r="I60" i="11"/>
  <c r="K35" i="11"/>
  <c r="J112" i="11"/>
  <c r="I112" i="11"/>
  <c r="H112" i="11"/>
  <c r="H77" i="11"/>
  <c r="L42" i="11"/>
  <c r="K42" i="11"/>
  <c r="J42" i="11"/>
  <c r="I42" i="11"/>
  <c r="K44" i="11"/>
  <c r="J104" i="11"/>
  <c r="I104" i="11"/>
  <c r="H104" i="11"/>
  <c r="L83" i="11"/>
  <c r="H66" i="11"/>
  <c r="H37" i="11"/>
  <c r="I108" i="11"/>
  <c r="L86" i="11"/>
  <c r="K61" i="11"/>
  <c r="J61" i="11"/>
  <c r="I61" i="11"/>
  <c r="H26" i="11"/>
  <c r="O4" i="4"/>
  <c r="D2" i="5"/>
  <c r="AA911" i="11" l="1"/>
  <c r="AA576" i="11"/>
  <c r="Z399" i="11"/>
  <c r="Z576" i="11"/>
  <c r="AA184" i="11"/>
  <c r="Z771" i="11"/>
  <c r="AA399" i="11"/>
  <c r="Z911" i="11"/>
  <c r="AA890" i="11"/>
  <c r="AA460" i="11"/>
  <c r="Z556" i="11"/>
  <c r="Z327" i="11"/>
  <c r="Z660" i="11"/>
  <c r="AA771" i="11"/>
  <c r="AA747" i="11"/>
  <c r="AA466" i="11"/>
  <c r="Z606" i="11"/>
  <c r="AA660" i="11"/>
  <c r="Z460" i="11"/>
  <c r="AA606" i="11"/>
  <c r="AA556" i="11"/>
  <c r="Z890" i="11"/>
  <c r="AA593" i="11"/>
  <c r="Z356" i="11"/>
  <c r="Z168" i="11"/>
  <c r="AA327" i="11"/>
  <c r="AA356" i="11"/>
  <c r="AA564" i="11"/>
  <c r="AA168" i="11"/>
  <c r="Y327" i="11"/>
  <c r="Z628" i="11"/>
  <c r="AA858" i="11"/>
  <c r="AA569" i="11"/>
  <c r="Z569" i="11"/>
  <c r="Z858" i="11"/>
  <c r="AA43" i="11"/>
  <c r="Z929" i="11"/>
  <c r="Z466" i="11"/>
  <c r="Z43" i="11"/>
  <c r="AA929" i="11"/>
  <c r="AA987" i="11"/>
  <c r="AA916" i="11"/>
  <c r="Z279" i="11"/>
  <c r="AA247" i="11"/>
  <c r="AA435" i="11"/>
  <c r="Z747" i="11"/>
  <c r="AA821" i="11"/>
  <c r="Z494" i="11"/>
  <c r="AA628" i="11"/>
  <c r="AA283" i="11"/>
  <c r="AA553" i="11"/>
  <c r="Z553" i="11"/>
  <c r="AA571" i="11"/>
  <c r="AA455" i="11"/>
  <c r="Z571" i="11"/>
  <c r="Z455" i="11"/>
  <c r="Z287" i="11"/>
  <c r="Z160" i="11"/>
  <c r="AA985" i="11"/>
  <c r="AB948" i="11"/>
  <c r="AA271" i="11"/>
  <c r="AA684" i="11"/>
  <c r="AA319" i="11"/>
  <c r="Z809" i="11"/>
  <c r="Z348" i="11"/>
  <c r="Z328" i="11"/>
  <c r="Z438" i="11"/>
  <c r="Z710" i="11"/>
  <c r="AA711" i="11"/>
  <c r="AA309" i="11"/>
  <c r="Z387" i="11"/>
  <c r="AA1000" i="11"/>
  <c r="AA206" i="11"/>
  <c r="Z593" i="11"/>
  <c r="Z247" i="11"/>
  <c r="AA402" i="11"/>
  <c r="AA895" i="11"/>
  <c r="Z812" i="11"/>
  <c r="Z882" i="11"/>
  <c r="AA809" i="11"/>
  <c r="Z985" i="11"/>
  <c r="AA160" i="11"/>
  <c r="Z618" i="11"/>
  <c r="Z271" i="11"/>
  <c r="AA719" i="11"/>
  <c r="AA863" i="11"/>
  <c r="Y455" i="11"/>
  <c r="Z391" i="11"/>
  <c r="AA351" i="11"/>
  <c r="Z863" i="11"/>
  <c r="Z684" i="11"/>
  <c r="Z633" i="11"/>
  <c r="AA710" i="11"/>
  <c r="Z711" i="11"/>
  <c r="AA780" i="11"/>
  <c r="Z309" i="11"/>
  <c r="AA633" i="11"/>
  <c r="AA391" i="11"/>
  <c r="Z910" i="11"/>
  <c r="AA777" i="11"/>
  <c r="Z780" i="11"/>
  <c r="AA169" i="11"/>
  <c r="AA446" i="11"/>
  <c r="Z897" i="11"/>
  <c r="AA558" i="11"/>
  <c r="Z852" i="11"/>
  <c r="AA207" i="11"/>
  <c r="Y309" i="11"/>
  <c r="AB530" i="11"/>
  <c r="Z206" i="11"/>
  <c r="AA303" i="11"/>
  <c r="Z796" i="11"/>
  <c r="Z987" i="11"/>
  <c r="Z751" i="11"/>
  <c r="AA530" i="11"/>
  <c r="Y486" i="11"/>
  <c r="Z243" i="11"/>
  <c r="AA383" i="11"/>
  <c r="Z837" i="11"/>
  <c r="Z435" i="11"/>
  <c r="Z219" i="11"/>
  <c r="Z462" i="11"/>
  <c r="AA490" i="11"/>
  <c r="Z463" i="11"/>
  <c r="AA505" i="11"/>
  <c r="AA124" i="11"/>
  <c r="AA715" i="11"/>
  <c r="Z948" i="11"/>
  <c r="Z739" i="11"/>
  <c r="Z419" i="11"/>
  <c r="AA1017" i="11"/>
  <c r="Y606" i="11"/>
  <c r="AA796" i="11"/>
  <c r="Z124" i="11"/>
  <c r="Z184" i="11"/>
  <c r="Z564" i="11"/>
  <c r="AA623" i="11"/>
  <c r="Z668" i="11"/>
  <c r="AA387" i="11"/>
  <c r="Y508" i="11"/>
  <c r="Y660" i="11"/>
  <c r="Z558" i="11"/>
  <c r="Z301" i="11"/>
  <c r="Z127" i="11"/>
  <c r="AA407" i="11"/>
  <c r="Z937" i="11"/>
  <c r="AA668" i="11"/>
  <c r="AA887" i="11"/>
  <c r="Z849" i="11"/>
  <c r="Z770" i="11"/>
  <c r="AA534" i="11"/>
  <c r="Z424" i="11"/>
  <c r="AA690" i="11"/>
  <c r="AA857" i="11"/>
  <c r="AA316" i="11"/>
  <c r="Z452" i="11"/>
  <c r="AB218" i="11"/>
  <c r="AA269" i="11"/>
  <c r="AA846" i="11"/>
  <c r="Z995" i="11"/>
  <c r="Z950" i="11"/>
  <c r="AA348" i="11"/>
  <c r="Z323" i="11"/>
  <c r="AA630" i="11"/>
  <c r="AA826" i="11"/>
  <c r="AA652" i="11"/>
  <c r="AA622" i="11"/>
  <c r="Z960" i="11"/>
  <c r="AA882" i="11"/>
  <c r="Y571" i="11"/>
  <c r="Z912" i="11"/>
  <c r="Y460" i="11"/>
  <c r="AA301" i="11"/>
  <c r="AA127" i="11"/>
  <c r="Z407" i="11"/>
  <c r="AA937" i="11"/>
  <c r="AA793" i="11"/>
  <c r="Z887" i="11"/>
  <c r="AA849" i="11"/>
  <c r="AA770" i="11"/>
  <c r="AA287" i="11"/>
  <c r="AA293" i="11"/>
  <c r="AB1021" i="11"/>
  <c r="AA229" i="11"/>
  <c r="AA879" i="11"/>
  <c r="AA513" i="11"/>
  <c r="Z777" i="11"/>
  <c r="AA94" i="11"/>
  <c r="AB261" i="11"/>
  <c r="Z370" i="11"/>
  <c r="AA850" i="11"/>
  <c r="Z176" i="11"/>
  <c r="Z615" i="11"/>
  <c r="AA46" i="11"/>
  <c r="Z428" i="11"/>
  <c r="AA263" i="11"/>
  <c r="AA546" i="11"/>
  <c r="AA462" i="11"/>
  <c r="Z534" i="11"/>
  <c r="Z283" i="11"/>
  <c r="AA876" i="11"/>
  <c r="Z449" i="11"/>
  <c r="Z245" i="11"/>
  <c r="Z954" i="11"/>
  <c r="AA837" i="11"/>
  <c r="AA686" i="11"/>
  <c r="Z1014" i="11"/>
  <c r="Z107" i="11"/>
  <c r="AA508" i="11"/>
  <c r="AA739" i="11"/>
  <c r="AA245" i="11"/>
  <c r="Z743" i="11"/>
  <c r="Y948" i="11"/>
  <c r="AA261" i="11"/>
  <c r="Z269" i="11"/>
  <c r="Z718" i="11"/>
  <c r="AA30" i="11"/>
  <c r="Z351" i="11"/>
  <c r="Z824" i="11"/>
  <c r="AA427" i="11"/>
  <c r="AA626" i="11"/>
  <c r="Z237" i="11"/>
  <c r="Z1003" i="11"/>
  <c r="AA769" i="11"/>
  <c r="Z598" i="11"/>
  <c r="Z41" i="11"/>
  <c r="Z263" i="11"/>
  <c r="AA103" i="11"/>
  <c r="Z392" i="11"/>
  <c r="Y115" i="11"/>
  <c r="Z791" i="11"/>
  <c r="Z208" i="11"/>
  <c r="AA41" i="11"/>
  <c r="Z590" i="11"/>
  <c r="Y478" i="11"/>
  <c r="Z46" i="11"/>
  <c r="AA428" i="11"/>
  <c r="Z103" i="11"/>
  <c r="Z110" i="11"/>
  <c r="Z652" i="11"/>
  <c r="Y126" i="11"/>
  <c r="AA192" i="11"/>
  <c r="AA424" i="11"/>
  <c r="Z156" i="11"/>
  <c r="AA463" i="11"/>
  <c r="AA1014" i="11"/>
  <c r="Z876" i="11"/>
  <c r="AA277" i="11"/>
  <c r="Z555" i="11"/>
  <c r="Z303" i="11"/>
  <c r="AA219" i="11"/>
  <c r="AA486" i="11"/>
  <c r="AA354" i="11"/>
  <c r="AA494" i="11"/>
  <c r="AA408" i="11"/>
  <c r="AA948" i="11"/>
  <c r="AA676" i="11"/>
  <c r="AA452" i="11"/>
  <c r="Z715" i="11"/>
  <c r="Z766" i="11"/>
  <c r="AA817" i="11"/>
  <c r="Z513" i="11"/>
  <c r="Z821" i="11"/>
  <c r="Z94" i="11"/>
  <c r="AA680" i="11"/>
  <c r="AA379" i="11"/>
  <c r="Z609" i="11"/>
  <c r="AB424" i="11"/>
  <c r="Z95" i="11"/>
  <c r="AA766" i="11"/>
  <c r="Z403" i="11"/>
  <c r="AA563" i="11"/>
  <c r="AA995" i="11"/>
  <c r="AA960" i="11"/>
  <c r="Z376" i="11"/>
  <c r="Z694" i="11"/>
  <c r="Z690" i="11"/>
  <c r="Z962" i="11"/>
  <c r="AA601" i="11"/>
  <c r="Z218" i="11"/>
  <c r="Z416" i="11"/>
  <c r="AA176" i="11"/>
  <c r="AA126" i="11"/>
  <c r="AA218" i="11"/>
  <c r="Y263" i="11"/>
  <c r="Z622" i="11"/>
  <c r="Z846" i="11"/>
  <c r="AA323" i="11"/>
  <c r="Z630" i="11"/>
  <c r="AA694" i="11"/>
  <c r="Y1021" i="11"/>
  <c r="Y206" i="11"/>
  <c r="Y704" i="11"/>
  <c r="Z229" i="11"/>
  <c r="AA590" i="11"/>
  <c r="Z277" i="11"/>
  <c r="AA555" i="11"/>
  <c r="AA187" i="11"/>
  <c r="Z505" i="11"/>
  <c r="Z626" i="11"/>
  <c r="Z1017" i="11"/>
  <c r="AA1003" i="11"/>
  <c r="AA110" i="11"/>
  <c r="Z408" i="11"/>
  <c r="AA598" i="11"/>
  <c r="AA812" i="11"/>
  <c r="Z316" i="11"/>
  <c r="Z427" i="11"/>
  <c r="Z769" i="11"/>
  <c r="AA395" i="11"/>
  <c r="AA208" i="11"/>
  <c r="Z486" i="11"/>
  <c r="Z383" i="11"/>
  <c r="AA478" i="11"/>
  <c r="AB704" i="11"/>
  <c r="G7" i="8"/>
  <c r="AA718" i="11"/>
  <c r="Z331" i="11"/>
  <c r="Y879" i="11"/>
  <c r="Y950" i="11"/>
  <c r="Z115" i="11"/>
  <c r="Y513" i="11"/>
  <c r="AA237" i="11"/>
  <c r="Z508" i="11"/>
  <c r="Z817" i="11"/>
  <c r="Z879" i="11"/>
  <c r="AA950" i="11"/>
  <c r="Z478" i="11"/>
  <c r="Z490" i="11"/>
  <c r="AA791" i="11"/>
  <c r="Y995" i="11"/>
  <c r="AA115" i="11"/>
  <c r="Z1021" i="11"/>
  <c r="O6" i="4"/>
  <c r="E17" i="7"/>
  <c r="Z319" i="11"/>
  <c r="AA279" i="11"/>
  <c r="Z676" i="11"/>
  <c r="AA403" i="11"/>
  <c r="Z563" i="11"/>
  <c r="Z826" i="11"/>
  <c r="Z1000" i="11"/>
  <c r="Z793" i="11"/>
  <c r="Z916" i="11"/>
  <c r="Z514" i="11"/>
  <c r="Z627" i="11"/>
  <c r="AA814" i="11"/>
  <c r="AA419" i="11"/>
  <c r="Z164" i="11"/>
  <c r="AB486" i="11"/>
  <c r="Y694" i="11"/>
  <c r="AA1021" i="11"/>
  <c r="Z864" i="11"/>
  <c r="D21" i="7"/>
  <c r="E21" i="7" s="1"/>
  <c r="AA835" i="11"/>
  <c r="AA992" i="11"/>
  <c r="AA107" i="11"/>
  <c r="Z722" i="11"/>
  <c r="Z30" i="11"/>
  <c r="AA824" i="11"/>
  <c r="AA928" i="11"/>
  <c r="Y237" i="11"/>
  <c r="AA954" i="11"/>
  <c r="Y424" i="11"/>
  <c r="Z850" i="11"/>
  <c r="Z235" i="11"/>
  <c r="Z293" i="11"/>
  <c r="Z623" i="11"/>
  <c r="Z686" i="11"/>
  <c r="AA755" i="11"/>
  <c r="Z261" i="11"/>
  <c r="AA942" i="11"/>
  <c r="AA95" i="11"/>
  <c r="AA443" i="11"/>
  <c r="AA908" i="11"/>
  <c r="AA910" i="11"/>
  <c r="Z928" i="11"/>
  <c r="Z992" i="11"/>
  <c r="AA722" i="11"/>
  <c r="Z947" i="11"/>
  <c r="Z974" i="11"/>
  <c r="Z446" i="11"/>
  <c r="AA441" i="11"/>
  <c r="AA144" i="11"/>
  <c r="AA209" i="11"/>
  <c r="AA295" i="11"/>
  <c r="Z434" i="11"/>
  <c r="AA164" i="11"/>
  <c r="Z443" i="11"/>
  <c r="AA429" i="11"/>
  <c r="Z942" i="11"/>
  <c r="AA545" i="11"/>
  <c r="Z479" i="11"/>
  <c r="AA75" i="11"/>
  <c r="AA344" i="11"/>
  <c r="AA322" i="11"/>
  <c r="AA359" i="11"/>
  <c r="Z990" i="11"/>
  <c r="Z171" i="11"/>
  <c r="Z664" i="11"/>
  <c r="Y666" i="11"/>
  <c r="Z828" i="11"/>
  <c r="Y243" i="11"/>
  <c r="Z286" i="11"/>
  <c r="AA688" i="11"/>
  <c r="Z835" i="11"/>
  <c r="Z441" i="11"/>
  <c r="Z719" i="11"/>
  <c r="AA449" i="11"/>
  <c r="AA979" i="11"/>
  <c r="AA471" i="11"/>
  <c r="Z119" i="11"/>
  <c r="AA251" i="11"/>
  <c r="AA502" i="11"/>
  <c r="Z458" i="11"/>
  <c r="AA458" i="11"/>
  <c r="AA434" i="11"/>
  <c r="Z359" i="11"/>
  <c r="Z172" i="11"/>
  <c r="Z411" i="11"/>
  <c r="Z227" i="11"/>
  <c r="Z814" i="11"/>
  <c r="AA804" i="11"/>
  <c r="Z75" i="11"/>
  <c r="AA156" i="11"/>
  <c r="Z908" i="11"/>
  <c r="Z857" i="11"/>
  <c r="AA751" i="11"/>
  <c r="AA829" i="11"/>
  <c r="Z816" i="11"/>
  <c r="AA927" i="11"/>
  <c r="AA141" i="11"/>
  <c r="Y767" i="11"/>
  <c r="Z101" i="11"/>
  <c r="AA406" i="11"/>
  <c r="Z320" i="11"/>
  <c r="AA400" i="11"/>
  <c r="Z122" i="11"/>
  <c r="Y762" i="11"/>
  <c r="AA526" i="11"/>
  <c r="Z126" i="11"/>
  <c r="AA900" i="11"/>
  <c r="AA386" i="11"/>
  <c r="AA946" i="11"/>
  <c r="Z536" i="11"/>
  <c r="Z180" i="11"/>
  <c r="AA425" i="11"/>
  <c r="Z209" i="11"/>
  <c r="AA716" i="11"/>
  <c r="AA664" i="11"/>
  <c r="Z254" i="11"/>
  <c r="Z49" i="11"/>
  <c r="Z518" i="11"/>
  <c r="Z381" i="11"/>
  <c r="Z135" i="11"/>
  <c r="AA188" i="11"/>
  <c r="AA615" i="11"/>
  <c r="Y220" i="11"/>
  <c r="Z924" i="11"/>
  <c r="Z62" i="11"/>
  <c r="Z680" i="11"/>
  <c r="AA438" i="11"/>
  <c r="AA360" i="11"/>
  <c r="AA990" i="11"/>
  <c r="AA357" i="11"/>
  <c r="Z192" i="11"/>
  <c r="Z530" i="11"/>
  <c r="AA651" i="11"/>
  <c r="Z153" i="11"/>
  <c r="AA656" i="11"/>
  <c r="Z295" i="11"/>
  <c r="AA355" i="11"/>
  <c r="AA944" i="11"/>
  <c r="AA788" i="11"/>
  <c r="AA128" i="11"/>
  <c r="AA411" i="11"/>
  <c r="Z465" i="11"/>
  <c r="AA582" i="11"/>
  <c r="AA253" i="11"/>
  <c r="AA285" i="11"/>
  <c r="Z425" i="11"/>
  <c r="Z804" i="11"/>
  <c r="AA182" i="11"/>
  <c r="Z354" i="11"/>
  <c r="AA370" i="11"/>
  <c r="AA577" i="11"/>
  <c r="Z137" i="11"/>
  <c r="AA89" i="11"/>
  <c r="AA704" i="11"/>
  <c r="Z324" i="11"/>
  <c r="AA889" i="11"/>
  <c r="Z702" i="11"/>
  <c r="AA568" i="11"/>
  <c r="Z152" i="11"/>
  <c r="AA152" i="11"/>
  <c r="Z285" i="11"/>
  <c r="AA525" i="11"/>
  <c r="AA239" i="11"/>
  <c r="AA324" i="11"/>
  <c r="AA465" i="11"/>
  <c r="AB862" i="11"/>
  <c r="Z406" i="11"/>
  <c r="Z762" i="11"/>
  <c r="Y530" i="11"/>
  <c r="Z141" i="11"/>
  <c r="AA286" i="11"/>
  <c r="Z386" i="11"/>
  <c r="Z915" i="11"/>
  <c r="AA135" i="11"/>
  <c r="Z526" i="11"/>
  <c r="AA924" i="11"/>
  <c r="AA587" i="11"/>
  <c r="Z543" i="11"/>
  <c r="Z568" i="11"/>
  <c r="Z545" i="11"/>
  <c r="AA943" i="11"/>
  <c r="AA735" i="11"/>
  <c r="Z344" i="11"/>
  <c r="AA618" i="11"/>
  <c r="AA725" i="11"/>
  <c r="Z253" i="11"/>
  <c r="AA627" i="11"/>
  <c r="AA338" i="11"/>
  <c r="AA341" i="11"/>
  <c r="Z414" i="11"/>
  <c r="Z666" i="11"/>
  <c r="Z845" i="11"/>
  <c r="Z927" i="11"/>
  <c r="AA137" i="11"/>
  <c r="Z788" i="11"/>
  <c r="Z988" i="11"/>
  <c r="AA220" i="11"/>
  <c r="Z949" i="11"/>
  <c r="Z128" i="11"/>
  <c r="Z89" i="11"/>
  <c r="AA62" i="11"/>
  <c r="Z970" i="11"/>
  <c r="AA737" i="11"/>
  <c r="AA509" i="11"/>
  <c r="AA551" i="11"/>
  <c r="Y180" i="11"/>
  <c r="Y526" i="11"/>
  <c r="Y286" i="11"/>
  <c r="Z577" i="11"/>
  <c r="AA243" i="11"/>
  <c r="AA666" i="11"/>
  <c r="AB415" i="11"/>
  <c r="Z944" i="11"/>
  <c r="Z704" i="11"/>
  <c r="AA312" i="11"/>
  <c r="Z648" i="11"/>
  <c r="Z582" i="11"/>
  <c r="Z357" i="11"/>
  <c r="Y205" i="11"/>
  <c r="AB510" i="11"/>
  <c r="AA482" i="11"/>
  <c r="Z470" i="11"/>
  <c r="AA222" i="11"/>
  <c r="Z405" i="11"/>
  <c r="AA611" i="11"/>
  <c r="Z540" i="11"/>
  <c r="AA584" i="11"/>
  <c r="AA592" i="11"/>
  <c r="AA172" i="11"/>
  <c r="AA702" i="11"/>
  <c r="Z201" i="11"/>
  <c r="AA724" i="11"/>
  <c r="AA101" i="11"/>
  <c r="Z538" i="11"/>
  <c r="AB406" i="11"/>
  <c r="AA678" i="11"/>
  <c r="AA167" i="11"/>
  <c r="AA880" i="11"/>
  <c r="AA153" i="11"/>
  <c r="Z656" i="11"/>
  <c r="Z991" i="11"/>
  <c r="Z902" i="11"/>
  <c r="Z765" i="11"/>
  <c r="AA976" i="11"/>
  <c r="Z169" i="11"/>
  <c r="AA567" i="11"/>
  <c r="Z565" i="11"/>
  <c r="AA493" i="11"/>
  <c r="Z840" i="11"/>
  <c r="Z423" i="11"/>
  <c r="Z167" i="11"/>
  <c r="Z592" i="11"/>
  <c r="AA778" i="11"/>
  <c r="Z965" i="11"/>
  <c r="Y717" i="11"/>
  <c r="AA363" i="11"/>
  <c r="AB608" i="11"/>
  <c r="AA93" i="11"/>
  <c r="AA970" i="11"/>
  <c r="Y656" i="11"/>
  <c r="AA171" i="11"/>
  <c r="Z685" i="11"/>
  <c r="AB422" i="11"/>
  <c r="Y894" i="11"/>
  <c r="AA935" i="11"/>
  <c r="AA496" i="11"/>
  <c r="AA320" i="11"/>
  <c r="Z336" i="11"/>
  <c r="AA185" i="11"/>
  <c r="AA867" i="11"/>
  <c r="Z931" i="11"/>
  <c r="Z889" i="11"/>
  <c r="Z400" i="11"/>
  <c r="AA117" i="11"/>
  <c r="Z145" i="11"/>
  <c r="AA278" i="11"/>
  <c r="AA255" i="11"/>
  <c r="AA49" i="11"/>
  <c r="AA201" i="11"/>
  <c r="AA317" i="11"/>
  <c r="AA786" i="11"/>
  <c r="AA397" i="11"/>
  <c r="Z584" i="11"/>
  <c r="Z629" i="11"/>
  <c r="Z716" i="11"/>
  <c r="AA231" i="11"/>
  <c r="AA122" i="11"/>
  <c r="AA762" i="11"/>
  <c r="Z855" i="11"/>
  <c r="AA570" i="11"/>
  <c r="AA984" i="11"/>
  <c r="Z740" i="11"/>
  <c r="AA415" i="11"/>
  <c r="Z367" i="11"/>
  <c r="Z552" i="11"/>
  <c r="AA869" i="11"/>
  <c r="Z964" i="11"/>
  <c r="AA109" i="11"/>
  <c r="AA85" i="11"/>
  <c r="AA756" i="11"/>
  <c r="Z672" i="11"/>
  <c r="Z688" i="11"/>
  <c r="AA897" i="11"/>
  <c r="Z979" i="11"/>
  <c r="AA119" i="11"/>
  <c r="AA625" i="11"/>
  <c r="AA828" i="11"/>
  <c r="AA727" i="11"/>
  <c r="AA650" i="11"/>
  <c r="AA901" i="11"/>
  <c r="AA291" i="11"/>
  <c r="Z355" i="11"/>
  <c r="AA851" i="11"/>
  <c r="AA422" i="11"/>
  <c r="AA613" i="11"/>
  <c r="Z797" i="11"/>
  <c r="Y869" i="11"/>
  <c r="Y201" i="11"/>
  <c r="AA1001" i="11"/>
  <c r="Y909" i="11"/>
  <c r="AA699" i="11"/>
  <c r="AA331" i="11"/>
  <c r="Z525" i="11"/>
  <c r="Z278" i="11"/>
  <c r="Z625" i="11"/>
  <c r="Z737" i="11"/>
  <c r="AA685" i="11"/>
  <c r="Z220" i="11"/>
  <c r="Y974" i="11"/>
  <c r="Z343" i="11"/>
  <c r="Z211" i="11"/>
  <c r="AA670" i="11"/>
  <c r="AA794" i="11"/>
  <c r="Z932" i="11"/>
  <c r="AA842" i="11"/>
  <c r="Z869" i="11"/>
  <c r="AA487" i="11"/>
  <c r="Z541" i="11"/>
  <c r="Z946" i="11"/>
  <c r="Z69" i="11"/>
  <c r="Y53" i="11"/>
  <c r="Z299" i="11"/>
  <c r="Z895" i="11"/>
  <c r="Z117" i="11"/>
  <c r="Z255" i="11"/>
  <c r="Z429" i="11"/>
  <c r="AA58" i="11"/>
  <c r="AA381" i="11"/>
  <c r="AA376" i="11"/>
  <c r="AA538" i="11"/>
  <c r="Z484" i="11"/>
  <c r="Y227" i="11"/>
  <c r="Z84" i="11"/>
  <c r="Z755" i="11"/>
  <c r="Z763" i="11"/>
  <c r="AA533" i="11"/>
  <c r="AA430" i="11"/>
  <c r="AA528" i="11"/>
  <c r="AA717" i="11"/>
  <c r="AA259" i="11"/>
  <c r="AA572" i="11"/>
  <c r="Z640" i="11"/>
  <c r="Z767" i="11"/>
  <c r="Z943" i="11"/>
  <c r="AA866" i="11"/>
  <c r="Z894" i="11"/>
  <c r="AA254" i="11"/>
  <c r="AA417" i="11"/>
  <c r="AA986" i="11"/>
  <c r="Z900" i="11"/>
  <c r="Z188" i="11"/>
  <c r="Z312" i="11"/>
  <c r="Z384" i="11"/>
  <c r="Z251" i="11"/>
  <c r="Y464" i="11"/>
  <c r="AB198" i="11"/>
  <c r="Z422" i="11"/>
  <c r="Z608" i="11"/>
  <c r="AA767" i="11"/>
  <c r="Y29" i="11"/>
  <c r="Z542" i="11"/>
  <c r="AA654" i="11"/>
  <c r="Y866" i="11"/>
  <c r="Z488" i="11"/>
  <c r="Z601" i="11"/>
  <c r="AA672" i="11"/>
  <c r="AA328" i="11"/>
  <c r="Z177" i="11"/>
  <c r="AA743" i="11"/>
  <c r="AA384" i="11"/>
  <c r="AA816" i="11"/>
  <c r="AA609" i="11"/>
  <c r="Z724" i="11"/>
  <c r="Z914" i="11"/>
  <c r="AA914" i="11"/>
  <c r="Z161" i="11"/>
  <c r="AA161" i="11"/>
  <c r="Z203" i="11"/>
  <c r="AA203" i="11"/>
  <c r="AA696" i="11"/>
  <c r="Z696" i="11"/>
  <c r="Z522" i="11"/>
  <c r="AA522" i="11"/>
  <c r="Z233" i="11"/>
  <c r="AA136" i="11"/>
  <c r="AA336" i="11"/>
  <c r="Z717" i="11"/>
  <c r="Z365" i="11"/>
  <c r="Z699" i="11"/>
  <c r="Z144" i="11"/>
  <c r="AA155" i="11"/>
  <c r="Z155" i="11"/>
  <c r="AA909" i="11"/>
  <c r="AB740" i="11"/>
  <c r="Z185" i="11"/>
  <c r="Y784" i="11"/>
  <c r="Z53" i="11"/>
  <c r="Z352" i="11"/>
  <c r="AA698" i="11"/>
  <c r="Z698" i="11"/>
  <c r="AA445" i="11"/>
  <c r="Y613" i="11"/>
  <c r="AA442" i="11"/>
  <c r="Z859" i="11"/>
  <c r="Z862" i="11"/>
  <c r="AA53" i="11"/>
  <c r="Z537" i="11"/>
  <c r="AA603" i="11"/>
  <c r="AA536" i="11"/>
  <c r="Z617" i="11"/>
  <c r="Z510" i="11"/>
  <c r="AA894" i="11"/>
  <c r="AA659" i="11"/>
  <c r="AA484" i="11"/>
  <c r="AA925" i="11"/>
  <c r="Z925" i="11"/>
  <c r="Z904" i="11"/>
  <c r="Z589" i="11"/>
  <c r="AA789" i="11"/>
  <c r="AA805" i="11"/>
  <c r="Z578" i="11"/>
  <c r="AA949" i="11"/>
  <c r="AA416" i="11"/>
  <c r="Y342" i="11"/>
  <c r="AA453" i="11"/>
  <c r="Y925" i="11"/>
  <c r="Z58" i="11"/>
  <c r="Z759" i="11"/>
  <c r="AA759" i="11"/>
  <c r="Z613" i="11"/>
  <c r="Z891" i="11"/>
  <c r="Z207" i="11"/>
  <c r="AA61" i="11"/>
  <c r="AA472" i="11"/>
  <c r="AA803" i="11"/>
  <c r="Z989" i="11"/>
  <c r="AA974" i="11"/>
  <c r="AA180" i="11"/>
  <c r="AA754" i="11"/>
  <c r="Z136" i="11"/>
  <c r="Z415" i="11"/>
  <c r="Z635" i="11"/>
  <c r="Y864" i="11"/>
  <c r="AA864" i="11"/>
  <c r="AA78" i="11"/>
  <c r="Z78" i="11"/>
  <c r="Z379" i="11"/>
  <c r="Z624" i="11"/>
  <c r="AA520" i="11"/>
  <c r="Z610" i="11"/>
  <c r="Z509" i="11"/>
  <c r="AA730" i="11"/>
  <c r="Z730" i="11"/>
  <c r="AA196" i="11"/>
  <c r="Z650" i="11"/>
  <c r="AA712" i="11"/>
  <c r="Z148" i="11"/>
  <c r="AA368" i="11"/>
  <c r="Z368" i="11"/>
  <c r="AA352" i="11"/>
  <c r="AA205" i="11"/>
  <c r="AA318" i="11"/>
  <c r="AA753" i="11"/>
  <c r="AA854" i="11"/>
  <c r="AA934" i="11"/>
  <c r="AA971" i="11"/>
  <c r="AA512" i="11"/>
  <c r="Z586" i="11"/>
  <c r="AA69" i="11"/>
  <c r="Z581" i="11"/>
  <c r="Z853" i="11"/>
  <c r="Z275" i="11"/>
  <c r="Z480" i="11"/>
  <c r="AA148" i="11"/>
  <c r="Z418" i="11"/>
  <c r="AA448" i="11"/>
  <c r="Z725" i="11"/>
  <c r="AA833" i="11"/>
  <c r="AA872" i="11"/>
  <c r="AA765" i="11"/>
  <c r="AA405" i="11"/>
  <c r="AA893" i="11"/>
  <c r="AA962" i="11"/>
  <c r="AA177" i="11"/>
  <c r="AA931" i="11"/>
  <c r="AA382" i="11"/>
  <c r="Z535" i="11"/>
  <c r="AA675" i="11"/>
  <c r="Z901" i="11"/>
  <c r="AA45" i="11"/>
  <c r="Z50" i="11"/>
  <c r="AA158" i="11"/>
  <c r="AB464" i="11"/>
  <c r="AA398" i="11"/>
  <c r="Z496" i="11"/>
  <c r="AA706" i="11"/>
  <c r="Z123" i="11"/>
  <c r="Z395" i="11"/>
  <c r="AA227" i="11"/>
  <c r="Z448" i="11"/>
  <c r="AA540" i="11"/>
  <c r="Z727" i="11"/>
  <c r="Z735" i="11"/>
  <c r="AA855" i="11"/>
  <c r="AA923" i="11"/>
  <c r="Z986" i="11"/>
  <c r="Z721" i="11"/>
  <c r="Z471" i="11"/>
  <c r="AA498" i="11"/>
  <c r="Z498" i="11"/>
  <c r="AA514" i="11"/>
  <c r="AA145" i="11"/>
  <c r="Z205" i="11"/>
  <c r="AA952" i="11"/>
  <c r="Z195" i="11"/>
  <c r="Z464" i="11"/>
  <c r="AA701" i="11"/>
  <c r="AA823" i="11"/>
  <c r="Z866" i="11"/>
  <c r="AA1023" i="11"/>
  <c r="Z808" i="11"/>
  <c r="AA662" i="11"/>
  <c r="Z291" i="11"/>
  <c r="AA951" i="11"/>
  <c r="Z334" i="11"/>
  <c r="AA784" i="11"/>
  <c r="Z231" i="11"/>
  <c r="AA350" i="11"/>
  <c r="AA84" i="11"/>
  <c r="Z487" i="11"/>
  <c r="AA629" i="11"/>
  <c r="Z239" i="11"/>
  <c r="Z524" i="11"/>
  <c r="AA648" i="11"/>
  <c r="AA795" i="11"/>
  <c r="Z867" i="11"/>
  <c r="AA392" i="11"/>
  <c r="Y988" i="11"/>
  <c r="AA42" i="11"/>
  <c r="Z573" i="11"/>
  <c r="Z775" i="11"/>
  <c r="AA748" i="11"/>
  <c r="AA215" i="11"/>
  <c r="Z307" i="11"/>
  <c r="Z259" i="11"/>
  <c r="AA470" i="11"/>
  <c r="AA691" i="11"/>
  <c r="AA774" i="11"/>
  <c r="AA810" i="11"/>
  <c r="Z787" i="11"/>
  <c r="Z267" i="11"/>
  <c r="AA183" i="11"/>
  <c r="AA738" i="11"/>
  <c r="Z815" i="11"/>
  <c r="Z605" i="11"/>
  <c r="Z861" i="11"/>
  <c r="AA334" i="11"/>
  <c r="AA358" i="11"/>
  <c r="AA542" i="11"/>
  <c r="Z784" i="11"/>
  <c r="Y895" i="11"/>
  <c r="AA938" i="11"/>
  <c r="AA638" i="11"/>
  <c r="AA275" i="11"/>
  <c r="AA151" i="11"/>
  <c r="AA504" i="11"/>
  <c r="Z445" i="11"/>
  <c r="Z677" i="11"/>
  <c r="Z872" i="11"/>
  <c r="AA997" i="11"/>
  <c r="AA111" i="11"/>
  <c r="Z111" i="11"/>
  <c r="AA852" i="11"/>
  <c r="Z360" i="11"/>
  <c r="AB781" i="11"/>
  <c r="AA781" i="11"/>
  <c r="Z781" i="11"/>
  <c r="Y781" i="11"/>
  <c r="Y933" i="11"/>
  <c r="Z933" i="11"/>
  <c r="AB933" i="11"/>
  <c r="AA933" i="11"/>
  <c r="Y262" i="11"/>
  <c r="AA262" i="11"/>
  <c r="Z262" i="11"/>
  <c r="AB262" i="11"/>
  <c r="AB345" i="11"/>
  <c r="AA345" i="11"/>
  <c r="Z345" i="11"/>
  <c r="Y345" i="11"/>
  <c r="AB401" i="11"/>
  <c r="AA401" i="11"/>
  <c r="Z401" i="11"/>
  <c r="Y401" i="11"/>
  <c r="Z653" i="11"/>
  <c r="AB653" i="11"/>
  <c r="AA653" i="11"/>
  <c r="Y653" i="11"/>
  <c r="AB899" i="11"/>
  <c r="Y899" i="11"/>
  <c r="Z899" i="11"/>
  <c r="AA899" i="11"/>
  <c r="AB957" i="11"/>
  <c r="AA957" i="11"/>
  <c r="Z957" i="11"/>
  <c r="Y957" i="11"/>
  <c r="AB641" i="11"/>
  <c r="AA641" i="11"/>
  <c r="Z641" i="11"/>
  <c r="Y641" i="11"/>
  <c r="AB914" i="11"/>
  <c r="AB876" i="11"/>
  <c r="AB711" i="11"/>
  <c r="AB618" i="11"/>
  <c r="AB408" i="11"/>
  <c r="AB400" i="11"/>
  <c r="AB368" i="11"/>
  <c r="AB336" i="11"/>
  <c r="AB384" i="11"/>
  <c r="AB392" i="11"/>
  <c r="AB352" i="11"/>
  <c r="AB320" i="11"/>
  <c r="AB185" i="11"/>
  <c r="AB177" i="11"/>
  <c r="AB169" i="11"/>
  <c r="AB161" i="11"/>
  <c r="AB153" i="11"/>
  <c r="AB145" i="11"/>
  <c r="AB95" i="11"/>
  <c r="AB111" i="11"/>
  <c r="AB156" i="11"/>
  <c r="AB94" i="11"/>
  <c r="AB360" i="11"/>
  <c r="AB387" i="11"/>
  <c r="AB522" i="11"/>
  <c r="AB490" i="11"/>
  <c r="AB458" i="11"/>
  <c r="AB558" i="11"/>
  <c r="AB716" i="11"/>
  <c r="AB759" i="11"/>
  <c r="AB780" i="11"/>
  <c r="AB889" i="11"/>
  <c r="AB577" i="11"/>
  <c r="AB788" i="11"/>
  <c r="AB78" i="11"/>
  <c r="AB119" i="11"/>
  <c r="AB172" i="11"/>
  <c r="AB379" i="11"/>
  <c r="AB411" i="11"/>
  <c r="AB428" i="11"/>
  <c r="AB545" i="11"/>
  <c r="AB601" i="11"/>
  <c r="AB582" i="11"/>
  <c r="AB852" i="11"/>
  <c r="AB863" i="11"/>
  <c r="AB828" i="11"/>
  <c r="AB743" i="11"/>
  <c r="AB62" i="11"/>
  <c r="AB135" i="11"/>
  <c r="AB355" i="11"/>
  <c r="AB312" i="11"/>
  <c r="AB344" i="11"/>
  <c r="AB465" i="11"/>
  <c r="AB615" i="11"/>
  <c r="AB755" i="11"/>
  <c r="AB730" i="11"/>
  <c r="AB735" i="11"/>
  <c r="AB766" i="11"/>
  <c r="AB356" i="11"/>
  <c r="AB443" i="11"/>
  <c r="AB441" i="11"/>
  <c r="AB804" i="11"/>
  <c r="AB857" i="11"/>
  <c r="AB46" i="11"/>
  <c r="AB148" i="11"/>
  <c r="AB188" i="11"/>
  <c r="AB419" i="11"/>
  <c r="AB498" i="11"/>
  <c r="AB103" i="11"/>
  <c r="AB328" i="11"/>
  <c r="AB395" i="11"/>
  <c r="AB203" i="11"/>
  <c r="AB324" i="11"/>
  <c r="AB471" i="11"/>
  <c r="AB514" i="11"/>
  <c r="AB141" i="11"/>
  <c r="AB122" i="11"/>
  <c r="AB316" i="11"/>
  <c r="AB449" i="11"/>
  <c r="AB598" i="11"/>
  <c r="AB630" i="11"/>
  <c r="AB633" i="11"/>
  <c r="AB110" i="11"/>
  <c r="AB627" i="11"/>
  <c r="AB777" i="11"/>
  <c r="AB849" i="11"/>
  <c r="AB897" i="11"/>
  <c r="AB960" i="11"/>
  <c r="AB219" i="11"/>
  <c r="AB376" i="11"/>
  <c r="AB538" i="11"/>
  <c r="AB931" i="11"/>
  <c r="AB867" i="11"/>
  <c r="AB751" i="11"/>
  <c r="AB722" i="11"/>
  <c r="AB727" i="11"/>
  <c r="AB812" i="11"/>
  <c r="AB900" i="11"/>
  <c r="AB979" i="11"/>
  <c r="AB725" i="11"/>
  <c r="AB383" i="11"/>
  <c r="AB526" i="11"/>
  <c r="Y510" i="11"/>
  <c r="AB115" i="11"/>
  <c r="AB245" i="11"/>
  <c r="AA467" i="11"/>
  <c r="AB467" i="11"/>
  <c r="Z467" i="11"/>
  <c r="Y467" i="11"/>
  <c r="AB499" i="11"/>
  <c r="AA499" i="11"/>
  <c r="Z499" i="11"/>
  <c r="Y499" i="11"/>
  <c r="AB457" i="11"/>
  <c r="AA457" i="11"/>
  <c r="Z457" i="11"/>
  <c r="Y457" i="11"/>
  <c r="Y147" i="11"/>
  <c r="AB147" i="11"/>
  <c r="AA147" i="11"/>
  <c r="Z147" i="11"/>
  <c r="AB144" i="11"/>
  <c r="Z198" i="11"/>
  <c r="AB386" i="11"/>
  <c r="Z529" i="11"/>
  <c r="Y529" i="11"/>
  <c r="AB529" i="11"/>
  <c r="AA529" i="11"/>
  <c r="AB534" i="11"/>
  <c r="Y682" i="11"/>
  <c r="AA682" i="11"/>
  <c r="AB682" i="11"/>
  <c r="Z682" i="11"/>
  <c r="AB557" i="11"/>
  <c r="AA557" i="11"/>
  <c r="Z557" i="11"/>
  <c r="Y557" i="11"/>
  <c r="Z29" i="11"/>
  <c r="AA50" i="11"/>
  <c r="Z100" i="11"/>
  <c r="AB100" i="11"/>
  <c r="AA100" i="11"/>
  <c r="Y100" i="11"/>
  <c r="AB136" i="11"/>
  <c r="AB307" i="11"/>
  <c r="AA198" i="11"/>
  <c r="Z273" i="11"/>
  <c r="AA273" i="11"/>
  <c r="Y273" i="11"/>
  <c r="AB273" i="11"/>
  <c r="Y386" i="11"/>
  <c r="Y415" i="11"/>
  <c r="AB397" i="11"/>
  <c r="AA763" i="11"/>
  <c r="Y954" i="11"/>
  <c r="Z975" i="11"/>
  <c r="Y975" i="11"/>
  <c r="AA975" i="11"/>
  <c r="AB975" i="11"/>
  <c r="Z342" i="11"/>
  <c r="AA349" i="11"/>
  <c r="Z349" i="11"/>
  <c r="Y349" i="11"/>
  <c r="AB349" i="11"/>
  <c r="Y543" i="11"/>
  <c r="AB683" i="11"/>
  <c r="Y683" i="11"/>
  <c r="AA683" i="11"/>
  <c r="Z683" i="11"/>
  <c r="AA775" i="11"/>
  <c r="AB842" i="11"/>
  <c r="Y901" i="11"/>
  <c r="AB96" i="11"/>
  <c r="AA96" i="11"/>
  <c r="Z96" i="11"/>
  <c r="Y96" i="11"/>
  <c r="Z281" i="11"/>
  <c r="AA281" i="11"/>
  <c r="Y281" i="11"/>
  <c r="AB281" i="11"/>
  <c r="AB369" i="11"/>
  <c r="AA369" i="11"/>
  <c r="Z369" i="11"/>
  <c r="Y369" i="11"/>
  <c r="Y534" i="11"/>
  <c r="Z562" i="11"/>
  <c r="AB562" i="11"/>
  <c r="Y562" i="11"/>
  <c r="AA562" i="11"/>
  <c r="Y583" i="11"/>
  <c r="AA583" i="11"/>
  <c r="AB583" i="11"/>
  <c r="Z583" i="11"/>
  <c r="AB995" i="11"/>
  <c r="Y314" i="11"/>
  <c r="AB314" i="11"/>
  <c r="AA314" i="11"/>
  <c r="Z314" i="11"/>
  <c r="AA510" i="11"/>
  <c r="AB946" i="11"/>
  <c r="AA808" i="11"/>
  <c r="Z820" i="11"/>
  <c r="Y820" i="11"/>
  <c r="AB820" i="11"/>
  <c r="AA820" i="11"/>
  <c r="AB80" i="11"/>
  <c r="AA80" i="11"/>
  <c r="Z80" i="11"/>
  <c r="Y80" i="11"/>
  <c r="AA267" i="11"/>
  <c r="AB175" i="11"/>
  <c r="AA175" i="11"/>
  <c r="Z175" i="11"/>
  <c r="Y175" i="11"/>
  <c r="Y269" i="11"/>
  <c r="Y569" i="11"/>
  <c r="AB515" i="11"/>
  <c r="AA515" i="11"/>
  <c r="Z515" i="11"/>
  <c r="Y515" i="11"/>
  <c r="Y575" i="11"/>
  <c r="Z575" i="11"/>
  <c r="AB575" i="11"/>
  <c r="AA575" i="11"/>
  <c r="AA708" i="11"/>
  <c r="Z708" i="11"/>
  <c r="Y708" i="11"/>
  <c r="AB708" i="11"/>
  <c r="AB894" i="11"/>
  <c r="AA915" i="11"/>
  <c r="Y961" i="11"/>
  <c r="AA961" i="11"/>
  <c r="AB961" i="11"/>
  <c r="Z961" i="11"/>
  <c r="Y416" i="11"/>
  <c r="AB606" i="11"/>
  <c r="AB747" i="11"/>
  <c r="AA797" i="11"/>
  <c r="AA29" i="11"/>
  <c r="Y43" i="11"/>
  <c r="AB98" i="11"/>
  <c r="Y98" i="11"/>
  <c r="AA98" i="11"/>
  <c r="Z98" i="11"/>
  <c r="AA299" i="11"/>
  <c r="Y179" i="11"/>
  <c r="AB179" i="11"/>
  <c r="AA179" i="11"/>
  <c r="Z179" i="11"/>
  <c r="Y176" i="11"/>
  <c r="AA488" i="11"/>
  <c r="AB37" i="11"/>
  <c r="AA37" i="11"/>
  <c r="Z37" i="11"/>
  <c r="Y37" i="11"/>
  <c r="AB88" i="11"/>
  <c r="AA88" i="11"/>
  <c r="Z88" i="11"/>
  <c r="Y88" i="11"/>
  <c r="AB243" i="11"/>
  <c r="AA380" i="11"/>
  <c r="Z380" i="11"/>
  <c r="Y380" i="11"/>
  <c r="AB380" i="11"/>
  <c r="Y338" i="11"/>
  <c r="Y370" i="11"/>
  <c r="Y402" i="11"/>
  <c r="AA464" i="11"/>
  <c r="AA608" i="11"/>
  <c r="Y597" i="11"/>
  <c r="Z597" i="11"/>
  <c r="AB597" i="11"/>
  <c r="AA597" i="11"/>
  <c r="AB660" i="11"/>
  <c r="AB666" i="11"/>
  <c r="Z637" i="11"/>
  <c r="AB637" i="11"/>
  <c r="AA637" i="11"/>
  <c r="Y637" i="11"/>
  <c r="AB710" i="11"/>
  <c r="Y817" i="11"/>
  <c r="AB879" i="11"/>
  <c r="AB841" i="11"/>
  <c r="AA841" i="11"/>
  <c r="Z841" i="11"/>
  <c r="Y841" i="11"/>
  <c r="Z871" i="11"/>
  <c r="Y871" i="11"/>
  <c r="AB871" i="11"/>
  <c r="AA871" i="11"/>
  <c r="Y944" i="11"/>
  <c r="Y927" i="11"/>
  <c r="Y935" i="11"/>
  <c r="AA980" i="11"/>
  <c r="Z980" i="11"/>
  <c r="Y980" i="11"/>
  <c r="AB980" i="11"/>
  <c r="Z297" i="11"/>
  <c r="AA297" i="11"/>
  <c r="Y297" i="11"/>
  <c r="AB297" i="11"/>
  <c r="AB691" i="11"/>
  <c r="Y815" i="11"/>
  <c r="Z909" i="11"/>
  <c r="AB517" i="11"/>
  <c r="Y517" i="11"/>
  <c r="AA517" i="11"/>
  <c r="Z517" i="11"/>
  <c r="AA752" i="11"/>
  <c r="Z752" i="11"/>
  <c r="Y752" i="11"/>
  <c r="AB752" i="11"/>
  <c r="Y850" i="11"/>
  <c r="Y39" i="11"/>
  <c r="AB39" i="11"/>
  <c r="AA39" i="11"/>
  <c r="Z39" i="11"/>
  <c r="Y137" i="11"/>
  <c r="Y207" i="11"/>
  <c r="Z193" i="11"/>
  <c r="AB193" i="11"/>
  <c r="AA193" i="11"/>
  <c r="Y193" i="11"/>
  <c r="AB327" i="11"/>
  <c r="AB287" i="11"/>
  <c r="AB339" i="11"/>
  <c r="Y339" i="11"/>
  <c r="Z339" i="11"/>
  <c r="AA339" i="11"/>
  <c r="Y399" i="11"/>
  <c r="AA373" i="11"/>
  <c r="AB373" i="11"/>
  <c r="Z373" i="11"/>
  <c r="Y373" i="11"/>
  <c r="AB438" i="11"/>
  <c r="AA475" i="11"/>
  <c r="Z475" i="11"/>
  <c r="AB475" i="11"/>
  <c r="Y475" i="11"/>
  <c r="AA437" i="11"/>
  <c r="AB437" i="11"/>
  <c r="Y437" i="11"/>
  <c r="Z437" i="11"/>
  <c r="Z503" i="11"/>
  <c r="AB503" i="11"/>
  <c r="Y503" i="11"/>
  <c r="AA503" i="11"/>
  <c r="Y684" i="11"/>
  <c r="AA644" i="11"/>
  <c r="Z644" i="11"/>
  <c r="Y644" i="11"/>
  <c r="AB644" i="11"/>
  <c r="Y680" i="11"/>
  <c r="Z693" i="11"/>
  <c r="AB693" i="11"/>
  <c r="AA693" i="11"/>
  <c r="Y693" i="11"/>
  <c r="AB779" i="11"/>
  <c r="AA779" i="11"/>
  <c r="Z779" i="11"/>
  <c r="Y779" i="11"/>
  <c r="Y809" i="11"/>
  <c r="AA844" i="11"/>
  <c r="Y844" i="11"/>
  <c r="Z844" i="11"/>
  <c r="AB844" i="11"/>
  <c r="Y898" i="11"/>
  <c r="AA898" i="11"/>
  <c r="AB898" i="11"/>
  <c r="Z898" i="11"/>
  <c r="AB886" i="11"/>
  <c r="AA886" i="11"/>
  <c r="Z886" i="11"/>
  <c r="Y886" i="11"/>
  <c r="Y907" i="11"/>
  <c r="AB907" i="11"/>
  <c r="AA907" i="11"/>
  <c r="Z907" i="11"/>
  <c r="Y967" i="11"/>
  <c r="AB967" i="11"/>
  <c r="AA967" i="11"/>
  <c r="Z967" i="11"/>
  <c r="Y943" i="11"/>
  <c r="Y981" i="11"/>
  <c r="AB981" i="11"/>
  <c r="AA981" i="11"/>
  <c r="Z981" i="11"/>
  <c r="AB985" i="11"/>
  <c r="AB469" i="11"/>
  <c r="Z469" i="11"/>
  <c r="Y469" i="11"/>
  <c r="AA469" i="11"/>
  <c r="AB741" i="11"/>
  <c r="AA741" i="11"/>
  <c r="Z741" i="11"/>
  <c r="Y741" i="11"/>
  <c r="Z701" i="11"/>
  <c r="Y73" i="11"/>
  <c r="AA73" i="11"/>
  <c r="AB73" i="11"/>
  <c r="Z73" i="11"/>
  <c r="Y45" i="11"/>
  <c r="AA332" i="11"/>
  <c r="Z332" i="11"/>
  <c r="Y332" i="11"/>
  <c r="AB332" i="11"/>
  <c r="AB220" i="11"/>
  <c r="AB227" i="11"/>
  <c r="Z289" i="11"/>
  <c r="AA289" i="11"/>
  <c r="Y289" i="11"/>
  <c r="AB289" i="11"/>
  <c r="Y351" i="11"/>
  <c r="AB326" i="11"/>
  <c r="AA326" i="11"/>
  <c r="Z326" i="11"/>
  <c r="Y326" i="11"/>
  <c r="AB513" i="11"/>
  <c r="AB483" i="11"/>
  <c r="AA483" i="11"/>
  <c r="Z483" i="11"/>
  <c r="Y483" i="11"/>
  <c r="AB547" i="11"/>
  <c r="AA547" i="11"/>
  <c r="Z547" i="11"/>
  <c r="Y547" i="11"/>
  <c r="Y640" i="11"/>
  <c r="AB656" i="11"/>
  <c r="AB719" i="11"/>
  <c r="Y821" i="11"/>
  <c r="AB895" i="11"/>
  <c r="Y862" i="11"/>
  <c r="AB865" i="11"/>
  <c r="AA865" i="11"/>
  <c r="Z865" i="11"/>
  <c r="Y865" i="11"/>
  <c r="Y330" i="11"/>
  <c r="AB330" i="11"/>
  <c r="AA330" i="11"/>
  <c r="Z330" i="11"/>
  <c r="AB611" i="11"/>
  <c r="AA740" i="11"/>
  <c r="Y69" i="11"/>
  <c r="Y33" i="11"/>
  <c r="AA33" i="11"/>
  <c r="AB33" i="11"/>
  <c r="Z33" i="11"/>
  <c r="Y87" i="11"/>
  <c r="AB87" i="11"/>
  <c r="AA87" i="11"/>
  <c r="Z87" i="11"/>
  <c r="AA240" i="11"/>
  <c r="Z240" i="11"/>
  <c r="Y240" i="11"/>
  <c r="AB240" i="11"/>
  <c r="AB321" i="11"/>
  <c r="AA321" i="11"/>
  <c r="Z321" i="11"/>
  <c r="Y321" i="11"/>
  <c r="Y160" i="11"/>
  <c r="Y192" i="11"/>
  <c r="AB90" i="11"/>
  <c r="Y90" i="11"/>
  <c r="AA90" i="11"/>
  <c r="Z90" i="11"/>
  <c r="Y97" i="11"/>
  <c r="AA97" i="11"/>
  <c r="AB97" i="11"/>
  <c r="Z97" i="11"/>
  <c r="Z363" i="11"/>
  <c r="AB319" i="11"/>
  <c r="Y603" i="11"/>
  <c r="Y638" i="11"/>
  <c r="Y127" i="11"/>
  <c r="AB223" i="11"/>
  <c r="Y223" i="11"/>
  <c r="AA223" i="11"/>
  <c r="Z223" i="11"/>
  <c r="AB452" i="11"/>
  <c r="Y276" i="11"/>
  <c r="AB276" i="11"/>
  <c r="AA276" i="11"/>
  <c r="Z276" i="11"/>
  <c r="AA365" i="11"/>
  <c r="Z430" i="11"/>
  <c r="Z482" i="11"/>
  <c r="AB572" i="11"/>
  <c r="AA480" i="11"/>
  <c r="Y470" i="11"/>
  <c r="Y589" i="11"/>
  <c r="AA552" i="11"/>
  <c r="Z109" i="11"/>
  <c r="Y124" i="11"/>
  <c r="Y31" i="11"/>
  <c r="AB31" i="11"/>
  <c r="AA31" i="11"/>
  <c r="Z31" i="11"/>
  <c r="AB84" i="11"/>
  <c r="Y167" i="11"/>
  <c r="AB259" i="11"/>
  <c r="AA367" i="11"/>
  <c r="Y196" i="11"/>
  <c r="AB381" i="11"/>
  <c r="Y435" i="11"/>
  <c r="Y540" i="11"/>
  <c r="AB539" i="11"/>
  <c r="AA539" i="11"/>
  <c r="Z539" i="11"/>
  <c r="Y539" i="11"/>
  <c r="Y662" i="11"/>
  <c r="AB42" i="11"/>
  <c r="Z138" i="11"/>
  <c r="AB138" i="11"/>
  <c r="AA138" i="11"/>
  <c r="Y138" i="11"/>
  <c r="Y251" i="11"/>
  <c r="Y171" i="11"/>
  <c r="Y215" i="11"/>
  <c r="AB168" i="11"/>
  <c r="AB170" i="11"/>
  <c r="AA170" i="11"/>
  <c r="Z170" i="11"/>
  <c r="Y170" i="11"/>
  <c r="Y195" i="11"/>
  <c r="AB212" i="11"/>
  <c r="AA212" i="11"/>
  <c r="Z212" i="11"/>
  <c r="Y212" i="11"/>
  <c r="AB282" i="11"/>
  <c r="AA282" i="11"/>
  <c r="Z282" i="11"/>
  <c r="Y282" i="11"/>
  <c r="Y427" i="11"/>
  <c r="Y322" i="11"/>
  <c r="Y472" i="11"/>
  <c r="AA418" i="11"/>
  <c r="Y623" i="11"/>
  <c r="Y563" i="11"/>
  <c r="Z527" i="11"/>
  <c r="AB527" i="11"/>
  <c r="Y527" i="11"/>
  <c r="AA527" i="11"/>
  <c r="Z570" i="11"/>
  <c r="AB675" i="11"/>
  <c r="AB705" i="11"/>
  <c r="AA705" i="11"/>
  <c r="Z705" i="11"/>
  <c r="Y705" i="11"/>
  <c r="Z709" i="11"/>
  <c r="AB709" i="11"/>
  <c r="AA709" i="11"/>
  <c r="Y709" i="11"/>
  <c r="Y753" i="11"/>
  <c r="AB794" i="11"/>
  <c r="AB937" i="11"/>
  <c r="AA921" i="11"/>
  <c r="Z921" i="11"/>
  <c r="AB921" i="11"/>
  <c r="Y921" i="11"/>
  <c r="Y990" i="11"/>
  <c r="Y1014" i="11"/>
  <c r="Z1023" i="11"/>
  <c r="AB194" i="11"/>
  <c r="AA194" i="11"/>
  <c r="Z194" i="11"/>
  <c r="Y194" i="11"/>
  <c r="AA518" i="11"/>
  <c r="AA581" i="11"/>
  <c r="AB793" i="11"/>
  <c r="AA860" i="11"/>
  <c r="Z860" i="11"/>
  <c r="Y860" i="11"/>
  <c r="AB860" i="11"/>
  <c r="AA845" i="11"/>
  <c r="Y546" i="11"/>
  <c r="Y678" i="11"/>
  <c r="Y997" i="11"/>
  <c r="AB696" i="11"/>
  <c r="AA233" i="11"/>
  <c r="AA524" i="11"/>
  <c r="Z551" i="11"/>
  <c r="Y887" i="11"/>
  <c r="Z923" i="11"/>
  <c r="AB938" i="11"/>
  <c r="Y976" i="11"/>
  <c r="Z984" i="11"/>
  <c r="Y1005" i="11"/>
  <c r="AB1005" i="11"/>
  <c r="Z1005" i="11"/>
  <c r="AA1005" i="11"/>
  <c r="Z493" i="11"/>
  <c r="Y504" i="11"/>
  <c r="AA787" i="11"/>
  <c r="AA721" i="11"/>
  <c r="Z748" i="11"/>
  <c r="Y840" i="11"/>
  <c r="Y484" i="11"/>
  <c r="AB754" i="11"/>
  <c r="AB893" i="11"/>
  <c r="Y795" i="11"/>
  <c r="Y734" i="11"/>
  <c r="Z734" i="11"/>
  <c r="AB734" i="11"/>
  <c r="AA734" i="11"/>
  <c r="AB965" i="11"/>
  <c r="Y650" i="11"/>
  <c r="AB746" i="11"/>
  <c r="AA746" i="11"/>
  <c r="Z746" i="11"/>
  <c r="Y746" i="11"/>
  <c r="AB756" i="11"/>
  <c r="Z880" i="11"/>
  <c r="Y934" i="11"/>
  <c r="Y1003" i="11"/>
  <c r="AB796" i="11"/>
  <c r="Z823" i="11"/>
  <c r="AA635" i="11"/>
  <c r="Y573" i="11"/>
  <c r="Y774" i="11"/>
  <c r="AA904" i="11"/>
  <c r="AA861" i="11"/>
  <c r="Y101" i="11"/>
  <c r="Y398" i="11"/>
  <c r="Y85" i="11"/>
  <c r="Y617" i="11"/>
  <c r="AA991" i="11"/>
  <c r="Z131" i="11"/>
  <c r="Y131" i="11"/>
  <c r="AB131" i="11"/>
  <c r="AA131" i="11"/>
  <c r="Y284" i="11"/>
  <c r="AB284" i="11"/>
  <c r="AA284" i="11"/>
  <c r="Z284" i="11"/>
  <c r="AB657" i="11"/>
  <c r="AA657" i="11"/>
  <c r="Z657" i="11"/>
  <c r="Y657" i="11"/>
  <c r="Y726" i="11"/>
  <c r="Z726" i="11"/>
  <c r="AB726" i="11"/>
  <c r="AA726" i="11"/>
  <c r="AB811" i="11"/>
  <c r="AA811" i="11"/>
  <c r="Z811" i="11"/>
  <c r="Y811" i="11"/>
  <c r="AA1007" i="11"/>
  <c r="Y1007" i="11"/>
  <c r="Z1007" i="11"/>
  <c r="AB1007" i="11"/>
  <c r="Z474" i="11"/>
  <c r="Y474" i="11"/>
  <c r="AB474" i="11"/>
  <c r="AA474" i="11"/>
  <c r="AA235" i="11"/>
  <c r="Y164" i="11"/>
  <c r="AB117" i="11"/>
  <c r="Y363" i="11"/>
  <c r="AA190" i="11"/>
  <c r="AB190" i="11"/>
  <c r="Z190" i="11"/>
  <c r="Y190" i="11"/>
  <c r="AB310" i="11"/>
  <c r="AA310" i="11"/>
  <c r="Z310" i="11"/>
  <c r="Y310" i="11"/>
  <c r="AB315" i="11"/>
  <c r="Y315" i="11"/>
  <c r="Z315" i="11"/>
  <c r="AA315" i="11"/>
  <c r="Z603" i="11"/>
  <c r="Z638" i="11"/>
  <c r="AB34" i="11"/>
  <c r="Y34" i="11"/>
  <c r="AA34" i="11"/>
  <c r="Z34" i="11"/>
  <c r="AB74" i="11"/>
  <c r="Y74" i="11"/>
  <c r="AA74" i="11"/>
  <c r="Z74" i="11"/>
  <c r="AB127" i="11"/>
  <c r="AA211" i="11"/>
  <c r="AA200" i="11"/>
  <c r="Z200" i="11"/>
  <c r="AB200" i="11"/>
  <c r="Y200" i="11"/>
  <c r="AB407" i="11"/>
  <c r="Y572" i="11"/>
  <c r="AB480" i="11"/>
  <c r="AA537" i="11"/>
  <c r="Y587" i="11"/>
  <c r="Y552" i="11"/>
  <c r="AA99" i="11"/>
  <c r="Z99" i="11"/>
  <c r="Y99" i="11"/>
  <c r="AB99" i="11"/>
  <c r="AA224" i="11"/>
  <c r="Z224" i="11"/>
  <c r="Y224" i="11"/>
  <c r="AB224" i="11"/>
  <c r="Z311" i="11"/>
  <c r="Y311" i="11"/>
  <c r="AA311" i="11"/>
  <c r="AB311" i="11"/>
  <c r="Y128" i="11"/>
  <c r="Y259" i="11"/>
  <c r="AB277" i="11"/>
  <c r="Y367" i="11"/>
  <c r="Z196" i="11"/>
  <c r="Y381" i="11"/>
  <c r="AB435" i="11"/>
  <c r="AB445" i="11"/>
  <c r="AB584" i="11"/>
  <c r="Y592" i="11"/>
  <c r="AB555" i="11"/>
  <c r="Z662" i="11"/>
  <c r="AB30" i="11"/>
  <c r="AB89" i="11"/>
  <c r="Z187" i="11"/>
  <c r="AA195" i="11"/>
  <c r="Y323" i="11"/>
  <c r="AB427" i="11"/>
  <c r="AB337" i="11"/>
  <c r="AA337" i="11"/>
  <c r="Z337" i="11"/>
  <c r="Y337" i="11"/>
  <c r="AA414" i="11"/>
  <c r="AB317" i="11"/>
  <c r="Z472" i="11"/>
  <c r="AB418" i="11"/>
  <c r="AB463" i="11"/>
  <c r="Y625" i="11"/>
  <c r="Z659" i="11"/>
  <c r="AA692" i="11"/>
  <c r="Z692" i="11"/>
  <c r="Y692" i="11"/>
  <c r="AB692" i="11"/>
  <c r="Z794" i="11"/>
  <c r="Y814" i="11"/>
  <c r="AB829" i="11"/>
  <c r="AB928" i="11"/>
  <c r="Y1000" i="11"/>
  <c r="AB146" i="11"/>
  <c r="AA146" i="11"/>
  <c r="Z146" i="11"/>
  <c r="Y146" i="11"/>
  <c r="Y358" i="11"/>
  <c r="AA413" i="11"/>
  <c r="Z413" i="11"/>
  <c r="Y413" i="11"/>
  <c r="AB413" i="11"/>
  <c r="AB581" i="11"/>
  <c r="Y654" i="11"/>
  <c r="Y793" i="11"/>
  <c r="AB824" i="11"/>
  <c r="AB845" i="11"/>
  <c r="Z678" i="11"/>
  <c r="Z997" i="11"/>
  <c r="Y696" i="11"/>
  <c r="Y524" i="11"/>
  <c r="Y551" i="11"/>
  <c r="Y843" i="11"/>
  <c r="AB843" i="11"/>
  <c r="AA843" i="11"/>
  <c r="Z843" i="11"/>
  <c r="AA1015" i="11"/>
  <c r="Y1015" i="11"/>
  <c r="AB1015" i="11"/>
  <c r="Z1015" i="11"/>
  <c r="AB923" i="11"/>
  <c r="Y938" i="11"/>
  <c r="Z504" i="11"/>
  <c r="AA578" i="11"/>
  <c r="AB787" i="11"/>
  <c r="AB721" i="11"/>
  <c r="AA1018" i="11"/>
  <c r="Z1018" i="11"/>
  <c r="AB1018" i="11"/>
  <c r="Y1018" i="11"/>
  <c r="Z893" i="11"/>
  <c r="Y742" i="11"/>
  <c r="Z742" i="11"/>
  <c r="AB742" i="11"/>
  <c r="AA742" i="11"/>
  <c r="Z795" i="11"/>
  <c r="Y964" i="11"/>
  <c r="Y670" i="11"/>
  <c r="Y738" i="11"/>
  <c r="Y769" i="11"/>
  <c r="AA891" i="11"/>
  <c r="AA868" i="11"/>
  <c r="AB868" i="11"/>
  <c r="Z868" i="11"/>
  <c r="Y868" i="11"/>
  <c r="AA884" i="11"/>
  <c r="Z884" i="11"/>
  <c r="AB884" i="11"/>
  <c r="Y884" i="11"/>
  <c r="Y773" i="11"/>
  <c r="Z773" i="11"/>
  <c r="AB773" i="11"/>
  <c r="AA773" i="11"/>
  <c r="Y880" i="11"/>
  <c r="Z934" i="11"/>
  <c r="AB908" i="11"/>
  <c r="Z651" i="11"/>
  <c r="AB806" i="11"/>
  <c r="AA806" i="11"/>
  <c r="Z806" i="11"/>
  <c r="Y806" i="11"/>
  <c r="Y635" i="11"/>
  <c r="Z877" i="11"/>
  <c r="AA877" i="11"/>
  <c r="Y877" i="11"/>
  <c r="AB877" i="11"/>
  <c r="AB49" i="11"/>
  <c r="AA573" i="11"/>
  <c r="AB774" i="11"/>
  <c r="Y904" i="11"/>
  <c r="Z669" i="11"/>
  <c r="AB669" i="11"/>
  <c r="AA669" i="11"/>
  <c r="Y669" i="11"/>
  <c r="AB816" i="11"/>
  <c r="Z398" i="11"/>
  <c r="Z85" i="11"/>
  <c r="AA617" i="11"/>
  <c r="AB991" i="11"/>
  <c r="AB66" i="11"/>
  <c r="Y66" i="11"/>
  <c r="AA66" i="11"/>
  <c r="Z66" i="11"/>
  <c r="Z454" i="11"/>
  <c r="Y454" i="11"/>
  <c r="AB454" i="11"/>
  <c r="AA454" i="11"/>
  <c r="Z655" i="11"/>
  <c r="Y655" i="11"/>
  <c r="AB655" i="11"/>
  <c r="AA655" i="11"/>
  <c r="AA785" i="11"/>
  <c r="Z785" i="11"/>
  <c r="Y785" i="11"/>
  <c r="AB785" i="11"/>
  <c r="AB665" i="11"/>
  <c r="AA665" i="11"/>
  <c r="Z665" i="11"/>
  <c r="Y665" i="11"/>
  <c r="AA264" i="11"/>
  <c r="Z264" i="11"/>
  <c r="Y264" i="11"/>
  <c r="AB264" i="11"/>
  <c r="AB681" i="11"/>
  <c r="AA681" i="11"/>
  <c r="Z681" i="11"/>
  <c r="Y681" i="11"/>
  <c r="AA760" i="11"/>
  <c r="Z760" i="11"/>
  <c r="Y760" i="11"/>
  <c r="AB760" i="11"/>
  <c r="Z412" i="11"/>
  <c r="AB412" i="11"/>
  <c r="AA412" i="11"/>
  <c r="Y412" i="11"/>
  <c r="Y397" i="11"/>
  <c r="Y1013" i="11"/>
  <c r="AB1013" i="11"/>
  <c r="Z1013" i="11"/>
  <c r="AA1013" i="11"/>
  <c r="Z580" i="11"/>
  <c r="Y580" i="11"/>
  <c r="AB580" i="11"/>
  <c r="AA580" i="11"/>
  <c r="AB132" i="11"/>
  <c r="Y132" i="11"/>
  <c r="AA132" i="11"/>
  <c r="Z132" i="11"/>
  <c r="AB180" i="11"/>
  <c r="AB455" i="11"/>
  <c r="Z714" i="11"/>
  <c r="AB714" i="11"/>
  <c r="AA714" i="11"/>
  <c r="Y714" i="11"/>
  <c r="AB24" i="11"/>
  <c r="AA24" i="11"/>
  <c r="Z24" i="11"/>
  <c r="Y24" i="11"/>
  <c r="AB114" i="11"/>
  <c r="Y114" i="11"/>
  <c r="AA114" i="11"/>
  <c r="Z114" i="11"/>
  <c r="AB226" i="11"/>
  <c r="AA226" i="11"/>
  <c r="Z226" i="11"/>
  <c r="Y226" i="11"/>
  <c r="AA549" i="11"/>
  <c r="Z549" i="11"/>
  <c r="Y549" i="11"/>
  <c r="AB549" i="11"/>
  <c r="AA736" i="11"/>
  <c r="Z736" i="11"/>
  <c r="Y736" i="11"/>
  <c r="AB736" i="11"/>
  <c r="AB782" i="11"/>
  <c r="AA782" i="11"/>
  <c r="Z782" i="11"/>
  <c r="Y782" i="11"/>
  <c r="Y1002" i="11"/>
  <c r="Z1002" i="11"/>
  <c r="AA1002" i="11"/>
  <c r="AB1002" i="11"/>
  <c r="AB206" i="11"/>
  <c r="AA372" i="11"/>
  <c r="Z372" i="11"/>
  <c r="Y372" i="11"/>
  <c r="AB372" i="11"/>
  <c r="Y270" i="11"/>
  <c r="AA270" i="11"/>
  <c r="Z270" i="11"/>
  <c r="AB270" i="11"/>
  <c r="Y105" i="11"/>
  <c r="AA105" i="11"/>
  <c r="AB105" i="11"/>
  <c r="Z105" i="11"/>
  <c r="AA83" i="11"/>
  <c r="Z83" i="11"/>
  <c r="Y83" i="11"/>
  <c r="AB83" i="11"/>
  <c r="AB235" i="11"/>
  <c r="AB164" i="11"/>
  <c r="AB143" i="11"/>
  <c r="AA143" i="11"/>
  <c r="Z143" i="11"/>
  <c r="Y143" i="11"/>
  <c r="AB363" i="11"/>
  <c r="AB293" i="11"/>
  <c r="AB274" i="11"/>
  <c r="AA274" i="11"/>
  <c r="Z274" i="11"/>
  <c r="Y274" i="11"/>
  <c r="Y319" i="11"/>
  <c r="Z548" i="11"/>
  <c r="Y548" i="11"/>
  <c r="AA548" i="11"/>
  <c r="AB548" i="11"/>
  <c r="AB253" i="11"/>
  <c r="AB211" i="11"/>
  <c r="AA166" i="11"/>
  <c r="AB166" i="11"/>
  <c r="Z166" i="11"/>
  <c r="Y166" i="11"/>
  <c r="Y230" i="11"/>
  <c r="AA230" i="11"/>
  <c r="Z230" i="11"/>
  <c r="AB230" i="11"/>
  <c r="Y255" i="11"/>
  <c r="AB430" i="11"/>
  <c r="AB482" i="11"/>
  <c r="Z572" i="11"/>
  <c r="AB425" i="11"/>
  <c r="AB496" i="11"/>
  <c r="Y488" i="11"/>
  <c r="AB537" i="11"/>
  <c r="AA565" i="11"/>
  <c r="Z587" i="11"/>
  <c r="AB552" i="11"/>
  <c r="AB590" i="11"/>
  <c r="Y58" i="11"/>
  <c r="AB109" i="11"/>
  <c r="AB124" i="11"/>
  <c r="AB213" i="11"/>
  <c r="AA213" i="11"/>
  <c r="Y213" i="11"/>
  <c r="Z213" i="11"/>
  <c r="AB334" i="11"/>
  <c r="Y341" i="11"/>
  <c r="AB434" i="11"/>
  <c r="AB491" i="11"/>
  <c r="AA491" i="11"/>
  <c r="Z491" i="11"/>
  <c r="Y491" i="11"/>
  <c r="Y622" i="11"/>
  <c r="AB629" i="11"/>
  <c r="AA624" i="11"/>
  <c r="Y30" i="11"/>
  <c r="AB107" i="11"/>
  <c r="Y403" i="11"/>
  <c r="Y168" i="11"/>
  <c r="Y285" i="11"/>
  <c r="Y204" i="11"/>
  <c r="AB204" i="11"/>
  <c r="AA204" i="11"/>
  <c r="Z204" i="11"/>
  <c r="AB195" i="11"/>
  <c r="AB278" i="11"/>
  <c r="AB323" i="11"/>
  <c r="AB359" i="11"/>
  <c r="Z222" i="11"/>
  <c r="Y414" i="11"/>
  <c r="Y317" i="11"/>
  <c r="Y463" i="11"/>
  <c r="AB574" i="11"/>
  <c r="AA574" i="11"/>
  <c r="Z574" i="11"/>
  <c r="Y574" i="11"/>
  <c r="Y570" i="11"/>
  <c r="Y688" i="11"/>
  <c r="AB626" i="11"/>
  <c r="Y832" i="11"/>
  <c r="AB832" i="11"/>
  <c r="AA832" i="11"/>
  <c r="Z832" i="11"/>
  <c r="Y829" i="11"/>
  <c r="AB942" i="11"/>
  <c r="AB968" i="11"/>
  <c r="AA968" i="11"/>
  <c r="Z968" i="11"/>
  <c r="Y968" i="11"/>
  <c r="AB1023" i="11"/>
  <c r="Z358" i="11"/>
  <c r="Z654" i="11"/>
  <c r="Y906" i="11"/>
  <c r="AA906" i="11"/>
  <c r="AB906" i="11"/>
  <c r="Z906" i="11"/>
  <c r="AB997" i="11"/>
  <c r="Y151" i="11"/>
  <c r="Z442" i="11"/>
  <c r="AA479" i="11"/>
  <c r="AA859" i="11"/>
  <c r="Y854" i="11"/>
  <c r="AA913" i="11"/>
  <c r="Z913" i="11"/>
  <c r="Y913" i="11"/>
  <c r="AB913" i="11"/>
  <c r="Z938" i="11"/>
  <c r="Y970" i="11"/>
  <c r="AB984" i="11"/>
  <c r="Y493" i="11"/>
  <c r="AB578" i="11"/>
  <c r="AB771" i="11"/>
  <c r="AB732" i="11"/>
  <c r="AA732" i="11"/>
  <c r="Z732" i="11"/>
  <c r="Y732" i="11"/>
  <c r="AB748" i="11"/>
  <c r="Y952" i="11"/>
  <c r="Y986" i="11"/>
  <c r="Z786" i="11"/>
  <c r="AB1001" i="11"/>
  <c r="Y607" i="11"/>
  <c r="AA607" i="11"/>
  <c r="Z607" i="11"/>
  <c r="AB607" i="11"/>
  <c r="Y910" i="11"/>
  <c r="AA964" i="11"/>
  <c r="Z670" i="11"/>
  <c r="Z738" i="11"/>
  <c r="AB765" i="11"/>
  <c r="AB891" i="11"/>
  <c r="AB789" i="11"/>
  <c r="AA947" i="11"/>
  <c r="AB698" i="11"/>
  <c r="Y796" i="11"/>
  <c r="AB823" i="11"/>
  <c r="Y908" i="11"/>
  <c r="AB776" i="11"/>
  <c r="AA776" i="11"/>
  <c r="Z776" i="11"/>
  <c r="Y776" i="11"/>
  <c r="Y874" i="11"/>
  <c r="AA874" i="11"/>
  <c r="AB874" i="11"/>
  <c r="Z874" i="11"/>
  <c r="AB635" i="11"/>
  <c r="AB573" i="11"/>
  <c r="Y702" i="11"/>
  <c r="Y848" i="11"/>
  <c r="AB848" i="11"/>
  <c r="AA848" i="11"/>
  <c r="Z848" i="11"/>
  <c r="Y912" i="11"/>
  <c r="Y953" i="11"/>
  <c r="AB953" i="11"/>
  <c r="AA953" i="11"/>
  <c r="Z953" i="11"/>
  <c r="Y846" i="11"/>
  <c r="Z602" i="11"/>
  <c r="Y602" i="11"/>
  <c r="AA602" i="11"/>
  <c r="AB602" i="11"/>
  <c r="AB770" i="11"/>
  <c r="Y163" i="11"/>
  <c r="AB163" i="11"/>
  <c r="AA163" i="11"/>
  <c r="Z163" i="11"/>
  <c r="Y235" i="11"/>
  <c r="Y331" i="11"/>
  <c r="AB275" i="11"/>
  <c r="Y229" i="11"/>
  <c r="AB347" i="11"/>
  <c r="Y347" i="11"/>
  <c r="Z347" i="11"/>
  <c r="AA347" i="11"/>
  <c r="Y346" i="11"/>
  <c r="AB346" i="11"/>
  <c r="AA346" i="11"/>
  <c r="Z346" i="11"/>
  <c r="AB603" i="11"/>
  <c r="AA325" i="11"/>
  <c r="AB325" i="11"/>
  <c r="Z325" i="11"/>
  <c r="Y325" i="11"/>
  <c r="Z521" i="11"/>
  <c r="Y521" i="11"/>
  <c r="AB521" i="11"/>
  <c r="AA521" i="11"/>
  <c r="AB638" i="11"/>
  <c r="AB72" i="11"/>
  <c r="AA72" i="11"/>
  <c r="Z72" i="11"/>
  <c r="Y72" i="11"/>
  <c r="Y211" i="11"/>
  <c r="AA296" i="11"/>
  <c r="Z296" i="11"/>
  <c r="Y296" i="11"/>
  <c r="AB296" i="11"/>
  <c r="Y294" i="11"/>
  <c r="AA294" i="11"/>
  <c r="Z294" i="11"/>
  <c r="AB294" i="11"/>
  <c r="AA388" i="11"/>
  <c r="Z388" i="11"/>
  <c r="Y388" i="11"/>
  <c r="AB388" i="11"/>
  <c r="AB255" i="11"/>
  <c r="AA404" i="11"/>
  <c r="Z404" i="11"/>
  <c r="Y404" i="11"/>
  <c r="AB404" i="11"/>
  <c r="Y407" i="11"/>
  <c r="Y405" i="11"/>
  <c r="Y446" i="11"/>
  <c r="Y482" i="11"/>
  <c r="AB477" i="11"/>
  <c r="Z477" i="11"/>
  <c r="AA477" i="11"/>
  <c r="Y477" i="11"/>
  <c r="AA541" i="11"/>
  <c r="AA585" i="11"/>
  <c r="Z585" i="11"/>
  <c r="Y585" i="11"/>
  <c r="AB585" i="11"/>
  <c r="Y537" i="11"/>
  <c r="AB565" i="11"/>
  <c r="AB58" i="11"/>
  <c r="AA27" i="11"/>
  <c r="Z27" i="11"/>
  <c r="Y27" i="11"/>
  <c r="AB27" i="11"/>
  <c r="AA129" i="11"/>
  <c r="Z129" i="11"/>
  <c r="Y129" i="11"/>
  <c r="AB129" i="11"/>
  <c r="AA149" i="11"/>
  <c r="Z149" i="11"/>
  <c r="Y149" i="11"/>
  <c r="AB149" i="11"/>
  <c r="AB167" i="11"/>
  <c r="AB254" i="11"/>
  <c r="AB128" i="11"/>
  <c r="Y279" i="11"/>
  <c r="Y236" i="11"/>
  <c r="AB236" i="11"/>
  <c r="AA236" i="11"/>
  <c r="Z236" i="11"/>
  <c r="Y318" i="11"/>
  <c r="Z341" i="11"/>
  <c r="Z453" i="11"/>
  <c r="Y434" i="11"/>
  <c r="Y429" i="11"/>
  <c r="AB715" i="11"/>
  <c r="AB468" i="11"/>
  <c r="AA468" i="11"/>
  <c r="Z468" i="11"/>
  <c r="Y468" i="11"/>
  <c r="Y629" i="11"/>
  <c r="AB624" i="11"/>
  <c r="AB662" i="11"/>
  <c r="Y107" i="11"/>
  <c r="Y89" i="11"/>
  <c r="Z28" i="11"/>
  <c r="AB28" i="11"/>
  <c r="AA28" i="11"/>
  <c r="Y28" i="11"/>
  <c r="AB155" i="11"/>
  <c r="AB187" i="11"/>
  <c r="AA304" i="11"/>
  <c r="Z304" i="11"/>
  <c r="Y304" i="11"/>
  <c r="AB304" i="11"/>
  <c r="AB403" i="11"/>
  <c r="AB366" i="11"/>
  <c r="AA366" i="11"/>
  <c r="Z366" i="11"/>
  <c r="Y366" i="11"/>
  <c r="Z317" i="11"/>
  <c r="AB472" i="11"/>
  <c r="Z533" i="11"/>
  <c r="Y418" i="11"/>
  <c r="Z459" i="11"/>
  <c r="Y459" i="11"/>
  <c r="AB459" i="11"/>
  <c r="AA459" i="11"/>
  <c r="AB749" i="11"/>
  <c r="AA749" i="11"/>
  <c r="Z749" i="11"/>
  <c r="Y749" i="11"/>
  <c r="AB563" i="11"/>
  <c r="AB625" i="11"/>
  <c r="AB570" i="11"/>
  <c r="Y659" i="11"/>
  <c r="Y626" i="11"/>
  <c r="AB737" i="11"/>
  <c r="Y803" i="11"/>
  <c r="Y794" i="11"/>
  <c r="Y826" i="11"/>
  <c r="Y835" i="11"/>
  <c r="Z829" i="11"/>
  <c r="AB881" i="11"/>
  <c r="AA881" i="11"/>
  <c r="Y881" i="11"/>
  <c r="Z881" i="11"/>
  <c r="AA932" i="11"/>
  <c r="AB990" i="11"/>
  <c r="Y987" i="11"/>
  <c r="AB1014" i="11"/>
  <c r="AA181" i="11"/>
  <c r="Z181" i="11"/>
  <c r="Y181" i="11"/>
  <c r="AB181" i="11"/>
  <c r="AB162" i="11"/>
  <c r="AA162" i="11"/>
  <c r="Z162" i="11"/>
  <c r="Y162" i="11"/>
  <c r="AA561" i="11"/>
  <c r="Z561" i="11"/>
  <c r="Y561" i="11"/>
  <c r="AB561" i="11"/>
  <c r="Y581" i="11"/>
  <c r="AB718" i="11"/>
  <c r="AB678" i="11"/>
  <c r="AB672" i="11"/>
  <c r="AA902" i="11"/>
  <c r="AB649" i="11"/>
  <c r="AA649" i="11"/>
  <c r="Z649" i="11"/>
  <c r="Y649" i="11"/>
  <c r="Z151" i="11"/>
  <c r="AB479" i="11"/>
  <c r="AB648" i="11"/>
  <c r="Y859" i="11"/>
  <c r="AB916" i="11"/>
  <c r="Z854" i="11"/>
  <c r="Y853" i="11"/>
  <c r="AB929" i="11"/>
  <c r="AA989" i="11"/>
  <c r="Z971" i="11"/>
  <c r="AB1017" i="11"/>
  <c r="Z1010" i="11"/>
  <c r="Y1010" i="11"/>
  <c r="AB1010" i="11"/>
  <c r="AA1010" i="11"/>
  <c r="AB493" i="11"/>
  <c r="AB504" i="11"/>
  <c r="Z679" i="11"/>
  <c r="Y679" i="11"/>
  <c r="AB679" i="11"/>
  <c r="AA679" i="11"/>
  <c r="Y578" i="11"/>
  <c r="Z661" i="11"/>
  <c r="AB661" i="11"/>
  <c r="AA661" i="11"/>
  <c r="Y661" i="11"/>
  <c r="Z952" i="11"/>
  <c r="Y962" i="11"/>
  <c r="AB998" i="11"/>
  <c r="AA998" i="11"/>
  <c r="Z998" i="11"/>
  <c r="Y998" i="11"/>
  <c r="Y674" i="11"/>
  <c r="AA674" i="11"/>
  <c r="AB674" i="11"/>
  <c r="Z674" i="11"/>
  <c r="Y1001" i="11"/>
  <c r="AB795" i="11"/>
  <c r="AB964" i="11"/>
  <c r="Y765" i="11"/>
  <c r="AB769" i="11"/>
  <c r="Y789" i="11"/>
  <c r="Y947" i="11"/>
  <c r="AB934" i="11"/>
  <c r="AB1003" i="11"/>
  <c r="Y823" i="11"/>
  <c r="Y651" i="11"/>
  <c r="AB805" i="11"/>
  <c r="Y49" i="11"/>
  <c r="AA912" i="11"/>
  <c r="AA892" i="11"/>
  <c r="Z892" i="11"/>
  <c r="Y892" i="11"/>
  <c r="AB892" i="11"/>
  <c r="Z851" i="11"/>
  <c r="Z903" i="11"/>
  <c r="Y903" i="11"/>
  <c r="AB903" i="11"/>
  <c r="AA903" i="11"/>
  <c r="AB101" i="11"/>
  <c r="AB398" i="11"/>
  <c r="AB85" i="11"/>
  <c r="AB617" i="11"/>
  <c r="Y991" i="11"/>
  <c r="Y919" i="11"/>
  <c r="AA919" i="11"/>
  <c r="AB919" i="11"/>
  <c r="Z919" i="11"/>
  <c r="Y113" i="11"/>
  <c r="AA113" i="11"/>
  <c r="AB113" i="11"/>
  <c r="Z113" i="11"/>
  <c r="Y47" i="11"/>
  <c r="AA47" i="11"/>
  <c r="Z47" i="11"/>
  <c r="AB47" i="11"/>
  <c r="Y301" i="11"/>
  <c r="AB331" i="11"/>
  <c r="Y275" i="11"/>
  <c r="Z241" i="11"/>
  <c r="AA241" i="11"/>
  <c r="Y241" i="11"/>
  <c r="AB241" i="11"/>
  <c r="AB361" i="11"/>
  <c r="AA361" i="11"/>
  <c r="Z361" i="11"/>
  <c r="Y361" i="11"/>
  <c r="Y362" i="11"/>
  <c r="AB362" i="11"/>
  <c r="AA362" i="11"/>
  <c r="Z362" i="11"/>
  <c r="Y512" i="11"/>
  <c r="AA456" i="11"/>
  <c r="Z456" i="11"/>
  <c r="Y456" i="11"/>
  <c r="AB456" i="11"/>
  <c r="AB32" i="11"/>
  <c r="AA32" i="11"/>
  <c r="Z32" i="11"/>
  <c r="Y32" i="11"/>
  <c r="Y133" i="11"/>
  <c r="Z133" i="11"/>
  <c r="AB133" i="11"/>
  <c r="AA133" i="11"/>
  <c r="Y302" i="11"/>
  <c r="AA302" i="11"/>
  <c r="Z302" i="11"/>
  <c r="AB302" i="11"/>
  <c r="Z249" i="11"/>
  <c r="AA249" i="11"/>
  <c r="Y249" i="11"/>
  <c r="AB249" i="11"/>
  <c r="AA423" i="11"/>
  <c r="Y565" i="11"/>
  <c r="AB587" i="11"/>
  <c r="Y183" i="11"/>
  <c r="AB209" i="11"/>
  <c r="AB279" i="11"/>
  <c r="Z318" i="11"/>
  <c r="Y417" i="11"/>
  <c r="AB409" i="11"/>
  <c r="AA409" i="11"/>
  <c r="Z409" i="11"/>
  <c r="Y409" i="11"/>
  <c r="AB341" i="11"/>
  <c r="AB453" i="11"/>
  <c r="AB448" i="11"/>
  <c r="Y462" i="11"/>
  <c r="Y715" i="11"/>
  <c r="AB592" i="11"/>
  <c r="AB507" i="11"/>
  <c r="AA507" i="11"/>
  <c r="Z507" i="11"/>
  <c r="Y507" i="11"/>
  <c r="Y624" i="11"/>
  <c r="AB610" i="11"/>
  <c r="Y125" i="11"/>
  <c r="AB125" i="11"/>
  <c r="Z125" i="11"/>
  <c r="AA125" i="11"/>
  <c r="Z92" i="11"/>
  <c r="AB92" i="11"/>
  <c r="AA92" i="11"/>
  <c r="Y92" i="11"/>
  <c r="Y155" i="11"/>
  <c r="Y187" i="11"/>
  <c r="AB152" i="11"/>
  <c r="AB184" i="11"/>
  <c r="Y182" i="11"/>
  <c r="Y359" i="11"/>
  <c r="Y239" i="11"/>
  <c r="Y303" i="11"/>
  <c r="AB222" i="11"/>
  <c r="AB414" i="11"/>
  <c r="AB502" i="11"/>
  <c r="Z567" i="11"/>
  <c r="Z619" i="11"/>
  <c r="AB619" i="11"/>
  <c r="AA619" i="11"/>
  <c r="Y619" i="11"/>
  <c r="AB659" i="11"/>
  <c r="AB664" i="11"/>
  <c r="Y686" i="11"/>
  <c r="Y737" i="11"/>
  <c r="Z803" i="11"/>
  <c r="AA744" i="11"/>
  <c r="Z744" i="11"/>
  <c r="Y744" i="11"/>
  <c r="AB744" i="11"/>
  <c r="AB778" i="11"/>
  <c r="AB810" i="11"/>
  <c r="AB814" i="11"/>
  <c r="AB932" i="11"/>
  <c r="AB1000" i="11"/>
  <c r="Z996" i="11"/>
  <c r="Y996" i="11"/>
  <c r="AB996" i="11"/>
  <c r="AA996" i="11"/>
  <c r="AB358" i="11"/>
  <c r="Y461" i="11"/>
  <c r="AB461" i="11"/>
  <c r="AA461" i="11"/>
  <c r="Z461" i="11"/>
  <c r="AB668" i="11"/>
  <c r="AB654" i="11"/>
  <c r="AB855" i="11"/>
  <c r="Z966" i="11"/>
  <c r="Y966" i="11"/>
  <c r="AB966" i="11"/>
  <c r="AA966" i="11"/>
  <c r="AB973" i="11"/>
  <c r="Z973" i="11"/>
  <c r="Y973" i="11"/>
  <c r="AA973" i="11"/>
  <c r="AA605" i="11"/>
  <c r="AB442" i="11"/>
  <c r="Y479" i="11"/>
  <c r="Y916" i="11"/>
  <c r="Y896" i="11"/>
  <c r="AA896" i="11"/>
  <c r="Z896" i="11"/>
  <c r="AB896" i="11"/>
  <c r="AB878" i="11"/>
  <c r="Y878" i="11"/>
  <c r="Z878" i="11"/>
  <c r="AA878" i="11"/>
  <c r="AA853" i="11"/>
  <c r="Y929" i="11"/>
  <c r="Y989" i="11"/>
  <c r="AB971" i="11"/>
  <c r="Y1017" i="11"/>
  <c r="Y520" i="11"/>
  <c r="Y528" i="11"/>
  <c r="AA535" i="11"/>
  <c r="Y771" i="11"/>
  <c r="Y992" i="11"/>
  <c r="AB786" i="11"/>
  <c r="Z1001" i="11"/>
  <c r="Z706" i="11"/>
  <c r="AB910" i="11"/>
  <c r="AB670" i="11"/>
  <c r="AB738" i="11"/>
  <c r="Z833" i="11"/>
  <c r="Y799" i="11"/>
  <c r="Z799" i="11"/>
  <c r="AB799" i="11"/>
  <c r="AA799" i="11"/>
  <c r="Y891" i="11"/>
  <c r="Z789" i="11"/>
  <c r="AB790" i="11"/>
  <c r="AA790" i="11"/>
  <c r="Z790" i="11"/>
  <c r="Y790" i="11"/>
  <c r="Y698" i="11"/>
  <c r="Z951" i="11"/>
  <c r="Y677" i="11"/>
  <c r="AB586" i="11"/>
  <c r="AB1008" i="11"/>
  <c r="AA1008" i="11"/>
  <c r="Y1008" i="11"/>
  <c r="Z1008" i="11"/>
  <c r="AB651" i="11"/>
  <c r="AB827" i="11"/>
  <c r="AA827" i="11"/>
  <c r="Z827" i="11"/>
  <c r="Y827" i="11"/>
  <c r="AB673" i="11"/>
  <c r="AA673" i="11"/>
  <c r="Z673" i="11"/>
  <c r="Y673" i="11"/>
  <c r="Y805" i="11"/>
  <c r="Y93" i="11"/>
  <c r="Y123" i="11"/>
  <c r="AA728" i="11"/>
  <c r="Z728" i="11"/>
  <c r="Y728" i="11"/>
  <c r="AB728" i="11"/>
  <c r="AB912" i="11"/>
  <c r="AB846" i="11"/>
  <c r="AA988" i="11"/>
  <c r="Y350" i="11"/>
  <c r="Y61" i="11"/>
  <c r="Y382" i="11"/>
  <c r="AB712" i="11"/>
  <c r="Y802" i="11"/>
  <c r="AB802" i="11"/>
  <c r="AA802" i="11"/>
  <c r="Z802" i="11"/>
  <c r="AB390" i="11"/>
  <c r="AA390" i="11"/>
  <c r="Z390" i="11"/>
  <c r="Y390" i="11"/>
  <c r="Z397" i="11"/>
  <c r="AA836" i="11"/>
  <c r="AB836" i="11"/>
  <c r="Z836" i="11"/>
  <c r="Y836" i="11"/>
  <c r="Y914" i="11"/>
  <c r="Y616" i="11"/>
  <c r="AA616" i="11"/>
  <c r="AB616" i="11"/>
  <c r="Z616" i="11"/>
  <c r="AB924" i="11"/>
  <c r="AA389" i="11"/>
  <c r="Z389" i="11"/>
  <c r="Y389" i="11"/>
  <c r="AB389" i="11"/>
  <c r="AB290" i="11"/>
  <c r="AA290" i="11"/>
  <c r="Z290" i="11"/>
  <c r="Y290" i="11"/>
  <c r="AB890" i="11"/>
  <c r="AB416" i="11"/>
  <c r="AA165" i="11"/>
  <c r="Z165" i="11"/>
  <c r="Y165" i="11"/>
  <c r="AB165" i="11"/>
  <c r="AB343" i="11"/>
  <c r="AB77" i="11"/>
  <c r="AA77" i="11"/>
  <c r="Z77" i="11"/>
  <c r="Y77" i="11"/>
  <c r="Y158" i="11"/>
  <c r="Y357" i="11"/>
  <c r="AB717" i="11"/>
  <c r="Z489" i="11"/>
  <c r="Y489" i="11"/>
  <c r="AB489" i="11"/>
  <c r="AA489" i="11"/>
  <c r="AB791" i="11"/>
  <c r="Y924" i="11"/>
  <c r="AA343" i="11"/>
  <c r="Y50" i="11"/>
  <c r="Z158" i="11"/>
  <c r="AB201" i="11"/>
  <c r="Z338" i="11"/>
  <c r="Z402" i="11"/>
  <c r="AB593" i="11"/>
  <c r="AB690" i="11"/>
  <c r="Y710" i="11"/>
  <c r="AB763" i="11"/>
  <c r="AB792" i="11"/>
  <c r="Y792" i="11"/>
  <c r="AA792" i="11"/>
  <c r="Z792" i="11"/>
  <c r="AB950" i="11"/>
  <c r="AB927" i="11"/>
  <c r="AB935" i="11"/>
  <c r="AA342" i="11"/>
  <c r="AA447" i="11"/>
  <c r="Z447" i="11"/>
  <c r="AB447" i="11"/>
  <c r="Y447" i="11"/>
  <c r="AB466" i="11"/>
  <c r="AA451" i="11"/>
  <c r="Z451" i="11"/>
  <c r="Y451" i="11"/>
  <c r="AB451" i="11"/>
  <c r="AB543" i="11"/>
  <c r="Z691" i="11"/>
  <c r="AA815" i="11"/>
  <c r="Y837" i="11"/>
  <c r="Z432" i="11"/>
  <c r="AB432" i="11"/>
  <c r="Y432" i="11"/>
  <c r="AA432" i="11"/>
  <c r="AB775" i="11"/>
  <c r="Z842" i="11"/>
  <c r="AB850" i="11"/>
  <c r="AB901" i="11"/>
  <c r="AB974" i="11"/>
  <c r="Z86" i="11"/>
  <c r="Y86" i="11"/>
  <c r="AB86" i="11"/>
  <c r="AA86" i="11"/>
  <c r="AA91" i="11"/>
  <c r="Z91" i="11"/>
  <c r="Y91" i="11"/>
  <c r="AB91" i="11"/>
  <c r="Z70" i="11"/>
  <c r="Y70" i="11"/>
  <c r="AB70" i="11"/>
  <c r="AA70" i="11"/>
  <c r="AA173" i="11"/>
  <c r="Z173" i="11"/>
  <c r="Y173" i="11"/>
  <c r="AB173" i="11"/>
  <c r="Z44" i="11"/>
  <c r="AB44" i="11"/>
  <c r="AA44" i="11"/>
  <c r="Y44" i="11"/>
  <c r="Y308" i="11"/>
  <c r="AB308" i="11"/>
  <c r="AA308" i="11"/>
  <c r="Z308" i="11"/>
  <c r="Y438" i="11"/>
  <c r="Y473" i="11"/>
  <c r="AA473" i="11"/>
  <c r="Z473" i="11"/>
  <c r="AB473" i="11"/>
  <c r="Z440" i="11"/>
  <c r="AB440" i="11"/>
  <c r="Y440" i="11"/>
  <c r="AA440" i="11"/>
  <c r="Y553" i="11"/>
  <c r="Y599" i="11"/>
  <c r="AA599" i="11"/>
  <c r="AB599" i="11"/>
  <c r="Z599" i="11"/>
  <c r="Y739" i="11"/>
  <c r="Y750" i="11"/>
  <c r="Z750" i="11"/>
  <c r="AB750" i="11"/>
  <c r="AA750" i="11"/>
  <c r="AB905" i="11"/>
  <c r="AA905" i="11"/>
  <c r="Z905" i="11"/>
  <c r="Y905" i="11"/>
  <c r="AB882" i="11"/>
  <c r="AB911" i="11"/>
  <c r="AB943" i="11"/>
  <c r="AB959" i="11"/>
  <c r="AA959" i="11"/>
  <c r="Z959" i="11"/>
  <c r="Y959" i="11"/>
  <c r="Y985" i="11"/>
  <c r="AB374" i="11"/>
  <c r="AA374" i="11"/>
  <c r="Z374" i="11"/>
  <c r="Y374" i="11"/>
  <c r="Y559" i="11"/>
  <c r="AB559" i="11"/>
  <c r="AA559" i="11"/>
  <c r="Z559" i="11"/>
  <c r="AB926" i="11"/>
  <c r="AA926" i="11"/>
  <c r="Z926" i="11"/>
  <c r="Y926" i="11"/>
  <c r="Y946" i="11"/>
  <c r="AB550" i="11"/>
  <c r="AA550" i="11"/>
  <c r="Z550" i="11"/>
  <c r="Y550" i="11"/>
  <c r="Y701" i="11"/>
  <c r="Y808" i="11"/>
  <c r="AB267" i="11"/>
  <c r="AB191" i="11"/>
  <c r="AA191" i="11"/>
  <c r="Z191" i="11"/>
  <c r="Y191" i="11"/>
  <c r="AA288" i="11"/>
  <c r="Z288" i="11"/>
  <c r="Y288" i="11"/>
  <c r="AB288" i="11"/>
  <c r="AB291" i="11"/>
  <c r="AB460" i="11"/>
  <c r="Z588" i="11"/>
  <c r="Y588" i="11"/>
  <c r="AB588" i="11"/>
  <c r="AA588" i="11"/>
  <c r="Z663" i="11"/>
  <c r="Y663" i="11"/>
  <c r="AB663" i="11"/>
  <c r="AA663" i="11"/>
  <c r="AA640" i="11"/>
  <c r="Y719" i="11"/>
  <c r="AB694" i="11"/>
  <c r="AB798" i="11"/>
  <c r="AA798" i="11"/>
  <c r="Z798" i="11"/>
  <c r="Y798" i="11"/>
  <c r="Y883" i="11"/>
  <c r="AA883" i="11"/>
  <c r="AB883" i="11"/>
  <c r="Z883" i="11"/>
  <c r="Y915" i="11"/>
  <c r="Y292" i="11"/>
  <c r="AB292" i="11"/>
  <c r="AA292" i="11"/>
  <c r="Z292" i="11"/>
  <c r="AB542" i="11"/>
  <c r="Y611" i="11"/>
  <c r="Z839" i="11"/>
  <c r="Y839" i="11"/>
  <c r="AB839" i="11"/>
  <c r="AA839" i="11"/>
  <c r="AB797" i="11"/>
  <c r="AB29" i="11"/>
  <c r="AB53" i="11"/>
  <c r="AB120" i="11"/>
  <c r="AA120" i="11"/>
  <c r="Z120" i="11"/>
  <c r="Y120" i="11"/>
  <c r="AB299" i="11"/>
  <c r="Z60" i="11"/>
  <c r="AB60" i="11"/>
  <c r="AA60" i="11"/>
  <c r="Y60" i="11"/>
  <c r="AB178" i="11"/>
  <c r="AA178" i="11"/>
  <c r="Z178" i="11"/>
  <c r="Y178" i="11"/>
  <c r="Y343" i="11"/>
  <c r="AB48" i="11"/>
  <c r="AA48" i="11"/>
  <c r="Z48" i="11"/>
  <c r="Y48" i="11"/>
  <c r="Y25" i="11"/>
  <c r="AA25" i="11"/>
  <c r="AB25" i="11"/>
  <c r="Z25" i="11"/>
  <c r="Z68" i="11"/>
  <c r="AB68" i="11"/>
  <c r="AA68" i="11"/>
  <c r="Y68" i="11"/>
  <c r="AB353" i="11"/>
  <c r="AA353" i="11"/>
  <c r="Z353" i="11"/>
  <c r="Y353" i="11"/>
  <c r="Z305" i="11"/>
  <c r="AA305" i="11"/>
  <c r="Y305" i="11"/>
  <c r="AB305" i="11"/>
  <c r="Y378" i="11"/>
  <c r="AB378" i="11"/>
  <c r="AA378" i="11"/>
  <c r="Z378" i="11"/>
  <c r="Z512" i="11"/>
  <c r="AB560" i="11"/>
  <c r="Y560" i="11"/>
  <c r="AA560" i="11"/>
  <c r="Z560" i="11"/>
  <c r="AB75" i="11"/>
  <c r="Y57" i="11"/>
  <c r="AA57" i="11"/>
  <c r="AB57" i="11"/>
  <c r="Z57" i="11"/>
  <c r="AA35" i="11"/>
  <c r="Z35" i="11"/>
  <c r="Y35" i="11"/>
  <c r="AB35" i="11"/>
  <c r="Z76" i="11"/>
  <c r="AB76" i="11"/>
  <c r="AA76" i="11"/>
  <c r="Y76" i="11"/>
  <c r="AA272" i="11"/>
  <c r="Z272" i="11"/>
  <c r="Y272" i="11"/>
  <c r="AB272" i="11"/>
  <c r="Z375" i="11"/>
  <c r="Y375" i="11"/>
  <c r="AA375" i="11"/>
  <c r="AB375" i="11"/>
  <c r="Y452" i="11"/>
  <c r="AB423" i="11"/>
  <c r="AB391" i="11"/>
  <c r="AB501" i="11"/>
  <c r="Y501" i="11"/>
  <c r="AA501" i="11"/>
  <c r="Z501" i="11"/>
  <c r="Y365" i="11"/>
  <c r="AB405" i="11"/>
  <c r="Y568" i="11"/>
  <c r="Y541" i="11"/>
  <c r="AB488" i="11"/>
  <c r="AA589" i="11"/>
  <c r="AB487" i="11"/>
  <c r="AB652" i="11"/>
  <c r="Z731" i="11"/>
  <c r="Y731" i="11"/>
  <c r="AA731" i="11"/>
  <c r="AB731" i="11"/>
  <c r="Z118" i="11"/>
  <c r="Y118" i="11"/>
  <c r="AB118" i="11"/>
  <c r="AA118" i="11"/>
  <c r="Z183" i="11"/>
  <c r="Y209" i="11"/>
  <c r="AB329" i="11"/>
  <c r="AA329" i="11"/>
  <c r="Z329" i="11"/>
  <c r="Y329" i="11"/>
  <c r="Z417" i="11"/>
  <c r="Y448" i="11"/>
  <c r="AB429" i="11"/>
  <c r="AB622" i="11"/>
  <c r="AA610" i="11"/>
  <c r="Z42" i="11"/>
  <c r="Z215" i="11"/>
  <c r="AB285" i="11"/>
  <c r="Z182" i="11"/>
  <c r="Y278" i="11"/>
  <c r="Z265" i="11"/>
  <c r="AA265" i="11"/>
  <c r="Y265" i="11"/>
  <c r="AB265" i="11"/>
  <c r="AB239" i="11"/>
  <c r="AB303" i="11"/>
  <c r="Y222" i="11"/>
  <c r="Z322" i="11"/>
  <c r="AB564" i="11"/>
  <c r="Y533" i="11"/>
  <c r="AB505" i="11"/>
  <c r="Y502" i="11"/>
  <c r="Z703" i="11"/>
  <c r="Y703" i="11"/>
  <c r="AB703" i="11"/>
  <c r="AA703" i="11"/>
  <c r="Z675" i="11"/>
  <c r="Z753" i="11"/>
  <c r="Z778" i="11"/>
  <c r="Z810" i="11"/>
  <c r="Y831" i="11"/>
  <c r="AA831" i="11"/>
  <c r="Z831" i="11"/>
  <c r="AB831" i="11"/>
  <c r="Y932" i="11"/>
  <c r="AA444" i="11"/>
  <c r="Z444" i="11"/>
  <c r="Y444" i="11"/>
  <c r="AB444" i="11"/>
  <c r="AB518" i="11"/>
  <c r="Y668" i="11"/>
  <c r="Y855" i="11"/>
  <c r="Z546" i="11"/>
  <c r="AB605" i="11"/>
  <c r="Z671" i="11"/>
  <c r="Y671" i="11"/>
  <c r="AB671" i="11"/>
  <c r="AA671" i="11"/>
  <c r="Y672" i="11"/>
  <c r="Y902" i="11"/>
  <c r="AB151" i="11"/>
  <c r="Y442" i="11"/>
  <c r="Y648" i="11"/>
  <c r="AB859" i="11"/>
  <c r="AB854" i="11"/>
  <c r="Y834" i="11"/>
  <c r="AA834" i="11"/>
  <c r="Z834" i="11"/>
  <c r="AB834" i="11"/>
  <c r="AB853" i="11"/>
  <c r="Z976" i="11"/>
  <c r="Z520" i="11"/>
  <c r="Z528" i="11"/>
  <c r="Y535" i="11"/>
  <c r="AA840" i="11"/>
  <c r="AB952" i="11"/>
  <c r="Y754" i="11"/>
  <c r="Y786" i="11"/>
  <c r="AB706" i="11"/>
  <c r="AB757" i="11"/>
  <c r="AA757" i="11"/>
  <c r="Z757" i="11"/>
  <c r="Y757" i="11"/>
  <c r="AA965" i="11"/>
  <c r="AB800" i="11"/>
  <c r="Y800" i="11"/>
  <c r="AA800" i="11"/>
  <c r="Z800" i="11"/>
  <c r="Y756" i="11"/>
  <c r="AB707" i="11"/>
  <c r="Y707" i="11"/>
  <c r="AA707" i="11"/>
  <c r="Z707" i="11"/>
  <c r="Y807" i="11"/>
  <c r="Z807" i="11"/>
  <c r="AB807" i="11"/>
  <c r="AA807" i="11"/>
  <c r="AB947" i="11"/>
  <c r="Y729" i="11"/>
  <c r="AB729" i="11"/>
  <c r="AA729" i="11"/>
  <c r="Z729" i="11"/>
  <c r="AB951" i="11"/>
  <c r="AA677" i="11"/>
  <c r="AA586" i="11"/>
  <c r="AB724" i="11"/>
  <c r="AB822" i="11"/>
  <c r="AA822" i="11"/>
  <c r="Z822" i="11"/>
  <c r="Y822" i="11"/>
  <c r="Z594" i="11"/>
  <c r="Y594" i="11"/>
  <c r="AB594" i="11"/>
  <c r="AA594" i="11"/>
  <c r="Z805" i="11"/>
  <c r="AB872" i="11"/>
  <c r="Z93" i="11"/>
  <c r="AA123" i="11"/>
  <c r="AB702" i="11"/>
  <c r="Y685" i="11"/>
  <c r="AB851" i="11"/>
  <c r="AB988" i="11"/>
  <c r="Z350" i="11"/>
  <c r="Z61" i="11"/>
  <c r="Z382" i="11"/>
  <c r="Y712" i="11"/>
  <c r="Y506" i="11"/>
  <c r="AB506" i="11"/>
  <c r="AA506" i="11"/>
  <c r="Z506" i="11"/>
  <c r="AB579" i="11"/>
  <c r="AA579" i="11"/>
  <c r="Z579" i="11"/>
  <c r="Y579" i="11"/>
  <c r="Z940" i="11"/>
  <c r="Y940" i="11"/>
  <c r="AB940" i="11"/>
  <c r="AA940" i="11"/>
  <c r="Z45" i="11"/>
  <c r="Y500" i="11"/>
  <c r="AA500" i="11"/>
  <c r="AB500" i="11"/>
  <c r="Z500" i="11"/>
  <c r="AB733" i="11"/>
  <c r="AA733" i="11"/>
  <c r="Z733" i="11"/>
  <c r="Y733" i="11"/>
  <c r="Y516" i="11"/>
  <c r="AA516" i="11"/>
  <c r="AB516" i="11"/>
  <c r="Z516" i="11"/>
  <c r="AB106" i="11"/>
  <c r="Y106" i="11"/>
  <c r="AA106" i="11"/>
  <c r="Z106" i="11"/>
  <c r="AB140" i="11"/>
  <c r="AA140" i="11"/>
  <c r="Z140" i="11"/>
  <c r="Y140" i="11"/>
  <c r="Z142" i="11"/>
  <c r="Y142" i="11"/>
  <c r="AB142" i="11"/>
  <c r="AA142" i="11"/>
  <c r="AB595" i="11"/>
  <c r="AA595" i="11"/>
  <c r="Z595" i="11"/>
  <c r="Y595" i="11"/>
  <c r="AB813" i="11"/>
  <c r="AA813" i="11"/>
  <c r="Z813" i="11"/>
  <c r="Y813" i="11"/>
  <c r="Z958" i="11"/>
  <c r="Y958" i="11"/>
  <c r="AB958" i="11"/>
  <c r="AA958" i="11"/>
  <c r="AA150" i="11"/>
  <c r="AB150" i="11"/>
  <c r="Z150" i="11"/>
  <c r="Y150" i="11"/>
  <c r="AB137" i="11"/>
  <c r="Y244" i="11"/>
  <c r="AB244" i="11"/>
  <c r="AA244" i="11"/>
  <c r="Z244" i="11"/>
  <c r="AB556" i="11"/>
  <c r="AB600" i="11"/>
  <c r="AA600" i="11"/>
  <c r="Z600" i="11"/>
  <c r="Y600" i="11"/>
  <c r="AA945" i="11"/>
  <c r="Z945" i="11"/>
  <c r="AB945" i="11"/>
  <c r="Y945" i="11"/>
  <c r="Y999" i="11"/>
  <c r="Z999" i="11"/>
  <c r="AB999" i="11"/>
  <c r="AA999" i="11"/>
  <c r="AB536" i="11"/>
  <c r="AA963" i="11"/>
  <c r="Z963" i="11"/>
  <c r="AB963" i="11"/>
  <c r="Y963" i="11"/>
  <c r="Y63" i="11"/>
  <c r="AB63" i="11"/>
  <c r="AA63" i="11"/>
  <c r="Z63" i="11"/>
  <c r="Y268" i="11"/>
  <c r="AB268" i="11"/>
  <c r="AA268" i="11"/>
  <c r="Z268" i="11"/>
  <c r="Y797" i="11"/>
  <c r="AB176" i="11"/>
  <c r="AB41" i="11"/>
  <c r="AB139" i="11"/>
  <c r="AA139" i="11"/>
  <c r="Z139" i="11"/>
  <c r="Y139" i="11"/>
  <c r="AB263" i="11"/>
  <c r="AB354" i="11"/>
  <c r="Z481" i="11"/>
  <c r="Y481" i="11"/>
  <c r="AB481" i="11"/>
  <c r="AA481" i="11"/>
  <c r="AB858" i="11"/>
  <c r="AB1006" i="11"/>
  <c r="AA1006" i="11"/>
  <c r="Z1006" i="11"/>
  <c r="Y1006" i="11"/>
  <c r="AB202" i="11"/>
  <c r="AA202" i="11"/>
  <c r="Z202" i="11"/>
  <c r="Y202" i="11"/>
  <c r="AA543" i="11"/>
  <c r="AB909" i="11"/>
  <c r="Y238" i="11"/>
  <c r="AA238" i="11"/>
  <c r="Z238" i="11"/>
  <c r="AB238" i="11"/>
  <c r="AB266" i="11"/>
  <c r="AA266" i="11"/>
  <c r="Z266" i="11"/>
  <c r="Y266" i="11"/>
  <c r="AB566" i="11"/>
  <c r="AA566" i="11"/>
  <c r="Z566" i="11"/>
  <c r="Y566" i="11"/>
  <c r="AB159" i="11"/>
  <c r="AA159" i="11"/>
  <c r="Z159" i="11"/>
  <c r="Y159" i="11"/>
  <c r="AA436" i="11"/>
  <c r="Z436" i="11"/>
  <c r="Y436" i="11"/>
  <c r="AB436" i="11"/>
  <c r="AB821" i="11"/>
  <c r="Z713" i="11"/>
  <c r="Y713" i="11"/>
  <c r="AB713" i="11"/>
  <c r="AA713" i="11"/>
  <c r="AB43" i="11"/>
  <c r="AB689" i="11"/>
  <c r="AA689" i="11"/>
  <c r="Z689" i="11"/>
  <c r="Y689" i="11"/>
  <c r="AB613" i="11"/>
  <c r="Z439" i="11"/>
  <c r="Y439" i="11"/>
  <c r="AB439" i="11"/>
  <c r="AA439" i="11"/>
  <c r="Y383" i="11"/>
  <c r="Y556" i="11"/>
  <c r="E4" i="7"/>
  <c r="D9" i="7"/>
  <c r="Y41" i="11"/>
  <c r="AA189" i="11"/>
  <c r="Z189" i="11"/>
  <c r="Y189" i="11"/>
  <c r="AB189" i="11"/>
  <c r="AB205" i="11"/>
  <c r="AB377" i="11"/>
  <c r="AA377" i="11"/>
  <c r="Z377" i="11"/>
  <c r="Y377" i="11"/>
  <c r="Y608" i="11"/>
  <c r="Y593" i="11"/>
  <c r="AB646" i="11"/>
  <c r="AA646" i="11"/>
  <c r="Z646" i="11"/>
  <c r="Y646" i="11"/>
  <c r="Y763" i="11"/>
  <c r="Y858" i="11"/>
  <c r="AB954" i="11"/>
  <c r="Z935" i="11"/>
  <c r="AA993" i="11"/>
  <c r="Z993" i="11"/>
  <c r="Y993" i="11"/>
  <c r="AB993" i="11"/>
  <c r="AB1012" i="11"/>
  <c r="Z1012" i="11"/>
  <c r="Y1012" i="11"/>
  <c r="AA1012" i="11"/>
  <c r="AB342" i="11"/>
  <c r="AB815" i="11"/>
  <c r="Z554" i="11"/>
  <c r="Y554" i="11"/>
  <c r="AB554" i="11"/>
  <c r="AA554" i="11"/>
  <c r="Y842" i="11"/>
  <c r="AB869" i="11"/>
  <c r="Y941" i="11"/>
  <c r="AB941" i="11"/>
  <c r="Z941" i="11"/>
  <c r="AA941" i="11"/>
  <c r="Z108" i="11"/>
  <c r="AB108" i="11"/>
  <c r="AA108" i="11"/>
  <c r="Y108" i="11"/>
  <c r="AB393" i="11"/>
  <c r="AA393" i="11"/>
  <c r="Z393" i="11"/>
  <c r="Y393" i="11"/>
  <c r="Z421" i="11"/>
  <c r="Y421" i="11"/>
  <c r="AB421" i="11"/>
  <c r="AA421" i="11"/>
  <c r="AB399" i="11"/>
  <c r="AB494" i="11"/>
  <c r="Y628" i="11"/>
  <c r="Z764" i="11"/>
  <c r="AB764" i="11"/>
  <c r="AA764" i="11"/>
  <c r="Y764" i="11"/>
  <c r="AA612" i="11"/>
  <c r="AB612" i="11"/>
  <c r="Z612" i="11"/>
  <c r="Y612" i="11"/>
  <c r="AB680" i="11"/>
  <c r="Y783" i="11"/>
  <c r="Z783" i="11"/>
  <c r="AB783" i="11"/>
  <c r="AA783" i="11"/>
  <c r="Y791" i="11"/>
  <c r="AB830" i="11"/>
  <c r="Z830" i="11"/>
  <c r="Y830" i="11"/>
  <c r="AA830" i="11"/>
  <c r="AB873" i="11"/>
  <c r="AA873" i="11"/>
  <c r="Z873" i="11"/>
  <c r="Y873" i="11"/>
  <c r="Y911" i="11"/>
  <c r="AB1020" i="11"/>
  <c r="Z1020" i="11"/>
  <c r="Y1020" i="11"/>
  <c r="AA1020" i="11"/>
  <c r="Y406" i="11"/>
  <c r="AB667" i="11"/>
  <c r="Y667" i="11"/>
  <c r="AA667" i="11"/>
  <c r="Z667" i="11"/>
  <c r="AB767" i="11"/>
  <c r="AB808" i="11"/>
  <c r="AB949" i="11"/>
  <c r="AB1022" i="11"/>
  <c r="AA1022" i="11"/>
  <c r="Z1022" i="11"/>
  <c r="Y1022" i="11"/>
  <c r="Y699" i="11"/>
  <c r="AB40" i="11"/>
  <c r="AA40" i="11"/>
  <c r="Z40" i="11"/>
  <c r="Y40" i="11"/>
  <c r="Y81" i="11"/>
  <c r="AA81" i="11"/>
  <c r="AB81" i="11"/>
  <c r="Z81" i="11"/>
  <c r="AA157" i="11"/>
  <c r="Z157" i="11"/>
  <c r="Y157" i="11"/>
  <c r="AB157" i="11"/>
  <c r="Y267" i="11"/>
  <c r="Z52" i="11"/>
  <c r="AB52" i="11"/>
  <c r="AA52" i="11"/>
  <c r="Y52" i="11"/>
  <c r="AB348" i="11"/>
  <c r="AB210" i="11"/>
  <c r="Y210" i="11"/>
  <c r="AA210" i="11"/>
  <c r="Z210" i="11"/>
  <c r="Y291" i="11"/>
  <c r="AB309" i="11"/>
  <c r="Y247" i="11"/>
  <c r="AB351" i="11"/>
  <c r="AB313" i="11"/>
  <c r="AA313" i="11"/>
  <c r="Z313" i="11"/>
  <c r="Y313" i="11"/>
  <c r="Y426" i="11"/>
  <c r="AB426" i="11"/>
  <c r="AA426" i="11"/>
  <c r="Z426" i="11"/>
  <c r="Z497" i="11"/>
  <c r="Y497" i="11"/>
  <c r="AB497" i="11"/>
  <c r="AA497" i="11"/>
  <c r="Y492" i="11"/>
  <c r="AA492" i="11"/>
  <c r="AB492" i="11"/>
  <c r="Z492" i="11"/>
  <c r="AB485" i="11"/>
  <c r="Y485" i="11"/>
  <c r="Z485" i="11"/>
  <c r="AA485" i="11"/>
  <c r="Z604" i="11"/>
  <c r="Y604" i="11"/>
  <c r="AB604" i="11"/>
  <c r="AA604" i="11"/>
  <c r="AB531" i="11"/>
  <c r="AA531" i="11"/>
  <c r="Z531" i="11"/>
  <c r="Y531" i="11"/>
  <c r="AB609" i="11"/>
  <c r="AA720" i="11"/>
  <c r="AB720" i="11"/>
  <c r="Z720" i="11"/>
  <c r="Y720" i="11"/>
  <c r="AB640" i="11"/>
  <c r="Z695" i="11"/>
  <c r="Y695" i="11"/>
  <c r="AB695" i="11"/>
  <c r="AA695" i="11"/>
  <c r="AA862" i="11"/>
  <c r="Y890" i="11"/>
  <c r="Y978" i="11"/>
  <c r="Z978" i="11"/>
  <c r="AA978" i="11"/>
  <c r="AB978" i="11"/>
  <c r="Y542" i="11"/>
  <c r="Z611" i="11"/>
  <c r="Z511" i="11"/>
  <c r="AB511" i="11"/>
  <c r="Y511" i="11"/>
  <c r="AA511" i="11"/>
  <c r="Y747" i="11"/>
  <c r="Y532" i="11"/>
  <c r="AA532" i="11"/>
  <c r="AB532" i="11"/>
  <c r="Z532" i="11"/>
  <c r="Y740" i="11"/>
  <c r="AB1019" i="11"/>
  <c r="AA1019" i="11"/>
  <c r="Z1019" i="11"/>
  <c r="Y1019" i="11"/>
  <c r="AB64" i="11"/>
  <c r="AA64" i="11"/>
  <c r="Z64" i="11"/>
  <c r="Y64" i="11"/>
  <c r="AA51" i="11"/>
  <c r="Z51" i="11"/>
  <c r="Y51" i="11"/>
  <c r="AB51" i="11"/>
  <c r="AB82" i="11"/>
  <c r="Y82" i="11"/>
  <c r="AA82" i="11"/>
  <c r="Z82" i="11"/>
  <c r="Y299" i="11"/>
  <c r="Z116" i="11"/>
  <c r="AB116" i="11"/>
  <c r="AA116" i="11"/>
  <c r="Y116" i="11"/>
  <c r="AB221" i="11"/>
  <c r="AA221" i="11"/>
  <c r="Z221" i="11"/>
  <c r="Y221" i="11"/>
  <c r="AB160" i="11"/>
  <c r="AB192" i="11"/>
  <c r="Z102" i="11"/>
  <c r="Y102" i="11"/>
  <c r="AB102" i="11"/>
  <c r="AA102" i="11"/>
  <c r="Z130" i="11"/>
  <c r="AA130" i="11"/>
  <c r="Y130" i="11"/>
  <c r="AB130" i="11"/>
  <c r="Y121" i="11"/>
  <c r="AA121" i="11"/>
  <c r="Z121" i="11"/>
  <c r="AB121" i="11"/>
  <c r="Y117" i="11"/>
  <c r="AB229" i="11"/>
  <c r="AA396" i="11"/>
  <c r="Z396" i="11"/>
  <c r="Y396" i="11"/>
  <c r="AB396" i="11"/>
  <c r="Y231" i="11"/>
  <c r="Y295" i="11"/>
  <c r="Y394" i="11"/>
  <c r="AB394" i="11"/>
  <c r="AA394" i="11"/>
  <c r="Z394" i="11"/>
  <c r="AA420" i="11"/>
  <c r="Z420" i="11"/>
  <c r="AB420" i="11"/>
  <c r="Y420" i="11"/>
  <c r="Y75" i="11"/>
  <c r="AA232" i="11"/>
  <c r="Z232" i="11"/>
  <c r="Y232" i="11"/>
  <c r="AB232" i="11"/>
  <c r="AB234" i="11"/>
  <c r="AA234" i="11"/>
  <c r="Z234" i="11"/>
  <c r="Y234" i="11"/>
  <c r="AB298" i="11"/>
  <c r="AA298" i="11"/>
  <c r="Z298" i="11"/>
  <c r="Y298" i="11"/>
  <c r="Y423" i="11"/>
  <c r="AB446" i="11"/>
  <c r="AB541" i="11"/>
  <c r="Y480" i="11"/>
  <c r="AB589" i="11"/>
  <c r="AB476" i="11"/>
  <c r="Z476" i="11"/>
  <c r="AA476" i="11"/>
  <c r="Y476" i="11"/>
  <c r="Y652" i="11"/>
  <c r="Z54" i="11"/>
  <c r="Y54" i="11"/>
  <c r="AB54" i="11"/>
  <c r="AA54" i="11"/>
  <c r="Z38" i="11"/>
  <c r="Y38" i="11"/>
  <c r="AB38" i="11"/>
  <c r="AA38" i="11"/>
  <c r="Y84" i="11"/>
  <c r="Y254" i="11"/>
  <c r="Y277" i="11"/>
  <c r="Z257" i="11"/>
  <c r="AA257" i="11"/>
  <c r="Y257" i="11"/>
  <c r="AB257" i="11"/>
  <c r="Y300" i="11"/>
  <c r="AB300" i="11"/>
  <c r="AA300" i="11"/>
  <c r="Z300" i="11"/>
  <c r="AB318" i="11"/>
  <c r="Y453" i="11"/>
  <c r="Y584" i="11"/>
  <c r="Y525" i="11"/>
  <c r="AB540" i="11"/>
  <c r="Z614" i="11"/>
  <c r="Y614" i="11"/>
  <c r="AB614" i="11"/>
  <c r="AA614" i="11"/>
  <c r="AB523" i="11"/>
  <c r="AA523" i="11"/>
  <c r="Z523" i="11"/>
  <c r="Y523" i="11"/>
  <c r="Y555" i="11"/>
  <c r="AB676" i="11"/>
  <c r="Y610" i="11"/>
  <c r="AA59" i="11"/>
  <c r="Z59" i="11"/>
  <c r="Y59" i="11"/>
  <c r="AB59" i="11"/>
  <c r="Y55" i="11"/>
  <c r="AB55" i="11"/>
  <c r="AA55" i="11"/>
  <c r="Z55" i="11"/>
  <c r="AB186" i="11"/>
  <c r="AA186" i="11"/>
  <c r="Z186" i="11"/>
  <c r="Y186" i="11"/>
  <c r="Y152" i="11"/>
  <c r="Y184" i="11"/>
  <c r="AB154" i="11"/>
  <c r="AA154" i="11"/>
  <c r="Z154" i="11"/>
  <c r="Y154" i="11"/>
  <c r="AA280" i="11"/>
  <c r="Z280" i="11"/>
  <c r="Y280" i="11"/>
  <c r="AB280" i="11"/>
  <c r="AB182" i="11"/>
  <c r="Z431" i="11"/>
  <c r="Y431" i="11"/>
  <c r="AB431" i="11"/>
  <c r="AA431" i="11"/>
  <c r="AB533" i="11"/>
  <c r="Z450" i="11"/>
  <c r="Y450" i="11"/>
  <c r="AA450" i="11"/>
  <c r="AB450" i="11"/>
  <c r="Y505" i="11"/>
  <c r="Z502" i="11"/>
  <c r="AB623" i="11"/>
  <c r="AB567" i="11"/>
  <c r="Y664" i="11"/>
  <c r="AB632" i="11"/>
  <c r="AA632" i="11"/>
  <c r="Z632" i="11"/>
  <c r="Y632" i="11"/>
  <c r="AB803" i="11"/>
  <c r="AB826" i="11"/>
  <c r="AB835" i="11"/>
  <c r="Z847" i="11"/>
  <c r="AB847" i="11"/>
  <c r="AA847" i="11"/>
  <c r="Y847" i="11"/>
  <c r="Y928" i="11"/>
  <c r="AB987" i="11"/>
  <c r="Z983" i="11"/>
  <c r="Y983" i="11"/>
  <c r="AA983" i="11"/>
  <c r="AB983" i="11"/>
  <c r="Y271" i="11"/>
  <c r="Y518" i="11"/>
  <c r="Y718" i="11"/>
  <c r="Y824" i="11"/>
  <c r="Y845" i="11"/>
  <c r="AB1011" i="11"/>
  <c r="AA1011" i="11"/>
  <c r="Z1011" i="11"/>
  <c r="Y1011" i="11"/>
  <c r="AB697" i="11"/>
  <c r="AA697" i="11"/>
  <c r="Z697" i="11"/>
  <c r="Y697" i="11"/>
  <c r="AB902" i="11"/>
  <c r="AB233" i="11"/>
  <c r="AB551" i="11"/>
  <c r="AB768" i="11"/>
  <c r="AA768" i="11"/>
  <c r="Z768" i="11"/>
  <c r="Y768" i="11"/>
  <c r="AB920" i="11"/>
  <c r="AA920" i="11"/>
  <c r="Z920" i="11"/>
  <c r="Y920" i="11"/>
  <c r="Z885" i="11"/>
  <c r="AA885" i="11"/>
  <c r="Y885" i="11"/>
  <c r="AB885" i="11"/>
  <c r="AA955" i="11"/>
  <c r="AB955" i="11"/>
  <c r="Y955" i="11"/>
  <c r="Z955" i="11"/>
  <c r="AB989" i="11"/>
  <c r="AB976" i="11"/>
  <c r="Y971" i="11"/>
  <c r="AB535" i="11"/>
  <c r="AB819" i="11"/>
  <c r="AA819" i="11"/>
  <c r="Y819" i="11"/>
  <c r="Z819" i="11"/>
  <c r="Y787" i="11"/>
  <c r="Y721" i="11"/>
  <c r="AB840" i="11"/>
  <c r="AB962" i="11"/>
  <c r="AB484" i="11"/>
  <c r="Z754" i="11"/>
  <c r="Y893" i="11"/>
  <c r="AB939" i="11"/>
  <c r="AA939" i="11"/>
  <c r="Z939" i="11"/>
  <c r="Y939" i="11"/>
  <c r="Y965" i="11"/>
  <c r="AB650" i="11"/>
  <c r="Z723" i="11"/>
  <c r="Y723" i="11"/>
  <c r="AB723" i="11"/>
  <c r="AA723" i="11"/>
  <c r="Y833" i="11"/>
  <c r="Z756" i="11"/>
  <c r="AA825" i="11"/>
  <c r="AB825" i="11"/>
  <c r="Z825" i="11"/>
  <c r="Y825" i="11"/>
  <c r="AB880" i="11"/>
  <c r="AB677" i="11"/>
  <c r="Y586" i="11"/>
  <c r="AB982" i="11"/>
  <c r="AA982" i="11"/>
  <c r="Z982" i="11"/>
  <c r="Y982" i="11"/>
  <c r="Y509" i="11"/>
  <c r="AA620" i="11"/>
  <c r="Z620" i="11"/>
  <c r="Y620" i="11"/>
  <c r="AB620" i="11"/>
  <c r="Z774" i="11"/>
  <c r="AB861" i="11"/>
  <c r="Y851" i="11"/>
  <c r="Z712" i="11"/>
  <c r="Z335" i="11"/>
  <c r="Y335" i="11"/>
  <c r="AA335" i="11"/>
  <c r="AB335" i="11"/>
  <c r="AB104" i="11"/>
  <c r="AA104" i="11"/>
  <c r="Z104" i="11"/>
  <c r="Y104" i="11"/>
  <c r="Z36" i="11"/>
  <c r="AB36" i="11"/>
  <c r="AA36" i="11"/>
  <c r="Y36" i="11"/>
  <c r="AA307" i="11"/>
  <c r="AB207" i="11"/>
  <c r="Y214" i="11"/>
  <c r="Z214" i="11"/>
  <c r="AB214" i="11"/>
  <c r="AA214" i="11"/>
  <c r="AA364" i="11"/>
  <c r="Z364" i="11"/>
  <c r="Y364" i="11"/>
  <c r="AB364" i="11"/>
  <c r="AB371" i="11"/>
  <c r="Y371" i="11"/>
  <c r="Z371" i="11"/>
  <c r="AA371" i="11"/>
  <c r="AB643" i="11"/>
  <c r="Y643" i="11"/>
  <c r="AA643" i="11"/>
  <c r="Z643" i="11"/>
  <c r="Y642" i="11"/>
  <c r="AA642" i="11"/>
  <c r="AB642" i="11"/>
  <c r="Z642" i="11"/>
  <c r="AB739" i="11"/>
  <c r="AB977" i="11"/>
  <c r="AA977" i="11"/>
  <c r="Z977" i="11"/>
  <c r="Y977" i="11"/>
  <c r="Y994" i="11"/>
  <c r="Z994" i="11"/>
  <c r="AA994" i="11"/>
  <c r="AB994" i="11"/>
  <c r="AB1016" i="11"/>
  <c r="AA1016" i="11"/>
  <c r="Z1016" i="11"/>
  <c r="Y1016" i="11"/>
  <c r="AB45" i="11"/>
  <c r="AA174" i="11"/>
  <c r="AB174" i="11"/>
  <c r="Z174" i="11"/>
  <c r="Y174" i="11"/>
  <c r="AB569" i="11"/>
  <c r="AB956" i="11"/>
  <c r="AA956" i="11"/>
  <c r="Y956" i="11"/>
  <c r="Z956" i="11"/>
  <c r="AB784" i="11"/>
  <c r="AB69" i="11"/>
  <c r="Y960" i="11"/>
  <c r="Y727" i="11"/>
  <c r="Y582" i="11"/>
  <c r="Y376" i="11"/>
  <c r="Y344" i="11"/>
  <c r="Y312" i="11"/>
  <c r="Y320" i="11"/>
  <c r="Y352" i="11"/>
  <c r="J2" i="5"/>
  <c r="Y78" i="11"/>
  <c r="Y95" i="11"/>
  <c r="Y119" i="11"/>
  <c r="Y408" i="11"/>
  <c r="Y428" i="11"/>
  <c r="Y449" i="11"/>
  <c r="Y545" i="11"/>
  <c r="Y601" i="11"/>
  <c r="Y630" i="11"/>
  <c r="Y863" i="11"/>
  <c r="Y135" i="11"/>
  <c r="Y498" i="11"/>
  <c r="Y876" i="11"/>
  <c r="Y514" i="11"/>
  <c r="Y156" i="11"/>
  <c r="Y62" i="11"/>
  <c r="Y122" i="11"/>
  <c r="Y153" i="11"/>
  <c r="Y387" i="11"/>
  <c r="Y598" i="11"/>
  <c r="Y633" i="11"/>
  <c r="Y615" i="11"/>
  <c r="Y759" i="11"/>
  <c r="Y804" i="11"/>
  <c r="Y849" i="11"/>
  <c r="Y897" i="11"/>
  <c r="Y812" i="11"/>
  <c r="Y730" i="11"/>
  <c r="Y46" i="11"/>
  <c r="Y111" i="11"/>
  <c r="Y172" i="11"/>
  <c r="Y328" i="11"/>
  <c r="Y177" i="11"/>
  <c r="Y219" i="11"/>
  <c r="Y356" i="11"/>
  <c r="Y379" i="11"/>
  <c r="Y411" i="11"/>
  <c r="Y392" i="11"/>
  <c r="Y471" i="11"/>
  <c r="Y538" i="11"/>
  <c r="Y627" i="11"/>
  <c r="Y711" i="11"/>
  <c r="Y788" i="11"/>
  <c r="Y889" i="11"/>
  <c r="Y867" i="11"/>
  <c r="Y558" i="11"/>
  <c r="Y577" i="11"/>
  <c r="Y722" i="11"/>
  <c r="Y355" i="11"/>
  <c r="Y148" i="11"/>
  <c r="Y188" i="11"/>
  <c r="Y161" i="11"/>
  <c r="Y203" i="11"/>
  <c r="Y324" i="11"/>
  <c r="Y441" i="11"/>
  <c r="Y443" i="11"/>
  <c r="Y465" i="11"/>
  <c r="Y141" i="11"/>
  <c r="Y336" i="11"/>
  <c r="Y316" i="11"/>
  <c r="Y400" i="11"/>
  <c r="Y419" i="11"/>
  <c r="Y110" i="11"/>
  <c r="Y103" i="11"/>
  <c r="Y395" i="11"/>
  <c r="Y145" i="11"/>
  <c r="Y185" i="11"/>
  <c r="Y368" i="11"/>
  <c r="Y94" i="11"/>
  <c r="Y360" i="11"/>
  <c r="Y169" i="11"/>
  <c r="Y384" i="11"/>
  <c r="Y522" i="11"/>
  <c r="Y490" i="11"/>
  <c r="Y458" i="11"/>
  <c r="Y618" i="11"/>
  <c r="Y725" i="11"/>
  <c r="Y751" i="11"/>
  <c r="Y852" i="11"/>
  <c r="Y735" i="11"/>
  <c r="Y780" i="11"/>
  <c r="Y979" i="11"/>
  <c r="Y931" i="11"/>
  <c r="Y766" i="11"/>
  <c r="Y716" i="11"/>
  <c r="Y755" i="11"/>
  <c r="Y828" i="11"/>
  <c r="Y777" i="11"/>
  <c r="Y743" i="11"/>
  <c r="Y900" i="11"/>
  <c r="Y857" i="11"/>
  <c r="AB126" i="11"/>
  <c r="AB237" i="11"/>
  <c r="Y354" i="11"/>
  <c r="Y576" i="11"/>
  <c r="AB250" i="11"/>
  <c r="AA250" i="11"/>
  <c r="Z250" i="11"/>
  <c r="Y250" i="11"/>
  <c r="AB837" i="11"/>
  <c r="AA333" i="11"/>
  <c r="AB333" i="11"/>
  <c r="Y333" i="11"/>
  <c r="Z333" i="11"/>
  <c r="AB553" i="11"/>
  <c r="Y634" i="11"/>
  <c r="AA634" i="11"/>
  <c r="AB634" i="11"/>
  <c r="Z634" i="11"/>
  <c r="Z639" i="11"/>
  <c r="Y639" i="11"/>
  <c r="AB639" i="11"/>
  <c r="AA639" i="11"/>
  <c r="Y144" i="11"/>
  <c r="Y487" i="11"/>
  <c r="AB112" i="11"/>
  <c r="AA112" i="11"/>
  <c r="Z112" i="11"/>
  <c r="Y112" i="11"/>
  <c r="AB134" i="11"/>
  <c r="Z134" i="11"/>
  <c r="AA134" i="11"/>
  <c r="Y134" i="11"/>
  <c r="Y136" i="11"/>
  <c r="Y307" i="11"/>
  <c r="Y198" i="11"/>
  <c r="AB26" i="11"/>
  <c r="Y26" i="11"/>
  <c r="AA26" i="11"/>
  <c r="Z26" i="11"/>
  <c r="AB50" i="11"/>
  <c r="AB208" i="11"/>
  <c r="AB283" i="11"/>
  <c r="AA256" i="11"/>
  <c r="Z256" i="11"/>
  <c r="Y256" i="11"/>
  <c r="AB256" i="11"/>
  <c r="AB286" i="11"/>
  <c r="AB158" i="11"/>
  <c r="Y218" i="11"/>
  <c r="Y261" i="11"/>
  <c r="AB242" i="11"/>
  <c r="AA242" i="11"/>
  <c r="Z242" i="11"/>
  <c r="Y242" i="11"/>
  <c r="AB306" i="11"/>
  <c r="AA306" i="11"/>
  <c r="Z306" i="11"/>
  <c r="Y306" i="11"/>
  <c r="AB357" i="11"/>
  <c r="AB544" i="11"/>
  <c r="AA544" i="11"/>
  <c r="Z544" i="11"/>
  <c r="Y544" i="11"/>
  <c r="AB571" i="11"/>
  <c r="Y208" i="11"/>
  <c r="Y79" i="11"/>
  <c r="AA79" i="11"/>
  <c r="Z79" i="11"/>
  <c r="AB79" i="11"/>
  <c r="Y283" i="11"/>
  <c r="AB338" i="11"/>
  <c r="AB370" i="11"/>
  <c r="AB402" i="11"/>
  <c r="Y422" i="11"/>
  <c r="AB508" i="11"/>
  <c r="AB576" i="11"/>
  <c r="Z631" i="11"/>
  <c r="Y631" i="11"/>
  <c r="AB631" i="11"/>
  <c r="AA631" i="11"/>
  <c r="AA636" i="11"/>
  <c r="Z636" i="11"/>
  <c r="Y636" i="11"/>
  <c r="AB636" i="11"/>
  <c r="Y690" i="11"/>
  <c r="AB817" i="11"/>
  <c r="AB944" i="11"/>
  <c r="AA875" i="11"/>
  <c r="Z875" i="11"/>
  <c r="AB875" i="11"/>
  <c r="Y875" i="11"/>
  <c r="Y246" i="11"/>
  <c r="AA246" i="11"/>
  <c r="Z246" i="11"/>
  <c r="AB246" i="11"/>
  <c r="Y228" i="11"/>
  <c r="AB228" i="11"/>
  <c r="AA228" i="11"/>
  <c r="Z228" i="11"/>
  <c r="Y466" i="11"/>
  <c r="Y691" i="11"/>
  <c r="AA700" i="11"/>
  <c r="Z700" i="11"/>
  <c r="Y700" i="11"/>
  <c r="AB700" i="11"/>
  <c r="Y775" i="11"/>
  <c r="AB864" i="11"/>
  <c r="Y888" i="11"/>
  <c r="AB888" i="11"/>
  <c r="Z888" i="11"/>
  <c r="AA888" i="11"/>
  <c r="AB197" i="11"/>
  <c r="Z197" i="11"/>
  <c r="Y197" i="11"/>
  <c r="AA197" i="11"/>
  <c r="Y287" i="11"/>
  <c r="AB478" i="11"/>
  <c r="Y494" i="11"/>
  <c r="AB628" i="11"/>
  <c r="AB684" i="11"/>
  <c r="Z645" i="11"/>
  <c r="AB645" i="11"/>
  <c r="AA645" i="11"/>
  <c r="Y645" i="11"/>
  <c r="AB809" i="11"/>
  <c r="Y882" i="11"/>
  <c r="Z936" i="11"/>
  <c r="Y936" i="11"/>
  <c r="AB936" i="11"/>
  <c r="AA936" i="11"/>
  <c r="Y536" i="11"/>
  <c r="AB433" i="11"/>
  <c r="AA433" i="11"/>
  <c r="Z433" i="11"/>
  <c r="Y433" i="11"/>
  <c r="Y745" i="11"/>
  <c r="AB745" i="11"/>
  <c r="AA745" i="11"/>
  <c r="Z745" i="11"/>
  <c r="AB701" i="11"/>
  <c r="AB762" i="11"/>
  <c r="Y949" i="11"/>
  <c r="AB699" i="11"/>
  <c r="AB269" i="11"/>
  <c r="Y348" i="11"/>
  <c r="Y245" i="11"/>
  <c r="Z225" i="11"/>
  <c r="AA225" i="11"/>
  <c r="Y225" i="11"/>
  <c r="AB225" i="11"/>
  <c r="AB247" i="11"/>
  <c r="Y609" i="11"/>
  <c r="Z772" i="11"/>
  <c r="Y772" i="11"/>
  <c r="AA772" i="11"/>
  <c r="AB772" i="11"/>
  <c r="Y818" i="11"/>
  <c r="AB818" i="11"/>
  <c r="AA818" i="11"/>
  <c r="Z818" i="11"/>
  <c r="Y838" i="11"/>
  <c r="Z838" i="11"/>
  <c r="AB838" i="11"/>
  <c r="AA838" i="11"/>
  <c r="AB915" i="11"/>
  <c r="AA972" i="11"/>
  <c r="Z972" i="11"/>
  <c r="AB972" i="11"/>
  <c r="Y972" i="11"/>
  <c r="AB866" i="11"/>
  <c r="AB1004" i="11"/>
  <c r="Z1004" i="11"/>
  <c r="Y1004" i="11"/>
  <c r="AA1004" i="11"/>
  <c r="AB925" i="11"/>
  <c r="J3" i="5"/>
  <c r="J7" i="6" s="1"/>
  <c r="Y65" i="11"/>
  <c r="AA65" i="11"/>
  <c r="AB65" i="11"/>
  <c r="Z65" i="11"/>
  <c r="AB301" i="11"/>
  <c r="Y199" i="11"/>
  <c r="AB199" i="11"/>
  <c r="AA199" i="11"/>
  <c r="Z199" i="11"/>
  <c r="Y293" i="11"/>
  <c r="AB231" i="11"/>
  <c r="AB295" i="11"/>
  <c r="AB217" i="11"/>
  <c r="AA217" i="11"/>
  <c r="Z217" i="11"/>
  <c r="Y217" i="11"/>
  <c r="Y252" i="11"/>
  <c r="AB252" i="11"/>
  <c r="AA252" i="11"/>
  <c r="Z252" i="11"/>
  <c r="Y410" i="11"/>
  <c r="AB410" i="11"/>
  <c r="AA410" i="11"/>
  <c r="Z410" i="11"/>
  <c r="AB512" i="11"/>
  <c r="AB56" i="11"/>
  <c r="AA56" i="11"/>
  <c r="Z56" i="11"/>
  <c r="Y56" i="11"/>
  <c r="Y71" i="11"/>
  <c r="AB71" i="11"/>
  <c r="AA71" i="11"/>
  <c r="Z71" i="11"/>
  <c r="Y253" i="11"/>
  <c r="Y391" i="11"/>
  <c r="AB365" i="11"/>
  <c r="Y430" i="11"/>
  <c r="AB568" i="11"/>
  <c r="Y425" i="11"/>
  <c r="Y496" i="11"/>
  <c r="AB470" i="11"/>
  <c r="Z596" i="11"/>
  <c r="Y596" i="11"/>
  <c r="AB596" i="11"/>
  <c r="AA596" i="11"/>
  <c r="Y590" i="11"/>
  <c r="Y109" i="11"/>
  <c r="AA67" i="11"/>
  <c r="Z67" i="11"/>
  <c r="Y67" i="11"/>
  <c r="AB67" i="11"/>
  <c r="AB183" i="11"/>
  <c r="AB367" i="11"/>
  <c r="AB258" i="11"/>
  <c r="AA258" i="11"/>
  <c r="Z258" i="11"/>
  <c r="Y258" i="11"/>
  <c r="AB196" i="11"/>
  <c r="Y334" i="11"/>
  <c r="AB417" i="11"/>
  <c r="AB462" i="11"/>
  <c r="Y445" i="11"/>
  <c r="AB525" i="11"/>
  <c r="Y676" i="11"/>
  <c r="Z687" i="11"/>
  <c r="Y687" i="11"/>
  <c r="AB687" i="11"/>
  <c r="AA687" i="11"/>
  <c r="Y42" i="11"/>
  <c r="AB251" i="11"/>
  <c r="AB171" i="11"/>
  <c r="AB215" i="11"/>
  <c r="AA340" i="11"/>
  <c r="Z340" i="11"/>
  <c r="Y340" i="11"/>
  <c r="AB340" i="11"/>
  <c r="AB385" i="11"/>
  <c r="AA385" i="11"/>
  <c r="Z385" i="11"/>
  <c r="Y385" i="11"/>
  <c r="Y260" i="11"/>
  <c r="AB260" i="11"/>
  <c r="AA260" i="11"/>
  <c r="Z260" i="11"/>
  <c r="AB322" i="11"/>
  <c r="Y564" i="11"/>
  <c r="Z495" i="11"/>
  <c r="AB495" i="11"/>
  <c r="Y495" i="11"/>
  <c r="AA495" i="11"/>
  <c r="Y567" i="11"/>
  <c r="Y675" i="11"/>
  <c r="AB688" i="11"/>
  <c r="AB686" i="11"/>
  <c r="AB753" i="11"/>
  <c r="AA801" i="11"/>
  <c r="Z801" i="11"/>
  <c r="Y801" i="11"/>
  <c r="AB801" i="11"/>
  <c r="Y778" i="11"/>
  <c r="Y810" i="11"/>
  <c r="Y937" i="11"/>
  <c r="Y856" i="11"/>
  <c r="AB856" i="11"/>
  <c r="AA856" i="11"/>
  <c r="Z856" i="11"/>
  <c r="Y942" i="11"/>
  <c r="Z930" i="11"/>
  <c r="AB930" i="11"/>
  <c r="AA930" i="11"/>
  <c r="Y930" i="11"/>
  <c r="Y1023" i="11"/>
  <c r="AA216" i="11"/>
  <c r="Z216" i="11"/>
  <c r="AB216" i="11"/>
  <c r="Y216" i="11"/>
  <c r="AA248" i="11"/>
  <c r="Z248" i="11"/>
  <c r="Y248" i="11"/>
  <c r="AB248" i="11"/>
  <c r="AB271" i="11"/>
  <c r="Y658" i="11"/>
  <c r="AA658" i="11"/>
  <c r="AB658" i="11"/>
  <c r="Z658" i="11"/>
  <c r="Y917" i="11"/>
  <c r="AB917" i="11"/>
  <c r="AA917" i="11"/>
  <c r="Z917" i="11"/>
  <c r="AB546" i="11"/>
  <c r="Y605" i="11"/>
  <c r="Y233" i="11"/>
  <c r="AB524" i="11"/>
  <c r="AB887" i="11"/>
  <c r="Z870" i="11"/>
  <c r="Y870" i="11"/>
  <c r="AB870" i="11"/>
  <c r="AA870" i="11"/>
  <c r="AB969" i="11"/>
  <c r="Z969" i="11"/>
  <c r="Y969" i="11"/>
  <c r="AA969" i="11"/>
  <c r="Y923" i="11"/>
  <c r="AB970" i="11"/>
  <c r="Z922" i="11"/>
  <c r="AA922" i="11"/>
  <c r="Y922" i="11"/>
  <c r="AB922" i="11"/>
  <c r="Y984" i="11"/>
  <c r="AB520" i="11"/>
  <c r="AB528" i="11"/>
  <c r="Y748" i="11"/>
  <c r="AB986" i="11"/>
  <c r="AB992" i="11"/>
  <c r="Y706" i="11"/>
  <c r="AB621" i="11"/>
  <c r="AA621" i="11"/>
  <c r="Z621" i="11"/>
  <c r="Y621" i="11"/>
  <c r="AB833" i="11"/>
  <c r="AA1009" i="11"/>
  <c r="Z1009" i="11"/>
  <c r="Y1009" i="11"/>
  <c r="AB1009" i="11"/>
  <c r="Z519" i="11"/>
  <c r="AB519" i="11"/>
  <c r="Y519" i="11"/>
  <c r="AA519" i="11"/>
  <c r="Y591" i="11"/>
  <c r="AA591" i="11"/>
  <c r="AB591" i="11"/>
  <c r="Z591" i="11"/>
  <c r="Y758" i="11"/>
  <c r="Z758" i="11"/>
  <c r="AB758" i="11"/>
  <c r="AA758" i="11"/>
  <c r="Y951" i="11"/>
  <c r="Y724" i="11"/>
  <c r="AA761" i="11"/>
  <c r="Z761" i="11"/>
  <c r="Y761" i="11"/>
  <c r="AB761" i="11"/>
  <c r="Y872" i="11"/>
  <c r="AB93" i="11"/>
  <c r="AB123" i="11"/>
  <c r="AB509" i="11"/>
  <c r="AB904" i="11"/>
  <c r="AB685" i="11"/>
  <c r="Y816" i="11"/>
  <c r="AB918" i="11"/>
  <c r="AA918" i="11"/>
  <c r="Z918" i="11"/>
  <c r="Y918" i="11"/>
  <c r="Y861" i="11"/>
  <c r="Y770" i="11"/>
  <c r="AB350" i="11"/>
  <c r="AB61" i="11"/>
  <c r="AB382" i="11"/>
  <c r="Z647" i="11"/>
  <c r="Y647" i="11"/>
  <c r="AB647" i="11"/>
  <c r="AA647" i="11"/>
  <c r="AF327" i="11" l="1"/>
  <c r="AF879" i="11"/>
  <c r="AF455" i="11"/>
  <c r="AC115" i="11"/>
  <c r="AG115" i="11" s="1"/>
  <c r="AD571" i="11"/>
  <c r="AH571" i="11" s="1"/>
  <c r="AD115" i="11"/>
  <c r="AH115" i="11" s="1"/>
  <c r="AE767" i="11"/>
  <c r="AF243" i="11"/>
  <c r="AD606" i="11"/>
  <c r="AH606" i="11" s="1"/>
  <c r="AF666" i="11"/>
  <c r="AC486" i="11"/>
  <c r="AG486" i="11" s="1"/>
  <c r="AD309" i="11"/>
  <c r="AH309" i="11" s="1"/>
  <c r="AD460" i="11"/>
  <c r="AH460" i="11" s="1"/>
  <c r="AD237" i="11"/>
  <c r="AH237" i="11" s="1"/>
  <c r="AF115" i="11"/>
  <c r="AE243" i="11"/>
  <c r="AC286" i="11"/>
  <c r="AD660" i="11"/>
  <c r="AH660" i="11" s="1"/>
  <c r="AE530" i="11"/>
  <c r="AE263" i="11"/>
  <c r="AE948" i="11"/>
  <c r="AD424" i="11"/>
  <c r="AH424" i="11" s="1"/>
  <c r="AE866" i="11"/>
  <c r="AE115" i="11"/>
  <c r="AD948" i="11"/>
  <c r="AH948" i="11" s="1"/>
  <c r="AE869" i="11"/>
  <c r="AF526" i="11"/>
  <c r="AD995" i="11"/>
  <c r="AH995" i="11" s="1"/>
  <c r="AC948" i="11"/>
  <c r="AG948" i="11" s="1"/>
  <c r="AC660" i="11"/>
  <c r="AG660" i="11" s="1"/>
  <c r="AC694" i="11"/>
  <c r="AG694" i="11" s="1"/>
  <c r="AF948" i="11"/>
  <c r="AE220" i="11"/>
  <c r="AC1021" i="11"/>
  <c r="AG1021" i="11" s="1"/>
  <c r="AE660" i="11"/>
  <c r="AE486" i="11"/>
  <c r="AF762" i="11"/>
  <c r="AF478" i="11"/>
  <c r="AD486" i="11"/>
  <c r="AH486" i="11" s="1"/>
  <c r="AD530" i="11"/>
  <c r="AH530" i="11" s="1"/>
  <c r="AF530" i="11"/>
  <c r="AE424" i="11"/>
  <c r="AF126" i="11"/>
  <c r="AD950" i="11"/>
  <c r="AH950" i="11" s="1"/>
  <c r="AC995" i="11"/>
  <c r="AF53" i="11"/>
  <c r="AC530" i="11"/>
  <c r="AG530" i="11" s="1"/>
  <c r="AF486" i="11"/>
  <c r="AC424" i="11"/>
  <c r="AG424" i="11" s="1"/>
  <c r="AE864" i="11"/>
  <c r="AF508" i="11"/>
  <c r="AC784" i="11"/>
  <c r="AG784" i="11" s="1"/>
  <c r="AD1021" i="11"/>
  <c r="AH1021" i="11" s="1"/>
  <c r="AE1021" i="11"/>
  <c r="AF227" i="11"/>
  <c r="AC29" i="11"/>
  <c r="AG29" i="11" s="1"/>
  <c r="AF704" i="11"/>
  <c r="AE201" i="11"/>
  <c r="AC243" i="11"/>
  <c r="AG243" i="11" s="1"/>
  <c r="AE925" i="11"/>
  <c r="AE909" i="11"/>
  <c r="AF1021" i="11"/>
  <c r="AD180" i="11"/>
  <c r="AH180" i="11" s="1"/>
  <c r="AC704" i="11"/>
  <c r="AG704" i="11" s="1"/>
  <c r="AE206" i="11"/>
  <c r="AE704" i="11"/>
  <c r="AC526" i="11"/>
  <c r="AG526" i="11" s="1"/>
  <c r="AD894" i="11"/>
  <c r="AH894" i="11" s="1"/>
  <c r="AD704" i="11"/>
  <c r="AH704" i="11" s="1"/>
  <c r="AD526" i="11"/>
  <c r="AH526" i="11" s="1"/>
  <c r="AE717" i="11"/>
  <c r="AF894" i="11"/>
  <c r="AF205" i="11"/>
  <c r="AF424" i="11"/>
  <c r="AF988" i="11"/>
  <c r="AC974" i="11"/>
  <c r="AG974" i="11" s="1"/>
  <c r="AE526" i="11"/>
  <c r="AE656" i="11"/>
  <c r="AF995" i="11"/>
  <c r="AC613" i="11"/>
  <c r="AG613" i="11" s="1"/>
  <c r="AD513" i="11"/>
  <c r="AH513" i="11" s="1"/>
  <c r="AF660" i="11"/>
  <c r="AF513" i="11"/>
  <c r="AD464" i="11"/>
  <c r="AH464" i="11" s="1"/>
  <c r="AC227" i="11"/>
  <c r="AG227" i="11" s="1"/>
  <c r="AD327" i="11"/>
  <c r="AH327" i="11" s="1"/>
  <c r="AD243" i="11"/>
  <c r="AH243" i="11" s="1"/>
  <c r="AC464" i="11"/>
  <c r="AG464" i="11" s="1"/>
  <c r="AE995" i="11"/>
  <c r="AE464" i="11"/>
  <c r="AE895" i="11"/>
  <c r="AE513" i="11"/>
  <c r="AE894" i="11"/>
  <c r="AE327" i="11"/>
  <c r="AC327" i="11"/>
  <c r="AG327" i="11" s="1"/>
  <c r="AD201" i="11"/>
  <c r="AH201" i="11" s="1"/>
  <c r="AE180" i="11"/>
  <c r="AF180" i="11"/>
  <c r="AC180" i="11"/>
  <c r="AG180" i="11" s="1"/>
  <c r="AE342" i="11"/>
  <c r="AD909" i="11"/>
  <c r="AH909" i="11" s="1"/>
  <c r="AC656" i="11"/>
  <c r="AG656" i="11" s="1"/>
  <c r="AD126" i="11"/>
  <c r="AH126" i="11" s="1"/>
  <c r="AD205" i="11"/>
  <c r="AH205" i="11" s="1"/>
  <c r="AC263" i="11"/>
  <c r="AC513" i="11"/>
  <c r="AG513" i="11" s="1"/>
  <c r="AE879" i="11"/>
  <c r="AC879" i="11"/>
  <c r="AG879" i="11" s="1"/>
  <c r="AD206" i="11"/>
  <c r="AH206" i="11" s="1"/>
  <c r="AE227" i="11"/>
  <c r="AD879" i="11"/>
  <c r="AH879" i="11" s="1"/>
  <c r="AD866" i="11"/>
  <c r="AH866" i="11" s="1"/>
  <c r="AF464" i="11"/>
  <c r="AD869" i="11"/>
  <c r="AH869" i="11" s="1"/>
  <c r="AC894" i="11"/>
  <c r="AF869" i="11"/>
  <c r="AD263" i="11"/>
  <c r="AH263" i="11" s="1"/>
  <c r="AC126" i="11"/>
  <c r="AG126" i="11" s="1"/>
  <c r="AE988" i="11"/>
  <c r="AF613" i="11"/>
  <c r="AC342" i="11"/>
  <c r="AG342" i="11" s="1"/>
  <c r="AC666" i="11"/>
  <c r="AG666" i="11" s="1"/>
  <c r="AF342" i="11"/>
  <c r="AE126" i="11"/>
  <c r="AE974" i="11"/>
  <c r="AF201" i="11"/>
  <c r="AD694" i="11"/>
  <c r="AH694" i="11" s="1"/>
  <c r="AF206" i="11"/>
  <c r="AF694" i="11"/>
  <c r="AD227" i="11"/>
  <c r="AH227" i="11" s="1"/>
  <c r="AF656" i="11"/>
  <c r="AC869" i="11"/>
  <c r="AC864" i="11"/>
  <c r="AG864" i="11" s="1"/>
  <c r="AD478" i="11"/>
  <c r="AH478" i="11" s="1"/>
  <c r="AD613" i="11"/>
  <c r="AH613" i="11" s="1"/>
  <c r="AG286" i="11"/>
  <c r="AD918" i="11"/>
  <c r="AH918" i="11" s="1"/>
  <c r="AF918" i="11"/>
  <c r="AE918" i="11"/>
  <c r="AC918" i="11"/>
  <c r="AF591" i="11"/>
  <c r="AE591" i="11"/>
  <c r="AD591" i="11"/>
  <c r="AH591" i="11" s="1"/>
  <c r="AC591" i="11"/>
  <c r="AE260" i="11"/>
  <c r="AD260" i="11"/>
  <c r="AH260" i="11" s="1"/>
  <c r="AC260" i="11"/>
  <c r="AF260" i="11"/>
  <c r="AC258" i="11"/>
  <c r="AE258" i="11"/>
  <c r="AF258" i="11"/>
  <c r="AD258" i="11"/>
  <c r="AH258" i="11" s="1"/>
  <c r="AE252" i="11"/>
  <c r="AD252" i="11"/>
  <c r="AH252" i="11" s="1"/>
  <c r="AC252" i="11"/>
  <c r="AF252" i="11"/>
  <c r="AE228" i="11"/>
  <c r="AD228" i="11"/>
  <c r="AH228" i="11" s="1"/>
  <c r="AC228" i="11"/>
  <c r="AF228" i="11"/>
  <c r="AF487" i="11"/>
  <c r="AE487" i="11"/>
  <c r="AD487" i="11"/>
  <c r="AH487" i="11" s="1"/>
  <c r="AC487" i="11"/>
  <c r="AF333" i="11"/>
  <c r="AE333" i="11"/>
  <c r="AD333" i="11"/>
  <c r="AH333" i="11" s="1"/>
  <c r="AC333" i="11"/>
  <c r="AF828" i="11"/>
  <c r="AE828" i="11"/>
  <c r="AD828" i="11"/>
  <c r="AH828" i="11" s="1"/>
  <c r="AC828" i="11"/>
  <c r="AC852" i="11"/>
  <c r="AD852" i="11"/>
  <c r="AH852" i="11" s="1"/>
  <c r="AF852" i="11"/>
  <c r="AE852" i="11"/>
  <c r="AF110" i="11"/>
  <c r="AD110" i="11"/>
  <c r="AH110" i="11" s="1"/>
  <c r="AC110" i="11"/>
  <c r="AE110" i="11"/>
  <c r="AC577" i="11"/>
  <c r="AD577" i="11"/>
  <c r="AH577" i="11" s="1"/>
  <c r="AE577" i="11"/>
  <c r="AF577" i="11"/>
  <c r="AD759" i="11"/>
  <c r="AH759" i="11" s="1"/>
  <c r="AC759" i="11"/>
  <c r="AE759" i="11"/>
  <c r="AF759" i="11"/>
  <c r="AD156" i="11"/>
  <c r="AH156" i="11" s="1"/>
  <c r="AC156" i="11"/>
  <c r="AF156" i="11"/>
  <c r="AE156" i="11"/>
  <c r="AF545" i="11"/>
  <c r="AE545" i="11"/>
  <c r="AD545" i="11"/>
  <c r="AH545" i="11" s="1"/>
  <c r="AC545" i="11"/>
  <c r="AF174" i="11"/>
  <c r="AE174" i="11"/>
  <c r="AD174" i="11"/>
  <c r="AH174" i="11" s="1"/>
  <c r="AC174" i="11"/>
  <c r="AD64" i="11"/>
  <c r="AH64" i="11" s="1"/>
  <c r="AF64" i="11"/>
  <c r="AE64" i="11"/>
  <c r="AC64" i="11"/>
  <c r="AF890" i="11"/>
  <c r="AD890" i="11"/>
  <c r="AH890" i="11" s="1"/>
  <c r="AC890" i="11"/>
  <c r="AE890" i="11"/>
  <c r="AF783" i="11"/>
  <c r="AE783" i="11"/>
  <c r="AC783" i="11"/>
  <c r="AD783" i="11"/>
  <c r="AH783" i="11" s="1"/>
  <c r="AF882" i="11"/>
  <c r="AE882" i="11"/>
  <c r="AC882" i="11"/>
  <c r="AD882" i="11"/>
  <c r="AH882" i="11" s="1"/>
  <c r="AE716" i="11"/>
  <c r="AF716" i="11"/>
  <c r="AD716" i="11"/>
  <c r="AH716" i="11" s="1"/>
  <c r="AC716" i="11"/>
  <c r="AE400" i="11"/>
  <c r="AD400" i="11"/>
  <c r="AH400" i="11" s="1"/>
  <c r="AC400" i="11"/>
  <c r="AF400" i="11"/>
  <c r="AD867" i="11"/>
  <c r="AH867" i="11" s="1"/>
  <c r="AC867" i="11"/>
  <c r="AF867" i="11"/>
  <c r="AE867" i="11"/>
  <c r="AE633" i="11"/>
  <c r="AD633" i="11"/>
  <c r="AH633" i="11" s="1"/>
  <c r="AC633" i="11"/>
  <c r="AF633" i="11"/>
  <c r="AE312" i="11"/>
  <c r="AD312" i="11"/>
  <c r="AH312" i="11" s="1"/>
  <c r="AC312" i="11"/>
  <c r="AF312" i="11"/>
  <c r="AC982" i="11"/>
  <c r="AD982" i="11"/>
  <c r="AH982" i="11" s="1"/>
  <c r="AF982" i="11"/>
  <c r="AE982" i="11"/>
  <c r="AF983" i="11"/>
  <c r="AE983" i="11"/>
  <c r="AD983" i="11"/>
  <c r="AH983" i="11" s="1"/>
  <c r="AC983" i="11"/>
  <c r="AD423" i="11"/>
  <c r="AH423" i="11" s="1"/>
  <c r="AC423" i="11"/>
  <c r="AF423" i="11"/>
  <c r="AE423" i="11"/>
  <c r="AF102" i="11"/>
  <c r="AE102" i="11"/>
  <c r="AD102" i="11"/>
  <c r="AH102" i="11" s="1"/>
  <c r="AC102" i="11"/>
  <c r="AF604" i="11"/>
  <c r="AD604" i="11"/>
  <c r="AH604" i="11" s="1"/>
  <c r="AC604" i="11"/>
  <c r="AE604" i="11"/>
  <c r="AD699" i="11"/>
  <c r="AH699" i="11" s="1"/>
  <c r="AC699" i="11"/>
  <c r="AF699" i="11"/>
  <c r="AE699" i="11"/>
  <c r="AE628" i="11"/>
  <c r="AD628" i="11"/>
  <c r="AH628" i="11" s="1"/>
  <c r="AC628" i="11"/>
  <c r="AF628" i="11"/>
  <c r="AF993" i="11"/>
  <c r="AD993" i="11"/>
  <c r="AH993" i="11" s="1"/>
  <c r="AC993" i="11"/>
  <c r="AE993" i="11"/>
  <c r="AF233" i="11"/>
  <c r="AE233" i="11"/>
  <c r="AD233" i="11"/>
  <c r="AH233" i="11" s="1"/>
  <c r="AC233" i="11"/>
  <c r="AE216" i="11"/>
  <c r="AF216" i="11"/>
  <c r="AD216" i="11"/>
  <c r="AH216" i="11" s="1"/>
  <c r="AC216" i="11"/>
  <c r="AF778" i="11"/>
  <c r="AE778" i="11"/>
  <c r="AD778" i="11"/>
  <c r="AH778" i="11" s="1"/>
  <c r="AC778" i="11"/>
  <c r="AC636" i="11"/>
  <c r="AF636" i="11"/>
  <c r="AE636" i="11"/>
  <c r="AD636" i="11"/>
  <c r="AH636" i="11" s="1"/>
  <c r="AF634" i="11"/>
  <c r="AE634" i="11"/>
  <c r="AC634" i="11"/>
  <c r="AD634" i="11"/>
  <c r="AH634" i="11" s="1"/>
  <c r="AC900" i="11"/>
  <c r="AF900" i="11"/>
  <c r="AE900" i="11"/>
  <c r="AD900" i="11"/>
  <c r="AH900" i="11" s="1"/>
  <c r="AE490" i="11"/>
  <c r="AD490" i="11"/>
  <c r="AH490" i="11" s="1"/>
  <c r="AC490" i="11"/>
  <c r="AF490" i="11"/>
  <c r="AF141" i="11"/>
  <c r="AE141" i="11"/>
  <c r="AD141" i="11"/>
  <c r="AH141" i="11" s="1"/>
  <c r="AC141" i="11"/>
  <c r="AD711" i="11"/>
  <c r="AH711" i="11" s="1"/>
  <c r="AC711" i="11"/>
  <c r="AF711" i="11"/>
  <c r="AE711" i="11"/>
  <c r="AD897" i="11"/>
  <c r="AH897" i="11" s="1"/>
  <c r="AF897" i="11"/>
  <c r="AE897" i="11"/>
  <c r="AC897" i="11"/>
  <c r="AF863" i="11"/>
  <c r="AE863" i="11"/>
  <c r="AD863" i="11"/>
  <c r="AH863" i="11" s="1"/>
  <c r="AC863" i="11"/>
  <c r="AD582" i="11"/>
  <c r="AH582" i="11" s="1"/>
  <c r="AF582" i="11"/>
  <c r="AE582" i="11"/>
  <c r="AC582" i="11"/>
  <c r="AF1016" i="11"/>
  <c r="AD1016" i="11"/>
  <c r="AH1016" i="11" s="1"/>
  <c r="AC1016" i="11"/>
  <c r="AE1016" i="11"/>
  <c r="AF642" i="11"/>
  <c r="AE642" i="11"/>
  <c r="AD642" i="11"/>
  <c r="AH642" i="11" s="1"/>
  <c r="AC642" i="11"/>
  <c r="AF214" i="11"/>
  <c r="AC214" i="11"/>
  <c r="AD214" i="11"/>
  <c r="AH214" i="11" s="1"/>
  <c r="AE214" i="11"/>
  <c r="AC939" i="11"/>
  <c r="AE939" i="11"/>
  <c r="AD939" i="11"/>
  <c r="AH939" i="11" s="1"/>
  <c r="AF939" i="11"/>
  <c r="AD971" i="11"/>
  <c r="AH971" i="11" s="1"/>
  <c r="AC971" i="11"/>
  <c r="AE971" i="11"/>
  <c r="AF971" i="11"/>
  <c r="AE718" i="11"/>
  <c r="AD718" i="11"/>
  <c r="AH718" i="11" s="1"/>
  <c r="AC718" i="11"/>
  <c r="AF718" i="11"/>
  <c r="AE632" i="11"/>
  <c r="AD632" i="11"/>
  <c r="AH632" i="11" s="1"/>
  <c r="AF632" i="11"/>
  <c r="AC632" i="11"/>
  <c r="AF431" i="11"/>
  <c r="AC431" i="11"/>
  <c r="AE431" i="11"/>
  <c r="AD431" i="11"/>
  <c r="AH431" i="11" s="1"/>
  <c r="AC51" i="11"/>
  <c r="AF51" i="11"/>
  <c r="AE51" i="11"/>
  <c r="AD51" i="11"/>
  <c r="AH51" i="11" s="1"/>
  <c r="AF81" i="11"/>
  <c r="AE81" i="11"/>
  <c r="AD81" i="11"/>
  <c r="AH81" i="11" s="1"/>
  <c r="AC81" i="11"/>
  <c r="AC593" i="11"/>
  <c r="AD593" i="11"/>
  <c r="AH593" i="11" s="1"/>
  <c r="AF593" i="11"/>
  <c r="AE593" i="11"/>
  <c r="AD189" i="11"/>
  <c r="AH189" i="11" s="1"/>
  <c r="AF189" i="11"/>
  <c r="AE189" i="11"/>
  <c r="AC189" i="11"/>
  <c r="AF237" i="11"/>
  <c r="AC902" i="11"/>
  <c r="AE902" i="11"/>
  <c r="AF902" i="11"/>
  <c r="AD902" i="11"/>
  <c r="AH902" i="11" s="1"/>
  <c r="AD855" i="11"/>
  <c r="AH855" i="11" s="1"/>
  <c r="AC855" i="11"/>
  <c r="AE855" i="11"/>
  <c r="AF855" i="11"/>
  <c r="AF278" i="11"/>
  <c r="AE278" i="11"/>
  <c r="AD278" i="11"/>
  <c r="AH278" i="11" s="1"/>
  <c r="AC278" i="11"/>
  <c r="AC288" i="11"/>
  <c r="AE288" i="11"/>
  <c r="AD288" i="11"/>
  <c r="AH288" i="11" s="1"/>
  <c r="AF288" i="11"/>
  <c r="AF553" i="11"/>
  <c r="AE553" i="11"/>
  <c r="AD553" i="11"/>
  <c r="AH553" i="11" s="1"/>
  <c r="AC553" i="11"/>
  <c r="AF861" i="11"/>
  <c r="AE861" i="11"/>
  <c r="AD861" i="11"/>
  <c r="AH861" i="11" s="1"/>
  <c r="AC861" i="11"/>
  <c r="AE724" i="11"/>
  <c r="AF724" i="11"/>
  <c r="AD724" i="11"/>
  <c r="AH724" i="11" s="1"/>
  <c r="AC724" i="11"/>
  <c r="AF658" i="11"/>
  <c r="AE658" i="11"/>
  <c r="AD658" i="11"/>
  <c r="AH658" i="11" s="1"/>
  <c r="AC658" i="11"/>
  <c r="AF801" i="11"/>
  <c r="AE801" i="11"/>
  <c r="AD801" i="11"/>
  <c r="AH801" i="11" s="1"/>
  <c r="AC801" i="11"/>
  <c r="AF687" i="11"/>
  <c r="AE687" i="11"/>
  <c r="AD687" i="11"/>
  <c r="AH687" i="11" s="1"/>
  <c r="AC687" i="11"/>
  <c r="AC67" i="11"/>
  <c r="AF67" i="11"/>
  <c r="AE67" i="11"/>
  <c r="AD67" i="11"/>
  <c r="AH67" i="11" s="1"/>
  <c r="AD253" i="11"/>
  <c r="AH253" i="11" s="1"/>
  <c r="AF253" i="11"/>
  <c r="AE253" i="11"/>
  <c r="AC253" i="11"/>
  <c r="AD293" i="11"/>
  <c r="AH293" i="11" s="1"/>
  <c r="AF293" i="11"/>
  <c r="AE293" i="11"/>
  <c r="AC293" i="11"/>
  <c r="AD972" i="11"/>
  <c r="AH972" i="11" s="1"/>
  <c r="AF972" i="11"/>
  <c r="AE972" i="11"/>
  <c r="AC972" i="11"/>
  <c r="AC838" i="11"/>
  <c r="AF838" i="11"/>
  <c r="AD838" i="11"/>
  <c r="AH838" i="11" s="1"/>
  <c r="AE838" i="11"/>
  <c r="AD348" i="11"/>
  <c r="AH348" i="11" s="1"/>
  <c r="AF348" i="11"/>
  <c r="AE348" i="11"/>
  <c r="AC348" i="11"/>
  <c r="AF208" i="11"/>
  <c r="AE208" i="11"/>
  <c r="AD208" i="11"/>
  <c r="AH208" i="11" s="1"/>
  <c r="AC208" i="11"/>
  <c r="AC218" i="11"/>
  <c r="AE218" i="11"/>
  <c r="AD218" i="11"/>
  <c r="AH218" i="11" s="1"/>
  <c r="AF218" i="11"/>
  <c r="AF136" i="11"/>
  <c r="AE136" i="11"/>
  <c r="AD136" i="11"/>
  <c r="AH136" i="11" s="1"/>
  <c r="AC136" i="11"/>
  <c r="AF777" i="11"/>
  <c r="AE777" i="11"/>
  <c r="AD777" i="11"/>
  <c r="AH777" i="11" s="1"/>
  <c r="AC777" i="11"/>
  <c r="AD735" i="11"/>
  <c r="AH735" i="11" s="1"/>
  <c r="AC735" i="11"/>
  <c r="AE735" i="11"/>
  <c r="AF735" i="11"/>
  <c r="AE384" i="11"/>
  <c r="AD384" i="11"/>
  <c r="AH384" i="11" s="1"/>
  <c r="AC384" i="11"/>
  <c r="AF384" i="11"/>
  <c r="AE103" i="11"/>
  <c r="AD103" i="11"/>
  <c r="AH103" i="11" s="1"/>
  <c r="AC103" i="11"/>
  <c r="AF103" i="11"/>
  <c r="AD443" i="11"/>
  <c r="AH443" i="11" s="1"/>
  <c r="AC443" i="11"/>
  <c r="AF443" i="11"/>
  <c r="AE443" i="11"/>
  <c r="AC722" i="11"/>
  <c r="AF722" i="11"/>
  <c r="AE722" i="11"/>
  <c r="AD722" i="11"/>
  <c r="AH722" i="11" s="1"/>
  <c r="AE538" i="11"/>
  <c r="AD538" i="11"/>
  <c r="AH538" i="11" s="1"/>
  <c r="AC538" i="11"/>
  <c r="AF538" i="11"/>
  <c r="AE328" i="11"/>
  <c r="AD328" i="11"/>
  <c r="AH328" i="11" s="1"/>
  <c r="AC328" i="11"/>
  <c r="AF328" i="11"/>
  <c r="AF804" i="11"/>
  <c r="AC804" i="11"/>
  <c r="AE804" i="11"/>
  <c r="AD804" i="11"/>
  <c r="AH804" i="11" s="1"/>
  <c r="AF62" i="11"/>
  <c r="AE62" i="11"/>
  <c r="AD62" i="11"/>
  <c r="AH62" i="11" s="1"/>
  <c r="AC62" i="11"/>
  <c r="AC601" i="11"/>
  <c r="AD601" i="11"/>
  <c r="AH601" i="11" s="1"/>
  <c r="AE601" i="11"/>
  <c r="AF601" i="11"/>
  <c r="H4" i="2"/>
  <c r="J8" i="6"/>
  <c r="G4" i="2"/>
  <c r="H5" i="2"/>
  <c r="B6" i="2"/>
  <c r="G5" i="2"/>
  <c r="AD960" i="11"/>
  <c r="AH960" i="11" s="1"/>
  <c r="AF960" i="11"/>
  <c r="AE960" i="11"/>
  <c r="AC960" i="11"/>
  <c r="AD364" i="11"/>
  <c r="AH364" i="11" s="1"/>
  <c r="AF364" i="11"/>
  <c r="AE364" i="11"/>
  <c r="AC364" i="11"/>
  <c r="J4" i="5"/>
  <c r="H6" i="2" s="1"/>
  <c r="AF335" i="11"/>
  <c r="AC335" i="11"/>
  <c r="AD335" i="11"/>
  <c r="AH335" i="11" s="1"/>
  <c r="AE335" i="11"/>
  <c r="AC787" i="11"/>
  <c r="AD787" i="11"/>
  <c r="AH787" i="11" s="1"/>
  <c r="AE787" i="11"/>
  <c r="AF787" i="11"/>
  <c r="AE1011" i="11"/>
  <c r="AC1011" i="11"/>
  <c r="AF1011" i="11"/>
  <c r="AD1011" i="11"/>
  <c r="AH1011" i="11" s="1"/>
  <c r="AD271" i="11"/>
  <c r="AH271" i="11" s="1"/>
  <c r="AC271" i="11"/>
  <c r="AF271" i="11"/>
  <c r="AE271" i="11"/>
  <c r="AC614" i="11"/>
  <c r="AE614" i="11"/>
  <c r="AD614" i="11"/>
  <c r="AH614" i="11" s="1"/>
  <c r="AF614" i="11"/>
  <c r="AF254" i="11"/>
  <c r="AE254" i="11"/>
  <c r="AD254" i="11"/>
  <c r="AH254" i="11" s="1"/>
  <c r="AC254" i="11"/>
  <c r="AF54" i="11"/>
  <c r="AE54" i="11"/>
  <c r="AD54" i="11"/>
  <c r="AH54" i="11" s="1"/>
  <c r="AC54" i="11"/>
  <c r="AE480" i="11"/>
  <c r="AC480" i="11"/>
  <c r="AD480" i="11"/>
  <c r="AH480" i="11" s="1"/>
  <c r="AF480" i="11"/>
  <c r="AC234" i="11"/>
  <c r="AE234" i="11"/>
  <c r="AF234" i="11"/>
  <c r="AD234" i="11"/>
  <c r="AH234" i="11" s="1"/>
  <c r="AC75" i="11"/>
  <c r="AF75" i="11"/>
  <c r="AE75" i="11"/>
  <c r="AD75" i="11"/>
  <c r="AH75" i="11" s="1"/>
  <c r="AF394" i="11"/>
  <c r="AE394" i="11"/>
  <c r="AD394" i="11"/>
  <c r="AH394" i="11" s="1"/>
  <c r="AC394" i="11"/>
  <c r="AC117" i="11"/>
  <c r="AE117" i="11"/>
  <c r="AF117" i="11"/>
  <c r="AD117" i="11"/>
  <c r="AH117" i="11" s="1"/>
  <c r="AE221" i="11"/>
  <c r="AF221" i="11"/>
  <c r="AD221" i="11"/>
  <c r="AH221" i="11" s="1"/>
  <c r="AC221" i="11"/>
  <c r="AF299" i="11"/>
  <c r="AE299" i="11"/>
  <c r="AD299" i="11"/>
  <c r="AH299" i="11" s="1"/>
  <c r="AC299" i="11"/>
  <c r="AF511" i="11"/>
  <c r="AE511" i="11"/>
  <c r="AD511" i="11"/>
  <c r="AH511" i="11" s="1"/>
  <c r="AC511" i="11"/>
  <c r="AF978" i="11"/>
  <c r="AE978" i="11"/>
  <c r="AC978" i="11"/>
  <c r="AD978" i="11"/>
  <c r="AH978" i="11" s="1"/>
  <c r="AC720" i="11"/>
  <c r="AE720" i="11"/>
  <c r="AF720" i="11"/>
  <c r="AD720" i="11"/>
  <c r="AH720" i="11" s="1"/>
  <c r="AD157" i="11"/>
  <c r="AH157" i="11" s="1"/>
  <c r="AF157" i="11"/>
  <c r="AE157" i="11"/>
  <c r="AC157" i="11"/>
  <c r="AF421" i="11"/>
  <c r="AE421" i="11"/>
  <c r="AC421" i="11"/>
  <c r="AD421" i="11"/>
  <c r="AH421" i="11" s="1"/>
  <c r="AF858" i="11"/>
  <c r="AD858" i="11"/>
  <c r="AH858" i="11" s="1"/>
  <c r="AC858" i="11"/>
  <c r="AE858" i="11"/>
  <c r="AE377" i="11"/>
  <c r="AF377" i="11"/>
  <c r="AD377" i="11"/>
  <c r="AH377" i="11" s="1"/>
  <c r="AC377" i="11"/>
  <c r="AD689" i="11"/>
  <c r="AH689" i="11" s="1"/>
  <c r="AF689" i="11"/>
  <c r="AE689" i="11"/>
  <c r="AC689" i="11"/>
  <c r="AC206" i="11"/>
  <c r="AC159" i="11"/>
  <c r="AF159" i="11"/>
  <c r="AD159" i="11"/>
  <c r="AH159" i="11" s="1"/>
  <c r="AE159" i="11"/>
  <c r="AC266" i="11"/>
  <c r="AE266" i="11"/>
  <c r="AF266" i="11"/>
  <c r="AD266" i="11"/>
  <c r="AH266" i="11" s="1"/>
  <c r="AE571" i="11"/>
  <c r="AE205" i="11"/>
  <c r="AF263" i="11"/>
  <c r="AF535" i="11"/>
  <c r="AE535" i="11"/>
  <c r="AD535" i="11"/>
  <c r="AH535" i="11" s="1"/>
  <c r="AC535" i="11"/>
  <c r="AD834" i="11"/>
  <c r="AH834" i="11" s="1"/>
  <c r="AF834" i="11"/>
  <c r="AE834" i="11"/>
  <c r="AC834" i="11"/>
  <c r="AF703" i="11"/>
  <c r="AE703" i="11"/>
  <c r="AD703" i="11"/>
  <c r="AH703" i="11" s="1"/>
  <c r="AC703" i="11"/>
  <c r="AE329" i="11"/>
  <c r="AF329" i="11"/>
  <c r="AD329" i="11"/>
  <c r="AH329" i="11" s="1"/>
  <c r="AC329" i="11"/>
  <c r="AF118" i="11"/>
  <c r="AE118" i="11"/>
  <c r="AD118" i="11"/>
  <c r="AH118" i="11" s="1"/>
  <c r="AC118" i="11"/>
  <c r="AD501" i="11"/>
  <c r="AH501" i="11" s="1"/>
  <c r="AC501" i="11"/>
  <c r="AF501" i="11"/>
  <c r="AE501" i="11"/>
  <c r="AF57" i="11"/>
  <c r="AE57" i="11"/>
  <c r="AD57" i="11"/>
  <c r="AH57" i="11" s="1"/>
  <c r="AC57" i="11"/>
  <c r="AD550" i="11"/>
  <c r="AH550" i="11" s="1"/>
  <c r="AC550" i="11"/>
  <c r="AF550" i="11"/>
  <c r="AE550" i="11"/>
  <c r="AF750" i="11"/>
  <c r="AE750" i="11"/>
  <c r="AD750" i="11"/>
  <c r="AH750" i="11" s="1"/>
  <c r="AC750" i="11"/>
  <c r="AE440" i="11"/>
  <c r="AD440" i="11"/>
  <c r="AH440" i="11" s="1"/>
  <c r="AC440" i="11"/>
  <c r="AF440" i="11"/>
  <c r="AC77" i="11"/>
  <c r="AE77" i="11"/>
  <c r="AD77" i="11"/>
  <c r="AH77" i="11" s="1"/>
  <c r="AF77" i="11"/>
  <c r="AC382" i="11"/>
  <c r="AF382" i="11"/>
  <c r="AD382" i="11"/>
  <c r="AH382" i="11" s="1"/>
  <c r="AE382" i="11"/>
  <c r="AC771" i="11"/>
  <c r="AF771" i="11"/>
  <c r="AE771" i="11"/>
  <c r="AD771" i="11"/>
  <c r="AH771" i="11" s="1"/>
  <c r="AE896" i="11"/>
  <c r="AD896" i="11"/>
  <c r="AH896" i="11" s="1"/>
  <c r="AC896" i="11"/>
  <c r="AF896" i="11"/>
  <c r="AD239" i="11"/>
  <c r="AH239" i="11" s="1"/>
  <c r="AC239" i="11"/>
  <c r="AF239" i="11"/>
  <c r="AE239" i="11"/>
  <c r="AE624" i="11"/>
  <c r="AD624" i="11"/>
  <c r="AH624" i="11" s="1"/>
  <c r="AF624" i="11"/>
  <c r="AC624" i="11"/>
  <c r="AF249" i="11"/>
  <c r="AE249" i="11"/>
  <c r="AD249" i="11"/>
  <c r="AH249" i="11" s="1"/>
  <c r="AC249" i="11"/>
  <c r="AF456" i="11"/>
  <c r="AE456" i="11"/>
  <c r="AD456" i="11"/>
  <c r="AH456" i="11" s="1"/>
  <c r="AC456" i="11"/>
  <c r="AE361" i="11"/>
  <c r="AF361" i="11"/>
  <c r="AD361" i="11"/>
  <c r="AH361" i="11" s="1"/>
  <c r="AC361" i="11"/>
  <c r="AF275" i="11"/>
  <c r="AE275" i="11"/>
  <c r="AD275" i="11"/>
  <c r="AH275" i="11" s="1"/>
  <c r="AC275" i="11"/>
  <c r="AC947" i="11"/>
  <c r="AE947" i="11"/>
  <c r="AD947" i="11"/>
  <c r="AH947" i="11" s="1"/>
  <c r="AF947" i="11"/>
  <c r="AF679" i="11"/>
  <c r="AD679" i="11"/>
  <c r="AH679" i="11" s="1"/>
  <c r="AE679" i="11"/>
  <c r="AC679" i="11"/>
  <c r="AE162" i="11"/>
  <c r="AF162" i="11"/>
  <c r="AD162" i="11"/>
  <c r="AH162" i="11" s="1"/>
  <c r="AC162" i="11"/>
  <c r="AF429" i="11"/>
  <c r="AE429" i="11"/>
  <c r="AD429" i="11"/>
  <c r="AH429" i="11" s="1"/>
  <c r="AC429" i="11"/>
  <c r="AE236" i="11"/>
  <c r="AD236" i="11"/>
  <c r="AH236" i="11" s="1"/>
  <c r="AC236" i="11"/>
  <c r="AF236" i="11"/>
  <c r="AF407" i="11"/>
  <c r="AC407" i="11"/>
  <c r="AE407" i="11"/>
  <c r="AD407" i="11"/>
  <c r="AH407" i="11" s="1"/>
  <c r="AC702" i="11"/>
  <c r="AE702" i="11"/>
  <c r="AF702" i="11"/>
  <c r="AD702" i="11"/>
  <c r="AH702" i="11" s="1"/>
  <c r="AE732" i="11"/>
  <c r="AD732" i="11"/>
  <c r="AH732" i="11" s="1"/>
  <c r="AC732" i="11"/>
  <c r="AF732" i="11"/>
  <c r="AC970" i="11"/>
  <c r="AF970" i="11"/>
  <c r="AE970" i="11"/>
  <c r="AD970" i="11"/>
  <c r="AH970" i="11" s="1"/>
  <c r="AE829" i="11"/>
  <c r="AF829" i="11"/>
  <c r="AD829" i="11"/>
  <c r="AH829" i="11" s="1"/>
  <c r="AC829" i="11"/>
  <c r="AD574" i="11"/>
  <c r="AH574" i="11" s="1"/>
  <c r="AC574" i="11"/>
  <c r="AF574" i="11"/>
  <c r="AE574" i="11"/>
  <c r="AD285" i="11"/>
  <c r="AH285" i="11" s="1"/>
  <c r="AF285" i="11"/>
  <c r="AE285" i="11"/>
  <c r="AC285" i="11"/>
  <c r="AD491" i="11"/>
  <c r="AH491" i="11" s="1"/>
  <c r="AF491" i="11"/>
  <c r="AE491" i="11"/>
  <c r="AC491" i="11"/>
  <c r="AF213" i="11"/>
  <c r="AE213" i="11"/>
  <c r="AD213" i="11"/>
  <c r="AH213" i="11" s="1"/>
  <c r="AC213" i="11"/>
  <c r="AF319" i="11"/>
  <c r="AC319" i="11"/>
  <c r="AD319" i="11"/>
  <c r="AH319" i="11" s="1"/>
  <c r="AE319" i="11"/>
  <c r="AF270" i="11"/>
  <c r="AE270" i="11"/>
  <c r="AD270" i="11"/>
  <c r="AH270" i="11" s="1"/>
  <c r="AC270" i="11"/>
  <c r="AD784" i="11"/>
  <c r="AH784" i="11" s="1"/>
  <c r="AD114" i="11"/>
  <c r="AH114" i="11" s="1"/>
  <c r="AC114" i="11"/>
  <c r="AF114" i="11"/>
  <c r="AE114" i="11"/>
  <c r="AF397" i="11"/>
  <c r="AE397" i="11"/>
  <c r="AD397" i="11"/>
  <c r="AH397" i="11" s="1"/>
  <c r="AC397" i="11"/>
  <c r="AF895" i="11"/>
  <c r="AF551" i="11"/>
  <c r="AE551" i="11"/>
  <c r="AD551" i="11"/>
  <c r="AH551" i="11" s="1"/>
  <c r="AC551" i="11"/>
  <c r="AC654" i="11"/>
  <c r="AE654" i="11"/>
  <c r="AF654" i="11"/>
  <c r="AD654" i="11"/>
  <c r="AH654" i="11" s="1"/>
  <c r="AD323" i="11"/>
  <c r="AH323" i="11" s="1"/>
  <c r="AC323" i="11"/>
  <c r="AE323" i="11"/>
  <c r="AF323" i="11"/>
  <c r="AF128" i="11"/>
  <c r="AC128" i="11"/>
  <c r="AE128" i="11"/>
  <c r="AD128" i="11"/>
  <c r="AH128" i="11" s="1"/>
  <c r="AE613" i="11"/>
  <c r="AD286" i="11"/>
  <c r="AH286" i="11" s="1"/>
  <c r="AF617" i="11"/>
  <c r="AE617" i="11"/>
  <c r="AD617" i="11"/>
  <c r="AH617" i="11" s="1"/>
  <c r="AC617" i="11"/>
  <c r="AF734" i="11"/>
  <c r="AE734" i="11"/>
  <c r="AD734" i="11"/>
  <c r="AH734" i="11" s="1"/>
  <c r="AC734" i="11"/>
  <c r="AE976" i="11"/>
  <c r="AD976" i="11"/>
  <c r="AH976" i="11" s="1"/>
  <c r="AF976" i="11"/>
  <c r="AC976" i="11"/>
  <c r="AE997" i="11"/>
  <c r="AD997" i="11"/>
  <c r="AH997" i="11" s="1"/>
  <c r="AC997" i="11"/>
  <c r="AF997" i="11"/>
  <c r="AD1014" i="11"/>
  <c r="AH1014" i="11" s="1"/>
  <c r="AC1014" i="11"/>
  <c r="AE1014" i="11"/>
  <c r="AF1014" i="11"/>
  <c r="AF753" i="11"/>
  <c r="AE753" i="11"/>
  <c r="AD753" i="11"/>
  <c r="AH753" i="11" s="1"/>
  <c r="AC753" i="11"/>
  <c r="AF623" i="11"/>
  <c r="AE623" i="11"/>
  <c r="AD623" i="11"/>
  <c r="AH623" i="11" s="1"/>
  <c r="AC623" i="11"/>
  <c r="AF540" i="11"/>
  <c r="AE540" i="11"/>
  <c r="AD540" i="11"/>
  <c r="AH540" i="11" s="1"/>
  <c r="AC540" i="11"/>
  <c r="AD470" i="11"/>
  <c r="AH470" i="11" s="1"/>
  <c r="AC470" i="11"/>
  <c r="AF470" i="11"/>
  <c r="AE470" i="11"/>
  <c r="AC638" i="11"/>
  <c r="AE638" i="11"/>
  <c r="AF638" i="11"/>
  <c r="AD638" i="11"/>
  <c r="AH638" i="11" s="1"/>
  <c r="AE87" i="11"/>
  <c r="AD87" i="11"/>
  <c r="AH87" i="11" s="1"/>
  <c r="AC87" i="11"/>
  <c r="AF87" i="11"/>
  <c r="AC862" i="11"/>
  <c r="AE862" i="11"/>
  <c r="AD862" i="11"/>
  <c r="AH862" i="11" s="1"/>
  <c r="AF862" i="11"/>
  <c r="AF981" i="11"/>
  <c r="AE981" i="11"/>
  <c r="AD981" i="11"/>
  <c r="AH981" i="11" s="1"/>
  <c r="AC981" i="11"/>
  <c r="AF980" i="11"/>
  <c r="AE980" i="11"/>
  <c r="AD980" i="11"/>
  <c r="AH980" i="11" s="1"/>
  <c r="AC980" i="11"/>
  <c r="AD871" i="11"/>
  <c r="AH871" i="11" s="1"/>
  <c r="AC871" i="11"/>
  <c r="AE871" i="11"/>
  <c r="AF871" i="11"/>
  <c r="AF179" i="11"/>
  <c r="AE179" i="11"/>
  <c r="AD179" i="11"/>
  <c r="AH179" i="11" s="1"/>
  <c r="AC179" i="11"/>
  <c r="AC175" i="11"/>
  <c r="AF175" i="11"/>
  <c r="AD175" i="11"/>
  <c r="AH175" i="11" s="1"/>
  <c r="AE175" i="11"/>
  <c r="AF583" i="11"/>
  <c r="AE583" i="11"/>
  <c r="AD583" i="11"/>
  <c r="AH583" i="11" s="1"/>
  <c r="AC583" i="11"/>
  <c r="AF529" i="11"/>
  <c r="AC529" i="11"/>
  <c r="AE529" i="11"/>
  <c r="AD529" i="11"/>
  <c r="AH529" i="11" s="1"/>
  <c r="AE53" i="11"/>
  <c r="AE460" i="11"/>
  <c r="AC925" i="11"/>
  <c r="AC606" i="11"/>
  <c r="AE401" i="11"/>
  <c r="AF401" i="11"/>
  <c r="AD401" i="11"/>
  <c r="AH401" i="11" s="1"/>
  <c r="AC401" i="11"/>
  <c r="AC220" i="11"/>
  <c r="AD455" i="11"/>
  <c r="AH455" i="11" s="1"/>
  <c r="AF717" i="11"/>
  <c r="AC508" i="11"/>
  <c r="AF29" i="11"/>
  <c r="AF41" i="11"/>
  <c r="AE41" i="11"/>
  <c r="AD41" i="11"/>
  <c r="AH41" i="11" s="1"/>
  <c r="AC41" i="11"/>
  <c r="AF916" i="11"/>
  <c r="AE916" i="11"/>
  <c r="AD916" i="11"/>
  <c r="AH916" i="11" s="1"/>
  <c r="AC916" i="11"/>
  <c r="AF359" i="11"/>
  <c r="AC359" i="11"/>
  <c r="AD359" i="11"/>
  <c r="AH359" i="11" s="1"/>
  <c r="AE359" i="11"/>
  <c r="AD507" i="11"/>
  <c r="AH507" i="11" s="1"/>
  <c r="AF507" i="11"/>
  <c r="AE507" i="11"/>
  <c r="AC507" i="11"/>
  <c r="AE789" i="11"/>
  <c r="AD789" i="11"/>
  <c r="AH789" i="11" s="1"/>
  <c r="AC789" i="11"/>
  <c r="AF789" i="11"/>
  <c r="AF661" i="11"/>
  <c r="AE661" i="11"/>
  <c r="AD661" i="11"/>
  <c r="AH661" i="11" s="1"/>
  <c r="AC661" i="11"/>
  <c r="AC987" i="11"/>
  <c r="AF987" i="11"/>
  <c r="AE987" i="11"/>
  <c r="AD987" i="11"/>
  <c r="AH987" i="11" s="1"/>
  <c r="AD835" i="11"/>
  <c r="AH835" i="11" s="1"/>
  <c r="AC835" i="11"/>
  <c r="AF835" i="11"/>
  <c r="AE835" i="11"/>
  <c r="AE459" i="11"/>
  <c r="AD459" i="11"/>
  <c r="AH459" i="11" s="1"/>
  <c r="AC459" i="11"/>
  <c r="AF459" i="11"/>
  <c r="AF434" i="11"/>
  <c r="AE434" i="11"/>
  <c r="AC434" i="11"/>
  <c r="AD434" i="11"/>
  <c r="AH434" i="11" s="1"/>
  <c r="AD279" i="11"/>
  <c r="AH279" i="11" s="1"/>
  <c r="AC279" i="11"/>
  <c r="AF279" i="11"/>
  <c r="AE279" i="11"/>
  <c r="AC477" i="11"/>
  <c r="AF477" i="11"/>
  <c r="AE477" i="11"/>
  <c r="AD477" i="11"/>
  <c r="AH477" i="11" s="1"/>
  <c r="AD229" i="11"/>
  <c r="AH229" i="11" s="1"/>
  <c r="AF229" i="11"/>
  <c r="AE229" i="11"/>
  <c r="AC229" i="11"/>
  <c r="AF168" i="11"/>
  <c r="AC168" i="11"/>
  <c r="AE168" i="11"/>
  <c r="AD168" i="11"/>
  <c r="AH168" i="11" s="1"/>
  <c r="AD255" i="11"/>
  <c r="AH255" i="11" s="1"/>
  <c r="AC255" i="11"/>
  <c r="AF255" i="11"/>
  <c r="AE255" i="11"/>
  <c r="AC274" i="11"/>
  <c r="AE274" i="11"/>
  <c r="AF274" i="11"/>
  <c r="AD274" i="11"/>
  <c r="AH274" i="11" s="1"/>
  <c r="AE412" i="11"/>
  <c r="AF412" i="11"/>
  <c r="AD412" i="11"/>
  <c r="AH412" i="11" s="1"/>
  <c r="AC412" i="11"/>
  <c r="AD681" i="11"/>
  <c r="AH681" i="11" s="1"/>
  <c r="AF681" i="11"/>
  <c r="AE681" i="11"/>
  <c r="AC681" i="11"/>
  <c r="AF524" i="11"/>
  <c r="AE524" i="11"/>
  <c r="AD524" i="11"/>
  <c r="AH524" i="11" s="1"/>
  <c r="AC524" i="11"/>
  <c r="AC692" i="11"/>
  <c r="AF692" i="11"/>
  <c r="AE692" i="11"/>
  <c r="AD692" i="11"/>
  <c r="AH692" i="11" s="1"/>
  <c r="AF572" i="11"/>
  <c r="AE572" i="11"/>
  <c r="AD572" i="11"/>
  <c r="AH572" i="11" s="1"/>
  <c r="AC572" i="11"/>
  <c r="AD164" i="11"/>
  <c r="AH164" i="11" s="1"/>
  <c r="AC164" i="11"/>
  <c r="AF164" i="11"/>
  <c r="AE164" i="11"/>
  <c r="AD474" i="11"/>
  <c r="AH474" i="11" s="1"/>
  <c r="AC474" i="11"/>
  <c r="AF474" i="11"/>
  <c r="AE474" i="11"/>
  <c r="AF1007" i="11"/>
  <c r="AE1007" i="11"/>
  <c r="AD1007" i="11"/>
  <c r="AH1007" i="11" s="1"/>
  <c r="AC1007" i="11"/>
  <c r="AE286" i="11"/>
  <c r="AC85" i="11"/>
  <c r="AE85" i="11"/>
  <c r="AF85" i="11"/>
  <c r="AD85" i="11"/>
  <c r="AH85" i="11" s="1"/>
  <c r="AC795" i="11"/>
  <c r="AD795" i="11"/>
  <c r="AH795" i="11" s="1"/>
  <c r="AE795" i="11"/>
  <c r="AF795" i="11"/>
  <c r="AC504" i="11"/>
  <c r="AE504" i="11"/>
  <c r="AF504" i="11"/>
  <c r="AD504" i="11"/>
  <c r="AH504" i="11" s="1"/>
  <c r="AC678" i="11"/>
  <c r="AE678" i="11"/>
  <c r="AF678" i="11"/>
  <c r="AD678" i="11"/>
  <c r="AH678" i="11" s="1"/>
  <c r="AC990" i="11"/>
  <c r="AE990" i="11"/>
  <c r="AD990" i="11"/>
  <c r="AH990" i="11" s="1"/>
  <c r="AF990" i="11"/>
  <c r="AF709" i="11"/>
  <c r="AE709" i="11"/>
  <c r="AD709" i="11"/>
  <c r="AH709" i="11" s="1"/>
  <c r="AC709" i="11"/>
  <c r="AE212" i="11"/>
  <c r="AD212" i="11"/>
  <c r="AH212" i="11" s="1"/>
  <c r="AC212" i="11"/>
  <c r="AF212" i="11"/>
  <c r="AD435" i="11"/>
  <c r="AH435" i="11" s="1"/>
  <c r="AC435" i="11"/>
  <c r="AF435" i="11"/>
  <c r="AE435" i="11"/>
  <c r="AE276" i="11"/>
  <c r="AD276" i="11"/>
  <c r="AH276" i="11" s="1"/>
  <c r="AC276" i="11"/>
  <c r="AF276" i="11"/>
  <c r="AC603" i="11"/>
  <c r="AE603" i="11"/>
  <c r="AF603" i="11"/>
  <c r="AD603" i="11"/>
  <c r="AH603" i="11" s="1"/>
  <c r="AC469" i="11"/>
  <c r="AF469" i="11"/>
  <c r="AE469" i="11"/>
  <c r="AD469" i="11"/>
  <c r="AH469" i="11" s="1"/>
  <c r="AF943" i="11"/>
  <c r="AE943" i="11"/>
  <c r="AD943" i="11"/>
  <c r="AH943" i="11" s="1"/>
  <c r="AC943" i="11"/>
  <c r="AC907" i="11"/>
  <c r="AF907" i="11"/>
  <c r="AE907" i="11"/>
  <c r="AD907" i="11"/>
  <c r="AH907" i="11" s="1"/>
  <c r="AF898" i="11"/>
  <c r="AD898" i="11"/>
  <c r="AH898" i="11" s="1"/>
  <c r="AE898" i="11"/>
  <c r="AC898" i="11"/>
  <c r="AC644" i="11"/>
  <c r="AF644" i="11"/>
  <c r="AE644" i="11"/>
  <c r="AD644" i="11"/>
  <c r="AH644" i="11" s="1"/>
  <c r="AD339" i="11"/>
  <c r="AH339" i="11" s="1"/>
  <c r="AC339" i="11"/>
  <c r="AE339" i="11"/>
  <c r="AF339" i="11"/>
  <c r="AD207" i="11"/>
  <c r="AH207" i="11" s="1"/>
  <c r="AC207" i="11"/>
  <c r="AE207" i="11"/>
  <c r="AF207" i="11"/>
  <c r="AE752" i="11"/>
  <c r="AD752" i="11"/>
  <c r="AH752" i="11" s="1"/>
  <c r="AC752" i="11"/>
  <c r="AF752" i="11"/>
  <c r="AF815" i="11"/>
  <c r="AE815" i="11"/>
  <c r="AC815" i="11"/>
  <c r="AD815" i="11"/>
  <c r="AH815" i="11" s="1"/>
  <c r="AF637" i="11"/>
  <c r="AE637" i="11"/>
  <c r="AD637" i="11"/>
  <c r="AH637" i="11" s="1"/>
  <c r="AC637" i="11"/>
  <c r="AD380" i="11"/>
  <c r="AH380" i="11" s="1"/>
  <c r="AE380" i="11"/>
  <c r="AC380" i="11"/>
  <c r="AF380" i="11"/>
  <c r="AC37" i="11"/>
  <c r="AE37" i="11"/>
  <c r="AF37" i="11"/>
  <c r="AD37" i="11"/>
  <c r="AH37" i="11" s="1"/>
  <c r="AF575" i="11"/>
  <c r="AE575" i="11"/>
  <c r="AD575" i="11"/>
  <c r="AH575" i="11" s="1"/>
  <c r="AC575" i="11"/>
  <c r="AF543" i="11"/>
  <c r="AE543" i="11"/>
  <c r="AD543" i="11"/>
  <c r="AH543" i="11" s="1"/>
  <c r="AC543" i="11"/>
  <c r="AF975" i="11"/>
  <c r="AE975" i="11"/>
  <c r="AD975" i="11"/>
  <c r="AH975" i="11" s="1"/>
  <c r="AC975" i="11"/>
  <c r="AF273" i="11"/>
  <c r="AE273" i="11"/>
  <c r="AD273" i="11"/>
  <c r="AH273" i="11" s="1"/>
  <c r="AC273" i="11"/>
  <c r="AC53" i="11"/>
  <c r="AF460" i="11"/>
  <c r="AF925" i="11"/>
  <c r="AE606" i="11"/>
  <c r="AF220" i="11"/>
  <c r="AE455" i="11"/>
  <c r="AC717" i="11"/>
  <c r="AD508" i="11"/>
  <c r="AH508" i="11" s="1"/>
  <c r="AD29" i="11"/>
  <c r="AH29" i="11" s="1"/>
  <c r="AF495" i="11"/>
  <c r="AE495" i="11"/>
  <c r="AD495" i="11"/>
  <c r="AH495" i="11" s="1"/>
  <c r="AC495" i="11"/>
  <c r="AF65" i="11"/>
  <c r="AE65" i="11"/>
  <c r="AD65" i="11"/>
  <c r="AH65" i="11" s="1"/>
  <c r="AC65" i="11"/>
  <c r="AF745" i="11"/>
  <c r="AE745" i="11"/>
  <c r="AD745" i="11"/>
  <c r="AH745" i="11" s="1"/>
  <c r="AC745" i="11"/>
  <c r="AC700" i="11"/>
  <c r="AF700" i="11"/>
  <c r="AE700" i="11"/>
  <c r="AD700" i="11"/>
  <c r="AH700" i="11" s="1"/>
  <c r="AD134" i="11"/>
  <c r="AH134" i="11" s="1"/>
  <c r="AF134" i="11"/>
  <c r="AE134" i="11"/>
  <c r="AC134" i="11"/>
  <c r="AF639" i="11"/>
  <c r="AD639" i="11"/>
  <c r="AH639" i="11" s="1"/>
  <c r="AE639" i="11"/>
  <c r="AC639" i="11"/>
  <c r="AD576" i="11"/>
  <c r="AH576" i="11" s="1"/>
  <c r="AC576" i="11"/>
  <c r="AF576" i="11"/>
  <c r="AE576" i="11"/>
  <c r="AE169" i="11"/>
  <c r="AD169" i="11"/>
  <c r="AH169" i="11" s="1"/>
  <c r="AC169" i="11"/>
  <c r="AF169" i="11"/>
  <c r="AD172" i="11"/>
  <c r="AH172" i="11" s="1"/>
  <c r="AC172" i="11"/>
  <c r="AF172" i="11"/>
  <c r="AE172" i="11"/>
  <c r="AD643" i="11"/>
  <c r="AH643" i="11" s="1"/>
  <c r="AC643" i="11"/>
  <c r="AF643" i="11"/>
  <c r="AE643" i="11"/>
  <c r="AD920" i="11"/>
  <c r="AH920" i="11" s="1"/>
  <c r="AC920" i="11"/>
  <c r="AF920" i="11"/>
  <c r="AE920" i="11"/>
  <c r="AD450" i="11"/>
  <c r="AH450" i="11" s="1"/>
  <c r="AF450" i="11"/>
  <c r="AE450" i="11"/>
  <c r="AC450" i="11"/>
  <c r="AF184" i="11"/>
  <c r="AC184" i="11"/>
  <c r="AE184" i="11"/>
  <c r="AD184" i="11"/>
  <c r="AH184" i="11" s="1"/>
  <c r="AC555" i="11"/>
  <c r="AE555" i="11"/>
  <c r="AD555" i="11"/>
  <c r="AH555" i="11" s="1"/>
  <c r="AF555" i="11"/>
  <c r="AD295" i="11"/>
  <c r="AH295" i="11" s="1"/>
  <c r="AC295" i="11"/>
  <c r="AF295" i="11"/>
  <c r="AE295" i="11"/>
  <c r="AC763" i="11"/>
  <c r="AF763" i="11"/>
  <c r="AE763" i="11"/>
  <c r="AD763" i="11"/>
  <c r="AH763" i="11" s="1"/>
  <c r="AF556" i="11"/>
  <c r="AC556" i="11"/>
  <c r="AE556" i="11"/>
  <c r="AD556" i="11"/>
  <c r="AH556" i="11" s="1"/>
  <c r="AE139" i="11"/>
  <c r="AF139" i="11"/>
  <c r="AD139" i="11"/>
  <c r="AH139" i="11" s="1"/>
  <c r="AC139" i="11"/>
  <c r="AD719" i="11"/>
  <c r="AH719" i="11" s="1"/>
  <c r="AC719" i="11"/>
  <c r="AF719" i="11"/>
  <c r="AE719" i="11"/>
  <c r="AE433" i="11"/>
  <c r="AD433" i="11"/>
  <c r="AH433" i="11" s="1"/>
  <c r="AC433" i="11"/>
  <c r="AF433" i="11"/>
  <c r="AC544" i="11"/>
  <c r="AE544" i="11"/>
  <c r="AD544" i="11"/>
  <c r="AH544" i="11" s="1"/>
  <c r="AF544" i="11"/>
  <c r="AF354" i="11"/>
  <c r="AE354" i="11"/>
  <c r="AD354" i="11"/>
  <c r="AH354" i="11" s="1"/>
  <c r="AC354" i="11"/>
  <c r="AF755" i="11"/>
  <c r="AE755" i="11"/>
  <c r="AD755" i="11"/>
  <c r="AH755" i="11" s="1"/>
  <c r="AC755" i="11"/>
  <c r="AD751" i="11"/>
  <c r="AH751" i="11" s="1"/>
  <c r="AC751" i="11"/>
  <c r="AE751" i="11"/>
  <c r="AF751" i="11"/>
  <c r="AE360" i="11"/>
  <c r="AD360" i="11"/>
  <c r="AH360" i="11" s="1"/>
  <c r="AC360" i="11"/>
  <c r="AF360" i="11"/>
  <c r="AD419" i="11"/>
  <c r="AH419" i="11" s="1"/>
  <c r="AC419" i="11"/>
  <c r="AF419" i="11"/>
  <c r="AE419" i="11"/>
  <c r="AD324" i="11"/>
  <c r="AH324" i="11" s="1"/>
  <c r="AE324" i="11"/>
  <c r="AC324" i="11"/>
  <c r="AF324" i="11"/>
  <c r="AF558" i="11"/>
  <c r="AC558" i="11"/>
  <c r="AE558" i="11"/>
  <c r="AD558" i="11"/>
  <c r="AH558" i="11" s="1"/>
  <c r="AE392" i="11"/>
  <c r="AD392" i="11"/>
  <c r="AH392" i="11" s="1"/>
  <c r="AC392" i="11"/>
  <c r="AF392" i="11"/>
  <c r="AE111" i="11"/>
  <c r="AD111" i="11"/>
  <c r="AH111" i="11" s="1"/>
  <c r="AC111" i="11"/>
  <c r="AF111" i="11"/>
  <c r="AF615" i="11"/>
  <c r="AD615" i="11"/>
  <c r="AH615" i="11" s="1"/>
  <c r="AC615" i="11"/>
  <c r="AE615" i="11"/>
  <c r="AE514" i="11"/>
  <c r="AD514" i="11"/>
  <c r="AH514" i="11" s="1"/>
  <c r="AC514" i="11"/>
  <c r="AF514" i="11"/>
  <c r="AC449" i="11"/>
  <c r="AF449" i="11"/>
  <c r="AE449" i="11"/>
  <c r="AD449" i="11"/>
  <c r="AH449" i="11" s="1"/>
  <c r="AE320" i="11"/>
  <c r="AD320" i="11"/>
  <c r="AH320" i="11" s="1"/>
  <c r="AC320" i="11"/>
  <c r="AF320" i="11"/>
  <c r="AD104" i="11"/>
  <c r="AH104" i="11" s="1"/>
  <c r="AF104" i="11"/>
  <c r="AE104" i="11"/>
  <c r="AC104" i="11"/>
  <c r="AD509" i="11"/>
  <c r="AH509" i="11" s="1"/>
  <c r="AC509" i="11"/>
  <c r="AF509" i="11"/>
  <c r="AE509" i="11"/>
  <c r="AE825" i="11"/>
  <c r="AD825" i="11"/>
  <c r="AH825" i="11" s="1"/>
  <c r="AC825" i="11"/>
  <c r="AF825" i="11"/>
  <c r="AF723" i="11"/>
  <c r="AE723" i="11"/>
  <c r="AD723" i="11"/>
  <c r="AH723" i="11" s="1"/>
  <c r="AC723" i="11"/>
  <c r="AF893" i="11"/>
  <c r="AE893" i="11"/>
  <c r="AD893" i="11"/>
  <c r="AH893" i="11" s="1"/>
  <c r="AC893" i="11"/>
  <c r="AC819" i="11"/>
  <c r="AF819" i="11"/>
  <c r="AD819" i="11"/>
  <c r="AH819" i="11" s="1"/>
  <c r="AE819" i="11"/>
  <c r="AC955" i="11"/>
  <c r="AF955" i="11"/>
  <c r="AE955" i="11"/>
  <c r="AD955" i="11"/>
  <c r="AH955" i="11" s="1"/>
  <c r="AE664" i="11"/>
  <c r="AD664" i="11"/>
  <c r="AH664" i="11" s="1"/>
  <c r="AC664" i="11"/>
  <c r="AF664" i="11"/>
  <c r="AC280" i="11"/>
  <c r="AE280" i="11"/>
  <c r="AD280" i="11"/>
  <c r="AH280" i="11" s="1"/>
  <c r="AF280" i="11"/>
  <c r="AF152" i="11"/>
  <c r="AC152" i="11"/>
  <c r="AE152" i="11"/>
  <c r="AD152" i="11"/>
  <c r="AH152" i="11" s="1"/>
  <c r="AE55" i="11"/>
  <c r="AD55" i="11"/>
  <c r="AH55" i="11" s="1"/>
  <c r="AC55" i="11"/>
  <c r="AF55" i="11"/>
  <c r="AD523" i="11"/>
  <c r="AH523" i="11" s="1"/>
  <c r="AF523" i="11"/>
  <c r="AE523" i="11"/>
  <c r="AC523" i="11"/>
  <c r="AE300" i="11"/>
  <c r="AD300" i="11"/>
  <c r="AH300" i="11" s="1"/>
  <c r="AC300" i="11"/>
  <c r="AF300" i="11"/>
  <c r="AC652" i="11"/>
  <c r="AF652" i="11"/>
  <c r="AE652" i="11"/>
  <c r="AD652" i="11"/>
  <c r="AH652" i="11" s="1"/>
  <c r="AD231" i="11"/>
  <c r="AH231" i="11" s="1"/>
  <c r="AC231" i="11"/>
  <c r="AF231" i="11"/>
  <c r="AE231" i="11"/>
  <c r="AD247" i="11"/>
  <c r="AH247" i="11" s="1"/>
  <c r="AC247" i="11"/>
  <c r="AF247" i="11"/>
  <c r="AE247" i="11"/>
  <c r="AF52" i="11"/>
  <c r="AE52" i="11"/>
  <c r="AD52" i="11"/>
  <c r="AH52" i="11" s="1"/>
  <c r="AC52" i="11"/>
  <c r="AF830" i="11"/>
  <c r="AE830" i="11"/>
  <c r="AD830" i="11"/>
  <c r="AH830" i="11" s="1"/>
  <c r="AC830" i="11"/>
  <c r="AE393" i="11"/>
  <c r="AF393" i="11"/>
  <c r="AD393" i="11"/>
  <c r="AH393" i="11" s="1"/>
  <c r="AC393" i="11"/>
  <c r="AF554" i="11"/>
  <c r="AE554" i="11"/>
  <c r="AD554" i="11"/>
  <c r="AH554" i="11" s="1"/>
  <c r="AC554" i="11"/>
  <c r="AC646" i="11"/>
  <c r="AE646" i="11"/>
  <c r="AF646" i="11"/>
  <c r="AD646" i="11"/>
  <c r="AH646" i="11" s="1"/>
  <c r="AF383" i="11"/>
  <c r="AC383" i="11"/>
  <c r="AE383" i="11"/>
  <c r="AD383" i="11"/>
  <c r="AH383" i="11" s="1"/>
  <c r="AD1006" i="11"/>
  <c r="AH1006" i="11" s="1"/>
  <c r="AE1006" i="11"/>
  <c r="AF1006" i="11"/>
  <c r="AC1006" i="11"/>
  <c r="AC571" i="11"/>
  <c r="AF516" i="11"/>
  <c r="AE516" i="11"/>
  <c r="AD516" i="11"/>
  <c r="AH516" i="11" s="1"/>
  <c r="AC516" i="11"/>
  <c r="AF500" i="11"/>
  <c r="AE500" i="11"/>
  <c r="AD500" i="11"/>
  <c r="AH500" i="11" s="1"/>
  <c r="AC500" i="11"/>
  <c r="AC940" i="11"/>
  <c r="AF940" i="11"/>
  <c r="AE940" i="11"/>
  <c r="AD940" i="11"/>
  <c r="AH940" i="11" s="1"/>
  <c r="AF685" i="11"/>
  <c r="AE685" i="11"/>
  <c r="AD685" i="11"/>
  <c r="AH685" i="11" s="1"/>
  <c r="AC685" i="11"/>
  <c r="AF594" i="11"/>
  <c r="AE594" i="11"/>
  <c r="AD594" i="11"/>
  <c r="AH594" i="11" s="1"/>
  <c r="AC594" i="11"/>
  <c r="AF671" i="11"/>
  <c r="AD671" i="11"/>
  <c r="AH671" i="11" s="1"/>
  <c r="AE671" i="11"/>
  <c r="AC671" i="11"/>
  <c r="AD444" i="11"/>
  <c r="AH444" i="11" s="1"/>
  <c r="AF444" i="11"/>
  <c r="AE444" i="11"/>
  <c r="AC444" i="11"/>
  <c r="AC502" i="11"/>
  <c r="AF502" i="11"/>
  <c r="AD502" i="11"/>
  <c r="AH502" i="11" s="1"/>
  <c r="AE502" i="11"/>
  <c r="AD541" i="11"/>
  <c r="AH541" i="11" s="1"/>
  <c r="AC541" i="11"/>
  <c r="AF541" i="11"/>
  <c r="AE541" i="11"/>
  <c r="AC272" i="11"/>
  <c r="AE272" i="11"/>
  <c r="AD272" i="11"/>
  <c r="AH272" i="11" s="1"/>
  <c r="AF272" i="11"/>
  <c r="AC35" i="11"/>
  <c r="AF35" i="11"/>
  <c r="AE35" i="11"/>
  <c r="AD35" i="11"/>
  <c r="AH35" i="11" s="1"/>
  <c r="AF378" i="11"/>
  <c r="AE378" i="11"/>
  <c r="AD378" i="11"/>
  <c r="AH378" i="11" s="1"/>
  <c r="AC378" i="11"/>
  <c r="AF25" i="11"/>
  <c r="AE25" i="11"/>
  <c r="AD25" i="11"/>
  <c r="AH25" i="11" s="1"/>
  <c r="AC25" i="11"/>
  <c r="AE959" i="11"/>
  <c r="AD959" i="11"/>
  <c r="AH959" i="11" s="1"/>
  <c r="AF959" i="11"/>
  <c r="AC959" i="11"/>
  <c r="AD447" i="11"/>
  <c r="AH447" i="11" s="1"/>
  <c r="AC447" i="11"/>
  <c r="AE447" i="11"/>
  <c r="AF447" i="11"/>
  <c r="AC350" i="11"/>
  <c r="AF350" i="11"/>
  <c r="AD350" i="11"/>
  <c r="AH350" i="11" s="1"/>
  <c r="AE350" i="11"/>
  <c r="AE123" i="11"/>
  <c r="AF123" i="11"/>
  <c r="AD123" i="11"/>
  <c r="AH123" i="11" s="1"/>
  <c r="AC123" i="11"/>
  <c r="AC528" i="11"/>
  <c r="AE528" i="11"/>
  <c r="AF528" i="11"/>
  <c r="AD528" i="11"/>
  <c r="AH528" i="11" s="1"/>
  <c r="AE479" i="11"/>
  <c r="AD479" i="11"/>
  <c r="AH479" i="11" s="1"/>
  <c r="AF479" i="11"/>
  <c r="AC479" i="11"/>
  <c r="AF182" i="11"/>
  <c r="AE182" i="11"/>
  <c r="AD182" i="11"/>
  <c r="AH182" i="11" s="1"/>
  <c r="AC182" i="11"/>
  <c r="AF133" i="11"/>
  <c r="AD133" i="11"/>
  <c r="AH133" i="11" s="1"/>
  <c r="AE133" i="11"/>
  <c r="AC133" i="11"/>
  <c r="AD301" i="11"/>
  <c r="AH301" i="11" s="1"/>
  <c r="AF301" i="11"/>
  <c r="AE301" i="11"/>
  <c r="AC301" i="11"/>
  <c r="AF113" i="11"/>
  <c r="AE113" i="11"/>
  <c r="AD113" i="11"/>
  <c r="AH113" i="11" s="1"/>
  <c r="AC113" i="11"/>
  <c r="AD903" i="11"/>
  <c r="AH903" i="11" s="1"/>
  <c r="AC903" i="11"/>
  <c r="AF903" i="11"/>
  <c r="AE903" i="11"/>
  <c r="AF49" i="11"/>
  <c r="AE49" i="11"/>
  <c r="AD49" i="11"/>
  <c r="AH49" i="11" s="1"/>
  <c r="AC49" i="11"/>
  <c r="AF674" i="11"/>
  <c r="AE674" i="11"/>
  <c r="AD674" i="11"/>
  <c r="AH674" i="11" s="1"/>
  <c r="AC674" i="11"/>
  <c r="AF826" i="11"/>
  <c r="AD826" i="11"/>
  <c r="AH826" i="11" s="1"/>
  <c r="AC826" i="11"/>
  <c r="AE826" i="11"/>
  <c r="AF28" i="11"/>
  <c r="AE28" i="11"/>
  <c r="AD28" i="11"/>
  <c r="AH28" i="11" s="1"/>
  <c r="AC28" i="11"/>
  <c r="AF629" i="11"/>
  <c r="AE629" i="11"/>
  <c r="AD629" i="11"/>
  <c r="AH629" i="11" s="1"/>
  <c r="AC629" i="11"/>
  <c r="AC129" i="11"/>
  <c r="AF129" i="11"/>
  <c r="AD129" i="11"/>
  <c r="AH129" i="11" s="1"/>
  <c r="AE129" i="11"/>
  <c r="AD404" i="11"/>
  <c r="AH404" i="11" s="1"/>
  <c r="AF404" i="11"/>
  <c r="AE404" i="11"/>
  <c r="AC404" i="11"/>
  <c r="AC211" i="11"/>
  <c r="AF211" i="11"/>
  <c r="AE211" i="11"/>
  <c r="AD211" i="11"/>
  <c r="AH211" i="11" s="1"/>
  <c r="AF521" i="11"/>
  <c r="AE521" i="11"/>
  <c r="AD521" i="11"/>
  <c r="AH521" i="11" s="1"/>
  <c r="AC521" i="11"/>
  <c r="AE953" i="11"/>
  <c r="AD953" i="11"/>
  <c r="AH953" i="11" s="1"/>
  <c r="AF953" i="11"/>
  <c r="AC953" i="11"/>
  <c r="AF607" i="11"/>
  <c r="AE607" i="11"/>
  <c r="AD607" i="11"/>
  <c r="AH607" i="11" s="1"/>
  <c r="AC607" i="11"/>
  <c r="AC151" i="11"/>
  <c r="AF151" i="11"/>
  <c r="AD151" i="11"/>
  <c r="AH151" i="11" s="1"/>
  <c r="AE151" i="11"/>
  <c r="AD403" i="11"/>
  <c r="AH403" i="11" s="1"/>
  <c r="AC403" i="11"/>
  <c r="AF403" i="11"/>
  <c r="AE403" i="11"/>
  <c r="AD372" i="11"/>
  <c r="AH372" i="11" s="1"/>
  <c r="AF372" i="11"/>
  <c r="AE372" i="11"/>
  <c r="AC372" i="11"/>
  <c r="AC782" i="11"/>
  <c r="AE782" i="11"/>
  <c r="AD782" i="11"/>
  <c r="AH782" i="11" s="1"/>
  <c r="AF782" i="11"/>
  <c r="AC226" i="11"/>
  <c r="AE226" i="11"/>
  <c r="AF226" i="11"/>
  <c r="AD226" i="11"/>
  <c r="AH226" i="11" s="1"/>
  <c r="AD24" i="11"/>
  <c r="AF24" i="11"/>
  <c r="AE24" i="11"/>
  <c r="AC24" i="11"/>
  <c r="AF132" i="11"/>
  <c r="AD132" i="11"/>
  <c r="AH132" i="11" s="1"/>
  <c r="AE132" i="11"/>
  <c r="AC132" i="11"/>
  <c r="AF580" i="11"/>
  <c r="AD580" i="11"/>
  <c r="AH580" i="11" s="1"/>
  <c r="AC580" i="11"/>
  <c r="AE580" i="11"/>
  <c r="AF785" i="11"/>
  <c r="AE785" i="11"/>
  <c r="AD785" i="11"/>
  <c r="AH785" i="11" s="1"/>
  <c r="AC785" i="11"/>
  <c r="AF669" i="11"/>
  <c r="AE669" i="11"/>
  <c r="AD669" i="11"/>
  <c r="AH669" i="11" s="1"/>
  <c r="AC669" i="11"/>
  <c r="AE773" i="11"/>
  <c r="AF773" i="11"/>
  <c r="AD773" i="11"/>
  <c r="AH773" i="11" s="1"/>
  <c r="AC773" i="11"/>
  <c r="AF1015" i="11"/>
  <c r="AE1015" i="11"/>
  <c r="AD1015" i="11"/>
  <c r="AH1015" i="11" s="1"/>
  <c r="AC1015" i="11"/>
  <c r="AE696" i="11"/>
  <c r="AD696" i="11"/>
  <c r="AH696" i="11" s="1"/>
  <c r="AC696" i="11"/>
  <c r="AF696" i="11"/>
  <c r="AC99" i="11"/>
  <c r="AF99" i="11"/>
  <c r="AE99" i="11"/>
  <c r="AD99" i="11"/>
  <c r="AH99" i="11" s="1"/>
  <c r="AF286" i="11"/>
  <c r="AC398" i="11"/>
  <c r="AF398" i="11"/>
  <c r="AD398" i="11"/>
  <c r="AH398" i="11" s="1"/>
  <c r="AE398" i="11"/>
  <c r="AE546" i="11"/>
  <c r="AD546" i="11"/>
  <c r="AH546" i="11" s="1"/>
  <c r="AC546" i="11"/>
  <c r="AF546" i="11"/>
  <c r="AC921" i="11"/>
  <c r="AD921" i="11"/>
  <c r="AH921" i="11" s="1"/>
  <c r="AF921" i="11"/>
  <c r="AE921" i="11"/>
  <c r="AF472" i="11"/>
  <c r="AE472" i="11"/>
  <c r="AC472" i="11"/>
  <c r="AD472" i="11"/>
  <c r="AH472" i="11" s="1"/>
  <c r="AD90" i="11"/>
  <c r="AH90" i="11" s="1"/>
  <c r="AC90" i="11"/>
  <c r="AF90" i="11"/>
  <c r="AE90" i="11"/>
  <c r="AC240" i="11"/>
  <c r="AE240" i="11"/>
  <c r="AD240" i="11"/>
  <c r="AH240" i="11" s="1"/>
  <c r="AF240" i="11"/>
  <c r="AE821" i="11"/>
  <c r="AD821" i="11"/>
  <c r="AH821" i="11" s="1"/>
  <c r="AC821" i="11"/>
  <c r="AF821" i="11"/>
  <c r="AD483" i="11"/>
  <c r="AH483" i="11" s="1"/>
  <c r="AF483" i="11"/>
  <c r="AE483" i="11"/>
  <c r="AC483" i="11"/>
  <c r="AF73" i="11"/>
  <c r="AE73" i="11"/>
  <c r="AD73" i="11"/>
  <c r="AH73" i="11" s="1"/>
  <c r="AC73" i="11"/>
  <c r="AC886" i="11"/>
  <c r="AE886" i="11"/>
  <c r="AF886" i="11"/>
  <c r="AD886" i="11"/>
  <c r="AH886" i="11" s="1"/>
  <c r="AF437" i="11"/>
  <c r="AE437" i="11"/>
  <c r="AD437" i="11"/>
  <c r="AH437" i="11" s="1"/>
  <c r="AC437" i="11"/>
  <c r="AF373" i="11"/>
  <c r="AE373" i="11"/>
  <c r="AD373" i="11"/>
  <c r="AH373" i="11" s="1"/>
  <c r="AC373" i="11"/>
  <c r="AC137" i="11"/>
  <c r="AD137" i="11"/>
  <c r="AH137" i="11" s="1"/>
  <c r="AF137" i="11"/>
  <c r="AE137" i="11"/>
  <c r="AE841" i="11"/>
  <c r="AF841" i="11"/>
  <c r="AD841" i="11"/>
  <c r="AH841" i="11" s="1"/>
  <c r="AC841" i="11"/>
  <c r="AE597" i="11"/>
  <c r="AD597" i="11"/>
  <c r="AH597" i="11" s="1"/>
  <c r="AC597" i="11"/>
  <c r="AF597" i="11"/>
  <c r="AD515" i="11"/>
  <c r="AH515" i="11" s="1"/>
  <c r="AF515" i="11"/>
  <c r="AE515" i="11"/>
  <c r="AC515" i="11"/>
  <c r="AF562" i="11"/>
  <c r="AE562" i="11"/>
  <c r="AD562" i="11"/>
  <c r="AH562" i="11" s="1"/>
  <c r="AC562" i="11"/>
  <c r="AF901" i="11"/>
  <c r="AE901" i="11"/>
  <c r="AC901" i="11"/>
  <c r="AD901" i="11"/>
  <c r="AH901" i="11" s="1"/>
  <c r="AC950" i="11"/>
  <c r="AC457" i="11"/>
  <c r="AF457" i="11"/>
  <c r="AE457" i="11"/>
  <c r="AD457" i="11"/>
  <c r="AH457" i="11" s="1"/>
  <c r="AE467" i="11"/>
  <c r="AD467" i="11"/>
  <c r="AH467" i="11" s="1"/>
  <c r="AC467" i="11"/>
  <c r="AF467" i="11"/>
  <c r="AD925" i="11"/>
  <c r="AH925" i="11" s="1"/>
  <c r="AF606" i="11"/>
  <c r="AD899" i="11"/>
  <c r="AH899" i="11" s="1"/>
  <c r="AC899" i="11"/>
  <c r="AF899" i="11"/>
  <c r="AE899" i="11"/>
  <c r="AD220" i="11"/>
  <c r="AH220" i="11" s="1"/>
  <c r="AC455" i="11"/>
  <c r="AD717" i="11"/>
  <c r="AH717" i="11" s="1"/>
  <c r="AE508" i="11"/>
  <c r="AE29" i="11"/>
  <c r="AF84" i="11"/>
  <c r="AE84" i="11"/>
  <c r="AD84" i="11"/>
  <c r="AH84" i="11" s="1"/>
  <c r="AC84" i="11"/>
  <c r="AD600" i="11"/>
  <c r="AH600" i="11" s="1"/>
  <c r="AC600" i="11"/>
  <c r="AF600" i="11"/>
  <c r="AE600" i="11"/>
  <c r="AF831" i="11"/>
  <c r="AE831" i="11"/>
  <c r="AD831" i="11"/>
  <c r="AH831" i="11" s="1"/>
  <c r="AC831" i="11"/>
  <c r="AC242" i="11"/>
  <c r="AE242" i="11"/>
  <c r="AF242" i="11"/>
  <c r="AD242" i="11"/>
  <c r="AH242" i="11" s="1"/>
  <c r="AE797" i="11"/>
  <c r="AD797" i="11"/>
  <c r="AH797" i="11" s="1"/>
  <c r="AC797" i="11"/>
  <c r="AF797" i="11"/>
  <c r="AF68" i="11"/>
  <c r="AE68" i="11"/>
  <c r="AD68" i="11"/>
  <c r="AH68" i="11" s="1"/>
  <c r="AC68" i="11"/>
  <c r="AD883" i="11"/>
  <c r="AH883" i="11" s="1"/>
  <c r="AC883" i="11"/>
  <c r="AF883" i="11"/>
  <c r="AE883" i="11"/>
  <c r="AD32" i="11"/>
  <c r="AH32" i="11" s="1"/>
  <c r="AF32" i="11"/>
  <c r="AE32" i="11"/>
  <c r="AC32" i="11"/>
  <c r="AD649" i="11"/>
  <c r="AH649" i="11" s="1"/>
  <c r="AF649" i="11"/>
  <c r="AE649" i="11"/>
  <c r="AC649" i="11"/>
  <c r="AD454" i="11"/>
  <c r="AH454" i="11" s="1"/>
  <c r="AC454" i="11"/>
  <c r="AF454" i="11"/>
  <c r="AE454" i="11"/>
  <c r="AE413" i="11"/>
  <c r="AD413" i="11"/>
  <c r="AH413" i="11" s="1"/>
  <c r="AF413" i="11"/>
  <c r="AC413" i="11"/>
  <c r="AD1000" i="11"/>
  <c r="AH1000" i="11" s="1"/>
  <c r="AC1000" i="11"/>
  <c r="AF1000" i="11"/>
  <c r="AE1000" i="11"/>
  <c r="AE337" i="11"/>
  <c r="AF337" i="11"/>
  <c r="AD337" i="11"/>
  <c r="AH337" i="11" s="1"/>
  <c r="AC337" i="11"/>
  <c r="AF381" i="11"/>
  <c r="AE381" i="11"/>
  <c r="AD381" i="11"/>
  <c r="AH381" i="11" s="1"/>
  <c r="AC381" i="11"/>
  <c r="AF311" i="11"/>
  <c r="AC311" i="11"/>
  <c r="AD311" i="11"/>
  <c r="AH311" i="11" s="1"/>
  <c r="AE311" i="11"/>
  <c r="AE200" i="11"/>
  <c r="AF200" i="11"/>
  <c r="AD200" i="11"/>
  <c r="AH200" i="11" s="1"/>
  <c r="AC200" i="11"/>
  <c r="AD74" i="11"/>
  <c r="AH74" i="11" s="1"/>
  <c r="AC74" i="11"/>
  <c r="AF74" i="11"/>
  <c r="AE74" i="11"/>
  <c r="AF190" i="11"/>
  <c r="AE190" i="11"/>
  <c r="AD190" i="11"/>
  <c r="AH190" i="11" s="1"/>
  <c r="AC190" i="11"/>
  <c r="AC811" i="11"/>
  <c r="AD811" i="11"/>
  <c r="AH811" i="11" s="1"/>
  <c r="AE811" i="11"/>
  <c r="AF811" i="11"/>
  <c r="AD657" i="11"/>
  <c r="AH657" i="11" s="1"/>
  <c r="AF657" i="11"/>
  <c r="AE657" i="11"/>
  <c r="AC657" i="11"/>
  <c r="AC101" i="11"/>
  <c r="AE101" i="11"/>
  <c r="AF101" i="11"/>
  <c r="AD101" i="11"/>
  <c r="AH101" i="11" s="1"/>
  <c r="AE1003" i="11"/>
  <c r="AC1003" i="11"/>
  <c r="AF1003" i="11"/>
  <c r="AD1003" i="11"/>
  <c r="AH1003" i="11" s="1"/>
  <c r="AF650" i="11"/>
  <c r="AE650" i="11"/>
  <c r="AD650" i="11"/>
  <c r="AH650" i="11" s="1"/>
  <c r="AC650" i="11"/>
  <c r="AF887" i="11"/>
  <c r="AE887" i="11"/>
  <c r="AD887" i="11"/>
  <c r="AH887" i="11" s="1"/>
  <c r="AC887" i="11"/>
  <c r="AC194" i="11"/>
  <c r="AF194" i="11"/>
  <c r="AE194" i="11"/>
  <c r="AD194" i="11"/>
  <c r="AH194" i="11" s="1"/>
  <c r="AF322" i="11"/>
  <c r="AE322" i="11"/>
  <c r="AD322" i="11"/>
  <c r="AH322" i="11" s="1"/>
  <c r="AC322" i="11"/>
  <c r="AD215" i="11"/>
  <c r="AH215" i="11" s="1"/>
  <c r="AC215" i="11"/>
  <c r="AF215" i="11"/>
  <c r="AE215" i="11"/>
  <c r="AC662" i="11"/>
  <c r="AE662" i="11"/>
  <c r="AF662" i="11"/>
  <c r="AD662" i="11"/>
  <c r="AH662" i="11" s="1"/>
  <c r="AE196" i="11"/>
  <c r="AD196" i="11"/>
  <c r="AH196" i="11" s="1"/>
  <c r="AF196" i="11"/>
  <c r="AC196" i="11"/>
  <c r="AE31" i="11"/>
  <c r="AD31" i="11"/>
  <c r="AH31" i="11" s="1"/>
  <c r="AC31" i="11"/>
  <c r="AF31" i="11"/>
  <c r="AF192" i="11"/>
  <c r="AC192" i="11"/>
  <c r="AE192" i="11"/>
  <c r="AD192" i="11"/>
  <c r="AH192" i="11" s="1"/>
  <c r="AF330" i="11"/>
  <c r="AE330" i="11"/>
  <c r="AD330" i="11"/>
  <c r="AH330" i="11" s="1"/>
  <c r="AC330" i="11"/>
  <c r="AF351" i="11"/>
  <c r="AC351" i="11"/>
  <c r="AD351" i="11"/>
  <c r="AH351" i="11" s="1"/>
  <c r="AE351" i="11"/>
  <c r="AD332" i="11"/>
  <c r="AH332" i="11" s="1"/>
  <c r="AF332" i="11"/>
  <c r="AE332" i="11"/>
  <c r="AC332" i="11"/>
  <c r="AF693" i="11"/>
  <c r="AE693" i="11"/>
  <c r="AD693" i="11"/>
  <c r="AH693" i="11" s="1"/>
  <c r="AC693" i="11"/>
  <c r="AF935" i="11"/>
  <c r="AE935" i="11"/>
  <c r="AD935" i="11"/>
  <c r="AH935" i="11" s="1"/>
  <c r="AC935" i="11"/>
  <c r="AE416" i="11"/>
  <c r="AD416" i="11"/>
  <c r="AH416" i="11" s="1"/>
  <c r="AC416" i="11"/>
  <c r="AF416" i="11"/>
  <c r="AC708" i="11"/>
  <c r="AF708" i="11"/>
  <c r="AE708" i="11"/>
  <c r="AD708" i="11"/>
  <c r="AH708" i="11" s="1"/>
  <c r="AF820" i="11"/>
  <c r="AE820" i="11"/>
  <c r="AD820" i="11"/>
  <c r="AH820" i="11" s="1"/>
  <c r="AC820" i="11"/>
  <c r="AF314" i="11"/>
  <c r="AE314" i="11"/>
  <c r="AD314" i="11"/>
  <c r="AH314" i="11" s="1"/>
  <c r="AC314" i="11"/>
  <c r="AF281" i="11"/>
  <c r="AE281" i="11"/>
  <c r="AD281" i="11"/>
  <c r="AH281" i="11" s="1"/>
  <c r="AC281" i="11"/>
  <c r="AF349" i="11"/>
  <c r="AE349" i="11"/>
  <c r="AD349" i="11"/>
  <c r="AH349" i="11" s="1"/>
  <c r="AC349" i="11"/>
  <c r="AD954" i="11"/>
  <c r="AH954" i="11" s="1"/>
  <c r="AC954" i="11"/>
  <c r="AF954" i="11"/>
  <c r="AE954" i="11"/>
  <c r="AE950" i="11"/>
  <c r="AC609" i="11"/>
  <c r="AD609" i="11"/>
  <c r="AH609" i="11" s="1"/>
  <c r="AF609" i="11"/>
  <c r="AE609" i="11"/>
  <c r="AE441" i="11"/>
  <c r="AD441" i="11"/>
  <c r="AH441" i="11" s="1"/>
  <c r="AC441" i="11"/>
  <c r="AF441" i="11"/>
  <c r="AF571" i="11"/>
  <c r="AE244" i="11"/>
  <c r="AD244" i="11"/>
  <c r="AH244" i="11" s="1"/>
  <c r="AC244" i="11"/>
  <c r="AF244" i="11"/>
  <c r="AE756" i="11"/>
  <c r="AD756" i="11"/>
  <c r="AH756" i="11" s="1"/>
  <c r="AC756" i="11"/>
  <c r="AF756" i="11"/>
  <c r="AD905" i="11"/>
  <c r="AH905" i="11" s="1"/>
  <c r="AC905" i="11"/>
  <c r="AF905" i="11"/>
  <c r="AE905" i="11"/>
  <c r="AD173" i="11"/>
  <c r="AH173" i="11" s="1"/>
  <c r="AF173" i="11"/>
  <c r="AE173" i="11"/>
  <c r="AC173" i="11"/>
  <c r="AF837" i="11"/>
  <c r="AD837" i="11"/>
  <c r="AH837" i="11" s="1"/>
  <c r="AC837" i="11"/>
  <c r="AE837" i="11"/>
  <c r="AC61" i="11"/>
  <c r="AE61" i="11"/>
  <c r="AF61" i="11"/>
  <c r="AD61" i="11"/>
  <c r="AH61" i="11" s="1"/>
  <c r="AF647" i="11"/>
  <c r="AD647" i="11"/>
  <c r="AH647" i="11" s="1"/>
  <c r="AE647" i="11"/>
  <c r="AC647" i="11"/>
  <c r="AE748" i="11"/>
  <c r="AD748" i="11"/>
  <c r="AH748" i="11" s="1"/>
  <c r="AC748" i="11"/>
  <c r="AF748" i="11"/>
  <c r="AE385" i="11"/>
  <c r="AF385" i="11"/>
  <c r="AD385" i="11"/>
  <c r="AH385" i="11" s="1"/>
  <c r="AC385" i="11"/>
  <c r="AC496" i="11"/>
  <c r="AE496" i="11"/>
  <c r="AF496" i="11"/>
  <c r="AD496" i="11"/>
  <c r="AH496" i="11" s="1"/>
  <c r="AF621" i="11"/>
  <c r="AE621" i="11"/>
  <c r="AD621" i="11"/>
  <c r="AH621" i="11" s="1"/>
  <c r="AC621" i="11"/>
  <c r="AF930" i="11"/>
  <c r="AE930" i="11"/>
  <c r="AD930" i="11"/>
  <c r="AH930" i="11" s="1"/>
  <c r="AC930" i="11"/>
  <c r="AD631" i="11"/>
  <c r="AH631" i="11" s="1"/>
  <c r="AE631" i="11"/>
  <c r="AC631" i="11"/>
  <c r="AF631" i="11"/>
  <c r="AF94" i="11"/>
  <c r="AE94" i="11"/>
  <c r="AD94" i="11"/>
  <c r="AH94" i="11" s="1"/>
  <c r="AC94" i="11"/>
  <c r="AD411" i="11"/>
  <c r="AH411" i="11" s="1"/>
  <c r="AC411" i="11"/>
  <c r="AF411" i="11"/>
  <c r="AE411" i="11"/>
  <c r="AD428" i="11"/>
  <c r="AH428" i="11" s="1"/>
  <c r="AF428" i="11"/>
  <c r="AC428" i="11"/>
  <c r="AE428" i="11"/>
  <c r="AF476" i="11"/>
  <c r="AE476" i="11"/>
  <c r="AD476" i="11"/>
  <c r="AH476" i="11" s="1"/>
  <c r="AC476" i="11"/>
  <c r="AD82" i="11"/>
  <c r="AH82" i="11" s="1"/>
  <c r="AC82" i="11"/>
  <c r="AF82" i="11"/>
  <c r="AE82" i="11"/>
  <c r="AE63" i="11"/>
  <c r="AD63" i="11"/>
  <c r="AH63" i="11" s="1"/>
  <c r="AC63" i="11"/>
  <c r="AF63" i="11"/>
  <c r="AC595" i="11"/>
  <c r="AE595" i="11"/>
  <c r="AF595" i="11"/>
  <c r="AD595" i="11"/>
  <c r="AH595" i="11" s="1"/>
  <c r="AC733" i="11"/>
  <c r="AE733" i="11"/>
  <c r="AD733" i="11"/>
  <c r="AH733" i="11" s="1"/>
  <c r="AF733" i="11"/>
  <c r="AE506" i="11"/>
  <c r="AD506" i="11"/>
  <c r="AH506" i="11" s="1"/>
  <c r="AC506" i="11"/>
  <c r="AF506" i="11"/>
  <c r="AE648" i="11"/>
  <c r="AD648" i="11"/>
  <c r="AH648" i="11" s="1"/>
  <c r="AC648" i="11"/>
  <c r="AF648" i="11"/>
  <c r="AF265" i="11"/>
  <c r="AE265" i="11"/>
  <c r="AD265" i="11"/>
  <c r="AH265" i="11" s="1"/>
  <c r="AC265" i="11"/>
  <c r="AD568" i="11"/>
  <c r="AH568" i="11" s="1"/>
  <c r="AC568" i="11"/>
  <c r="AF568" i="11"/>
  <c r="AE568" i="11"/>
  <c r="AD48" i="11"/>
  <c r="AH48" i="11" s="1"/>
  <c r="AF48" i="11"/>
  <c r="AE48" i="11"/>
  <c r="AC48" i="11"/>
  <c r="AE308" i="11"/>
  <c r="AD308" i="11"/>
  <c r="AH308" i="11" s="1"/>
  <c r="AC308" i="11"/>
  <c r="AF308" i="11"/>
  <c r="AF489" i="11"/>
  <c r="AE489" i="11"/>
  <c r="AD489" i="11"/>
  <c r="AH489" i="11" s="1"/>
  <c r="AC489" i="11"/>
  <c r="AC93" i="11"/>
  <c r="AE93" i="11"/>
  <c r="AF93" i="11"/>
  <c r="AD93" i="11"/>
  <c r="AH93" i="11" s="1"/>
  <c r="AF677" i="11"/>
  <c r="AE677" i="11"/>
  <c r="AD677" i="11"/>
  <c r="AH677" i="11" s="1"/>
  <c r="AC677" i="11"/>
  <c r="AD891" i="11"/>
  <c r="AH891" i="11" s="1"/>
  <c r="AC891" i="11"/>
  <c r="AF891" i="11"/>
  <c r="AE891" i="11"/>
  <c r="AC520" i="11"/>
  <c r="AE520" i="11"/>
  <c r="AF520" i="11"/>
  <c r="AD520" i="11"/>
  <c r="AH520" i="11" s="1"/>
  <c r="AC878" i="11"/>
  <c r="AE878" i="11"/>
  <c r="AF878" i="11"/>
  <c r="AD878" i="11"/>
  <c r="AH878" i="11" s="1"/>
  <c r="AF966" i="11"/>
  <c r="AE966" i="11"/>
  <c r="AD966" i="11"/>
  <c r="AH966" i="11" s="1"/>
  <c r="AC966" i="11"/>
  <c r="AF461" i="11"/>
  <c r="AE461" i="11"/>
  <c r="AD461" i="11"/>
  <c r="AH461" i="11" s="1"/>
  <c r="AC461" i="11"/>
  <c r="AF737" i="11"/>
  <c r="AE737" i="11"/>
  <c r="AD737" i="11"/>
  <c r="AH737" i="11" s="1"/>
  <c r="AC737" i="11"/>
  <c r="AE409" i="11"/>
  <c r="AF409" i="11"/>
  <c r="AD409" i="11"/>
  <c r="AH409" i="11" s="1"/>
  <c r="AC409" i="11"/>
  <c r="AC183" i="11"/>
  <c r="AF183" i="11"/>
  <c r="AD183" i="11"/>
  <c r="AH183" i="11" s="1"/>
  <c r="AE183" i="11"/>
  <c r="AC512" i="11"/>
  <c r="AE512" i="11"/>
  <c r="AF512" i="11"/>
  <c r="AD512" i="11"/>
  <c r="AH512" i="11" s="1"/>
  <c r="AF991" i="11"/>
  <c r="AE991" i="11"/>
  <c r="AD991" i="11"/>
  <c r="AH991" i="11" s="1"/>
  <c r="AC991" i="11"/>
  <c r="AE765" i="11"/>
  <c r="AF765" i="11"/>
  <c r="AD765" i="11"/>
  <c r="AH765" i="11" s="1"/>
  <c r="AC765" i="11"/>
  <c r="AC998" i="11"/>
  <c r="AF998" i="11"/>
  <c r="AE998" i="11"/>
  <c r="AD998" i="11"/>
  <c r="AH998" i="11" s="1"/>
  <c r="AE581" i="11"/>
  <c r="AD581" i="11"/>
  <c r="AH581" i="11" s="1"/>
  <c r="AC581" i="11"/>
  <c r="AF581" i="11"/>
  <c r="AF794" i="11"/>
  <c r="AE794" i="11"/>
  <c r="AD794" i="11"/>
  <c r="AH794" i="11" s="1"/>
  <c r="AC794" i="11"/>
  <c r="AC749" i="11"/>
  <c r="AF749" i="11"/>
  <c r="AE749" i="11"/>
  <c r="AD749" i="11"/>
  <c r="AH749" i="11" s="1"/>
  <c r="AF418" i="11"/>
  <c r="AE418" i="11"/>
  <c r="AD418" i="11"/>
  <c r="AH418" i="11" s="1"/>
  <c r="AC418" i="11"/>
  <c r="AF468" i="11"/>
  <c r="AD468" i="11"/>
  <c r="AH468" i="11" s="1"/>
  <c r="AC468" i="11"/>
  <c r="AE468" i="11"/>
  <c r="AF537" i="11"/>
  <c r="AE537" i="11"/>
  <c r="AC537" i="11"/>
  <c r="AD537" i="11"/>
  <c r="AH537" i="11" s="1"/>
  <c r="AD72" i="11"/>
  <c r="AH72" i="11" s="1"/>
  <c r="AF72" i="11"/>
  <c r="AE72" i="11"/>
  <c r="AC72" i="11"/>
  <c r="AD331" i="11"/>
  <c r="AH331" i="11" s="1"/>
  <c r="AC331" i="11"/>
  <c r="AE331" i="11"/>
  <c r="AF331" i="11"/>
  <c r="AD912" i="11"/>
  <c r="AH912" i="11" s="1"/>
  <c r="AC912" i="11"/>
  <c r="AF912" i="11"/>
  <c r="AE912" i="11"/>
  <c r="AE908" i="11"/>
  <c r="AD908" i="11"/>
  <c r="AH908" i="11" s="1"/>
  <c r="AF908" i="11"/>
  <c r="AC908" i="11"/>
  <c r="AF913" i="11"/>
  <c r="AE913" i="11"/>
  <c r="AD913" i="11"/>
  <c r="AH913" i="11" s="1"/>
  <c r="AC913" i="11"/>
  <c r="AD968" i="11"/>
  <c r="AH968" i="11" s="1"/>
  <c r="AF968" i="11"/>
  <c r="AE968" i="11"/>
  <c r="AC968" i="11"/>
  <c r="AC488" i="11"/>
  <c r="AE488" i="11"/>
  <c r="AD488" i="11"/>
  <c r="AH488" i="11" s="1"/>
  <c r="AF488" i="11"/>
  <c r="AD66" i="11"/>
  <c r="AH66" i="11" s="1"/>
  <c r="AC66" i="11"/>
  <c r="AF66" i="11"/>
  <c r="AE66" i="11"/>
  <c r="AF877" i="11"/>
  <c r="AE877" i="11"/>
  <c r="AC877" i="11"/>
  <c r="AD877" i="11"/>
  <c r="AH877" i="11" s="1"/>
  <c r="AC884" i="11"/>
  <c r="AD884" i="11"/>
  <c r="AH884" i="11" s="1"/>
  <c r="AF884" i="11"/>
  <c r="AE884" i="11"/>
  <c r="AE917" i="11"/>
  <c r="AD917" i="11"/>
  <c r="AH917" i="11" s="1"/>
  <c r="AF917" i="11"/>
  <c r="AC917" i="11"/>
  <c r="AC937" i="11"/>
  <c r="AE937" i="11"/>
  <c r="AD937" i="11"/>
  <c r="AH937" i="11" s="1"/>
  <c r="AF937" i="11"/>
  <c r="AF564" i="11"/>
  <c r="AE564" i="11"/>
  <c r="AC564" i="11"/>
  <c r="AD564" i="11"/>
  <c r="AH564" i="11" s="1"/>
  <c r="AF445" i="11"/>
  <c r="AE445" i="11"/>
  <c r="AD445" i="11"/>
  <c r="AH445" i="11" s="1"/>
  <c r="AC445" i="11"/>
  <c r="AD590" i="11"/>
  <c r="AH590" i="11" s="1"/>
  <c r="AF590" i="11"/>
  <c r="AE590" i="11"/>
  <c r="AC590" i="11"/>
  <c r="AE71" i="11"/>
  <c r="AD71" i="11"/>
  <c r="AH71" i="11" s="1"/>
  <c r="AC71" i="11"/>
  <c r="AF71" i="11"/>
  <c r="AD199" i="11"/>
  <c r="AH199" i="11" s="1"/>
  <c r="AC199" i="11"/>
  <c r="AF199" i="11"/>
  <c r="AE199" i="11"/>
  <c r="AF1004" i="11"/>
  <c r="AE1004" i="11"/>
  <c r="AD1004" i="11"/>
  <c r="AH1004" i="11" s="1"/>
  <c r="AC1004" i="11"/>
  <c r="AF818" i="11"/>
  <c r="AE818" i="11"/>
  <c r="AD818" i="11"/>
  <c r="AH818" i="11" s="1"/>
  <c r="AC818" i="11"/>
  <c r="AF225" i="11"/>
  <c r="AE225" i="11"/>
  <c r="AD225" i="11"/>
  <c r="AH225" i="11" s="1"/>
  <c r="AC225" i="11"/>
  <c r="AD691" i="11"/>
  <c r="AH691" i="11" s="1"/>
  <c r="AC691" i="11"/>
  <c r="AF691" i="11"/>
  <c r="AE691" i="11"/>
  <c r="AF690" i="11"/>
  <c r="AE690" i="11"/>
  <c r="AD690" i="11"/>
  <c r="AH690" i="11" s="1"/>
  <c r="AC690" i="11"/>
  <c r="AC256" i="11"/>
  <c r="AE256" i="11"/>
  <c r="AD256" i="11"/>
  <c r="AH256" i="11" s="1"/>
  <c r="AF256" i="11"/>
  <c r="AD26" i="11"/>
  <c r="AH26" i="11" s="1"/>
  <c r="AC26" i="11"/>
  <c r="AF26" i="11"/>
  <c r="AE26" i="11"/>
  <c r="AE766" i="11"/>
  <c r="AD766" i="11"/>
  <c r="AH766" i="11" s="1"/>
  <c r="AC766" i="11"/>
  <c r="AF766" i="11"/>
  <c r="AF618" i="11"/>
  <c r="AE618" i="11"/>
  <c r="AD618" i="11"/>
  <c r="AH618" i="11" s="1"/>
  <c r="AC618" i="11"/>
  <c r="AE368" i="11"/>
  <c r="AD368" i="11"/>
  <c r="AH368" i="11" s="1"/>
  <c r="AC368" i="11"/>
  <c r="AF368" i="11"/>
  <c r="AD316" i="11"/>
  <c r="AH316" i="11" s="1"/>
  <c r="AF316" i="11"/>
  <c r="AE316" i="11"/>
  <c r="AC316" i="11"/>
  <c r="AE161" i="11"/>
  <c r="AD161" i="11"/>
  <c r="AH161" i="11" s="1"/>
  <c r="AC161" i="11"/>
  <c r="AF161" i="11"/>
  <c r="AD889" i="11"/>
  <c r="AH889" i="11" s="1"/>
  <c r="AF889" i="11"/>
  <c r="AE889" i="11"/>
  <c r="AC889" i="11"/>
  <c r="AD379" i="11"/>
  <c r="AH379" i="11" s="1"/>
  <c r="AC379" i="11"/>
  <c r="AE379" i="11"/>
  <c r="AF379" i="11"/>
  <c r="AC730" i="11"/>
  <c r="AD730" i="11"/>
  <c r="AH730" i="11" s="1"/>
  <c r="AF730" i="11"/>
  <c r="AE730" i="11"/>
  <c r="AD598" i="11"/>
  <c r="AH598" i="11" s="1"/>
  <c r="AF598" i="11"/>
  <c r="AC598" i="11"/>
  <c r="AE598" i="11"/>
  <c r="AE498" i="11"/>
  <c r="AD498" i="11"/>
  <c r="AH498" i="11" s="1"/>
  <c r="AC498" i="11"/>
  <c r="AF498" i="11"/>
  <c r="AE408" i="11"/>
  <c r="AD408" i="11"/>
  <c r="AH408" i="11" s="1"/>
  <c r="AC408" i="11"/>
  <c r="AF408" i="11"/>
  <c r="AE344" i="11"/>
  <c r="AD344" i="11"/>
  <c r="AH344" i="11" s="1"/>
  <c r="AC344" i="11"/>
  <c r="AF344" i="11"/>
  <c r="AD697" i="11"/>
  <c r="AH697" i="11" s="1"/>
  <c r="AF697" i="11"/>
  <c r="AE697" i="11"/>
  <c r="AC697" i="11"/>
  <c r="AF845" i="11"/>
  <c r="AC845" i="11"/>
  <c r="AE845" i="11"/>
  <c r="AD845" i="11"/>
  <c r="AH845" i="11" s="1"/>
  <c r="AC59" i="11"/>
  <c r="AF59" i="11"/>
  <c r="AE59" i="11"/>
  <c r="AD59" i="11"/>
  <c r="AH59" i="11" s="1"/>
  <c r="AD584" i="11"/>
  <c r="AH584" i="11" s="1"/>
  <c r="AC584" i="11"/>
  <c r="AF584" i="11"/>
  <c r="AE584" i="11"/>
  <c r="AF257" i="11"/>
  <c r="AE257" i="11"/>
  <c r="AD257" i="11"/>
  <c r="AH257" i="11" s="1"/>
  <c r="AC257" i="11"/>
  <c r="AF38" i="11"/>
  <c r="AE38" i="11"/>
  <c r="AD38" i="11"/>
  <c r="AH38" i="11" s="1"/>
  <c r="AC38" i="11"/>
  <c r="AC298" i="11"/>
  <c r="AE298" i="11"/>
  <c r="AF298" i="11"/>
  <c r="AD298" i="11"/>
  <c r="AH298" i="11" s="1"/>
  <c r="AD396" i="11"/>
  <c r="AH396" i="11" s="1"/>
  <c r="AF396" i="11"/>
  <c r="AE396" i="11"/>
  <c r="AC396" i="11"/>
  <c r="AC121" i="11"/>
  <c r="AF121" i="11"/>
  <c r="AD121" i="11"/>
  <c r="AH121" i="11" s="1"/>
  <c r="AE121" i="11"/>
  <c r="AF116" i="11"/>
  <c r="AE116" i="11"/>
  <c r="AD116" i="11"/>
  <c r="AH116" i="11" s="1"/>
  <c r="AC116" i="11"/>
  <c r="AC542" i="11"/>
  <c r="AF542" i="11"/>
  <c r="AD542" i="11"/>
  <c r="AH542" i="11" s="1"/>
  <c r="AE542" i="11"/>
  <c r="AF492" i="11"/>
  <c r="AE492" i="11"/>
  <c r="AD492" i="11"/>
  <c r="AH492" i="11" s="1"/>
  <c r="AC492" i="11"/>
  <c r="AF426" i="11"/>
  <c r="AE426" i="11"/>
  <c r="AC426" i="11"/>
  <c r="AD426" i="11"/>
  <c r="AH426" i="11" s="1"/>
  <c r="AF291" i="11"/>
  <c r="AE291" i="11"/>
  <c r="AD291" i="11"/>
  <c r="AH291" i="11" s="1"/>
  <c r="AC291" i="11"/>
  <c r="AE1022" i="11"/>
  <c r="AD1022" i="11"/>
  <c r="AH1022" i="11" s="1"/>
  <c r="AF1022" i="11"/>
  <c r="AC1022" i="11"/>
  <c r="AF911" i="11"/>
  <c r="AE911" i="11"/>
  <c r="AD911" i="11"/>
  <c r="AH911" i="11" s="1"/>
  <c r="AC911" i="11"/>
  <c r="AC309" i="11"/>
  <c r="AF566" i="11"/>
  <c r="AE566" i="11"/>
  <c r="AD566" i="11"/>
  <c r="AH566" i="11" s="1"/>
  <c r="AC566" i="11"/>
  <c r="AF866" i="11"/>
  <c r="AC963" i="11"/>
  <c r="AF963" i="11"/>
  <c r="AE963" i="11"/>
  <c r="AD963" i="11"/>
  <c r="AH963" i="11" s="1"/>
  <c r="AF999" i="11"/>
  <c r="AE999" i="11"/>
  <c r="AD999" i="11"/>
  <c r="AH999" i="11" s="1"/>
  <c r="AC999" i="11"/>
  <c r="AD864" i="11"/>
  <c r="AH864" i="11" s="1"/>
  <c r="AF767" i="11"/>
  <c r="AC478" i="11"/>
  <c r="AF909" i="11"/>
  <c r="AC579" i="11"/>
  <c r="AE579" i="11"/>
  <c r="AF579" i="11"/>
  <c r="AD579" i="11"/>
  <c r="AH579" i="11" s="1"/>
  <c r="AC237" i="11"/>
  <c r="AC712" i="11"/>
  <c r="AD712" i="11"/>
  <c r="AH712" i="11" s="1"/>
  <c r="AF712" i="11"/>
  <c r="AE712" i="11"/>
  <c r="AF822" i="11"/>
  <c r="AE822" i="11"/>
  <c r="AD822" i="11"/>
  <c r="AH822" i="11" s="1"/>
  <c r="AC822" i="11"/>
  <c r="AF807" i="11"/>
  <c r="AE807" i="11"/>
  <c r="AC807" i="11"/>
  <c r="AD807" i="11"/>
  <c r="AH807" i="11" s="1"/>
  <c r="AD800" i="11"/>
  <c r="AH800" i="11" s="1"/>
  <c r="AC800" i="11"/>
  <c r="AE800" i="11"/>
  <c r="AF800" i="11"/>
  <c r="AF786" i="11"/>
  <c r="AE786" i="11"/>
  <c r="AD786" i="11"/>
  <c r="AH786" i="11" s="1"/>
  <c r="AC786" i="11"/>
  <c r="AF442" i="11"/>
  <c r="AE442" i="11"/>
  <c r="AC442" i="11"/>
  <c r="AD442" i="11"/>
  <c r="AH442" i="11" s="1"/>
  <c r="AD533" i="11"/>
  <c r="AH533" i="11" s="1"/>
  <c r="AC533" i="11"/>
  <c r="AF533" i="11"/>
  <c r="AE533" i="11"/>
  <c r="AF209" i="11"/>
  <c r="AE209" i="11"/>
  <c r="AD209" i="11"/>
  <c r="AH209" i="11" s="1"/>
  <c r="AC209" i="11"/>
  <c r="AF731" i="11"/>
  <c r="AE731" i="11"/>
  <c r="AD731" i="11"/>
  <c r="AH731" i="11" s="1"/>
  <c r="AC731" i="11"/>
  <c r="AD452" i="11"/>
  <c r="AH452" i="11" s="1"/>
  <c r="AC452" i="11"/>
  <c r="AF452" i="11"/>
  <c r="AE452" i="11"/>
  <c r="AD560" i="11"/>
  <c r="AH560" i="11" s="1"/>
  <c r="AC560" i="11"/>
  <c r="AF560" i="11"/>
  <c r="AE560" i="11"/>
  <c r="AF305" i="11"/>
  <c r="AE305" i="11"/>
  <c r="AD305" i="11"/>
  <c r="AH305" i="11" s="1"/>
  <c r="AC305" i="11"/>
  <c r="AF343" i="11"/>
  <c r="AC343" i="11"/>
  <c r="AD343" i="11"/>
  <c r="AH343" i="11" s="1"/>
  <c r="AE343" i="11"/>
  <c r="AC798" i="11"/>
  <c r="AE798" i="11"/>
  <c r="AD798" i="11"/>
  <c r="AH798" i="11" s="1"/>
  <c r="AF798" i="11"/>
  <c r="AF946" i="11"/>
  <c r="AE946" i="11"/>
  <c r="AD946" i="11"/>
  <c r="AH946" i="11" s="1"/>
  <c r="AC946" i="11"/>
  <c r="AF559" i="11"/>
  <c r="AE559" i="11"/>
  <c r="AD559" i="11"/>
  <c r="AH559" i="11" s="1"/>
  <c r="AC559" i="11"/>
  <c r="AF44" i="11"/>
  <c r="AE44" i="11"/>
  <c r="AD44" i="11"/>
  <c r="AH44" i="11" s="1"/>
  <c r="AC44" i="11"/>
  <c r="AD792" i="11"/>
  <c r="AH792" i="11" s="1"/>
  <c r="AC792" i="11"/>
  <c r="AE792" i="11"/>
  <c r="AF792" i="11"/>
  <c r="AC290" i="11"/>
  <c r="AE290" i="11"/>
  <c r="AF290" i="11"/>
  <c r="AD290" i="11"/>
  <c r="AH290" i="11" s="1"/>
  <c r="AE616" i="11"/>
  <c r="AF616" i="11"/>
  <c r="AC616" i="11"/>
  <c r="AD616" i="11"/>
  <c r="AH616" i="11" s="1"/>
  <c r="AC201" i="11"/>
  <c r="AE805" i="11"/>
  <c r="AD805" i="11"/>
  <c r="AH805" i="11" s="1"/>
  <c r="AC805" i="11"/>
  <c r="AF805" i="11"/>
  <c r="AC1017" i="11"/>
  <c r="AF1017" i="11"/>
  <c r="AD1017" i="11"/>
  <c r="AH1017" i="11" s="1"/>
  <c r="AE1017" i="11"/>
  <c r="AC686" i="11"/>
  <c r="AE686" i="11"/>
  <c r="AF686" i="11"/>
  <c r="AD686" i="11"/>
  <c r="AH686" i="11" s="1"/>
  <c r="AD651" i="11"/>
  <c r="AH651" i="11" s="1"/>
  <c r="AC651" i="11"/>
  <c r="AF651" i="11"/>
  <c r="AE651" i="11"/>
  <c r="AF853" i="11"/>
  <c r="AE853" i="11"/>
  <c r="AD853" i="11"/>
  <c r="AH853" i="11" s="1"/>
  <c r="AC853" i="11"/>
  <c r="AC803" i="11"/>
  <c r="AD803" i="11"/>
  <c r="AH803" i="11" s="1"/>
  <c r="AE803" i="11"/>
  <c r="AF803" i="11"/>
  <c r="AC318" i="11"/>
  <c r="AF318" i="11"/>
  <c r="AD318" i="11"/>
  <c r="AH318" i="11" s="1"/>
  <c r="AE318" i="11"/>
  <c r="AF325" i="11"/>
  <c r="AE325" i="11"/>
  <c r="AD325" i="11"/>
  <c r="AH325" i="11" s="1"/>
  <c r="AC325" i="11"/>
  <c r="AF346" i="11"/>
  <c r="AE346" i="11"/>
  <c r="AD346" i="11"/>
  <c r="AH346" i="11" s="1"/>
  <c r="AC346" i="11"/>
  <c r="AF235" i="11"/>
  <c r="AE235" i="11"/>
  <c r="AD235" i="11"/>
  <c r="AH235" i="11" s="1"/>
  <c r="AC235" i="11"/>
  <c r="AF163" i="11"/>
  <c r="AE163" i="11"/>
  <c r="AD163" i="11"/>
  <c r="AH163" i="11" s="1"/>
  <c r="AC163" i="11"/>
  <c r="AF602" i="11"/>
  <c r="AE602" i="11"/>
  <c r="AD602" i="11"/>
  <c r="AH602" i="11" s="1"/>
  <c r="AC602" i="11"/>
  <c r="AE832" i="11"/>
  <c r="AD832" i="11"/>
  <c r="AH832" i="11" s="1"/>
  <c r="AF832" i="11"/>
  <c r="AC832" i="11"/>
  <c r="AE463" i="11"/>
  <c r="AF463" i="11"/>
  <c r="AD463" i="11"/>
  <c r="AH463" i="11" s="1"/>
  <c r="AC463" i="11"/>
  <c r="AF30" i="11"/>
  <c r="AD30" i="11"/>
  <c r="AH30" i="11" s="1"/>
  <c r="AC30" i="11"/>
  <c r="AE30" i="11"/>
  <c r="AF105" i="11"/>
  <c r="AE105" i="11"/>
  <c r="AD105" i="11"/>
  <c r="AH105" i="11" s="1"/>
  <c r="AC105" i="11"/>
  <c r="AE694" i="11"/>
  <c r="AF974" i="11"/>
  <c r="AC769" i="11"/>
  <c r="AD769" i="11"/>
  <c r="AH769" i="11" s="1"/>
  <c r="AF769" i="11"/>
  <c r="AE769" i="11"/>
  <c r="AF742" i="11"/>
  <c r="AE742" i="11"/>
  <c r="AD742" i="11"/>
  <c r="AH742" i="11" s="1"/>
  <c r="AC742" i="11"/>
  <c r="AD934" i="11"/>
  <c r="AH934" i="11" s="1"/>
  <c r="AE934" i="11"/>
  <c r="AF934" i="11"/>
  <c r="AC934" i="11"/>
  <c r="AF484" i="11"/>
  <c r="AE484" i="11"/>
  <c r="AD484" i="11"/>
  <c r="AH484" i="11" s="1"/>
  <c r="AC484" i="11"/>
  <c r="AF527" i="11"/>
  <c r="AE527" i="11"/>
  <c r="AD527" i="11"/>
  <c r="AH527" i="11" s="1"/>
  <c r="AC527" i="11"/>
  <c r="AD427" i="11"/>
  <c r="AH427" i="11" s="1"/>
  <c r="AC427" i="11"/>
  <c r="AE427" i="11"/>
  <c r="AF427" i="11"/>
  <c r="AF171" i="11"/>
  <c r="AE171" i="11"/>
  <c r="AD171" i="11"/>
  <c r="AH171" i="11" s="1"/>
  <c r="AC171" i="11"/>
  <c r="AD539" i="11"/>
  <c r="AH539" i="11" s="1"/>
  <c r="AF539" i="11"/>
  <c r="AE539" i="11"/>
  <c r="AC539" i="11"/>
  <c r="AF124" i="11"/>
  <c r="AE124" i="11"/>
  <c r="AD124" i="11"/>
  <c r="AH124" i="11" s="1"/>
  <c r="AC124" i="11"/>
  <c r="AF160" i="11"/>
  <c r="AC160" i="11"/>
  <c r="AE160" i="11"/>
  <c r="AD160" i="11"/>
  <c r="AH160" i="11" s="1"/>
  <c r="AF33" i="11"/>
  <c r="AE33" i="11"/>
  <c r="AD33" i="11"/>
  <c r="AH33" i="11" s="1"/>
  <c r="AC33" i="11"/>
  <c r="AE865" i="11"/>
  <c r="AD865" i="11"/>
  <c r="AH865" i="11" s="1"/>
  <c r="AF865" i="11"/>
  <c r="AC865" i="11"/>
  <c r="AC741" i="11"/>
  <c r="AF741" i="11"/>
  <c r="AE741" i="11"/>
  <c r="AD741" i="11"/>
  <c r="AH741" i="11" s="1"/>
  <c r="AC844" i="11"/>
  <c r="AF844" i="11"/>
  <c r="AE844" i="11"/>
  <c r="AD844" i="11"/>
  <c r="AH844" i="11" s="1"/>
  <c r="AC684" i="11"/>
  <c r="AF684" i="11"/>
  <c r="AE684" i="11"/>
  <c r="AD684" i="11"/>
  <c r="AH684" i="11" s="1"/>
  <c r="AF297" i="11"/>
  <c r="AE297" i="11"/>
  <c r="AD297" i="11"/>
  <c r="AH297" i="11" s="1"/>
  <c r="AC297" i="11"/>
  <c r="AF927" i="11"/>
  <c r="AC927" i="11"/>
  <c r="AE927" i="11"/>
  <c r="AD927" i="11"/>
  <c r="AH927" i="11" s="1"/>
  <c r="AF176" i="11"/>
  <c r="AC176" i="11"/>
  <c r="AE176" i="11"/>
  <c r="AD176" i="11"/>
  <c r="AH176" i="11" s="1"/>
  <c r="AD98" i="11"/>
  <c r="AH98" i="11" s="1"/>
  <c r="AC98" i="11"/>
  <c r="AF98" i="11"/>
  <c r="AE98" i="11"/>
  <c r="AF682" i="11"/>
  <c r="AE682" i="11"/>
  <c r="AD682" i="11"/>
  <c r="AH682" i="11" s="1"/>
  <c r="AC682" i="11"/>
  <c r="AF950" i="11"/>
  <c r="AD656" i="11"/>
  <c r="AH656" i="11" s="1"/>
  <c r="AC510" i="11"/>
  <c r="AF510" i="11"/>
  <c r="AD510" i="11"/>
  <c r="AH510" i="11" s="1"/>
  <c r="AE510" i="11"/>
  <c r="AD641" i="11"/>
  <c r="AH641" i="11" s="1"/>
  <c r="AF641" i="11"/>
  <c r="AE641" i="11"/>
  <c r="AC641" i="11"/>
  <c r="AC957" i="11"/>
  <c r="AF957" i="11"/>
  <c r="AE957" i="11"/>
  <c r="AD957" i="11"/>
  <c r="AH957" i="11" s="1"/>
  <c r="AF653" i="11"/>
  <c r="AE653" i="11"/>
  <c r="AD653" i="11"/>
  <c r="AH653" i="11" s="1"/>
  <c r="AC653" i="11"/>
  <c r="AE345" i="11"/>
  <c r="AF345" i="11"/>
  <c r="AD345" i="11"/>
  <c r="AH345" i="11" s="1"/>
  <c r="AC345" i="11"/>
  <c r="AC762" i="11"/>
  <c r="AE781" i="11"/>
  <c r="AD781" i="11"/>
  <c r="AH781" i="11" s="1"/>
  <c r="AC781" i="11"/>
  <c r="AF781" i="11"/>
  <c r="AC988" i="11"/>
  <c r="AF951" i="11"/>
  <c r="AC951" i="11"/>
  <c r="AE951" i="11"/>
  <c r="AD951" i="11"/>
  <c r="AH951" i="11" s="1"/>
  <c r="AD936" i="11"/>
  <c r="AH936" i="11" s="1"/>
  <c r="AC936" i="11"/>
  <c r="AF936" i="11"/>
  <c r="AE936" i="11"/>
  <c r="AE471" i="11"/>
  <c r="AD471" i="11"/>
  <c r="AH471" i="11" s="1"/>
  <c r="AF471" i="11"/>
  <c r="AC471" i="11"/>
  <c r="AF420" i="11"/>
  <c r="AE420" i="11"/>
  <c r="AD420" i="11"/>
  <c r="AH420" i="11" s="1"/>
  <c r="AC420" i="11"/>
  <c r="AE740" i="11"/>
  <c r="AD740" i="11"/>
  <c r="AH740" i="11" s="1"/>
  <c r="AC740" i="11"/>
  <c r="AF740" i="11"/>
  <c r="AC191" i="11"/>
  <c r="AF191" i="11"/>
  <c r="AD191" i="11"/>
  <c r="AH191" i="11" s="1"/>
  <c r="AE191" i="11"/>
  <c r="AC985" i="11"/>
  <c r="AE985" i="11"/>
  <c r="AF985" i="11"/>
  <c r="AD985" i="11"/>
  <c r="AH985" i="11" s="1"/>
  <c r="AC91" i="11"/>
  <c r="AF91" i="11"/>
  <c r="AE91" i="11"/>
  <c r="AD91" i="11"/>
  <c r="AH91" i="11" s="1"/>
  <c r="AD816" i="11"/>
  <c r="AH816" i="11" s="1"/>
  <c r="AC816" i="11"/>
  <c r="AE816" i="11"/>
  <c r="AF816" i="11"/>
  <c r="AF761" i="11"/>
  <c r="AE761" i="11"/>
  <c r="AD761" i="11"/>
  <c r="AH761" i="11" s="1"/>
  <c r="AC761" i="11"/>
  <c r="AF758" i="11"/>
  <c r="AE758" i="11"/>
  <c r="AD758" i="11"/>
  <c r="AH758" i="11" s="1"/>
  <c r="AC758" i="11"/>
  <c r="AE984" i="11"/>
  <c r="AD984" i="11"/>
  <c r="AH984" i="11" s="1"/>
  <c r="AC984" i="11"/>
  <c r="AF984" i="11"/>
  <c r="AC969" i="11"/>
  <c r="AF969" i="11"/>
  <c r="AE969" i="11"/>
  <c r="AD969" i="11"/>
  <c r="AH969" i="11" s="1"/>
  <c r="AF810" i="11"/>
  <c r="AE810" i="11"/>
  <c r="AD810" i="11"/>
  <c r="AH810" i="11" s="1"/>
  <c r="AC810" i="11"/>
  <c r="AD42" i="11"/>
  <c r="AH42" i="11" s="1"/>
  <c r="AC42" i="11"/>
  <c r="AF42" i="11"/>
  <c r="AE42" i="11"/>
  <c r="AC430" i="11"/>
  <c r="AF430" i="11"/>
  <c r="AE430" i="11"/>
  <c r="AD430" i="11"/>
  <c r="AH430" i="11" s="1"/>
  <c r="AD56" i="11"/>
  <c r="AH56" i="11" s="1"/>
  <c r="AF56" i="11"/>
  <c r="AE56" i="11"/>
  <c r="AC56" i="11"/>
  <c r="AF410" i="11"/>
  <c r="AE410" i="11"/>
  <c r="AD410" i="11"/>
  <c r="AH410" i="11" s="1"/>
  <c r="AC410" i="11"/>
  <c r="AF645" i="11"/>
  <c r="AE645" i="11"/>
  <c r="AD645" i="11"/>
  <c r="AH645" i="11" s="1"/>
  <c r="AC645" i="11"/>
  <c r="AD287" i="11"/>
  <c r="AH287" i="11" s="1"/>
  <c r="AC287" i="11"/>
  <c r="AF287" i="11"/>
  <c r="AE287" i="11"/>
  <c r="AE888" i="11"/>
  <c r="AD888" i="11"/>
  <c r="AH888" i="11" s="1"/>
  <c r="AC888" i="11"/>
  <c r="AF888" i="11"/>
  <c r="AF466" i="11"/>
  <c r="AD466" i="11"/>
  <c r="AH466" i="11" s="1"/>
  <c r="AC466" i="11"/>
  <c r="AE466" i="11"/>
  <c r="AF246" i="11"/>
  <c r="AE246" i="11"/>
  <c r="AD246" i="11"/>
  <c r="AH246" i="11" s="1"/>
  <c r="AC246" i="11"/>
  <c r="AD112" i="11"/>
  <c r="AH112" i="11" s="1"/>
  <c r="AF112" i="11"/>
  <c r="AE112" i="11"/>
  <c r="AC112" i="11"/>
  <c r="AC250" i="11"/>
  <c r="AE250" i="11"/>
  <c r="AF250" i="11"/>
  <c r="AD250" i="11"/>
  <c r="AH250" i="11" s="1"/>
  <c r="AD857" i="11"/>
  <c r="AH857" i="11" s="1"/>
  <c r="AF857" i="11"/>
  <c r="AE857" i="11"/>
  <c r="AC857" i="11"/>
  <c r="AC931" i="11"/>
  <c r="AE931" i="11"/>
  <c r="AF931" i="11"/>
  <c r="AD931" i="11"/>
  <c r="AH931" i="11" s="1"/>
  <c r="AF458" i="11"/>
  <c r="AE458" i="11"/>
  <c r="AD458" i="11"/>
  <c r="AH458" i="11" s="1"/>
  <c r="AC458" i="11"/>
  <c r="AE185" i="11"/>
  <c r="AD185" i="11"/>
  <c r="AH185" i="11" s="1"/>
  <c r="AC185" i="11"/>
  <c r="AF185" i="11"/>
  <c r="AE336" i="11"/>
  <c r="AD336" i="11"/>
  <c r="AH336" i="11" s="1"/>
  <c r="AC336" i="11"/>
  <c r="AF336" i="11"/>
  <c r="AD188" i="11"/>
  <c r="AH188" i="11" s="1"/>
  <c r="AC188" i="11"/>
  <c r="AF188" i="11"/>
  <c r="AE188" i="11"/>
  <c r="AF788" i="11"/>
  <c r="AC788" i="11"/>
  <c r="AE788" i="11"/>
  <c r="AD788" i="11"/>
  <c r="AH788" i="11" s="1"/>
  <c r="AD356" i="11"/>
  <c r="AH356" i="11" s="1"/>
  <c r="AE356" i="11"/>
  <c r="AC356" i="11"/>
  <c r="AF356" i="11"/>
  <c r="AF812" i="11"/>
  <c r="AC812" i="11"/>
  <c r="AE812" i="11"/>
  <c r="AD812" i="11"/>
  <c r="AH812" i="11" s="1"/>
  <c r="AD387" i="11"/>
  <c r="AH387" i="11" s="1"/>
  <c r="AC387" i="11"/>
  <c r="AF387" i="11"/>
  <c r="AE387" i="11"/>
  <c r="AF135" i="11"/>
  <c r="AE135" i="11"/>
  <c r="AD135" i="11"/>
  <c r="AH135" i="11" s="1"/>
  <c r="AC135" i="11"/>
  <c r="AE119" i="11"/>
  <c r="AD119" i="11"/>
  <c r="AH119" i="11" s="1"/>
  <c r="AC119" i="11"/>
  <c r="AF119" i="11"/>
  <c r="AE376" i="11"/>
  <c r="AD376" i="11"/>
  <c r="AH376" i="11" s="1"/>
  <c r="AC376" i="11"/>
  <c r="AF376" i="11"/>
  <c r="AF956" i="11"/>
  <c r="AE956" i="11"/>
  <c r="AD956" i="11"/>
  <c r="AH956" i="11" s="1"/>
  <c r="AC956" i="11"/>
  <c r="AF994" i="11"/>
  <c r="AE994" i="11"/>
  <c r="AD994" i="11"/>
  <c r="AH994" i="11" s="1"/>
  <c r="AC994" i="11"/>
  <c r="AD371" i="11"/>
  <c r="AH371" i="11" s="1"/>
  <c r="AC371" i="11"/>
  <c r="AE371" i="11"/>
  <c r="AF371" i="11"/>
  <c r="AC965" i="11"/>
  <c r="AE965" i="11"/>
  <c r="AF965" i="11"/>
  <c r="AD965" i="11"/>
  <c r="AH965" i="11" s="1"/>
  <c r="AD768" i="11"/>
  <c r="AH768" i="11" s="1"/>
  <c r="AC768" i="11"/>
  <c r="AE768" i="11"/>
  <c r="AF768" i="11"/>
  <c r="AD824" i="11"/>
  <c r="AH824" i="11" s="1"/>
  <c r="AF824" i="11"/>
  <c r="AE824" i="11"/>
  <c r="AC824" i="11"/>
  <c r="AE154" i="11"/>
  <c r="AF154" i="11"/>
  <c r="AD154" i="11"/>
  <c r="AH154" i="11" s="1"/>
  <c r="AC154" i="11"/>
  <c r="AF453" i="11"/>
  <c r="AE453" i="11"/>
  <c r="AD453" i="11"/>
  <c r="AH453" i="11" s="1"/>
  <c r="AC453" i="11"/>
  <c r="AC232" i="11"/>
  <c r="AE232" i="11"/>
  <c r="AD232" i="11"/>
  <c r="AH232" i="11" s="1"/>
  <c r="AF232" i="11"/>
  <c r="AF1019" i="11"/>
  <c r="AE1019" i="11"/>
  <c r="AC1019" i="11"/>
  <c r="AD1019" i="11"/>
  <c r="AH1019" i="11" s="1"/>
  <c r="AF532" i="11"/>
  <c r="AE532" i="11"/>
  <c r="AD532" i="11"/>
  <c r="AH532" i="11" s="1"/>
  <c r="AC532" i="11"/>
  <c r="AF695" i="11"/>
  <c r="AE695" i="11"/>
  <c r="AD695" i="11"/>
  <c r="AH695" i="11" s="1"/>
  <c r="AC695" i="11"/>
  <c r="AD531" i="11"/>
  <c r="AH531" i="11" s="1"/>
  <c r="AF531" i="11"/>
  <c r="AE531" i="11"/>
  <c r="AC531" i="11"/>
  <c r="AE313" i="11"/>
  <c r="AF313" i="11"/>
  <c r="AD313" i="11"/>
  <c r="AH313" i="11" s="1"/>
  <c r="AC313" i="11"/>
  <c r="AD667" i="11"/>
  <c r="AH667" i="11" s="1"/>
  <c r="AC667" i="11"/>
  <c r="AF667" i="11"/>
  <c r="AE667" i="11"/>
  <c r="AD873" i="11"/>
  <c r="AH873" i="11" s="1"/>
  <c r="AC873" i="11"/>
  <c r="AF873" i="11"/>
  <c r="AE873" i="11"/>
  <c r="AF791" i="11"/>
  <c r="AE791" i="11"/>
  <c r="AC791" i="11"/>
  <c r="AD791" i="11"/>
  <c r="AH791" i="11" s="1"/>
  <c r="AE941" i="11"/>
  <c r="AD941" i="11"/>
  <c r="AH941" i="11" s="1"/>
  <c r="AF941" i="11"/>
  <c r="AC941" i="11"/>
  <c r="AF439" i="11"/>
  <c r="AC439" i="11"/>
  <c r="AE439" i="11"/>
  <c r="AD439" i="11"/>
  <c r="AH439" i="11" s="1"/>
  <c r="AF713" i="11"/>
  <c r="AE713" i="11"/>
  <c r="AD713" i="11"/>
  <c r="AH713" i="11" s="1"/>
  <c r="AC713" i="11"/>
  <c r="AE309" i="11"/>
  <c r="AF481" i="11"/>
  <c r="AE481" i="11"/>
  <c r="AD481" i="11"/>
  <c r="AH481" i="11" s="1"/>
  <c r="AC481" i="11"/>
  <c r="AC205" i="11"/>
  <c r="AC866" i="11"/>
  <c r="AC945" i="11"/>
  <c r="AE945" i="11"/>
  <c r="AF945" i="11"/>
  <c r="AD945" i="11"/>
  <c r="AH945" i="11" s="1"/>
  <c r="AF864" i="11"/>
  <c r="AE958" i="11"/>
  <c r="AD958" i="11"/>
  <c r="AH958" i="11" s="1"/>
  <c r="AC958" i="11"/>
  <c r="AF958" i="11"/>
  <c r="AE142" i="11"/>
  <c r="AD142" i="11"/>
  <c r="AH142" i="11" s="1"/>
  <c r="AF142" i="11"/>
  <c r="AC142" i="11"/>
  <c r="AD106" i="11"/>
  <c r="AH106" i="11" s="1"/>
  <c r="AC106" i="11"/>
  <c r="AF106" i="11"/>
  <c r="AE106" i="11"/>
  <c r="AC767" i="11"/>
  <c r="AE478" i="11"/>
  <c r="AC909" i="11"/>
  <c r="AE237" i="11"/>
  <c r="AC754" i="11"/>
  <c r="AD754" i="11"/>
  <c r="AH754" i="11" s="1"/>
  <c r="AF754" i="11"/>
  <c r="AE754" i="11"/>
  <c r="AC932" i="11"/>
  <c r="AE932" i="11"/>
  <c r="AD932" i="11"/>
  <c r="AH932" i="11" s="1"/>
  <c r="AF932" i="11"/>
  <c r="AF365" i="11"/>
  <c r="AE365" i="11"/>
  <c r="AD365" i="11"/>
  <c r="AH365" i="11" s="1"/>
  <c r="AC365" i="11"/>
  <c r="AF76" i="11"/>
  <c r="AE76" i="11"/>
  <c r="AD76" i="11"/>
  <c r="AH76" i="11" s="1"/>
  <c r="AC76" i="11"/>
  <c r="AE178" i="11"/>
  <c r="AF178" i="11"/>
  <c r="AD178" i="11"/>
  <c r="AH178" i="11" s="1"/>
  <c r="AC178" i="11"/>
  <c r="AF663" i="11"/>
  <c r="AD663" i="11"/>
  <c r="AH663" i="11" s="1"/>
  <c r="AE663" i="11"/>
  <c r="AC663" i="11"/>
  <c r="AD926" i="11"/>
  <c r="AH926" i="11" s="1"/>
  <c r="AE926" i="11"/>
  <c r="AC926" i="11"/>
  <c r="AF926" i="11"/>
  <c r="AC374" i="11"/>
  <c r="AF374" i="11"/>
  <c r="AD374" i="11"/>
  <c r="AH374" i="11" s="1"/>
  <c r="AE374" i="11"/>
  <c r="AF599" i="11"/>
  <c r="AE599" i="11"/>
  <c r="AD599" i="11"/>
  <c r="AH599" i="11" s="1"/>
  <c r="AC599" i="11"/>
  <c r="AF389" i="11"/>
  <c r="AE389" i="11"/>
  <c r="AD389" i="11"/>
  <c r="AH389" i="11" s="1"/>
  <c r="AC389" i="11"/>
  <c r="AF914" i="11"/>
  <c r="AE914" i="11"/>
  <c r="AC914" i="11"/>
  <c r="AD914" i="11"/>
  <c r="AH914" i="11" s="1"/>
  <c r="AD673" i="11"/>
  <c r="AH673" i="11" s="1"/>
  <c r="AF673" i="11"/>
  <c r="AE673" i="11"/>
  <c r="AC673" i="11"/>
  <c r="AF698" i="11"/>
  <c r="AE698" i="11"/>
  <c r="AD698" i="11"/>
  <c r="AH698" i="11" s="1"/>
  <c r="AC698" i="11"/>
  <c r="AF187" i="11"/>
  <c r="AE187" i="11"/>
  <c r="AD187" i="11"/>
  <c r="AH187" i="11" s="1"/>
  <c r="AC187" i="11"/>
  <c r="AE565" i="11"/>
  <c r="AD565" i="11"/>
  <c r="AH565" i="11" s="1"/>
  <c r="AC565" i="11"/>
  <c r="AF565" i="11"/>
  <c r="AF241" i="11"/>
  <c r="AE241" i="11"/>
  <c r="AD241" i="11"/>
  <c r="AH241" i="11" s="1"/>
  <c r="AC241" i="11"/>
  <c r="AF823" i="11"/>
  <c r="AE823" i="11"/>
  <c r="AD823" i="11"/>
  <c r="AH823" i="11" s="1"/>
  <c r="AC823" i="11"/>
  <c r="AF578" i="11"/>
  <c r="AE578" i="11"/>
  <c r="AD578" i="11"/>
  <c r="AH578" i="11" s="1"/>
  <c r="AC578" i="11"/>
  <c r="AD561" i="11"/>
  <c r="AH561" i="11" s="1"/>
  <c r="AC561" i="11"/>
  <c r="AF561" i="11"/>
  <c r="AE561" i="11"/>
  <c r="AD181" i="11"/>
  <c r="AH181" i="11" s="1"/>
  <c r="AF181" i="11"/>
  <c r="AE181" i="11"/>
  <c r="AC181" i="11"/>
  <c r="AD881" i="11"/>
  <c r="AH881" i="11" s="1"/>
  <c r="AC881" i="11"/>
  <c r="AF881" i="11"/>
  <c r="AE881" i="11"/>
  <c r="AC304" i="11"/>
  <c r="AE304" i="11"/>
  <c r="AD304" i="11"/>
  <c r="AH304" i="11" s="1"/>
  <c r="AF304" i="11"/>
  <c r="AC585" i="11"/>
  <c r="AD585" i="11"/>
  <c r="AH585" i="11" s="1"/>
  <c r="AF585" i="11"/>
  <c r="AE585" i="11"/>
  <c r="AE482" i="11"/>
  <c r="AD482" i="11"/>
  <c r="AH482" i="11" s="1"/>
  <c r="AC482" i="11"/>
  <c r="AF482" i="11"/>
  <c r="AF294" i="11"/>
  <c r="AE294" i="11"/>
  <c r="AD294" i="11"/>
  <c r="AH294" i="11" s="1"/>
  <c r="AC294" i="11"/>
  <c r="AF796" i="11"/>
  <c r="AC796" i="11"/>
  <c r="AE796" i="11"/>
  <c r="AD796" i="11"/>
  <c r="AH796" i="11" s="1"/>
  <c r="AF986" i="11"/>
  <c r="AE986" i="11"/>
  <c r="AD986" i="11"/>
  <c r="AH986" i="11" s="1"/>
  <c r="AC986" i="11"/>
  <c r="AF317" i="11"/>
  <c r="AE317" i="11"/>
  <c r="AD317" i="11"/>
  <c r="AH317" i="11" s="1"/>
  <c r="AC317" i="11"/>
  <c r="AF341" i="11"/>
  <c r="AE341" i="11"/>
  <c r="AD341" i="11"/>
  <c r="AH341" i="11" s="1"/>
  <c r="AC341" i="11"/>
  <c r="AD58" i="11"/>
  <c r="AH58" i="11" s="1"/>
  <c r="AC58" i="11"/>
  <c r="AF58" i="11"/>
  <c r="AE58" i="11"/>
  <c r="AF230" i="11"/>
  <c r="AE230" i="11"/>
  <c r="AD230" i="11"/>
  <c r="AH230" i="11" s="1"/>
  <c r="AC230" i="11"/>
  <c r="AF784" i="11"/>
  <c r="AF1002" i="11"/>
  <c r="AE1002" i="11"/>
  <c r="AD1002" i="11"/>
  <c r="AH1002" i="11" s="1"/>
  <c r="AC1002" i="11"/>
  <c r="AD974" i="11"/>
  <c r="AH974" i="11" s="1"/>
  <c r="AC895" i="11"/>
  <c r="AD665" i="11"/>
  <c r="AH665" i="11" s="1"/>
  <c r="AF665" i="11"/>
  <c r="AE665" i="11"/>
  <c r="AC665" i="11"/>
  <c r="AC738" i="11"/>
  <c r="AD738" i="11"/>
  <c r="AH738" i="11" s="1"/>
  <c r="AF738" i="11"/>
  <c r="AE738" i="11"/>
  <c r="AC625" i="11"/>
  <c r="AF625" i="11"/>
  <c r="AE625" i="11"/>
  <c r="AD625" i="11"/>
  <c r="AH625" i="11" s="1"/>
  <c r="AF367" i="11"/>
  <c r="AC367" i="11"/>
  <c r="AD367" i="11"/>
  <c r="AH367" i="11" s="1"/>
  <c r="AE367" i="11"/>
  <c r="AD552" i="11"/>
  <c r="AH552" i="11" s="1"/>
  <c r="AC552" i="11"/>
  <c r="AF552" i="11"/>
  <c r="AE552" i="11"/>
  <c r="AD315" i="11"/>
  <c r="AH315" i="11" s="1"/>
  <c r="AC315" i="11"/>
  <c r="AE315" i="11"/>
  <c r="AF315" i="11"/>
  <c r="AE131" i="11"/>
  <c r="AD131" i="11"/>
  <c r="AH131" i="11" s="1"/>
  <c r="AC131" i="11"/>
  <c r="AF131" i="11"/>
  <c r="AE840" i="11"/>
  <c r="AF840" i="11"/>
  <c r="AD840" i="11"/>
  <c r="AH840" i="11" s="1"/>
  <c r="AC840" i="11"/>
  <c r="AC860" i="11"/>
  <c r="AF860" i="11"/>
  <c r="AE860" i="11"/>
  <c r="AD860" i="11"/>
  <c r="AH860" i="11" s="1"/>
  <c r="AD705" i="11"/>
  <c r="AH705" i="11" s="1"/>
  <c r="AF705" i="11"/>
  <c r="AE705" i="11"/>
  <c r="AC705" i="11"/>
  <c r="AC282" i="11"/>
  <c r="AE282" i="11"/>
  <c r="AF282" i="11"/>
  <c r="AD282" i="11"/>
  <c r="AH282" i="11" s="1"/>
  <c r="AE195" i="11"/>
  <c r="AF195" i="11"/>
  <c r="AD195" i="11"/>
  <c r="AH195" i="11" s="1"/>
  <c r="AC195" i="11"/>
  <c r="AF251" i="11"/>
  <c r="AE251" i="11"/>
  <c r="AD251" i="11"/>
  <c r="AH251" i="11" s="1"/>
  <c r="AC251" i="11"/>
  <c r="AD223" i="11"/>
  <c r="AH223" i="11" s="1"/>
  <c r="AC223" i="11"/>
  <c r="AF223" i="11"/>
  <c r="AE223" i="11"/>
  <c r="AE321" i="11"/>
  <c r="AF321" i="11"/>
  <c r="AD321" i="11"/>
  <c r="AH321" i="11" s="1"/>
  <c r="AC321" i="11"/>
  <c r="AC69" i="11"/>
  <c r="AE69" i="11"/>
  <c r="AF69" i="11"/>
  <c r="AD69" i="11"/>
  <c r="AH69" i="11" s="1"/>
  <c r="AE640" i="11"/>
  <c r="AD640" i="11"/>
  <c r="AH640" i="11" s="1"/>
  <c r="AC640" i="11"/>
  <c r="AF640" i="11"/>
  <c r="AF289" i="11"/>
  <c r="AE289" i="11"/>
  <c r="AD289" i="11"/>
  <c r="AH289" i="11" s="1"/>
  <c r="AC289" i="11"/>
  <c r="AE967" i="11"/>
  <c r="AD967" i="11"/>
  <c r="AH967" i="11" s="1"/>
  <c r="AF967" i="11"/>
  <c r="AC967" i="11"/>
  <c r="AC475" i="11"/>
  <c r="AE475" i="11"/>
  <c r="AF475" i="11"/>
  <c r="AD475" i="11"/>
  <c r="AH475" i="11" s="1"/>
  <c r="AE193" i="11"/>
  <c r="AD193" i="11"/>
  <c r="AH193" i="11" s="1"/>
  <c r="AC193" i="11"/>
  <c r="AF193" i="11"/>
  <c r="AD944" i="11"/>
  <c r="AH944" i="11" s="1"/>
  <c r="AC944" i="11"/>
  <c r="AF944" i="11"/>
  <c r="AE944" i="11"/>
  <c r="AF402" i="11"/>
  <c r="AE402" i="11"/>
  <c r="AD402" i="11"/>
  <c r="AH402" i="11" s="1"/>
  <c r="AC402" i="11"/>
  <c r="AD88" i="11"/>
  <c r="AH88" i="11" s="1"/>
  <c r="AF88" i="11"/>
  <c r="AE88" i="11"/>
  <c r="AC88" i="11"/>
  <c r="AD80" i="11"/>
  <c r="AH80" i="11" s="1"/>
  <c r="AF80" i="11"/>
  <c r="AE80" i="11"/>
  <c r="AC80" i="11"/>
  <c r="AC534" i="11"/>
  <c r="AF534" i="11"/>
  <c r="AD534" i="11"/>
  <c r="AH534" i="11" s="1"/>
  <c r="AE534" i="11"/>
  <c r="AE557" i="11"/>
  <c r="AD557" i="11"/>
  <c r="AH557" i="11" s="1"/>
  <c r="AC557" i="11"/>
  <c r="AF557" i="11"/>
  <c r="AF147" i="11"/>
  <c r="AE147" i="11"/>
  <c r="AD147" i="11"/>
  <c r="AH147" i="11" s="1"/>
  <c r="AC147" i="11"/>
  <c r="AD666" i="11"/>
  <c r="AH666" i="11" s="1"/>
  <c r="AD762" i="11"/>
  <c r="AH762" i="11" s="1"/>
  <c r="AD988" i="11"/>
  <c r="AH988" i="11" s="1"/>
  <c r="AD342" i="11"/>
  <c r="AH342" i="11" s="1"/>
  <c r="AC1020" i="11"/>
  <c r="AF1020" i="11"/>
  <c r="AE1020" i="11"/>
  <c r="AD1020" i="11"/>
  <c r="AH1020" i="11" s="1"/>
  <c r="AD436" i="11"/>
  <c r="AH436" i="11" s="1"/>
  <c r="AF436" i="11"/>
  <c r="AC436" i="11"/>
  <c r="AE436" i="11"/>
  <c r="AD611" i="11"/>
  <c r="AH611" i="11" s="1"/>
  <c r="AC611" i="11"/>
  <c r="AF611" i="11"/>
  <c r="AE611" i="11"/>
  <c r="AC494" i="11"/>
  <c r="AF494" i="11"/>
  <c r="AD494" i="11"/>
  <c r="AH494" i="11" s="1"/>
  <c r="AE494" i="11"/>
  <c r="AF973" i="11"/>
  <c r="AE973" i="11"/>
  <c r="AC973" i="11"/>
  <c r="AD973" i="11"/>
  <c r="AH973" i="11" s="1"/>
  <c r="AC846" i="11"/>
  <c r="AD846" i="11"/>
  <c r="AH846" i="11" s="1"/>
  <c r="AF846" i="11"/>
  <c r="AE846" i="11"/>
  <c r="AF874" i="11"/>
  <c r="AD874" i="11"/>
  <c r="AH874" i="11" s="1"/>
  <c r="AC874" i="11"/>
  <c r="AE874" i="11"/>
  <c r="AD910" i="11"/>
  <c r="AH910" i="11" s="1"/>
  <c r="AC910" i="11"/>
  <c r="AF910" i="11"/>
  <c r="AE910" i="11"/>
  <c r="AE952" i="11"/>
  <c r="AD952" i="11"/>
  <c r="AH952" i="11" s="1"/>
  <c r="AF952" i="11"/>
  <c r="AC952" i="11"/>
  <c r="AD493" i="11"/>
  <c r="AH493" i="11" s="1"/>
  <c r="AC493" i="11"/>
  <c r="AF493" i="11"/>
  <c r="AE493" i="11"/>
  <c r="AC854" i="11"/>
  <c r="AE854" i="11"/>
  <c r="AF854" i="11"/>
  <c r="AD854" i="11"/>
  <c r="AH854" i="11" s="1"/>
  <c r="AE688" i="11"/>
  <c r="AD688" i="11"/>
  <c r="AH688" i="11" s="1"/>
  <c r="AC688" i="11"/>
  <c r="AF688" i="11"/>
  <c r="AD414" i="11"/>
  <c r="AH414" i="11" s="1"/>
  <c r="AF414" i="11"/>
  <c r="AE414" i="11"/>
  <c r="AC414" i="11"/>
  <c r="AF166" i="11"/>
  <c r="AE166" i="11"/>
  <c r="AD166" i="11"/>
  <c r="AH166" i="11" s="1"/>
  <c r="AC166" i="11"/>
  <c r="AC548" i="11"/>
  <c r="AF548" i="11"/>
  <c r="AE548" i="11"/>
  <c r="AD548" i="11"/>
  <c r="AH548" i="11" s="1"/>
  <c r="AC83" i="11"/>
  <c r="AF83" i="11"/>
  <c r="AE83" i="11"/>
  <c r="AD83" i="11"/>
  <c r="AH83" i="11" s="1"/>
  <c r="AE784" i="11"/>
  <c r="AC714" i="11"/>
  <c r="AF714" i="11"/>
  <c r="AE714" i="11"/>
  <c r="AD714" i="11"/>
  <c r="AH714" i="11" s="1"/>
  <c r="AD895" i="11"/>
  <c r="AH895" i="11" s="1"/>
  <c r="AD760" i="11"/>
  <c r="AH760" i="11" s="1"/>
  <c r="AF760" i="11"/>
  <c r="AE760" i="11"/>
  <c r="AC760" i="11"/>
  <c r="AC264" i="11"/>
  <c r="AE264" i="11"/>
  <c r="AD264" i="11"/>
  <c r="AH264" i="11" s="1"/>
  <c r="AF264" i="11"/>
  <c r="AE904" i="11"/>
  <c r="AD904" i="11"/>
  <c r="AH904" i="11" s="1"/>
  <c r="AC904" i="11"/>
  <c r="AF904" i="11"/>
  <c r="AD635" i="11"/>
  <c r="AH635" i="11" s="1"/>
  <c r="AC635" i="11"/>
  <c r="AF635" i="11"/>
  <c r="AE635" i="11"/>
  <c r="AE880" i="11"/>
  <c r="AD880" i="11"/>
  <c r="AH880" i="11" s="1"/>
  <c r="AF880" i="11"/>
  <c r="AC880" i="11"/>
  <c r="AC670" i="11"/>
  <c r="AE670" i="11"/>
  <c r="AF670" i="11"/>
  <c r="AD670" i="11"/>
  <c r="AH670" i="11" s="1"/>
  <c r="AF1018" i="11"/>
  <c r="AE1018" i="11"/>
  <c r="AD1018" i="11"/>
  <c r="AH1018" i="11" s="1"/>
  <c r="AC1018" i="11"/>
  <c r="AF938" i="11"/>
  <c r="AE938" i="11"/>
  <c r="AD938" i="11"/>
  <c r="AH938" i="11" s="1"/>
  <c r="AC938" i="11"/>
  <c r="AC358" i="11"/>
  <c r="AF358" i="11"/>
  <c r="AD358" i="11"/>
  <c r="AH358" i="11" s="1"/>
  <c r="AE358" i="11"/>
  <c r="AC814" i="11"/>
  <c r="AE814" i="11"/>
  <c r="AD814" i="11"/>
  <c r="AH814" i="11" s="1"/>
  <c r="AF814" i="11"/>
  <c r="AC224" i="11"/>
  <c r="AE224" i="11"/>
  <c r="AD224" i="11"/>
  <c r="AH224" i="11" s="1"/>
  <c r="AF224" i="11"/>
  <c r="AC587" i="11"/>
  <c r="AE587" i="11"/>
  <c r="AF587" i="11"/>
  <c r="AD587" i="11"/>
  <c r="AH587" i="11" s="1"/>
  <c r="AF726" i="11"/>
  <c r="AE726" i="11"/>
  <c r="AD726" i="11"/>
  <c r="AH726" i="11" s="1"/>
  <c r="AC726" i="11"/>
  <c r="AE284" i="11"/>
  <c r="AD284" i="11"/>
  <c r="AH284" i="11" s="1"/>
  <c r="AC284" i="11"/>
  <c r="AF284" i="11"/>
  <c r="AF774" i="11"/>
  <c r="AE774" i="11"/>
  <c r="AD774" i="11"/>
  <c r="AH774" i="11" s="1"/>
  <c r="AC774" i="11"/>
  <c r="AE1005" i="11"/>
  <c r="AD1005" i="11"/>
  <c r="AH1005" i="11" s="1"/>
  <c r="AC1005" i="11"/>
  <c r="AF1005" i="11"/>
  <c r="AE170" i="11"/>
  <c r="AF170" i="11"/>
  <c r="AD170" i="11"/>
  <c r="AH170" i="11" s="1"/>
  <c r="AC170" i="11"/>
  <c r="AC138" i="11"/>
  <c r="AF138" i="11"/>
  <c r="AE138" i="11"/>
  <c r="AD138" i="11"/>
  <c r="AH138" i="11" s="1"/>
  <c r="AC167" i="11"/>
  <c r="AF167" i="11"/>
  <c r="AD167" i="11"/>
  <c r="AH167" i="11" s="1"/>
  <c r="AE167" i="11"/>
  <c r="AD547" i="11"/>
  <c r="AH547" i="11" s="1"/>
  <c r="AF547" i="11"/>
  <c r="AE547" i="11"/>
  <c r="AC547" i="11"/>
  <c r="AC45" i="11"/>
  <c r="AE45" i="11"/>
  <c r="AD45" i="11"/>
  <c r="AH45" i="11" s="1"/>
  <c r="AF45" i="11"/>
  <c r="AF809" i="11"/>
  <c r="AE809" i="11"/>
  <c r="AD809" i="11"/>
  <c r="AH809" i="11" s="1"/>
  <c r="AC809" i="11"/>
  <c r="AF503" i="11"/>
  <c r="AE503" i="11"/>
  <c r="AD503" i="11"/>
  <c r="AH503" i="11" s="1"/>
  <c r="AC503" i="11"/>
  <c r="AF399" i="11"/>
  <c r="AC399" i="11"/>
  <c r="AE399" i="11"/>
  <c r="AD399" i="11"/>
  <c r="AH399" i="11" s="1"/>
  <c r="AE39" i="11"/>
  <c r="AD39" i="11"/>
  <c r="AH39" i="11" s="1"/>
  <c r="AC39" i="11"/>
  <c r="AF39" i="11"/>
  <c r="AD517" i="11"/>
  <c r="AH517" i="11" s="1"/>
  <c r="AC517" i="11"/>
  <c r="AF517" i="11"/>
  <c r="AE517" i="11"/>
  <c r="AF370" i="11"/>
  <c r="AE370" i="11"/>
  <c r="AD370" i="11"/>
  <c r="AH370" i="11" s="1"/>
  <c r="AC370" i="11"/>
  <c r="AC43" i="11"/>
  <c r="AF43" i="11"/>
  <c r="AE43" i="11"/>
  <c r="AD43" i="11"/>
  <c r="AH43" i="11" s="1"/>
  <c r="AD569" i="11"/>
  <c r="AH569" i="11" s="1"/>
  <c r="AC569" i="11"/>
  <c r="AF569" i="11"/>
  <c r="AE569" i="11"/>
  <c r="AE369" i="11"/>
  <c r="AF369" i="11"/>
  <c r="AD369" i="11"/>
  <c r="AH369" i="11" s="1"/>
  <c r="AC369" i="11"/>
  <c r="AD96" i="11"/>
  <c r="AH96" i="11" s="1"/>
  <c r="AF96" i="11"/>
  <c r="AE96" i="11"/>
  <c r="AC96" i="11"/>
  <c r="AD415" i="11"/>
  <c r="AH415" i="11" s="1"/>
  <c r="AC415" i="11"/>
  <c r="AF415" i="11"/>
  <c r="AE415" i="11"/>
  <c r="AD53" i="11"/>
  <c r="AH53" i="11" s="1"/>
  <c r="AD499" i="11"/>
  <c r="AH499" i="11" s="1"/>
  <c r="AF499" i="11"/>
  <c r="AE499" i="11"/>
  <c r="AC499" i="11"/>
  <c r="AC460" i="11"/>
  <c r="AE666" i="11"/>
  <c r="AE762" i="11"/>
  <c r="AE352" i="11"/>
  <c r="AD352" i="11"/>
  <c r="AH352" i="11" s="1"/>
  <c r="AC352" i="11"/>
  <c r="AF352" i="11"/>
  <c r="AF60" i="11"/>
  <c r="AE60" i="11"/>
  <c r="AD60" i="11"/>
  <c r="AH60" i="11" s="1"/>
  <c r="AC60" i="11"/>
  <c r="AF588" i="11"/>
  <c r="AD588" i="11"/>
  <c r="AH588" i="11" s="1"/>
  <c r="AC588" i="11"/>
  <c r="AE588" i="11"/>
  <c r="AF739" i="11"/>
  <c r="AE739" i="11"/>
  <c r="AD739" i="11"/>
  <c r="AH739" i="11" s="1"/>
  <c r="AC739" i="11"/>
  <c r="AC827" i="11"/>
  <c r="AF827" i="11"/>
  <c r="AE827" i="11"/>
  <c r="AD827" i="11"/>
  <c r="AH827" i="11" s="1"/>
  <c r="AC870" i="11"/>
  <c r="AF870" i="11"/>
  <c r="AE870" i="11"/>
  <c r="AD870" i="11"/>
  <c r="AH870" i="11" s="1"/>
  <c r="AF1023" i="11"/>
  <c r="AE1023" i="11"/>
  <c r="AD1023" i="11"/>
  <c r="AH1023" i="11" s="1"/>
  <c r="AC1023" i="11"/>
  <c r="AC676" i="11"/>
  <c r="AF676" i="11"/>
  <c r="AE676" i="11"/>
  <c r="AD676" i="11"/>
  <c r="AH676" i="11" s="1"/>
  <c r="AF217" i="11"/>
  <c r="AE217" i="11"/>
  <c r="AC217" i="11"/>
  <c r="AD217" i="11"/>
  <c r="AH217" i="11" s="1"/>
  <c r="AE872" i="11"/>
  <c r="AC872" i="11"/>
  <c r="AD872" i="11"/>
  <c r="AH872" i="11" s="1"/>
  <c r="AF872" i="11"/>
  <c r="AF519" i="11"/>
  <c r="AE519" i="11"/>
  <c r="AD519" i="11"/>
  <c r="AH519" i="11" s="1"/>
  <c r="AC519" i="11"/>
  <c r="AC923" i="11"/>
  <c r="AE923" i="11"/>
  <c r="AD923" i="11"/>
  <c r="AH923" i="11" s="1"/>
  <c r="AF923" i="11"/>
  <c r="AC248" i="11"/>
  <c r="AE248" i="11"/>
  <c r="AD248" i="11"/>
  <c r="AH248" i="11" s="1"/>
  <c r="AF248" i="11"/>
  <c r="AE856" i="11"/>
  <c r="AD856" i="11"/>
  <c r="AH856" i="11" s="1"/>
  <c r="AC856" i="11"/>
  <c r="AF856" i="11"/>
  <c r="AC109" i="11"/>
  <c r="AE109" i="11"/>
  <c r="AD109" i="11"/>
  <c r="AH109" i="11" s="1"/>
  <c r="AF109" i="11"/>
  <c r="AE425" i="11"/>
  <c r="AD425" i="11"/>
  <c r="AH425" i="11" s="1"/>
  <c r="AC425" i="11"/>
  <c r="AF425" i="11"/>
  <c r="AE949" i="11"/>
  <c r="AD949" i="11"/>
  <c r="AH949" i="11" s="1"/>
  <c r="AF949" i="11"/>
  <c r="AC949" i="11"/>
  <c r="AF283" i="11"/>
  <c r="AE283" i="11"/>
  <c r="AD283" i="11"/>
  <c r="AH283" i="11" s="1"/>
  <c r="AC283" i="11"/>
  <c r="AF725" i="11"/>
  <c r="AE725" i="11"/>
  <c r="AD725" i="11"/>
  <c r="AH725" i="11" s="1"/>
  <c r="AC725" i="11"/>
  <c r="AF203" i="11"/>
  <c r="AE203" i="11"/>
  <c r="AD203" i="11"/>
  <c r="AH203" i="11" s="1"/>
  <c r="AC203" i="11"/>
  <c r="AF46" i="11"/>
  <c r="AD46" i="11"/>
  <c r="AH46" i="11" s="1"/>
  <c r="AC46" i="11"/>
  <c r="AE46" i="11"/>
  <c r="AC876" i="11"/>
  <c r="AF876" i="11"/>
  <c r="AE876" i="11"/>
  <c r="AD876" i="11"/>
  <c r="AH876" i="11" s="1"/>
  <c r="AD851" i="11"/>
  <c r="AH851" i="11" s="1"/>
  <c r="AC851" i="11"/>
  <c r="AF851" i="11"/>
  <c r="AE851" i="11"/>
  <c r="AE186" i="11"/>
  <c r="AF186" i="11"/>
  <c r="AD186" i="11"/>
  <c r="AH186" i="11" s="1"/>
  <c r="AC186" i="11"/>
  <c r="AD525" i="11"/>
  <c r="AH525" i="11" s="1"/>
  <c r="AC525" i="11"/>
  <c r="AF525" i="11"/>
  <c r="AE525" i="11"/>
  <c r="AC612" i="11"/>
  <c r="AE612" i="11"/>
  <c r="AF612" i="11"/>
  <c r="AD612" i="11"/>
  <c r="AH612" i="11" s="1"/>
  <c r="AD675" i="11"/>
  <c r="AH675" i="11" s="1"/>
  <c r="AC675" i="11"/>
  <c r="AF675" i="11"/>
  <c r="AE675" i="11"/>
  <c r="AC536" i="11"/>
  <c r="AE536" i="11"/>
  <c r="AF536" i="11"/>
  <c r="AD536" i="11"/>
  <c r="AH536" i="11" s="1"/>
  <c r="AD875" i="11"/>
  <c r="AH875" i="11" s="1"/>
  <c r="AC875" i="11"/>
  <c r="AF875" i="11"/>
  <c r="AE875" i="11"/>
  <c r="AD198" i="11"/>
  <c r="AH198" i="11" s="1"/>
  <c r="AF198" i="11"/>
  <c r="AE198" i="11"/>
  <c r="AC198" i="11"/>
  <c r="AF144" i="11"/>
  <c r="AC144" i="11"/>
  <c r="AE144" i="11"/>
  <c r="AD144" i="11"/>
  <c r="AH144" i="11" s="1"/>
  <c r="AD979" i="11"/>
  <c r="AH979" i="11" s="1"/>
  <c r="AC979" i="11"/>
  <c r="AE979" i="11"/>
  <c r="AF979" i="11"/>
  <c r="AE145" i="11"/>
  <c r="AD145" i="11"/>
  <c r="AH145" i="11" s="1"/>
  <c r="AC145" i="11"/>
  <c r="AF145" i="11"/>
  <c r="AD148" i="11"/>
  <c r="AH148" i="11" s="1"/>
  <c r="AC148" i="11"/>
  <c r="AF148" i="11"/>
  <c r="AE148" i="11"/>
  <c r="AF219" i="11"/>
  <c r="AE219" i="11"/>
  <c r="AD219" i="11"/>
  <c r="AH219" i="11" s="1"/>
  <c r="AC219" i="11"/>
  <c r="AE153" i="11"/>
  <c r="AD153" i="11"/>
  <c r="AH153" i="11" s="1"/>
  <c r="AC153" i="11"/>
  <c r="AF153" i="11"/>
  <c r="AE95" i="11"/>
  <c r="AD95" i="11"/>
  <c r="AH95" i="11" s="1"/>
  <c r="AC95" i="11"/>
  <c r="AF95" i="11"/>
  <c r="AC977" i="11"/>
  <c r="AD977" i="11"/>
  <c r="AH977" i="11" s="1"/>
  <c r="AF977" i="11"/>
  <c r="AE977" i="11"/>
  <c r="AF36" i="11"/>
  <c r="AE36" i="11"/>
  <c r="AD36" i="11"/>
  <c r="AH36" i="11" s="1"/>
  <c r="AC36" i="11"/>
  <c r="AF885" i="11"/>
  <c r="AE885" i="11"/>
  <c r="AD885" i="11"/>
  <c r="AH885" i="11" s="1"/>
  <c r="AC885" i="11"/>
  <c r="AD928" i="11"/>
  <c r="AH928" i="11" s="1"/>
  <c r="AC928" i="11"/>
  <c r="AF928" i="11"/>
  <c r="AE928" i="11"/>
  <c r="AF505" i="11"/>
  <c r="AD505" i="11"/>
  <c r="AH505" i="11" s="1"/>
  <c r="AC505" i="11"/>
  <c r="AE505" i="11"/>
  <c r="AE130" i="11"/>
  <c r="AC130" i="11"/>
  <c r="AF130" i="11"/>
  <c r="AD130" i="11"/>
  <c r="AH130" i="11" s="1"/>
  <c r="AF747" i="11"/>
  <c r="AE747" i="11"/>
  <c r="AD747" i="11"/>
  <c r="AH747" i="11" s="1"/>
  <c r="AC747" i="11"/>
  <c r="AF267" i="11"/>
  <c r="AE267" i="11"/>
  <c r="AD267" i="11"/>
  <c r="AH267" i="11" s="1"/>
  <c r="AC267" i="11"/>
  <c r="AF108" i="11"/>
  <c r="AE108" i="11"/>
  <c r="AD108" i="11"/>
  <c r="AH108" i="11" s="1"/>
  <c r="AC108" i="11"/>
  <c r="AF309" i="11"/>
  <c r="AC202" i="11"/>
  <c r="AE202" i="11"/>
  <c r="AD202" i="11"/>
  <c r="AH202" i="11" s="1"/>
  <c r="AF202" i="11"/>
  <c r="AD767" i="11"/>
  <c r="AH767" i="11" s="1"/>
  <c r="AF448" i="11"/>
  <c r="AE448" i="11"/>
  <c r="AD448" i="11"/>
  <c r="AH448" i="11" s="1"/>
  <c r="AC448" i="11"/>
  <c r="AF120" i="11"/>
  <c r="AD120" i="11"/>
  <c r="AH120" i="11" s="1"/>
  <c r="AE120" i="11"/>
  <c r="AC120" i="11"/>
  <c r="AE292" i="11"/>
  <c r="AD292" i="11"/>
  <c r="AH292" i="11" s="1"/>
  <c r="AC292" i="11"/>
  <c r="AF292" i="11"/>
  <c r="AD808" i="11"/>
  <c r="AH808" i="11" s="1"/>
  <c r="AC808" i="11"/>
  <c r="AE808" i="11"/>
  <c r="AF808" i="11"/>
  <c r="AF473" i="11"/>
  <c r="AE473" i="11"/>
  <c r="AD473" i="11"/>
  <c r="AH473" i="11" s="1"/>
  <c r="AC473" i="11"/>
  <c r="AF70" i="11"/>
  <c r="AE70" i="11"/>
  <c r="AD70" i="11"/>
  <c r="AH70" i="11" s="1"/>
  <c r="AC70" i="11"/>
  <c r="AF86" i="11"/>
  <c r="AE86" i="11"/>
  <c r="AD86" i="11"/>
  <c r="AH86" i="11" s="1"/>
  <c r="AC86" i="11"/>
  <c r="AE432" i="11"/>
  <c r="AD432" i="11"/>
  <c r="AH432" i="11" s="1"/>
  <c r="AC432" i="11"/>
  <c r="AF432" i="11"/>
  <c r="AE451" i="11"/>
  <c r="AD451" i="11"/>
  <c r="AH451" i="11" s="1"/>
  <c r="AF451" i="11"/>
  <c r="AC451" i="11"/>
  <c r="AD50" i="11"/>
  <c r="AH50" i="11" s="1"/>
  <c r="AC50" i="11"/>
  <c r="AF50" i="11"/>
  <c r="AE50" i="11"/>
  <c r="AF357" i="11"/>
  <c r="AE357" i="11"/>
  <c r="AD357" i="11"/>
  <c r="AH357" i="11" s="1"/>
  <c r="AC357" i="11"/>
  <c r="AC836" i="11"/>
  <c r="AF836" i="11"/>
  <c r="AE836" i="11"/>
  <c r="AD836" i="11"/>
  <c r="AH836" i="11" s="1"/>
  <c r="AF802" i="11"/>
  <c r="AE802" i="11"/>
  <c r="AD802" i="11"/>
  <c r="AH802" i="11" s="1"/>
  <c r="AC802" i="11"/>
  <c r="AC790" i="11"/>
  <c r="AE790" i="11"/>
  <c r="AD790" i="11"/>
  <c r="AH790" i="11" s="1"/>
  <c r="AF790" i="11"/>
  <c r="AE989" i="11"/>
  <c r="AD989" i="11"/>
  <c r="AH989" i="11" s="1"/>
  <c r="AC989" i="11"/>
  <c r="AF989" i="11"/>
  <c r="AF155" i="11"/>
  <c r="AE155" i="11"/>
  <c r="AD155" i="11"/>
  <c r="AH155" i="11" s="1"/>
  <c r="AC155" i="11"/>
  <c r="AF125" i="11"/>
  <c r="AE125" i="11"/>
  <c r="AD125" i="11"/>
  <c r="AH125" i="11" s="1"/>
  <c r="AC125" i="11"/>
  <c r="AF715" i="11"/>
  <c r="AE715" i="11"/>
  <c r="AD715" i="11"/>
  <c r="AH715" i="11" s="1"/>
  <c r="AC715" i="11"/>
  <c r="AF302" i="11"/>
  <c r="AE302" i="11"/>
  <c r="AD302" i="11"/>
  <c r="AH302" i="11" s="1"/>
  <c r="AC302" i="11"/>
  <c r="AE47" i="11"/>
  <c r="AD47" i="11"/>
  <c r="AH47" i="11" s="1"/>
  <c r="AC47" i="11"/>
  <c r="AF47" i="11"/>
  <c r="AF919" i="11"/>
  <c r="AC919" i="11"/>
  <c r="AE919" i="11"/>
  <c r="AD919" i="11"/>
  <c r="AH919" i="11" s="1"/>
  <c r="AC892" i="11"/>
  <c r="AD892" i="11"/>
  <c r="AH892" i="11" s="1"/>
  <c r="AF892" i="11"/>
  <c r="AE892" i="11"/>
  <c r="AF1001" i="11"/>
  <c r="AD1001" i="11"/>
  <c r="AH1001" i="11" s="1"/>
  <c r="AC1001" i="11"/>
  <c r="AE1001" i="11"/>
  <c r="AF1010" i="11"/>
  <c r="AE1010" i="11"/>
  <c r="AD1010" i="11"/>
  <c r="AH1010" i="11" s="1"/>
  <c r="AC1010" i="11"/>
  <c r="AF626" i="11"/>
  <c r="AC626" i="11"/>
  <c r="AE626" i="11"/>
  <c r="AD626" i="11"/>
  <c r="AH626" i="11" s="1"/>
  <c r="AF89" i="11"/>
  <c r="AE89" i="11"/>
  <c r="AD89" i="11"/>
  <c r="AH89" i="11" s="1"/>
  <c r="AC89" i="11"/>
  <c r="AD149" i="11"/>
  <c r="AH149" i="11" s="1"/>
  <c r="AF149" i="11"/>
  <c r="AE149" i="11"/>
  <c r="AC149" i="11"/>
  <c r="AC27" i="11"/>
  <c r="AF27" i="11"/>
  <c r="AE27" i="11"/>
  <c r="AD27" i="11"/>
  <c r="AH27" i="11" s="1"/>
  <c r="AC446" i="11"/>
  <c r="AF446" i="11"/>
  <c r="AE446" i="11"/>
  <c r="AD446" i="11"/>
  <c r="AH446" i="11" s="1"/>
  <c r="AF770" i="11"/>
  <c r="AC770" i="11"/>
  <c r="AE770" i="11"/>
  <c r="AD770" i="11"/>
  <c r="AH770" i="11" s="1"/>
  <c r="AC1009" i="11"/>
  <c r="AF1009" i="11"/>
  <c r="AE1009" i="11"/>
  <c r="AD1009" i="11"/>
  <c r="AH1009" i="11" s="1"/>
  <c r="AF706" i="11"/>
  <c r="AE706" i="11"/>
  <c r="AD706" i="11"/>
  <c r="AH706" i="11" s="1"/>
  <c r="AC706" i="11"/>
  <c r="AF922" i="11"/>
  <c r="AE922" i="11"/>
  <c r="AD922" i="11"/>
  <c r="AH922" i="11" s="1"/>
  <c r="AC922" i="11"/>
  <c r="AE605" i="11"/>
  <c r="AD605" i="11"/>
  <c r="AH605" i="11" s="1"/>
  <c r="AC605" i="11"/>
  <c r="AF605" i="11"/>
  <c r="AD942" i="11"/>
  <c r="AH942" i="11" s="1"/>
  <c r="AE942" i="11"/>
  <c r="AC942" i="11"/>
  <c r="AF942" i="11"/>
  <c r="AF567" i="11"/>
  <c r="AE567" i="11"/>
  <c r="AD567" i="11"/>
  <c r="AH567" i="11" s="1"/>
  <c r="AC567" i="11"/>
  <c r="AD340" i="11"/>
  <c r="AH340" i="11" s="1"/>
  <c r="AF340" i="11"/>
  <c r="AC340" i="11"/>
  <c r="AE340" i="11"/>
  <c r="AC334" i="11"/>
  <c r="AF334" i="11"/>
  <c r="AD334" i="11"/>
  <c r="AH334" i="11" s="1"/>
  <c r="AE334" i="11"/>
  <c r="AF596" i="11"/>
  <c r="AD596" i="11"/>
  <c r="AH596" i="11" s="1"/>
  <c r="AC596" i="11"/>
  <c r="AE596" i="11"/>
  <c r="AF391" i="11"/>
  <c r="AC391" i="11"/>
  <c r="AE391" i="11"/>
  <c r="AD391" i="11"/>
  <c r="AH391" i="11" s="1"/>
  <c r="AF772" i="11"/>
  <c r="AE772" i="11"/>
  <c r="AD772" i="11"/>
  <c r="AH772" i="11" s="1"/>
  <c r="AC772" i="11"/>
  <c r="AD245" i="11"/>
  <c r="AH245" i="11" s="1"/>
  <c r="AF245" i="11"/>
  <c r="AE245" i="11"/>
  <c r="AC245" i="11"/>
  <c r="AD197" i="11"/>
  <c r="AH197" i="11" s="1"/>
  <c r="AF197" i="11"/>
  <c r="AE197" i="11"/>
  <c r="AC197" i="11"/>
  <c r="AF775" i="11"/>
  <c r="AE775" i="11"/>
  <c r="AD775" i="11"/>
  <c r="AH775" i="11" s="1"/>
  <c r="AC775" i="11"/>
  <c r="AC422" i="11"/>
  <c r="AE422" i="11"/>
  <c r="AF422" i="11"/>
  <c r="AD422" i="11"/>
  <c r="AH422" i="11" s="1"/>
  <c r="AE79" i="11"/>
  <c r="AD79" i="11"/>
  <c r="AH79" i="11" s="1"/>
  <c r="AC79" i="11"/>
  <c r="AF79" i="11"/>
  <c r="AC306" i="11"/>
  <c r="AE306" i="11"/>
  <c r="AF306" i="11"/>
  <c r="AD306" i="11"/>
  <c r="AH306" i="11" s="1"/>
  <c r="AD261" i="11"/>
  <c r="AH261" i="11" s="1"/>
  <c r="AF261" i="11"/>
  <c r="AE261" i="11"/>
  <c r="AC261" i="11"/>
  <c r="AF307" i="11"/>
  <c r="AE307" i="11"/>
  <c r="AD307" i="11"/>
  <c r="AH307" i="11" s="1"/>
  <c r="AC307" i="11"/>
  <c r="AD743" i="11"/>
  <c r="AH743" i="11" s="1"/>
  <c r="AC743" i="11"/>
  <c r="AE743" i="11"/>
  <c r="AF743" i="11"/>
  <c r="AF780" i="11"/>
  <c r="AC780" i="11"/>
  <c r="AE780" i="11"/>
  <c r="AD780" i="11"/>
  <c r="AH780" i="11" s="1"/>
  <c r="AE522" i="11"/>
  <c r="AD522" i="11"/>
  <c r="AH522" i="11" s="1"/>
  <c r="AC522" i="11"/>
  <c r="AF522" i="11"/>
  <c r="AD395" i="11"/>
  <c r="AH395" i="11" s="1"/>
  <c r="AC395" i="11"/>
  <c r="AF395" i="11"/>
  <c r="AE395" i="11"/>
  <c r="AC465" i="11"/>
  <c r="AF465" i="11"/>
  <c r="AE465" i="11"/>
  <c r="AD465" i="11"/>
  <c r="AH465" i="11" s="1"/>
  <c r="AD355" i="11"/>
  <c r="AH355" i="11" s="1"/>
  <c r="AC355" i="11"/>
  <c r="AE355" i="11"/>
  <c r="AF355" i="11"/>
  <c r="AD627" i="11"/>
  <c r="AH627" i="11" s="1"/>
  <c r="AC627" i="11"/>
  <c r="AF627" i="11"/>
  <c r="AE627" i="11"/>
  <c r="AE177" i="11"/>
  <c r="AD177" i="11"/>
  <c r="AH177" i="11" s="1"/>
  <c r="AC177" i="11"/>
  <c r="AF177" i="11"/>
  <c r="AD849" i="11"/>
  <c r="AH849" i="11" s="1"/>
  <c r="AF849" i="11"/>
  <c r="AE849" i="11"/>
  <c r="AC849" i="11"/>
  <c r="AF122" i="11"/>
  <c r="AE122" i="11"/>
  <c r="AC122" i="11"/>
  <c r="AD122" i="11"/>
  <c r="AH122" i="11" s="1"/>
  <c r="AC630" i="11"/>
  <c r="AF630" i="11"/>
  <c r="AE630" i="11"/>
  <c r="AD630" i="11"/>
  <c r="AH630" i="11" s="1"/>
  <c r="AF78" i="11"/>
  <c r="AD78" i="11"/>
  <c r="AH78" i="11" s="1"/>
  <c r="AC78" i="11"/>
  <c r="AE78" i="11"/>
  <c r="AD727" i="11"/>
  <c r="AH727" i="11" s="1"/>
  <c r="AC727" i="11"/>
  <c r="AE727" i="11"/>
  <c r="AF727" i="11"/>
  <c r="AC620" i="11"/>
  <c r="AF620" i="11"/>
  <c r="AE620" i="11"/>
  <c r="AD620" i="11"/>
  <c r="AH620" i="11" s="1"/>
  <c r="AF586" i="11"/>
  <c r="AE586" i="11"/>
  <c r="AD586" i="11"/>
  <c r="AH586" i="11" s="1"/>
  <c r="AC586" i="11"/>
  <c r="AD833" i="11"/>
  <c r="AH833" i="11" s="1"/>
  <c r="AF833" i="11"/>
  <c r="AE833" i="11"/>
  <c r="AC833" i="11"/>
  <c r="AF721" i="11"/>
  <c r="AD721" i="11"/>
  <c r="AH721" i="11" s="1"/>
  <c r="AE721" i="11"/>
  <c r="AC721" i="11"/>
  <c r="AC518" i="11"/>
  <c r="AF518" i="11"/>
  <c r="AD518" i="11"/>
  <c r="AH518" i="11" s="1"/>
  <c r="AE518" i="11"/>
  <c r="AF847" i="11"/>
  <c r="AE847" i="11"/>
  <c r="AD847" i="11"/>
  <c r="AH847" i="11" s="1"/>
  <c r="AC847" i="11"/>
  <c r="AF610" i="11"/>
  <c r="AE610" i="11"/>
  <c r="AD610" i="11"/>
  <c r="AH610" i="11" s="1"/>
  <c r="AC610" i="11"/>
  <c r="AD277" i="11"/>
  <c r="AH277" i="11" s="1"/>
  <c r="AF277" i="11"/>
  <c r="AE277" i="11"/>
  <c r="AC277" i="11"/>
  <c r="AD485" i="11"/>
  <c r="AH485" i="11" s="1"/>
  <c r="AC485" i="11"/>
  <c r="AF485" i="11"/>
  <c r="AE485" i="11"/>
  <c r="AF497" i="11"/>
  <c r="AE497" i="11"/>
  <c r="AD497" i="11"/>
  <c r="AH497" i="11" s="1"/>
  <c r="AC497" i="11"/>
  <c r="AC210" i="11"/>
  <c r="AD210" i="11"/>
  <c r="AH210" i="11" s="1"/>
  <c r="AF210" i="11"/>
  <c r="AE210" i="11"/>
  <c r="AD40" i="11"/>
  <c r="AH40" i="11" s="1"/>
  <c r="AF40" i="11"/>
  <c r="AE40" i="11"/>
  <c r="AC40" i="11"/>
  <c r="AC406" i="11"/>
  <c r="AF406" i="11"/>
  <c r="AD406" i="11"/>
  <c r="AH406" i="11" s="1"/>
  <c r="AE406" i="11"/>
  <c r="AF764" i="11"/>
  <c r="AE764" i="11"/>
  <c r="AD764" i="11"/>
  <c r="AH764" i="11" s="1"/>
  <c r="AC764" i="11"/>
  <c r="AE842" i="11"/>
  <c r="AF842" i="11"/>
  <c r="AD842" i="11"/>
  <c r="AH842" i="11" s="1"/>
  <c r="AC842" i="11"/>
  <c r="AF1012" i="11"/>
  <c r="AE1012" i="11"/>
  <c r="AC1012" i="11"/>
  <c r="AD1012" i="11"/>
  <c r="AH1012" i="11" s="1"/>
  <c r="AD608" i="11"/>
  <c r="AH608" i="11" s="1"/>
  <c r="AC608" i="11"/>
  <c r="AF608" i="11"/>
  <c r="AE608" i="11"/>
  <c r="D20" i="7"/>
  <c r="D19" i="7"/>
  <c r="E9" i="7"/>
  <c r="AF238" i="11"/>
  <c r="AE238" i="11"/>
  <c r="AD238" i="11"/>
  <c r="AH238" i="11" s="1"/>
  <c r="AC238" i="11"/>
  <c r="AE268" i="11"/>
  <c r="AD268" i="11"/>
  <c r="AH268" i="11" s="1"/>
  <c r="AC268" i="11"/>
  <c r="AF268" i="11"/>
  <c r="AF150" i="11"/>
  <c r="AE150" i="11"/>
  <c r="AD150" i="11"/>
  <c r="AH150" i="11" s="1"/>
  <c r="AC150" i="11"/>
  <c r="AE813" i="11"/>
  <c r="AD813" i="11"/>
  <c r="AH813" i="11" s="1"/>
  <c r="AC813" i="11"/>
  <c r="AF813" i="11"/>
  <c r="AF140" i="11"/>
  <c r="AE140" i="11"/>
  <c r="AD140" i="11"/>
  <c r="AH140" i="11" s="1"/>
  <c r="AC140" i="11"/>
  <c r="AF729" i="11"/>
  <c r="AE729" i="11"/>
  <c r="AD729" i="11"/>
  <c r="AH729" i="11" s="1"/>
  <c r="AC729" i="11"/>
  <c r="AD707" i="11"/>
  <c r="AH707" i="11" s="1"/>
  <c r="AC707" i="11"/>
  <c r="AF707" i="11"/>
  <c r="AE707" i="11"/>
  <c r="AC757" i="11"/>
  <c r="AF757" i="11"/>
  <c r="AE757" i="11"/>
  <c r="AD757" i="11"/>
  <c r="AH757" i="11" s="1"/>
  <c r="AE672" i="11"/>
  <c r="AD672" i="11"/>
  <c r="AH672" i="11" s="1"/>
  <c r="AC672" i="11"/>
  <c r="AF672" i="11"/>
  <c r="AC668" i="11"/>
  <c r="AF668" i="11"/>
  <c r="AE668" i="11"/>
  <c r="AD668" i="11"/>
  <c r="AH668" i="11" s="1"/>
  <c r="AF222" i="11"/>
  <c r="AD222" i="11"/>
  <c r="AH222" i="11" s="1"/>
  <c r="AC222" i="11"/>
  <c r="AE222" i="11"/>
  <c r="AF375" i="11"/>
  <c r="AC375" i="11"/>
  <c r="AD375" i="11"/>
  <c r="AH375" i="11" s="1"/>
  <c r="AE375" i="11"/>
  <c r="AE353" i="11"/>
  <c r="AF353" i="11"/>
  <c r="AD353" i="11"/>
  <c r="AH353" i="11" s="1"/>
  <c r="AC353" i="11"/>
  <c r="AF839" i="11"/>
  <c r="AE839" i="11"/>
  <c r="AD839" i="11"/>
  <c r="AH839" i="11" s="1"/>
  <c r="AC839" i="11"/>
  <c r="AC915" i="11"/>
  <c r="AE915" i="11"/>
  <c r="AD915" i="11"/>
  <c r="AH915" i="11" s="1"/>
  <c r="AF915" i="11"/>
  <c r="AF701" i="11"/>
  <c r="AE701" i="11"/>
  <c r="AD701" i="11"/>
  <c r="AH701" i="11" s="1"/>
  <c r="AC701" i="11"/>
  <c r="AC438" i="11"/>
  <c r="AF438" i="11"/>
  <c r="AE438" i="11"/>
  <c r="AD438" i="11"/>
  <c r="AH438" i="11" s="1"/>
  <c r="AC710" i="11"/>
  <c r="AE710" i="11"/>
  <c r="AF710" i="11"/>
  <c r="AD710" i="11"/>
  <c r="AH710" i="11" s="1"/>
  <c r="AE924" i="11"/>
  <c r="AD924" i="11"/>
  <c r="AH924" i="11" s="1"/>
  <c r="AC924" i="11"/>
  <c r="AF924" i="11"/>
  <c r="AF158" i="11"/>
  <c r="AE158" i="11"/>
  <c r="AD158" i="11"/>
  <c r="AH158" i="11" s="1"/>
  <c r="AC158" i="11"/>
  <c r="AD165" i="11"/>
  <c r="AH165" i="11" s="1"/>
  <c r="AF165" i="11"/>
  <c r="AE165" i="11"/>
  <c r="AC165" i="11"/>
  <c r="AC390" i="11"/>
  <c r="AF390" i="11"/>
  <c r="AD390" i="11"/>
  <c r="AH390" i="11" s="1"/>
  <c r="AE390" i="11"/>
  <c r="AE728" i="11"/>
  <c r="AD728" i="11"/>
  <c r="AH728" i="11" s="1"/>
  <c r="AC728" i="11"/>
  <c r="AF728" i="11"/>
  <c r="AF1008" i="11"/>
  <c r="AD1008" i="11"/>
  <c r="AH1008" i="11" s="1"/>
  <c r="AC1008" i="11"/>
  <c r="AE1008" i="11"/>
  <c r="AF799" i="11"/>
  <c r="AE799" i="11"/>
  <c r="AC799" i="11"/>
  <c r="AD799" i="11"/>
  <c r="AH799" i="11" s="1"/>
  <c r="AD992" i="11"/>
  <c r="AH992" i="11" s="1"/>
  <c r="AC992" i="11"/>
  <c r="AF992" i="11"/>
  <c r="AE992" i="11"/>
  <c r="AC929" i="11"/>
  <c r="AF929" i="11"/>
  <c r="AE929" i="11"/>
  <c r="AD929" i="11"/>
  <c r="AH929" i="11" s="1"/>
  <c r="AF996" i="11"/>
  <c r="AE996" i="11"/>
  <c r="AD996" i="11"/>
  <c r="AH996" i="11" s="1"/>
  <c r="AC996" i="11"/>
  <c r="AE744" i="11"/>
  <c r="AD744" i="11"/>
  <c r="AH744" i="11" s="1"/>
  <c r="AC744" i="11"/>
  <c r="AF744" i="11"/>
  <c r="AD619" i="11"/>
  <c r="AH619" i="11" s="1"/>
  <c r="AC619" i="11"/>
  <c r="AF619" i="11"/>
  <c r="AE619" i="11"/>
  <c r="AD303" i="11"/>
  <c r="AH303" i="11" s="1"/>
  <c r="AC303" i="11"/>
  <c r="AF303" i="11"/>
  <c r="AE303" i="11"/>
  <c r="AF92" i="11"/>
  <c r="AE92" i="11"/>
  <c r="AD92" i="11"/>
  <c r="AH92" i="11" s="1"/>
  <c r="AC92" i="11"/>
  <c r="AD462" i="11"/>
  <c r="AH462" i="11" s="1"/>
  <c r="AC462" i="11"/>
  <c r="AF462" i="11"/>
  <c r="AE462" i="11"/>
  <c r="AC417" i="11"/>
  <c r="AF417" i="11"/>
  <c r="AE417" i="11"/>
  <c r="AD417" i="11"/>
  <c r="AH417" i="11" s="1"/>
  <c r="AF362" i="11"/>
  <c r="AE362" i="11"/>
  <c r="AD362" i="11"/>
  <c r="AH362" i="11" s="1"/>
  <c r="AC362" i="11"/>
  <c r="AD962" i="11"/>
  <c r="AH962" i="11" s="1"/>
  <c r="AC962" i="11"/>
  <c r="AF962" i="11"/>
  <c r="AE962" i="11"/>
  <c r="AD859" i="11"/>
  <c r="AH859" i="11" s="1"/>
  <c r="AC859" i="11"/>
  <c r="AF859" i="11"/>
  <c r="AE859" i="11"/>
  <c r="AD659" i="11"/>
  <c r="AH659" i="11" s="1"/>
  <c r="AC659" i="11"/>
  <c r="AF659" i="11"/>
  <c r="AE659" i="11"/>
  <c r="AC366" i="11"/>
  <c r="AF366" i="11"/>
  <c r="AD366" i="11"/>
  <c r="AH366" i="11" s="1"/>
  <c r="AE366" i="11"/>
  <c r="AC107" i="11"/>
  <c r="AF107" i="11"/>
  <c r="AE107" i="11"/>
  <c r="AD107" i="11"/>
  <c r="AH107" i="11" s="1"/>
  <c r="AF405" i="11"/>
  <c r="AE405" i="11"/>
  <c r="AD405" i="11"/>
  <c r="AH405" i="11" s="1"/>
  <c r="AC405" i="11"/>
  <c r="AD388" i="11"/>
  <c r="AH388" i="11" s="1"/>
  <c r="AE388" i="11"/>
  <c r="AC388" i="11"/>
  <c r="AF388" i="11"/>
  <c r="AC296" i="11"/>
  <c r="AE296" i="11"/>
  <c r="AD296" i="11"/>
  <c r="AH296" i="11" s="1"/>
  <c r="AF296" i="11"/>
  <c r="AD347" i="11"/>
  <c r="AH347" i="11" s="1"/>
  <c r="AC347" i="11"/>
  <c r="AE347" i="11"/>
  <c r="AF347" i="11"/>
  <c r="AE848" i="11"/>
  <c r="AD848" i="11"/>
  <c r="AH848" i="11" s="1"/>
  <c r="AC848" i="11"/>
  <c r="AF848" i="11"/>
  <c r="AD776" i="11"/>
  <c r="AH776" i="11" s="1"/>
  <c r="AF776" i="11"/>
  <c r="AE776" i="11"/>
  <c r="AC776" i="11"/>
  <c r="AF906" i="11"/>
  <c r="AD906" i="11"/>
  <c r="AH906" i="11" s="1"/>
  <c r="AC906" i="11"/>
  <c r="AE906" i="11"/>
  <c r="AF570" i="11"/>
  <c r="AE570" i="11"/>
  <c r="AD570" i="11"/>
  <c r="AH570" i="11" s="1"/>
  <c r="AC570" i="11"/>
  <c r="AE204" i="11"/>
  <c r="AD204" i="11"/>
  <c r="AH204" i="11" s="1"/>
  <c r="AF204" i="11"/>
  <c r="AC204" i="11"/>
  <c r="AC622" i="11"/>
  <c r="AD622" i="11"/>
  <c r="AH622" i="11" s="1"/>
  <c r="AF622" i="11"/>
  <c r="AE622" i="11"/>
  <c r="AC143" i="11"/>
  <c r="AF143" i="11"/>
  <c r="AD143" i="11"/>
  <c r="AH143" i="11" s="1"/>
  <c r="AE143" i="11"/>
  <c r="AE736" i="11"/>
  <c r="AD736" i="11"/>
  <c r="AH736" i="11" s="1"/>
  <c r="AC736" i="11"/>
  <c r="AF736" i="11"/>
  <c r="AE549" i="11"/>
  <c r="AD549" i="11"/>
  <c r="AH549" i="11" s="1"/>
  <c r="AC549" i="11"/>
  <c r="AF549" i="11"/>
  <c r="AE1013" i="11"/>
  <c r="AD1013" i="11"/>
  <c r="AH1013" i="11" s="1"/>
  <c r="AC1013" i="11"/>
  <c r="AF1013" i="11"/>
  <c r="AF655" i="11"/>
  <c r="AD655" i="11"/>
  <c r="AH655" i="11" s="1"/>
  <c r="AE655" i="11"/>
  <c r="AC655" i="11"/>
  <c r="AC806" i="11"/>
  <c r="AE806" i="11"/>
  <c r="AD806" i="11"/>
  <c r="AH806" i="11" s="1"/>
  <c r="AF806" i="11"/>
  <c r="AC868" i="11"/>
  <c r="AE868" i="11"/>
  <c r="AD868" i="11"/>
  <c r="AH868" i="11" s="1"/>
  <c r="AF868" i="11"/>
  <c r="AF964" i="11"/>
  <c r="AE964" i="11"/>
  <c r="AD964" i="11"/>
  <c r="AH964" i="11" s="1"/>
  <c r="AC964" i="11"/>
  <c r="AD843" i="11"/>
  <c r="AH843" i="11" s="1"/>
  <c r="AC843" i="11"/>
  <c r="AF843" i="11"/>
  <c r="AE843" i="11"/>
  <c r="AF793" i="11"/>
  <c r="AE793" i="11"/>
  <c r="AD793" i="11"/>
  <c r="AH793" i="11" s="1"/>
  <c r="AC793" i="11"/>
  <c r="AE146" i="11"/>
  <c r="AF146" i="11"/>
  <c r="AD146" i="11"/>
  <c r="AH146" i="11" s="1"/>
  <c r="AC146" i="11"/>
  <c r="AD592" i="11"/>
  <c r="AH592" i="11" s="1"/>
  <c r="AC592" i="11"/>
  <c r="AF592" i="11"/>
  <c r="AE592" i="11"/>
  <c r="AF259" i="11"/>
  <c r="AE259" i="11"/>
  <c r="AD259" i="11"/>
  <c r="AH259" i="11" s="1"/>
  <c r="AC259" i="11"/>
  <c r="AD34" i="11"/>
  <c r="AH34" i="11" s="1"/>
  <c r="AC34" i="11"/>
  <c r="AF34" i="11"/>
  <c r="AE34" i="11"/>
  <c r="AC310" i="11"/>
  <c r="AF310" i="11"/>
  <c r="AD310" i="11"/>
  <c r="AH310" i="11" s="1"/>
  <c r="AE310" i="11"/>
  <c r="AD363" i="11"/>
  <c r="AH363" i="11" s="1"/>
  <c r="AC363" i="11"/>
  <c r="AE363" i="11"/>
  <c r="AF363" i="11"/>
  <c r="AE573" i="11"/>
  <c r="AD573" i="11"/>
  <c r="AH573" i="11" s="1"/>
  <c r="AC573" i="11"/>
  <c r="AF573" i="11"/>
  <c r="AC746" i="11"/>
  <c r="AD746" i="11"/>
  <c r="AH746" i="11" s="1"/>
  <c r="AF746" i="11"/>
  <c r="AE746" i="11"/>
  <c r="AC563" i="11"/>
  <c r="AE563" i="11"/>
  <c r="AF563" i="11"/>
  <c r="AD563" i="11"/>
  <c r="AH563" i="11" s="1"/>
  <c r="AE589" i="11"/>
  <c r="AD589" i="11"/>
  <c r="AH589" i="11" s="1"/>
  <c r="AC589" i="11"/>
  <c r="AF589" i="11"/>
  <c r="AD127" i="11"/>
  <c r="AH127" i="11" s="1"/>
  <c r="AC127" i="11"/>
  <c r="AF127" i="11"/>
  <c r="AE127" i="11"/>
  <c r="AF97" i="11"/>
  <c r="AE97" i="11"/>
  <c r="AD97" i="11"/>
  <c r="AH97" i="11" s="1"/>
  <c r="AC97" i="11"/>
  <c r="AC326" i="11"/>
  <c r="AF326" i="11"/>
  <c r="AD326" i="11"/>
  <c r="AH326" i="11" s="1"/>
  <c r="AE326" i="11"/>
  <c r="AC779" i="11"/>
  <c r="AD779" i="11"/>
  <c r="AH779" i="11" s="1"/>
  <c r="AE779" i="11"/>
  <c r="AF779" i="11"/>
  <c r="AE680" i="11"/>
  <c r="AD680" i="11"/>
  <c r="AH680" i="11" s="1"/>
  <c r="AC680" i="11"/>
  <c r="AF680" i="11"/>
  <c r="AF850" i="11"/>
  <c r="AE850" i="11"/>
  <c r="AD850" i="11"/>
  <c r="AH850" i="11" s="1"/>
  <c r="AC850" i="11"/>
  <c r="AF817" i="11"/>
  <c r="AE817" i="11"/>
  <c r="AD817" i="11"/>
  <c r="AH817" i="11" s="1"/>
  <c r="AC817" i="11"/>
  <c r="AF338" i="11"/>
  <c r="AE338" i="11"/>
  <c r="AD338" i="11"/>
  <c r="AH338" i="11" s="1"/>
  <c r="AC338" i="11"/>
  <c r="AF961" i="11"/>
  <c r="AE961" i="11"/>
  <c r="AD961" i="11"/>
  <c r="AH961" i="11" s="1"/>
  <c r="AC961" i="11"/>
  <c r="AD269" i="11"/>
  <c r="AH269" i="11" s="1"/>
  <c r="AF269" i="11"/>
  <c r="AE269" i="11"/>
  <c r="AC269" i="11"/>
  <c r="AD683" i="11"/>
  <c r="AH683" i="11" s="1"/>
  <c r="AC683" i="11"/>
  <c r="AF683" i="11"/>
  <c r="AE683" i="11"/>
  <c r="AF386" i="11"/>
  <c r="AE386" i="11"/>
  <c r="AD386" i="11"/>
  <c r="AH386" i="11" s="1"/>
  <c r="AC386" i="11"/>
  <c r="AF100" i="11"/>
  <c r="AE100" i="11"/>
  <c r="AD100" i="11"/>
  <c r="AH100" i="11" s="1"/>
  <c r="AC100" i="11"/>
  <c r="J5" i="5"/>
  <c r="J4" i="6" s="1"/>
  <c r="AF262" i="11"/>
  <c r="AE262" i="11"/>
  <c r="AD262" i="11"/>
  <c r="AH262" i="11" s="1"/>
  <c r="AC262" i="11"/>
  <c r="AE933" i="11"/>
  <c r="AD933" i="11"/>
  <c r="AH933" i="11" s="1"/>
  <c r="AF933" i="11"/>
  <c r="AC933" i="11"/>
  <c r="AJ115" i="11" l="1"/>
  <c r="AJ948" i="11"/>
  <c r="AJ660" i="11"/>
  <c r="AI948" i="11"/>
  <c r="AI869" i="11"/>
  <c r="AI115" i="11"/>
  <c r="AI660" i="11"/>
  <c r="AJ526" i="11"/>
  <c r="AI513" i="11"/>
  <c r="G6" i="2"/>
  <c r="AJ243" i="11"/>
  <c r="AI424" i="11"/>
  <c r="AJ424" i="11"/>
  <c r="AI327" i="11"/>
  <c r="AJ995" i="11"/>
  <c r="AI486" i="11"/>
  <c r="AJ464" i="11"/>
  <c r="AJ869" i="11"/>
  <c r="AJ530" i="11"/>
  <c r="AI526" i="11"/>
  <c r="AI879" i="11"/>
  <c r="AJ486" i="11"/>
  <c r="AJ180" i="11"/>
  <c r="AI243" i="11"/>
  <c r="AI530" i="11"/>
  <c r="AG995" i="11"/>
  <c r="AI1021" i="11"/>
  <c r="AJ1021" i="11"/>
  <c r="AI704" i="11"/>
  <c r="AJ704" i="11"/>
  <c r="AG869" i="11"/>
  <c r="AJ227" i="11"/>
  <c r="AJ894" i="11"/>
  <c r="AI995" i="11"/>
  <c r="AI464" i="11"/>
  <c r="AI263" i="11"/>
  <c r="AI180" i="11"/>
  <c r="AJ327" i="11"/>
  <c r="AJ263" i="11"/>
  <c r="AG263" i="11"/>
  <c r="AG894" i="11"/>
  <c r="AI227" i="11"/>
  <c r="AJ513" i="11"/>
  <c r="AJ879" i="11"/>
  <c r="AI613" i="11"/>
  <c r="AJ126" i="11"/>
  <c r="AI126" i="11"/>
  <c r="AI694" i="11"/>
  <c r="AJ694" i="11"/>
  <c r="AI894" i="11"/>
  <c r="AI864" i="11"/>
  <c r="AJ864" i="11"/>
  <c r="AJ613" i="11"/>
  <c r="AJ666" i="11"/>
  <c r="AI868" i="11"/>
  <c r="AG868" i="11"/>
  <c r="AJ868" i="11"/>
  <c r="AJ366" i="11"/>
  <c r="AI366" i="11"/>
  <c r="AG366" i="11"/>
  <c r="AJ438" i="11"/>
  <c r="AI438" i="11"/>
  <c r="AG438" i="11"/>
  <c r="AJ422" i="11"/>
  <c r="AI422" i="11"/>
  <c r="AG422" i="11"/>
  <c r="AI153" i="11"/>
  <c r="AG153" i="11"/>
  <c r="AJ153" i="11"/>
  <c r="AG284" i="11"/>
  <c r="AJ284" i="11"/>
  <c r="AI284" i="11"/>
  <c r="AJ321" i="11"/>
  <c r="AI321" i="11"/>
  <c r="AG321" i="11"/>
  <c r="AG932" i="11"/>
  <c r="AJ932" i="11"/>
  <c r="AI932" i="11"/>
  <c r="AG92" i="11"/>
  <c r="AJ92" i="11"/>
  <c r="AI92" i="11"/>
  <c r="AJ721" i="11"/>
  <c r="AI721" i="11"/>
  <c r="AG721" i="11"/>
  <c r="AJ849" i="11"/>
  <c r="AI849" i="11"/>
  <c r="AG849" i="11"/>
  <c r="AG567" i="11"/>
  <c r="AJ567" i="11"/>
  <c r="AI567" i="11"/>
  <c r="AG706" i="11"/>
  <c r="AI706" i="11"/>
  <c r="AJ706" i="11"/>
  <c r="AI715" i="11"/>
  <c r="AJ715" i="11"/>
  <c r="AG715" i="11"/>
  <c r="AJ120" i="11"/>
  <c r="AI120" i="11"/>
  <c r="AG120" i="11"/>
  <c r="AG415" i="11"/>
  <c r="AJ415" i="11"/>
  <c r="AI415" i="11"/>
  <c r="AG557" i="11"/>
  <c r="AJ557" i="11"/>
  <c r="AI557" i="11"/>
  <c r="AG640" i="11"/>
  <c r="AJ640" i="11"/>
  <c r="AI640" i="11"/>
  <c r="AI341" i="11"/>
  <c r="AG341" i="11"/>
  <c r="AJ341" i="11"/>
  <c r="AG941" i="11"/>
  <c r="AI941" i="11"/>
  <c r="AJ941" i="11"/>
  <c r="AJ824" i="11"/>
  <c r="AI824" i="11"/>
  <c r="AG824" i="11"/>
  <c r="AI135" i="11"/>
  <c r="AJ135" i="11"/>
  <c r="AG135" i="11"/>
  <c r="AG100" i="11"/>
  <c r="AJ100" i="11"/>
  <c r="AI100" i="11"/>
  <c r="AJ1008" i="11"/>
  <c r="AI1008" i="11"/>
  <c r="AG1008" i="11"/>
  <c r="AG79" i="11"/>
  <c r="AJ79" i="11"/>
  <c r="AI79" i="11"/>
  <c r="AJ977" i="11"/>
  <c r="AI977" i="11"/>
  <c r="AG977" i="11"/>
  <c r="AJ499" i="11"/>
  <c r="AI499" i="11"/>
  <c r="AG499" i="11"/>
  <c r="AJ552" i="11"/>
  <c r="AI552" i="11"/>
  <c r="AG552" i="11"/>
  <c r="AG958" i="11"/>
  <c r="AJ958" i="11"/>
  <c r="AI958" i="11"/>
  <c r="AG30" i="11"/>
  <c r="AJ30" i="11"/>
  <c r="AI30" i="11"/>
  <c r="AI946" i="11"/>
  <c r="AG946" i="11"/>
  <c r="AJ946" i="11"/>
  <c r="AJ26" i="11"/>
  <c r="AI26" i="11"/>
  <c r="AG26" i="11"/>
  <c r="AJ488" i="11"/>
  <c r="AI488" i="11"/>
  <c r="AG488" i="11"/>
  <c r="AJ749" i="11"/>
  <c r="AI749" i="11"/>
  <c r="AG749" i="11"/>
  <c r="AG680" i="11"/>
  <c r="AJ680" i="11"/>
  <c r="AI680" i="11"/>
  <c r="AI573" i="11"/>
  <c r="AG573" i="11"/>
  <c r="AJ573" i="11"/>
  <c r="AJ347" i="11"/>
  <c r="AG347" i="11"/>
  <c r="AI347" i="11"/>
  <c r="AI962" i="11"/>
  <c r="AG962" i="11"/>
  <c r="AJ962" i="11"/>
  <c r="AJ743" i="11"/>
  <c r="AG743" i="11"/>
  <c r="AI743" i="11"/>
  <c r="AG36" i="11"/>
  <c r="AJ36" i="11"/>
  <c r="AI36" i="11"/>
  <c r="AJ1023" i="11"/>
  <c r="AI1023" i="11"/>
  <c r="AG1023" i="11"/>
  <c r="AJ774" i="11"/>
  <c r="AG774" i="11"/>
  <c r="AI774" i="11"/>
  <c r="AI1018" i="11"/>
  <c r="AG1018" i="11"/>
  <c r="AJ1018" i="11"/>
  <c r="AG714" i="11"/>
  <c r="AI714" i="11"/>
  <c r="AJ714" i="11"/>
  <c r="AJ881" i="11"/>
  <c r="AI881" i="11"/>
  <c r="AG881" i="11"/>
  <c r="AJ873" i="11"/>
  <c r="AI873" i="11"/>
  <c r="AG873" i="11"/>
  <c r="AG788" i="11"/>
  <c r="AI788" i="11"/>
  <c r="AJ788" i="11"/>
  <c r="AI666" i="11"/>
  <c r="AG297" i="11"/>
  <c r="AJ297" i="11"/>
  <c r="AI297" i="11"/>
  <c r="AJ539" i="11"/>
  <c r="AI539" i="11"/>
  <c r="AG539" i="11"/>
  <c r="AG648" i="11"/>
  <c r="AJ648" i="11"/>
  <c r="AI648" i="11"/>
  <c r="AG655" i="11"/>
  <c r="AJ655" i="11"/>
  <c r="AI655" i="11"/>
  <c r="AI204" i="11"/>
  <c r="AG204" i="11"/>
  <c r="AJ204" i="11"/>
  <c r="AJ353" i="11"/>
  <c r="AI353" i="11"/>
  <c r="AG353" i="11"/>
  <c r="AG238" i="11"/>
  <c r="AI238" i="11"/>
  <c r="AJ238" i="11"/>
  <c r="AJ269" i="11"/>
  <c r="AI269" i="11"/>
  <c r="AG269" i="11"/>
  <c r="AG850" i="11"/>
  <c r="AI850" i="11"/>
  <c r="AJ850" i="11"/>
  <c r="AJ549" i="11"/>
  <c r="AI549" i="11"/>
  <c r="AG549" i="11"/>
  <c r="AG589" i="11"/>
  <c r="AJ589" i="11"/>
  <c r="AI589" i="11"/>
  <c r="AG843" i="11"/>
  <c r="AI843" i="11"/>
  <c r="AJ843" i="11"/>
  <c r="AG859" i="11"/>
  <c r="AI859" i="11"/>
  <c r="AJ859" i="11"/>
  <c r="AJ462" i="11"/>
  <c r="AI462" i="11"/>
  <c r="AG462" i="11"/>
  <c r="AJ303" i="11"/>
  <c r="AG303" i="11"/>
  <c r="AI303" i="11"/>
  <c r="AJ707" i="11"/>
  <c r="AI707" i="11"/>
  <c r="AG707" i="11"/>
  <c r="AJ608" i="11"/>
  <c r="AG608" i="11"/>
  <c r="AI608" i="11"/>
  <c r="AJ485" i="11"/>
  <c r="AI485" i="11"/>
  <c r="AG485" i="11"/>
  <c r="AJ355" i="11"/>
  <c r="AG355" i="11"/>
  <c r="AI355" i="11"/>
  <c r="AJ395" i="11"/>
  <c r="AG395" i="11"/>
  <c r="AI395" i="11"/>
  <c r="AG780" i="11"/>
  <c r="AI780" i="11"/>
  <c r="AJ780" i="11"/>
  <c r="AG626" i="11"/>
  <c r="AJ626" i="11"/>
  <c r="AI626" i="11"/>
  <c r="AG919" i="11"/>
  <c r="AI919" i="11"/>
  <c r="AJ919" i="11"/>
  <c r="AG108" i="11"/>
  <c r="AJ108" i="11"/>
  <c r="AI108" i="11"/>
  <c r="AG747" i="11"/>
  <c r="AI747" i="11"/>
  <c r="AJ747" i="11"/>
  <c r="AJ885" i="11"/>
  <c r="AI885" i="11"/>
  <c r="AG885" i="11"/>
  <c r="AG198" i="11"/>
  <c r="AJ198" i="11"/>
  <c r="AI198" i="11"/>
  <c r="AJ186" i="11"/>
  <c r="AI186" i="11"/>
  <c r="AG186" i="11"/>
  <c r="AG203" i="11"/>
  <c r="AI203" i="11"/>
  <c r="AJ203" i="11"/>
  <c r="AG283" i="11"/>
  <c r="AJ283" i="11"/>
  <c r="AI283" i="11"/>
  <c r="AG739" i="11"/>
  <c r="AI739" i="11"/>
  <c r="AJ739" i="11"/>
  <c r="AG60" i="11"/>
  <c r="AJ60" i="11"/>
  <c r="AI60" i="11"/>
  <c r="AJ369" i="11"/>
  <c r="AI369" i="11"/>
  <c r="AG369" i="11"/>
  <c r="AI809" i="11"/>
  <c r="AG809" i="11"/>
  <c r="AJ809" i="11"/>
  <c r="AJ547" i="11"/>
  <c r="AI547" i="11"/>
  <c r="AG547" i="11"/>
  <c r="AJ938" i="11"/>
  <c r="AI938" i="11"/>
  <c r="AG938" i="11"/>
  <c r="AG548" i="11"/>
  <c r="AJ548" i="11"/>
  <c r="AI548" i="11"/>
  <c r="AJ854" i="11"/>
  <c r="AG854" i="11"/>
  <c r="AI854" i="11"/>
  <c r="AJ1020" i="11"/>
  <c r="AG1020" i="11"/>
  <c r="AI1020" i="11"/>
  <c r="AI534" i="11"/>
  <c r="AG534" i="11"/>
  <c r="AJ534" i="11"/>
  <c r="AI475" i="11"/>
  <c r="AG475" i="11"/>
  <c r="AJ475" i="11"/>
  <c r="AJ69" i="11"/>
  <c r="AI69" i="11"/>
  <c r="AG69" i="11"/>
  <c r="AJ738" i="11"/>
  <c r="AI738" i="11"/>
  <c r="AG738" i="11"/>
  <c r="AG895" i="11"/>
  <c r="AJ895" i="11"/>
  <c r="AI895" i="11"/>
  <c r="AJ58" i="11"/>
  <c r="AI58" i="11"/>
  <c r="AG58" i="11"/>
  <c r="AG796" i="11"/>
  <c r="AI796" i="11"/>
  <c r="AJ796" i="11"/>
  <c r="AG439" i="11"/>
  <c r="AJ439" i="11"/>
  <c r="AI439" i="11"/>
  <c r="AJ667" i="11"/>
  <c r="AI667" i="11"/>
  <c r="AG667" i="11"/>
  <c r="AJ768" i="11"/>
  <c r="AI768" i="11"/>
  <c r="AG768" i="11"/>
  <c r="AJ371" i="11"/>
  <c r="AG371" i="11"/>
  <c r="AI371" i="11"/>
  <c r="AJ387" i="11"/>
  <c r="AG387" i="11"/>
  <c r="AI387" i="11"/>
  <c r="AJ188" i="11"/>
  <c r="AG188" i="11"/>
  <c r="AI188" i="11"/>
  <c r="AJ42" i="11"/>
  <c r="AI42" i="11"/>
  <c r="AG42" i="11"/>
  <c r="AJ816" i="11"/>
  <c r="AI816" i="11"/>
  <c r="AG816" i="11"/>
  <c r="AG33" i="11"/>
  <c r="AI33" i="11"/>
  <c r="AJ33" i="11"/>
  <c r="AJ124" i="11"/>
  <c r="AI124" i="11"/>
  <c r="AG124" i="11"/>
  <c r="AG171" i="11"/>
  <c r="AJ171" i="11"/>
  <c r="AI171" i="11"/>
  <c r="AG527" i="11"/>
  <c r="AJ527" i="11"/>
  <c r="AI527" i="11"/>
  <c r="AJ934" i="11"/>
  <c r="AI934" i="11"/>
  <c r="AG934" i="11"/>
  <c r="AJ651" i="11"/>
  <c r="AI651" i="11"/>
  <c r="AG651" i="11"/>
  <c r="AG616" i="11"/>
  <c r="AJ616" i="11"/>
  <c r="AI616" i="11"/>
  <c r="AG442" i="11"/>
  <c r="AJ442" i="11"/>
  <c r="AI442" i="11"/>
  <c r="AG999" i="11"/>
  <c r="AJ999" i="11"/>
  <c r="AI999" i="11"/>
  <c r="AJ584" i="11"/>
  <c r="AG584" i="11"/>
  <c r="AI584" i="11"/>
  <c r="AJ845" i="11"/>
  <c r="AI845" i="11"/>
  <c r="AG845" i="11"/>
  <c r="AI256" i="11"/>
  <c r="AG256" i="11"/>
  <c r="AJ256" i="11"/>
  <c r="AI913" i="11"/>
  <c r="AG913" i="11"/>
  <c r="AJ913" i="11"/>
  <c r="AJ72" i="11"/>
  <c r="AI72" i="11"/>
  <c r="AG72" i="11"/>
  <c r="AG765" i="11"/>
  <c r="AJ765" i="11"/>
  <c r="AI765" i="11"/>
  <c r="AJ409" i="11"/>
  <c r="AI409" i="11"/>
  <c r="AG409" i="11"/>
  <c r="AG461" i="11"/>
  <c r="AI461" i="11"/>
  <c r="AJ461" i="11"/>
  <c r="AG506" i="11"/>
  <c r="AJ506" i="11"/>
  <c r="AI506" i="11"/>
  <c r="AJ595" i="11"/>
  <c r="AI595" i="11"/>
  <c r="AG595" i="11"/>
  <c r="AG94" i="11"/>
  <c r="AJ94" i="11"/>
  <c r="AI94" i="11"/>
  <c r="AJ930" i="11"/>
  <c r="AI930" i="11"/>
  <c r="AG930" i="11"/>
  <c r="AI173" i="11"/>
  <c r="AG173" i="11"/>
  <c r="AJ173" i="11"/>
  <c r="AG244" i="11"/>
  <c r="AJ244" i="11"/>
  <c r="AI244" i="11"/>
  <c r="AJ441" i="11"/>
  <c r="AI441" i="11"/>
  <c r="AG441" i="11"/>
  <c r="AJ656" i="11"/>
  <c r="AG31" i="11"/>
  <c r="AJ31" i="11"/>
  <c r="AI31" i="11"/>
  <c r="AJ74" i="11"/>
  <c r="AI74" i="11"/>
  <c r="AG74" i="11"/>
  <c r="AG311" i="11"/>
  <c r="AJ311" i="11"/>
  <c r="AI311" i="11"/>
  <c r="AJ883" i="11"/>
  <c r="AI883" i="11"/>
  <c r="AG883" i="11"/>
  <c r="AI455" i="11"/>
  <c r="AJ455" i="11"/>
  <c r="AG455" i="11"/>
  <c r="AJ950" i="11"/>
  <c r="AI950" i="11"/>
  <c r="AG950" i="11"/>
  <c r="AJ137" i="11"/>
  <c r="AG137" i="11"/>
  <c r="AI137" i="11"/>
  <c r="AI99" i="11"/>
  <c r="AG99" i="11"/>
  <c r="AJ99" i="11"/>
  <c r="AH24" i="11"/>
  <c r="B12" i="11" s="1"/>
  <c r="B19" i="11"/>
  <c r="E19" i="11"/>
  <c r="D19" i="11"/>
  <c r="C19" i="11"/>
  <c r="AJ782" i="11"/>
  <c r="AI782" i="11"/>
  <c r="AG782" i="11"/>
  <c r="AI35" i="11"/>
  <c r="AG35" i="11"/>
  <c r="AJ35" i="11"/>
  <c r="AG940" i="11"/>
  <c r="AJ940" i="11"/>
  <c r="AI940" i="11"/>
  <c r="AG383" i="11"/>
  <c r="AI383" i="11"/>
  <c r="AJ383" i="11"/>
  <c r="AJ247" i="11"/>
  <c r="AG247" i="11"/>
  <c r="AI247" i="11"/>
  <c r="AG152" i="11"/>
  <c r="AJ152" i="11"/>
  <c r="AI152" i="11"/>
  <c r="AJ509" i="11"/>
  <c r="AI509" i="11"/>
  <c r="AG509" i="11"/>
  <c r="AJ558" i="11"/>
  <c r="AI558" i="11"/>
  <c r="AG558" i="11"/>
  <c r="AI419" i="11"/>
  <c r="AJ419" i="11"/>
  <c r="AG419" i="11"/>
  <c r="AJ751" i="11"/>
  <c r="AG751" i="11"/>
  <c r="AI751" i="11"/>
  <c r="AJ643" i="11"/>
  <c r="AI643" i="11"/>
  <c r="AG643" i="11"/>
  <c r="AJ717" i="11"/>
  <c r="AG717" i="11"/>
  <c r="AI717" i="11"/>
  <c r="AI752" i="11"/>
  <c r="AG752" i="11"/>
  <c r="AJ752" i="11"/>
  <c r="AI1007" i="11"/>
  <c r="AG1007" i="11"/>
  <c r="AJ1007" i="11"/>
  <c r="AJ681" i="11"/>
  <c r="AI681" i="11"/>
  <c r="AG681" i="11"/>
  <c r="AJ459" i="11"/>
  <c r="AI459" i="11"/>
  <c r="AG459" i="11"/>
  <c r="AI789" i="11"/>
  <c r="AG789" i="11"/>
  <c r="AJ789" i="11"/>
  <c r="AJ401" i="11"/>
  <c r="AI401" i="11"/>
  <c r="AG401" i="11"/>
  <c r="AG981" i="11"/>
  <c r="AI981" i="11"/>
  <c r="AJ981" i="11"/>
  <c r="AG623" i="11"/>
  <c r="AJ623" i="11"/>
  <c r="AI623" i="11"/>
  <c r="AJ976" i="11"/>
  <c r="AI976" i="11"/>
  <c r="AG976" i="11"/>
  <c r="AJ617" i="11"/>
  <c r="AG617" i="11"/>
  <c r="AI617" i="11"/>
  <c r="AJ114" i="11"/>
  <c r="AI114" i="11"/>
  <c r="AG114" i="11"/>
  <c r="AG407" i="11"/>
  <c r="AJ407" i="11"/>
  <c r="AI407" i="11"/>
  <c r="AI771" i="11"/>
  <c r="AG771" i="11"/>
  <c r="AJ771" i="11"/>
  <c r="AJ77" i="11"/>
  <c r="AI77" i="11"/>
  <c r="AG77" i="11"/>
  <c r="AJ117" i="11"/>
  <c r="AI117" i="11"/>
  <c r="AG117" i="11"/>
  <c r="AI75" i="11"/>
  <c r="AG75" i="11"/>
  <c r="AJ75" i="11"/>
  <c r="AJ787" i="11"/>
  <c r="AI787" i="11"/>
  <c r="AG787" i="11"/>
  <c r="H7" i="2"/>
  <c r="AI777" i="11"/>
  <c r="AG777" i="11"/>
  <c r="AJ777" i="11"/>
  <c r="AI348" i="11"/>
  <c r="AG348" i="11"/>
  <c r="AJ348" i="11"/>
  <c r="AI972" i="11"/>
  <c r="AJ972" i="11"/>
  <c r="AG972" i="11"/>
  <c r="AJ253" i="11"/>
  <c r="AI253" i="11"/>
  <c r="AG253" i="11"/>
  <c r="AG687" i="11"/>
  <c r="AJ687" i="11"/>
  <c r="AI687" i="11"/>
  <c r="AG658" i="11"/>
  <c r="AI658" i="11"/>
  <c r="AJ658" i="11"/>
  <c r="AG861" i="11"/>
  <c r="AI861" i="11"/>
  <c r="AJ861" i="11"/>
  <c r="AJ632" i="11"/>
  <c r="AG632" i="11"/>
  <c r="AI632" i="11"/>
  <c r="AG863" i="11"/>
  <c r="AJ863" i="11"/>
  <c r="AI863" i="11"/>
  <c r="AG778" i="11"/>
  <c r="AI778" i="11"/>
  <c r="AJ778" i="11"/>
  <c r="AG233" i="11"/>
  <c r="AJ233" i="11"/>
  <c r="AI233" i="11"/>
  <c r="AG783" i="11"/>
  <c r="AJ783" i="11"/>
  <c r="AI783" i="11"/>
  <c r="AG110" i="11"/>
  <c r="AJ110" i="11"/>
  <c r="AI110" i="11"/>
  <c r="AG252" i="11"/>
  <c r="AJ252" i="11"/>
  <c r="AI252" i="11"/>
  <c r="AG260" i="11"/>
  <c r="AJ260" i="11"/>
  <c r="AI260" i="11"/>
  <c r="AI29" i="11"/>
  <c r="AJ310" i="11"/>
  <c r="AI310" i="11"/>
  <c r="AG310" i="11"/>
  <c r="AG402" i="11"/>
  <c r="AJ402" i="11"/>
  <c r="AI402" i="11"/>
  <c r="AI232" i="11"/>
  <c r="AG232" i="11"/>
  <c r="AJ232" i="11"/>
  <c r="AJ931" i="11"/>
  <c r="AG931" i="11"/>
  <c r="AI931" i="11"/>
  <c r="AJ250" i="11"/>
  <c r="AI250" i="11"/>
  <c r="AG250" i="11"/>
  <c r="AJ969" i="11"/>
  <c r="AI969" i="11"/>
  <c r="AG969" i="11"/>
  <c r="AJ985" i="11"/>
  <c r="AI985" i="11"/>
  <c r="AG985" i="11"/>
  <c r="AJ471" i="11"/>
  <c r="AI471" i="11"/>
  <c r="AG471" i="11"/>
  <c r="AI510" i="11"/>
  <c r="AG510" i="11"/>
  <c r="AJ510" i="11"/>
  <c r="AJ803" i="11"/>
  <c r="AI803" i="11"/>
  <c r="AG803" i="11"/>
  <c r="AI1017" i="11"/>
  <c r="AG1017" i="11"/>
  <c r="AJ1017" i="11"/>
  <c r="AJ792" i="11"/>
  <c r="AI792" i="11"/>
  <c r="AG792" i="11"/>
  <c r="AJ452" i="11"/>
  <c r="AI452" i="11"/>
  <c r="AG452" i="11"/>
  <c r="AJ800" i="11"/>
  <c r="AI800" i="11"/>
  <c r="AG800" i="11"/>
  <c r="AJ566" i="11"/>
  <c r="AI566" i="11"/>
  <c r="AG566" i="11"/>
  <c r="AJ889" i="11"/>
  <c r="AI889" i="11"/>
  <c r="AG889" i="11"/>
  <c r="AI316" i="11"/>
  <c r="AG316" i="11"/>
  <c r="AJ316" i="11"/>
  <c r="AG618" i="11"/>
  <c r="AI618" i="11"/>
  <c r="AJ618" i="11"/>
  <c r="AG690" i="11"/>
  <c r="AI690" i="11"/>
  <c r="AJ690" i="11"/>
  <c r="AG225" i="11"/>
  <c r="AJ225" i="11"/>
  <c r="AI225" i="11"/>
  <c r="AJ1004" i="11"/>
  <c r="AG1004" i="11"/>
  <c r="AI1004" i="11"/>
  <c r="AI445" i="11"/>
  <c r="AG445" i="11"/>
  <c r="AJ445" i="11"/>
  <c r="AJ468" i="11"/>
  <c r="AI468" i="11"/>
  <c r="AG468" i="11"/>
  <c r="AG581" i="11"/>
  <c r="AJ581" i="11"/>
  <c r="AI581" i="11"/>
  <c r="AI428" i="11"/>
  <c r="AG428" i="11"/>
  <c r="AJ428" i="11"/>
  <c r="AJ748" i="11"/>
  <c r="AI748" i="11"/>
  <c r="AG748" i="11"/>
  <c r="AJ756" i="11"/>
  <c r="AI756" i="11"/>
  <c r="AG756" i="11"/>
  <c r="AJ1003" i="11"/>
  <c r="AI1003" i="11"/>
  <c r="AG1003" i="11"/>
  <c r="AI467" i="11"/>
  <c r="AG467" i="11"/>
  <c r="AJ467" i="11"/>
  <c r="AJ515" i="11"/>
  <c r="AI515" i="11"/>
  <c r="AG515" i="11"/>
  <c r="AJ841" i="11"/>
  <c r="AG841" i="11"/>
  <c r="AI841" i="11"/>
  <c r="AI373" i="11"/>
  <c r="AG373" i="11"/>
  <c r="AJ373" i="11"/>
  <c r="AJ483" i="11"/>
  <c r="AI483" i="11"/>
  <c r="AG483" i="11"/>
  <c r="AG773" i="11"/>
  <c r="AI773" i="11"/>
  <c r="AJ773" i="11"/>
  <c r="AI785" i="11"/>
  <c r="AG785" i="11"/>
  <c r="AJ785" i="11"/>
  <c r="AJ132" i="11"/>
  <c r="AG132" i="11"/>
  <c r="AI132" i="11"/>
  <c r="AI372" i="11"/>
  <c r="AG372" i="11"/>
  <c r="AJ372" i="11"/>
  <c r="AG953" i="11"/>
  <c r="AJ953" i="11"/>
  <c r="AI953" i="11"/>
  <c r="AG28" i="11"/>
  <c r="AJ28" i="11"/>
  <c r="AI28" i="11"/>
  <c r="AG674" i="11"/>
  <c r="AI674" i="11"/>
  <c r="AJ674" i="11"/>
  <c r="AJ301" i="11"/>
  <c r="AI301" i="11"/>
  <c r="AG301" i="11"/>
  <c r="AI182" i="11"/>
  <c r="AG182" i="11"/>
  <c r="AJ182" i="11"/>
  <c r="AG959" i="11"/>
  <c r="AJ959" i="11"/>
  <c r="AI959" i="11"/>
  <c r="AG378" i="11"/>
  <c r="AJ378" i="11"/>
  <c r="AI378" i="11"/>
  <c r="AG671" i="11"/>
  <c r="AJ671" i="11"/>
  <c r="AI671" i="11"/>
  <c r="AG685" i="11"/>
  <c r="AJ685" i="11"/>
  <c r="AI685" i="11"/>
  <c r="AG500" i="11"/>
  <c r="AI500" i="11"/>
  <c r="AJ500" i="11"/>
  <c r="AJ571" i="11"/>
  <c r="AI571" i="11"/>
  <c r="AG571" i="11"/>
  <c r="AI652" i="11"/>
  <c r="AG652" i="11"/>
  <c r="AJ652" i="11"/>
  <c r="AJ819" i="11"/>
  <c r="AI819" i="11"/>
  <c r="AG819" i="11"/>
  <c r="AG763" i="11"/>
  <c r="AJ763" i="11"/>
  <c r="AI763" i="11"/>
  <c r="AJ555" i="11"/>
  <c r="AI555" i="11"/>
  <c r="AG555" i="11"/>
  <c r="AI700" i="11"/>
  <c r="AG700" i="11"/>
  <c r="AJ700" i="11"/>
  <c r="AJ339" i="11"/>
  <c r="AG339" i="11"/>
  <c r="AI339" i="11"/>
  <c r="AJ435" i="11"/>
  <c r="AG435" i="11"/>
  <c r="AI435" i="11"/>
  <c r="AJ255" i="11"/>
  <c r="AG255" i="11"/>
  <c r="AI255" i="11"/>
  <c r="AJ279" i="11"/>
  <c r="AG279" i="11"/>
  <c r="AI279" i="11"/>
  <c r="AG359" i="11"/>
  <c r="AJ359" i="11"/>
  <c r="AI359" i="11"/>
  <c r="AG87" i="11"/>
  <c r="AJ87" i="11"/>
  <c r="AI87" i="11"/>
  <c r="AG319" i="11"/>
  <c r="AJ319" i="11"/>
  <c r="AI319" i="11"/>
  <c r="AJ574" i="11"/>
  <c r="AI574" i="11"/>
  <c r="AG574" i="11"/>
  <c r="AG275" i="11"/>
  <c r="AJ275" i="11"/>
  <c r="AI275" i="11"/>
  <c r="AJ456" i="11"/>
  <c r="AI456" i="11"/>
  <c r="AG456" i="11"/>
  <c r="AG624" i="11"/>
  <c r="AJ624" i="11"/>
  <c r="AI624" i="11"/>
  <c r="AJ329" i="11"/>
  <c r="AI329" i="11"/>
  <c r="AG329" i="11"/>
  <c r="AG834" i="11"/>
  <c r="AJ834" i="11"/>
  <c r="AI834" i="11"/>
  <c r="AJ377" i="11"/>
  <c r="AI377" i="11"/>
  <c r="AG377" i="11"/>
  <c r="AG511" i="11"/>
  <c r="AJ511" i="11"/>
  <c r="AI511" i="11"/>
  <c r="AJ221" i="11"/>
  <c r="AI221" i="11"/>
  <c r="AG221" i="11"/>
  <c r="AG394" i="11"/>
  <c r="AJ394" i="11"/>
  <c r="AI394" i="11"/>
  <c r="AG54" i="11"/>
  <c r="AJ54" i="11"/>
  <c r="AI54" i="11"/>
  <c r="AG538" i="11"/>
  <c r="AJ538" i="11"/>
  <c r="AI538" i="11"/>
  <c r="AI384" i="11"/>
  <c r="AG384" i="11"/>
  <c r="AJ384" i="11"/>
  <c r="AJ1016" i="11"/>
  <c r="AI1016" i="11"/>
  <c r="AG1016" i="11"/>
  <c r="AG490" i="11"/>
  <c r="AJ490" i="11"/>
  <c r="AI490" i="11"/>
  <c r="AG634" i="11"/>
  <c r="AI634" i="11"/>
  <c r="AJ634" i="11"/>
  <c r="AI628" i="11"/>
  <c r="AG628" i="11"/>
  <c r="AJ628" i="11"/>
  <c r="AG604" i="11"/>
  <c r="AJ604" i="11"/>
  <c r="AI604" i="11"/>
  <c r="AJ633" i="11"/>
  <c r="AI633" i="11"/>
  <c r="AG633" i="11"/>
  <c r="AI400" i="11"/>
  <c r="AG400" i="11"/>
  <c r="AJ400" i="11"/>
  <c r="AG882" i="11"/>
  <c r="AI882" i="11"/>
  <c r="AJ882" i="11"/>
  <c r="AJ759" i="11"/>
  <c r="AG759" i="11"/>
  <c r="AI759" i="11"/>
  <c r="AJ286" i="11"/>
  <c r="AJ29" i="11"/>
  <c r="AJ446" i="11"/>
  <c r="AI446" i="11"/>
  <c r="AG446" i="11"/>
  <c r="AJ746" i="11"/>
  <c r="AI746" i="11"/>
  <c r="AG746" i="11"/>
  <c r="AG701" i="11"/>
  <c r="AJ701" i="11"/>
  <c r="AI701" i="11"/>
  <c r="AJ277" i="11"/>
  <c r="AI277" i="11"/>
  <c r="AG277" i="11"/>
  <c r="AG775" i="11"/>
  <c r="AI775" i="11"/>
  <c r="AJ775" i="11"/>
  <c r="AJ986" i="11"/>
  <c r="AI986" i="11"/>
  <c r="AG986" i="11"/>
  <c r="AJ178" i="11"/>
  <c r="AI178" i="11"/>
  <c r="AG178" i="11"/>
  <c r="AG695" i="11"/>
  <c r="AJ695" i="11"/>
  <c r="AI695" i="11"/>
  <c r="AG458" i="11"/>
  <c r="AJ458" i="11"/>
  <c r="AI458" i="11"/>
  <c r="AG810" i="11"/>
  <c r="AI810" i="11"/>
  <c r="AJ810" i="11"/>
  <c r="AI761" i="11"/>
  <c r="AJ761" i="11"/>
  <c r="AG761" i="11"/>
  <c r="AJ740" i="11"/>
  <c r="AI740" i="11"/>
  <c r="AG740" i="11"/>
  <c r="AI762" i="11"/>
  <c r="AG762" i="11"/>
  <c r="AJ762" i="11"/>
  <c r="AJ98" i="11"/>
  <c r="AI98" i="11"/>
  <c r="AG98" i="11"/>
  <c r="AG927" i="11"/>
  <c r="AI927" i="11"/>
  <c r="AJ927" i="11"/>
  <c r="AI832" i="11"/>
  <c r="AG832" i="11"/>
  <c r="AJ832" i="11"/>
  <c r="AG163" i="11"/>
  <c r="AJ163" i="11"/>
  <c r="AI163" i="11"/>
  <c r="AG346" i="11"/>
  <c r="AJ346" i="11"/>
  <c r="AI346" i="11"/>
  <c r="AJ853" i="11"/>
  <c r="AI853" i="11"/>
  <c r="AG853" i="11"/>
  <c r="AJ798" i="11"/>
  <c r="AI798" i="11"/>
  <c r="AG798" i="11"/>
  <c r="AJ1022" i="11"/>
  <c r="AI1022" i="11"/>
  <c r="AG1022" i="11"/>
  <c r="AG257" i="11"/>
  <c r="AJ257" i="11"/>
  <c r="AI257" i="11"/>
  <c r="AJ697" i="11"/>
  <c r="AI697" i="11"/>
  <c r="AG697" i="11"/>
  <c r="AI344" i="11"/>
  <c r="AG344" i="11"/>
  <c r="AJ344" i="11"/>
  <c r="AG498" i="11"/>
  <c r="AJ498" i="11"/>
  <c r="AI498" i="11"/>
  <c r="AG71" i="11"/>
  <c r="AJ71" i="11"/>
  <c r="AI71" i="11"/>
  <c r="AJ912" i="11"/>
  <c r="AI912" i="11"/>
  <c r="AG912" i="11"/>
  <c r="AG891" i="11"/>
  <c r="AJ891" i="11"/>
  <c r="AI891" i="11"/>
  <c r="AJ82" i="11"/>
  <c r="AI82" i="11"/>
  <c r="AG82" i="11"/>
  <c r="AI708" i="11"/>
  <c r="AG708" i="11"/>
  <c r="AJ708" i="11"/>
  <c r="AJ662" i="11"/>
  <c r="AI662" i="11"/>
  <c r="AG662" i="11"/>
  <c r="AI190" i="11"/>
  <c r="AG190" i="11"/>
  <c r="AJ190" i="11"/>
  <c r="AI200" i="11"/>
  <c r="AJ200" i="11"/>
  <c r="AG200" i="11"/>
  <c r="AI381" i="11"/>
  <c r="AG381" i="11"/>
  <c r="AJ381" i="11"/>
  <c r="AJ32" i="11"/>
  <c r="AI32" i="11"/>
  <c r="AG32" i="11"/>
  <c r="AG68" i="11"/>
  <c r="AJ68" i="11"/>
  <c r="AI68" i="11"/>
  <c r="AG901" i="11"/>
  <c r="AI901" i="11"/>
  <c r="AJ901" i="11"/>
  <c r="AJ90" i="11"/>
  <c r="AI90" i="11"/>
  <c r="AG90" i="11"/>
  <c r="AG696" i="11"/>
  <c r="AJ696" i="11"/>
  <c r="AI696" i="11"/>
  <c r="AJ1006" i="11"/>
  <c r="AI1006" i="11"/>
  <c r="AG1006" i="11"/>
  <c r="AJ393" i="11"/>
  <c r="AI393" i="11"/>
  <c r="AG393" i="11"/>
  <c r="AG52" i="11"/>
  <c r="AJ52" i="11"/>
  <c r="AI52" i="11"/>
  <c r="AG893" i="11"/>
  <c r="AJ893" i="11"/>
  <c r="AI893" i="11"/>
  <c r="AJ104" i="11"/>
  <c r="AI104" i="11"/>
  <c r="AG104" i="11"/>
  <c r="AG755" i="11"/>
  <c r="AI755" i="11"/>
  <c r="AJ755" i="11"/>
  <c r="AG134" i="11"/>
  <c r="AI134" i="11"/>
  <c r="AJ134" i="11"/>
  <c r="AG745" i="11"/>
  <c r="AJ745" i="11"/>
  <c r="AI745" i="11"/>
  <c r="AG495" i="11"/>
  <c r="AI495" i="11"/>
  <c r="AJ495" i="11"/>
  <c r="AJ37" i="11"/>
  <c r="AI37" i="11"/>
  <c r="AG37" i="11"/>
  <c r="AJ603" i="11"/>
  <c r="AI603" i="11"/>
  <c r="AG603" i="11"/>
  <c r="AJ678" i="11"/>
  <c r="AI678" i="11"/>
  <c r="AG678" i="11"/>
  <c r="AJ795" i="11"/>
  <c r="AI795" i="11"/>
  <c r="AG795" i="11"/>
  <c r="AJ164" i="11"/>
  <c r="AG164" i="11"/>
  <c r="AI164" i="11"/>
  <c r="AJ987" i="11"/>
  <c r="AI987" i="11"/>
  <c r="AG987" i="11"/>
  <c r="AG529" i="11"/>
  <c r="AJ529" i="11"/>
  <c r="AI529" i="11"/>
  <c r="AI871" i="11"/>
  <c r="AG871" i="11"/>
  <c r="AJ871" i="11"/>
  <c r="AG470" i="11"/>
  <c r="AJ470" i="11"/>
  <c r="AI470" i="11"/>
  <c r="AJ1014" i="11"/>
  <c r="AI1014" i="11"/>
  <c r="AG1014" i="11"/>
  <c r="AI397" i="11"/>
  <c r="AG397" i="11"/>
  <c r="AJ397" i="11"/>
  <c r="AG970" i="11"/>
  <c r="AJ970" i="11"/>
  <c r="AI970" i="11"/>
  <c r="AJ702" i="11"/>
  <c r="AI702" i="11"/>
  <c r="AG702" i="11"/>
  <c r="AJ162" i="11"/>
  <c r="AI162" i="11"/>
  <c r="AG162" i="11"/>
  <c r="AG896" i="11"/>
  <c r="AI896" i="11"/>
  <c r="AJ896" i="11"/>
  <c r="AG440" i="11"/>
  <c r="AJ440" i="11"/>
  <c r="AI440" i="11"/>
  <c r="AJ421" i="11"/>
  <c r="AI421" i="11"/>
  <c r="AG421" i="11"/>
  <c r="AJ960" i="11"/>
  <c r="AI960" i="11"/>
  <c r="AG960" i="11"/>
  <c r="AG804" i="11"/>
  <c r="AI804" i="11"/>
  <c r="AJ804" i="11"/>
  <c r="AJ443" i="11"/>
  <c r="AG443" i="11"/>
  <c r="AI443" i="11"/>
  <c r="AG855" i="11"/>
  <c r="AJ855" i="11"/>
  <c r="AI855" i="11"/>
  <c r="AI971" i="11"/>
  <c r="AJ971" i="11"/>
  <c r="AG971" i="11"/>
  <c r="AG214" i="11"/>
  <c r="AJ214" i="11"/>
  <c r="AI214" i="11"/>
  <c r="AJ711" i="11"/>
  <c r="AI711" i="11"/>
  <c r="AG711" i="11"/>
  <c r="AG423" i="11"/>
  <c r="AI423" i="11"/>
  <c r="AJ423" i="11"/>
  <c r="AI286" i="11"/>
  <c r="AI620" i="11"/>
  <c r="AJ620" i="11"/>
  <c r="AG620" i="11"/>
  <c r="AJ374" i="11"/>
  <c r="AI374" i="11"/>
  <c r="AG374" i="11"/>
  <c r="AI158" i="11"/>
  <c r="AG158" i="11"/>
  <c r="AJ158" i="11"/>
  <c r="AJ40" i="11"/>
  <c r="AI40" i="11"/>
  <c r="AG40" i="11"/>
  <c r="AG89" i="11"/>
  <c r="AI89" i="11"/>
  <c r="AJ89" i="11"/>
  <c r="AG399" i="11"/>
  <c r="AJ399" i="11"/>
  <c r="AI399" i="11"/>
  <c r="AG230" i="11"/>
  <c r="AI230" i="11"/>
  <c r="AJ230" i="11"/>
  <c r="AJ313" i="11"/>
  <c r="AI313" i="11"/>
  <c r="AG313" i="11"/>
  <c r="AJ112" i="11"/>
  <c r="AI112" i="11"/>
  <c r="AG112" i="11"/>
  <c r="AG268" i="11"/>
  <c r="AJ268" i="11"/>
  <c r="AI268" i="11"/>
  <c r="AI612" i="11"/>
  <c r="AJ612" i="11"/>
  <c r="AG612" i="11"/>
  <c r="AJ926" i="11"/>
  <c r="AI926" i="11"/>
  <c r="AG926" i="11"/>
  <c r="AJ1019" i="11"/>
  <c r="AI1019" i="11"/>
  <c r="AG1019" i="11"/>
  <c r="AG466" i="11"/>
  <c r="AJ466" i="11"/>
  <c r="AI466" i="11"/>
  <c r="AG951" i="11"/>
  <c r="AI951" i="11"/>
  <c r="AJ951" i="11"/>
  <c r="AI769" i="11"/>
  <c r="AJ769" i="11"/>
  <c r="AG769" i="11"/>
  <c r="AG44" i="11"/>
  <c r="AJ44" i="11"/>
  <c r="AI44" i="11"/>
  <c r="AJ93" i="11"/>
  <c r="AI93" i="11"/>
  <c r="AG93" i="11"/>
  <c r="AJ61" i="11"/>
  <c r="AI61" i="11"/>
  <c r="AG61" i="11"/>
  <c r="AG281" i="11"/>
  <c r="AJ281" i="11"/>
  <c r="AI281" i="11"/>
  <c r="AG820" i="11"/>
  <c r="AJ820" i="11"/>
  <c r="AI820" i="11"/>
  <c r="AG693" i="11"/>
  <c r="AJ693" i="11"/>
  <c r="AI693" i="11"/>
  <c r="AJ196" i="11"/>
  <c r="AI196" i="11"/>
  <c r="AG196" i="11"/>
  <c r="AG650" i="11"/>
  <c r="AI650" i="11"/>
  <c r="AJ650" i="11"/>
  <c r="AI921" i="11"/>
  <c r="AJ921" i="11"/>
  <c r="AG921" i="11"/>
  <c r="AJ398" i="11"/>
  <c r="AI398" i="11"/>
  <c r="AG398" i="11"/>
  <c r="AG903" i="11"/>
  <c r="AJ903" i="11"/>
  <c r="AI903" i="11"/>
  <c r="AG300" i="11"/>
  <c r="AJ300" i="11"/>
  <c r="AI300" i="11"/>
  <c r="AG55" i="11"/>
  <c r="AJ55" i="11"/>
  <c r="AI55" i="11"/>
  <c r="AI825" i="11"/>
  <c r="AJ825" i="11"/>
  <c r="AG825" i="11"/>
  <c r="AI615" i="11"/>
  <c r="AG615" i="11"/>
  <c r="AJ615" i="11"/>
  <c r="AI392" i="11"/>
  <c r="AG392" i="11"/>
  <c r="AJ392" i="11"/>
  <c r="AI324" i="11"/>
  <c r="AG324" i="11"/>
  <c r="AJ324" i="11"/>
  <c r="AI360" i="11"/>
  <c r="AG360" i="11"/>
  <c r="AJ360" i="11"/>
  <c r="AG975" i="11"/>
  <c r="AI975" i="11"/>
  <c r="AJ975" i="11"/>
  <c r="AG575" i="11"/>
  <c r="AJ575" i="11"/>
  <c r="AI575" i="11"/>
  <c r="AI692" i="11"/>
  <c r="AG692" i="11"/>
  <c r="AJ692" i="11"/>
  <c r="AG661" i="11"/>
  <c r="AJ661" i="11"/>
  <c r="AI661" i="11"/>
  <c r="AJ507" i="11"/>
  <c r="AI507" i="11"/>
  <c r="AG507" i="11"/>
  <c r="AG916" i="11"/>
  <c r="AJ916" i="11"/>
  <c r="AI916" i="11"/>
  <c r="AJ175" i="11"/>
  <c r="AI175" i="11"/>
  <c r="AG175" i="11"/>
  <c r="AJ128" i="11"/>
  <c r="AG128" i="11"/>
  <c r="AI128" i="11"/>
  <c r="AG270" i="11"/>
  <c r="AI270" i="11"/>
  <c r="AJ270" i="11"/>
  <c r="AJ213" i="11"/>
  <c r="AI213" i="11"/>
  <c r="AG213" i="11"/>
  <c r="AJ285" i="11"/>
  <c r="AI285" i="11"/>
  <c r="AG285" i="11"/>
  <c r="AJ829" i="11"/>
  <c r="AI829" i="11"/>
  <c r="AG829" i="11"/>
  <c r="AG236" i="11"/>
  <c r="AJ236" i="11"/>
  <c r="AI236" i="11"/>
  <c r="AJ550" i="11"/>
  <c r="AI550" i="11"/>
  <c r="AG550" i="11"/>
  <c r="AJ501" i="11"/>
  <c r="AI501" i="11"/>
  <c r="AG501" i="11"/>
  <c r="AJ159" i="11"/>
  <c r="AI159" i="11"/>
  <c r="AG159" i="11"/>
  <c r="AJ1011" i="11"/>
  <c r="AI1011" i="11"/>
  <c r="AG1011" i="11"/>
  <c r="AG335" i="11"/>
  <c r="AI335" i="11"/>
  <c r="AJ335" i="11"/>
  <c r="AI601" i="11"/>
  <c r="AG601" i="11"/>
  <c r="AJ601" i="11"/>
  <c r="AJ218" i="11"/>
  <c r="AG218" i="11"/>
  <c r="AI218" i="11"/>
  <c r="AI288" i="11"/>
  <c r="AG288" i="11"/>
  <c r="AJ288" i="11"/>
  <c r="AI593" i="11"/>
  <c r="AG593" i="11"/>
  <c r="AJ593" i="11"/>
  <c r="AI51" i="11"/>
  <c r="AG51" i="11"/>
  <c r="AJ51" i="11"/>
  <c r="AJ982" i="11"/>
  <c r="AI982" i="11"/>
  <c r="AG982" i="11"/>
  <c r="AI174" i="11"/>
  <c r="AG174" i="11"/>
  <c r="AJ174" i="11"/>
  <c r="AI333" i="11"/>
  <c r="AG333" i="11"/>
  <c r="AJ333" i="11"/>
  <c r="AG591" i="11"/>
  <c r="AI591" i="11"/>
  <c r="AJ591" i="11"/>
  <c r="AI974" i="11"/>
  <c r="AI784" i="11"/>
  <c r="AG570" i="11"/>
  <c r="AI570" i="11"/>
  <c r="AJ570" i="11"/>
  <c r="AG764" i="11"/>
  <c r="AJ764" i="11"/>
  <c r="AI764" i="11"/>
  <c r="AJ261" i="11"/>
  <c r="AI261" i="11"/>
  <c r="AG261" i="11"/>
  <c r="AJ1010" i="11"/>
  <c r="AI1010" i="11"/>
  <c r="AG1010" i="11"/>
  <c r="AJ460" i="11"/>
  <c r="AI460" i="11"/>
  <c r="AG460" i="11"/>
  <c r="AG522" i="11"/>
  <c r="AJ522" i="11"/>
  <c r="AI522" i="11"/>
  <c r="AJ670" i="11"/>
  <c r="AI670" i="11"/>
  <c r="AG670" i="11"/>
  <c r="AJ579" i="11"/>
  <c r="AI579" i="11"/>
  <c r="AG579" i="11"/>
  <c r="AJ992" i="11"/>
  <c r="AI992" i="11"/>
  <c r="AG992" i="11"/>
  <c r="AG503" i="11"/>
  <c r="AJ503" i="11"/>
  <c r="AI503" i="11"/>
  <c r="AI884" i="11"/>
  <c r="AJ884" i="11"/>
  <c r="AG884" i="11"/>
  <c r="AG966" i="11"/>
  <c r="AJ966" i="11"/>
  <c r="AI966" i="11"/>
  <c r="AJ733" i="11"/>
  <c r="AI733" i="11"/>
  <c r="AG733" i="11"/>
  <c r="AJ476" i="11"/>
  <c r="AG476" i="11"/>
  <c r="AI476" i="11"/>
  <c r="AJ385" i="11"/>
  <c r="AI385" i="11"/>
  <c r="AG385" i="11"/>
  <c r="AG647" i="11"/>
  <c r="AJ647" i="11"/>
  <c r="AI647" i="11"/>
  <c r="AJ416" i="11"/>
  <c r="AI416" i="11"/>
  <c r="AG416" i="11"/>
  <c r="AJ1000" i="11"/>
  <c r="AI1000" i="11"/>
  <c r="AG1000" i="11"/>
  <c r="AG454" i="11"/>
  <c r="AJ454" i="11"/>
  <c r="AI454" i="11"/>
  <c r="AJ600" i="11"/>
  <c r="AG600" i="11"/>
  <c r="AI600" i="11"/>
  <c r="AJ899" i="11"/>
  <c r="AI899" i="11"/>
  <c r="AG899" i="11"/>
  <c r="AJ886" i="11"/>
  <c r="AI886" i="11"/>
  <c r="AG886" i="11"/>
  <c r="AI240" i="11"/>
  <c r="AG240" i="11"/>
  <c r="AJ240" i="11"/>
  <c r="AJ226" i="11"/>
  <c r="AI226" i="11"/>
  <c r="AG226" i="11"/>
  <c r="AJ151" i="11"/>
  <c r="AI151" i="11"/>
  <c r="AG151" i="11"/>
  <c r="AG211" i="11"/>
  <c r="AJ211" i="11"/>
  <c r="AI211" i="11"/>
  <c r="AJ129" i="11"/>
  <c r="AI129" i="11"/>
  <c r="AG129" i="11"/>
  <c r="AJ528" i="11"/>
  <c r="AI528" i="11"/>
  <c r="AG528" i="11"/>
  <c r="AJ350" i="11"/>
  <c r="AI350" i="11"/>
  <c r="AG350" i="11"/>
  <c r="AI272" i="11"/>
  <c r="AG272" i="11"/>
  <c r="AJ272" i="11"/>
  <c r="AI502" i="11"/>
  <c r="AG502" i="11"/>
  <c r="AJ502" i="11"/>
  <c r="AJ231" i="11"/>
  <c r="AG231" i="11"/>
  <c r="AI231" i="11"/>
  <c r="AJ719" i="11"/>
  <c r="AI719" i="11"/>
  <c r="AG719" i="11"/>
  <c r="AG556" i="11"/>
  <c r="AJ556" i="11"/>
  <c r="AI556" i="11"/>
  <c r="AJ295" i="11"/>
  <c r="AG295" i="11"/>
  <c r="AI295" i="11"/>
  <c r="AG184" i="11"/>
  <c r="AJ184" i="11"/>
  <c r="AI184" i="11"/>
  <c r="AG920" i="11"/>
  <c r="AI920" i="11"/>
  <c r="AJ920" i="11"/>
  <c r="AJ172" i="11"/>
  <c r="AG172" i="11"/>
  <c r="AI172" i="11"/>
  <c r="AJ576" i="11"/>
  <c r="AG576" i="11"/>
  <c r="AI576" i="11"/>
  <c r="AI380" i="11"/>
  <c r="AG380" i="11"/>
  <c r="AJ380" i="11"/>
  <c r="AG815" i="11"/>
  <c r="AJ815" i="11"/>
  <c r="AI815" i="11"/>
  <c r="AG276" i="11"/>
  <c r="AJ276" i="11"/>
  <c r="AI276" i="11"/>
  <c r="AJ212" i="11"/>
  <c r="AI212" i="11"/>
  <c r="AG212" i="11"/>
  <c r="AG572" i="11"/>
  <c r="AJ572" i="11"/>
  <c r="AI572" i="11"/>
  <c r="AG524" i="11"/>
  <c r="AI524" i="11"/>
  <c r="AJ524" i="11"/>
  <c r="AG434" i="11"/>
  <c r="AJ434" i="11"/>
  <c r="AI434" i="11"/>
  <c r="AG508" i="11"/>
  <c r="AI508" i="11"/>
  <c r="AJ508" i="11"/>
  <c r="AJ606" i="11"/>
  <c r="AI606" i="11"/>
  <c r="AG606" i="11"/>
  <c r="AG583" i="11"/>
  <c r="AI583" i="11"/>
  <c r="AJ583" i="11"/>
  <c r="AG179" i="11"/>
  <c r="AJ179" i="11"/>
  <c r="AI179" i="11"/>
  <c r="AI980" i="11"/>
  <c r="AG980" i="11"/>
  <c r="AJ980" i="11"/>
  <c r="AG540" i="11"/>
  <c r="AI540" i="11"/>
  <c r="AJ540" i="11"/>
  <c r="AG753" i="11"/>
  <c r="AJ753" i="11"/>
  <c r="AI753" i="11"/>
  <c r="AG734" i="11"/>
  <c r="AJ734" i="11"/>
  <c r="AI734" i="11"/>
  <c r="AJ654" i="11"/>
  <c r="AI654" i="11"/>
  <c r="AG654" i="11"/>
  <c r="AJ732" i="11"/>
  <c r="AI732" i="11"/>
  <c r="AG732" i="11"/>
  <c r="AJ382" i="11"/>
  <c r="AI382" i="11"/>
  <c r="AG382" i="11"/>
  <c r="AG206" i="11"/>
  <c r="AI206" i="11"/>
  <c r="AJ206" i="11"/>
  <c r="AI720" i="11"/>
  <c r="AJ720" i="11"/>
  <c r="AG720" i="11"/>
  <c r="AJ234" i="11"/>
  <c r="AI234" i="11"/>
  <c r="AG234" i="11"/>
  <c r="AI614" i="11"/>
  <c r="AG614" i="11"/>
  <c r="AJ614" i="11"/>
  <c r="AG62" i="11"/>
  <c r="AJ62" i="11"/>
  <c r="AI62" i="11"/>
  <c r="AJ136" i="11"/>
  <c r="AI136" i="11"/>
  <c r="AG136" i="11"/>
  <c r="AI208" i="11"/>
  <c r="AJ208" i="11"/>
  <c r="AG208" i="11"/>
  <c r="AJ293" i="11"/>
  <c r="AI293" i="11"/>
  <c r="AG293" i="11"/>
  <c r="AI801" i="11"/>
  <c r="AG801" i="11"/>
  <c r="AJ801" i="11"/>
  <c r="AG724" i="11"/>
  <c r="AJ724" i="11"/>
  <c r="AI724" i="11"/>
  <c r="AI553" i="11"/>
  <c r="AG553" i="11"/>
  <c r="AJ553" i="11"/>
  <c r="AG278" i="11"/>
  <c r="AI278" i="11"/>
  <c r="AJ278" i="11"/>
  <c r="AI189" i="11"/>
  <c r="AG189" i="11"/>
  <c r="AJ189" i="11"/>
  <c r="AG81" i="11"/>
  <c r="AI81" i="11"/>
  <c r="AJ81" i="11"/>
  <c r="AG642" i="11"/>
  <c r="AI642" i="11"/>
  <c r="AJ642" i="11"/>
  <c r="AJ582" i="11"/>
  <c r="AI582" i="11"/>
  <c r="AG582" i="11"/>
  <c r="AJ897" i="11"/>
  <c r="AI897" i="11"/>
  <c r="AG897" i="11"/>
  <c r="AG141" i="11"/>
  <c r="AJ141" i="11"/>
  <c r="AI141" i="11"/>
  <c r="AI216" i="11"/>
  <c r="AJ216" i="11"/>
  <c r="AG216" i="11"/>
  <c r="AG102" i="11"/>
  <c r="AJ102" i="11"/>
  <c r="AI102" i="11"/>
  <c r="AG983" i="11"/>
  <c r="AI983" i="11"/>
  <c r="AJ983" i="11"/>
  <c r="AJ716" i="11"/>
  <c r="AI716" i="11"/>
  <c r="AG716" i="11"/>
  <c r="AG890" i="11"/>
  <c r="AI890" i="11"/>
  <c r="AJ890" i="11"/>
  <c r="AG228" i="11"/>
  <c r="AJ228" i="11"/>
  <c r="AI228" i="11"/>
  <c r="AJ784" i="11"/>
  <c r="AJ915" i="11"/>
  <c r="AI915" i="11"/>
  <c r="AG915" i="11"/>
  <c r="AJ210" i="11"/>
  <c r="AI210" i="11"/>
  <c r="AG210" i="11"/>
  <c r="AG856" i="11"/>
  <c r="AJ856" i="11"/>
  <c r="AI856" i="11"/>
  <c r="AG1005" i="11"/>
  <c r="AJ1005" i="11"/>
  <c r="AI1005" i="11"/>
  <c r="AJ80" i="11"/>
  <c r="AI80" i="11"/>
  <c r="AG80" i="11"/>
  <c r="AG251" i="11"/>
  <c r="AJ251" i="11"/>
  <c r="AI251" i="11"/>
  <c r="AG767" i="11"/>
  <c r="AJ767" i="11"/>
  <c r="AI767" i="11"/>
  <c r="AI793" i="11"/>
  <c r="AG793" i="11"/>
  <c r="AJ793" i="11"/>
  <c r="AG847" i="11"/>
  <c r="AJ847" i="11"/>
  <c r="AI847" i="11"/>
  <c r="AG70" i="11"/>
  <c r="AJ70" i="11"/>
  <c r="AI70" i="11"/>
  <c r="AJ148" i="11"/>
  <c r="AG148" i="11"/>
  <c r="AI148" i="11"/>
  <c r="AG688" i="11"/>
  <c r="AJ688" i="11"/>
  <c r="AI688" i="11"/>
  <c r="AG698" i="11"/>
  <c r="AI698" i="11"/>
  <c r="AJ698" i="11"/>
  <c r="AI945" i="11"/>
  <c r="AG945" i="11"/>
  <c r="AJ945" i="11"/>
  <c r="AJ994" i="11"/>
  <c r="AI994" i="11"/>
  <c r="AG994" i="11"/>
  <c r="AG410" i="11"/>
  <c r="AJ410" i="11"/>
  <c r="AI410" i="11"/>
  <c r="AG961" i="11"/>
  <c r="AI961" i="11"/>
  <c r="AJ961" i="11"/>
  <c r="AI736" i="11"/>
  <c r="AG736" i="11"/>
  <c r="AJ736" i="11"/>
  <c r="AI388" i="11"/>
  <c r="AG388" i="11"/>
  <c r="AJ388" i="11"/>
  <c r="AG47" i="11"/>
  <c r="AJ47" i="11"/>
  <c r="AI47" i="11"/>
  <c r="AJ923" i="11"/>
  <c r="AI923" i="11"/>
  <c r="AG923" i="11"/>
  <c r="AJ138" i="11"/>
  <c r="AG138" i="11"/>
  <c r="AI138" i="11"/>
  <c r="AJ587" i="11"/>
  <c r="AI587" i="11"/>
  <c r="AG587" i="11"/>
  <c r="AI264" i="11"/>
  <c r="AG264" i="11"/>
  <c r="AJ264" i="11"/>
  <c r="AI684" i="11"/>
  <c r="AG684" i="11"/>
  <c r="AJ684" i="11"/>
  <c r="AG786" i="11"/>
  <c r="AI786" i="11"/>
  <c r="AJ786" i="11"/>
  <c r="AJ66" i="11"/>
  <c r="AI66" i="11"/>
  <c r="AG66" i="11"/>
  <c r="AJ512" i="11"/>
  <c r="AI512" i="11"/>
  <c r="AG512" i="11"/>
  <c r="AJ496" i="11"/>
  <c r="AI496" i="11"/>
  <c r="AG496" i="11"/>
  <c r="AJ34" i="11"/>
  <c r="AI34" i="11"/>
  <c r="AG34" i="11"/>
  <c r="AG619" i="11"/>
  <c r="AJ619" i="11"/>
  <c r="AI619" i="11"/>
  <c r="AG375" i="11"/>
  <c r="AJ375" i="11"/>
  <c r="AI375" i="11"/>
  <c r="AJ770" i="11"/>
  <c r="AI770" i="11"/>
  <c r="AG770" i="11"/>
  <c r="AG267" i="11"/>
  <c r="AJ267" i="11"/>
  <c r="AI267" i="11"/>
  <c r="AI846" i="11"/>
  <c r="AJ846" i="11"/>
  <c r="AG846" i="11"/>
  <c r="AJ282" i="11"/>
  <c r="AI282" i="11"/>
  <c r="AG282" i="11"/>
  <c r="AJ625" i="11"/>
  <c r="AI625" i="11"/>
  <c r="AG625" i="11"/>
  <c r="AJ106" i="11"/>
  <c r="AI106" i="11"/>
  <c r="AG106" i="11"/>
  <c r="AJ287" i="11"/>
  <c r="AG287" i="11"/>
  <c r="AI287" i="11"/>
  <c r="AG742" i="11"/>
  <c r="AJ742" i="11"/>
  <c r="AI742" i="11"/>
  <c r="AI937" i="11"/>
  <c r="AG937" i="11"/>
  <c r="AJ937" i="11"/>
  <c r="AJ968" i="11"/>
  <c r="AI968" i="11"/>
  <c r="AG968" i="11"/>
  <c r="AG908" i="11"/>
  <c r="AJ908" i="11"/>
  <c r="AI908" i="11"/>
  <c r="AG418" i="11"/>
  <c r="AJ418" i="11"/>
  <c r="AI418" i="11"/>
  <c r="AG794" i="11"/>
  <c r="AI794" i="11"/>
  <c r="AJ794" i="11"/>
  <c r="AG991" i="11"/>
  <c r="AJ991" i="11"/>
  <c r="AI991" i="11"/>
  <c r="AG737" i="11"/>
  <c r="AJ737" i="11"/>
  <c r="AI737" i="11"/>
  <c r="AG677" i="11"/>
  <c r="AJ677" i="11"/>
  <c r="AI677" i="11"/>
  <c r="AJ621" i="11"/>
  <c r="AI621" i="11"/>
  <c r="AG621" i="11"/>
  <c r="AJ683" i="11"/>
  <c r="AI683" i="11"/>
  <c r="AG683" i="11"/>
  <c r="AI127" i="11"/>
  <c r="AJ127" i="11"/>
  <c r="AG127" i="11"/>
  <c r="AJ806" i="11"/>
  <c r="AI806" i="11"/>
  <c r="AG806" i="11"/>
  <c r="AJ622" i="11"/>
  <c r="AI622" i="11"/>
  <c r="AG622" i="11"/>
  <c r="AI107" i="11"/>
  <c r="AG107" i="11"/>
  <c r="AJ107" i="11"/>
  <c r="AJ417" i="11"/>
  <c r="AI417" i="11"/>
  <c r="AG417" i="11"/>
  <c r="AJ390" i="11"/>
  <c r="AI390" i="11"/>
  <c r="AG390" i="11"/>
  <c r="AG710" i="11"/>
  <c r="AJ710" i="11"/>
  <c r="AI710" i="11"/>
  <c r="AI668" i="11"/>
  <c r="AG668" i="11"/>
  <c r="AJ668" i="11"/>
  <c r="AJ757" i="11"/>
  <c r="AI757" i="11"/>
  <c r="AG757" i="11"/>
  <c r="E20" i="7"/>
  <c r="D23" i="7"/>
  <c r="D22" i="7"/>
  <c r="AJ630" i="11"/>
  <c r="AG630" i="11"/>
  <c r="AI630" i="11"/>
  <c r="AJ465" i="11"/>
  <c r="AI465" i="11"/>
  <c r="AG465" i="11"/>
  <c r="AJ334" i="11"/>
  <c r="AI334" i="11"/>
  <c r="AG334" i="11"/>
  <c r="AI27" i="11"/>
  <c r="AG27" i="11"/>
  <c r="AJ27" i="11"/>
  <c r="AI892" i="11"/>
  <c r="AJ892" i="11"/>
  <c r="AG892" i="11"/>
  <c r="AJ790" i="11"/>
  <c r="AI790" i="11"/>
  <c r="AG790" i="11"/>
  <c r="AI836" i="11"/>
  <c r="AJ836" i="11"/>
  <c r="AG836" i="11"/>
  <c r="AG95" i="11"/>
  <c r="AJ95" i="11"/>
  <c r="AI95" i="11"/>
  <c r="AI145" i="11"/>
  <c r="AG145" i="11"/>
  <c r="AJ145" i="11"/>
  <c r="AG46" i="11"/>
  <c r="AJ46" i="11"/>
  <c r="AI46" i="11"/>
  <c r="AI217" i="11"/>
  <c r="AG217" i="11"/>
  <c r="AJ217" i="11"/>
  <c r="AG588" i="11"/>
  <c r="AJ588" i="11"/>
  <c r="AI588" i="11"/>
  <c r="AI352" i="11"/>
  <c r="AG352" i="11"/>
  <c r="AJ352" i="11"/>
  <c r="AG39" i="11"/>
  <c r="AJ39" i="11"/>
  <c r="AI39" i="11"/>
  <c r="AG904" i="11"/>
  <c r="AJ904" i="11"/>
  <c r="AI904" i="11"/>
  <c r="AJ414" i="11"/>
  <c r="AI414" i="11"/>
  <c r="AG414" i="11"/>
  <c r="AJ952" i="11"/>
  <c r="AG952" i="11"/>
  <c r="AI952" i="11"/>
  <c r="AG147" i="11"/>
  <c r="AJ147" i="11"/>
  <c r="AI147" i="11"/>
  <c r="AJ88" i="11"/>
  <c r="AI88" i="11"/>
  <c r="AG88" i="11"/>
  <c r="AG289" i="11"/>
  <c r="AJ289" i="11"/>
  <c r="AI289" i="11"/>
  <c r="AJ195" i="11"/>
  <c r="AI195" i="11"/>
  <c r="AG195" i="11"/>
  <c r="AJ705" i="11"/>
  <c r="AI705" i="11"/>
  <c r="AG705" i="11"/>
  <c r="AG840" i="11"/>
  <c r="AJ840" i="11"/>
  <c r="AI840" i="11"/>
  <c r="AJ1002" i="11"/>
  <c r="AI1002" i="11"/>
  <c r="AG1002" i="11"/>
  <c r="AI585" i="11"/>
  <c r="AG585" i="11"/>
  <c r="AJ585" i="11"/>
  <c r="AJ754" i="11"/>
  <c r="AI754" i="11"/>
  <c r="AG754" i="11"/>
  <c r="AG481" i="11"/>
  <c r="AJ481" i="11"/>
  <c r="AI481" i="11"/>
  <c r="AJ965" i="11"/>
  <c r="AI965" i="11"/>
  <c r="AG965" i="11"/>
  <c r="AJ430" i="11"/>
  <c r="AI430" i="11"/>
  <c r="AG430" i="11"/>
  <c r="AI91" i="11"/>
  <c r="AG91" i="11"/>
  <c r="AJ91" i="11"/>
  <c r="AJ191" i="11"/>
  <c r="AI191" i="11"/>
  <c r="AG191" i="11"/>
  <c r="AI420" i="11"/>
  <c r="AG420" i="11"/>
  <c r="AJ420" i="11"/>
  <c r="AG988" i="11"/>
  <c r="AI988" i="11"/>
  <c r="AJ988" i="11"/>
  <c r="AJ318" i="11"/>
  <c r="AI318" i="11"/>
  <c r="AG318" i="11"/>
  <c r="AJ686" i="11"/>
  <c r="AI686" i="11"/>
  <c r="AG686" i="11"/>
  <c r="AG343" i="11"/>
  <c r="AJ343" i="11"/>
  <c r="AI343" i="11"/>
  <c r="AJ560" i="11"/>
  <c r="AG560" i="11"/>
  <c r="AI560" i="11"/>
  <c r="AJ533" i="11"/>
  <c r="AI533" i="11"/>
  <c r="AG533" i="11"/>
  <c r="AG478" i="11"/>
  <c r="AJ478" i="11"/>
  <c r="AI478" i="11"/>
  <c r="AJ309" i="11"/>
  <c r="AI309" i="11"/>
  <c r="AG309" i="11"/>
  <c r="AI542" i="11"/>
  <c r="AG542" i="11"/>
  <c r="AJ542" i="11"/>
  <c r="AG121" i="11"/>
  <c r="AJ121" i="11"/>
  <c r="AI121" i="11"/>
  <c r="AJ298" i="11"/>
  <c r="AI298" i="11"/>
  <c r="AG298" i="11"/>
  <c r="AI59" i="11"/>
  <c r="AG59" i="11"/>
  <c r="AJ59" i="11"/>
  <c r="AG818" i="11"/>
  <c r="AI818" i="11"/>
  <c r="AJ818" i="11"/>
  <c r="AJ590" i="11"/>
  <c r="AI590" i="11"/>
  <c r="AG590" i="11"/>
  <c r="AG917" i="11"/>
  <c r="AJ917" i="11"/>
  <c r="AI917" i="11"/>
  <c r="AG537" i="11"/>
  <c r="AJ537" i="11"/>
  <c r="AI537" i="11"/>
  <c r="AJ568" i="11"/>
  <c r="AI568" i="11"/>
  <c r="AG568" i="11"/>
  <c r="AG63" i="11"/>
  <c r="AJ63" i="11"/>
  <c r="AI63" i="11"/>
  <c r="AG631" i="11"/>
  <c r="AJ631" i="11"/>
  <c r="AI631" i="11"/>
  <c r="AJ837" i="11"/>
  <c r="AI837" i="11"/>
  <c r="AG837" i="11"/>
  <c r="AI954" i="11"/>
  <c r="AG954" i="11"/>
  <c r="AJ954" i="11"/>
  <c r="AG351" i="11"/>
  <c r="AJ351" i="11"/>
  <c r="AI351" i="11"/>
  <c r="AG192" i="11"/>
  <c r="AJ192" i="11"/>
  <c r="AI192" i="11"/>
  <c r="AI215" i="11"/>
  <c r="AG215" i="11"/>
  <c r="AJ215" i="11"/>
  <c r="AJ242" i="11"/>
  <c r="AI242" i="11"/>
  <c r="AG242" i="11"/>
  <c r="AI562" i="11"/>
  <c r="AG562" i="11"/>
  <c r="AJ562" i="11"/>
  <c r="AI437" i="11"/>
  <c r="AG437" i="11"/>
  <c r="AJ437" i="11"/>
  <c r="AG73" i="11"/>
  <c r="AI73" i="11"/>
  <c r="AJ73" i="11"/>
  <c r="AJ472" i="11"/>
  <c r="AI472" i="11"/>
  <c r="AG472" i="11"/>
  <c r="AG546" i="11"/>
  <c r="AJ546" i="11"/>
  <c r="AI546" i="11"/>
  <c r="AI1015" i="11"/>
  <c r="AG1015" i="11"/>
  <c r="AJ1015" i="11"/>
  <c r="AG669" i="11"/>
  <c r="AJ669" i="11"/>
  <c r="AI669" i="11"/>
  <c r="AJ24" i="11"/>
  <c r="AI24" i="11"/>
  <c r="E18" i="11"/>
  <c r="D18" i="11"/>
  <c r="C18" i="11"/>
  <c r="B18" i="11"/>
  <c r="AG24" i="11"/>
  <c r="AG607" i="11"/>
  <c r="AI607" i="11"/>
  <c r="AJ607" i="11"/>
  <c r="AG521" i="11"/>
  <c r="AJ521" i="11"/>
  <c r="AI521" i="11"/>
  <c r="AI404" i="11"/>
  <c r="AG404" i="11"/>
  <c r="AJ404" i="11"/>
  <c r="AG629" i="11"/>
  <c r="AJ629" i="11"/>
  <c r="AI629" i="11"/>
  <c r="AG49" i="11"/>
  <c r="AI49" i="11"/>
  <c r="AJ49" i="11"/>
  <c r="AG113" i="11"/>
  <c r="AI113" i="11"/>
  <c r="AJ113" i="11"/>
  <c r="AG133" i="11"/>
  <c r="AI133" i="11"/>
  <c r="AJ133" i="11"/>
  <c r="AJ479" i="11"/>
  <c r="AI479" i="11"/>
  <c r="AG479" i="11"/>
  <c r="AG123" i="11"/>
  <c r="AI123" i="11"/>
  <c r="AJ123" i="11"/>
  <c r="AG25" i="11"/>
  <c r="AI25" i="11"/>
  <c r="AJ25" i="11"/>
  <c r="AI444" i="11"/>
  <c r="AG444" i="11"/>
  <c r="AJ444" i="11"/>
  <c r="AJ594" i="11"/>
  <c r="AI594" i="11"/>
  <c r="AG594" i="11"/>
  <c r="AG516" i="11"/>
  <c r="AI516" i="11"/>
  <c r="AJ516" i="11"/>
  <c r="AJ646" i="11"/>
  <c r="AI646" i="11"/>
  <c r="AG646" i="11"/>
  <c r="AI280" i="11"/>
  <c r="AG280" i="11"/>
  <c r="AJ280" i="11"/>
  <c r="AI955" i="11"/>
  <c r="AG955" i="11"/>
  <c r="AJ955" i="11"/>
  <c r="AJ449" i="11"/>
  <c r="AG449" i="11"/>
  <c r="AI449" i="11"/>
  <c r="AJ544" i="11"/>
  <c r="AI544" i="11"/>
  <c r="AG544" i="11"/>
  <c r="AJ207" i="11"/>
  <c r="AI207" i="11"/>
  <c r="AG207" i="11"/>
  <c r="AG168" i="11"/>
  <c r="AJ168" i="11"/>
  <c r="AI168" i="11"/>
  <c r="AJ835" i="11"/>
  <c r="AI835" i="11"/>
  <c r="AG835" i="11"/>
  <c r="AG925" i="11"/>
  <c r="AJ925" i="11"/>
  <c r="AI925" i="11"/>
  <c r="AJ997" i="11"/>
  <c r="AI997" i="11"/>
  <c r="AG997" i="11"/>
  <c r="AG551" i="11"/>
  <c r="AI551" i="11"/>
  <c r="AJ551" i="11"/>
  <c r="AJ947" i="11"/>
  <c r="AI947" i="11"/>
  <c r="AG947" i="11"/>
  <c r="AJ361" i="11"/>
  <c r="AI361" i="11"/>
  <c r="AG361" i="11"/>
  <c r="AG249" i="11"/>
  <c r="AJ249" i="11"/>
  <c r="AI249" i="11"/>
  <c r="AG750" i="11"/>
  <c r="AJ750" i="11"/>
  <c r="AI750" i="11"/>
  <c r="AG57" i="11"/>
  <c r="AI57" i="11"/>
  <c r="AJ57" i="11"/>
  <c r="AG118" i="11"/>
  <c r="AJ118" i="11"/>
  <c r="AI118" i="11"/>
  <c r="AG703" i="11"/>
  <c r="AJ703" i="11"/>
  <c r="AI703" i="11"/>
  <c r="AG535" i="11"/>
  <c r="AI535" i="11"/>
  <c r="AJ535" i="11"/>
  <c r="AJ689" i="11"/>
  <c r="AI689" i="11"/>
  <c r="AG689" i="11"/>
  <c r="AI157" i="11"/>
  <c r="AG157" i="11"/>
  <c r="AJ157" i="11"/>
  <c r="AG299" i="11"/>
  <c r="AJ299" i="11"/>
  <c r="AI299" i="11"/>
  <c r="AG254" i="11"/>
  <c r="AI254" i="11"/>
  <c r="AJ254" i="11"/>
  <c r="AI328" i="11"/>
  <c r="AG328" i="11"/>
  <c r="AJ328" i="11"/>
  <c r="AG103" i="11"/>
  <c r="AJ103" i="11"/>
  <c r="AI103" i="11"/>
  <c r="AG718" i="11"/>
  <c r="AJ718" i="11"/>
  <c r="AI718" i="11"/>
  <c r="AI993" i="11"/>
  <c r="AG993" i="11"/>
  <c r="AJ993" i="11"/>
  <c r="AI312" i="11"/>
  <c r="AG312" i="11"/>
  <c r="AJ312" i="11"/>
  <c r="AJ156" i="11"/>
  <c r="AG156" i="11"/>
  <c r="AI156" i="11"/>
  <c r="AJ974" i="11"/>
  <c r="AJ143" i="11"/>
  <c r="AI143" i="11"/>
  <c r="AG143" i="11"/>
  <c r="AI296" i="11"/>
  <c r="AG296" i="11"/>
  <c r="AJ296" i="11"/>
  <c r="AI929" i="11"/>
  <c r="AG929" i="11"/>
  <c r="AJ929" i="11"/>
  <c r="AJ406" i="11"/>
  <c r="AI406" i="11"/>
  <c r="AG406" i="11"/>
  <c r="AI518" i="11"/>
  <c r="AG518" i="11"/>
  <c r="AJ518" i="11"/>
  <c r="AI1009" i="11"/>
  <c r="AG1009" i="11"/>
  <c r="AJ1009" i="11"/>
  <c r="AG505" i="11"/>
  <c r="AJ505" i="11"/>
  <c r="AI505" i="11"/>
  <c r="AI166" i="11"/>
  <c r="AG166" i="11"/>
  <c r="AJ166" i="11"/>
  <c r="AG967" i="11"/>
  <c r="AJ967" i="11"/>
  <c r="AI967" i="11"/>
  <c r="AI304" i="11"/>
  <c r="AG304" i="11"/>
  <c r="AJ304" i="11"/>
  <c r="AI964" i="11"/>
  <c r="AG964" i="11"/>
  <c r="AJ964" i="11"/>
  <c r="AG776" i="11"/>
  <c r="AJ776" i="11"/>
  <c r="AI776" i="11"/>
  <c r="AG497" i="11"/>
  <c r="AJ497" i="11"/>
  <c r="AI497" i="11"/>
  <c r="AG155" i="11"/>
  <c r="AJ155" i="11"/>
  <c r="AI155" i="11"/>
  <c r="AJ979" i="11"/>
  <c r="AG979" i="11"/>
  <c r="AI979" i="11"/>
  <c r="AG872" i="11"/>
  <c r="AJ872" i="11"/>
  <c r="AI872" i="11"/>
  <c r="AJ517" i="11"/>
  <c r="AI517" i="11"/>
  <c r="AG517" i="11"/>
  <c r="AJ635" i="11"/>
  <c r="AI635" i="11"/>
  <c r="AG635" i="11"/>
  <c r="AI436" i="11"/>
  <c r="AG436" i="11"/>
  <c r="AJ436" i="11"/>
  <c r="AI193" i="11"/>
  <c r="AG193" i="11"/>
  <c r="AJ193" i="11"/>
  <c r="AI365" i="11"/>
  <c r="AG365" i="11"/>
  <c r="AJ365" i="11"/>
  <c r="AI713" i="11"/>
  <c r="AG713" i="11"/>
  <c r="AJ713" i="11"/>
  <c r="AG453" i="11"/>
  <c r="AJ453" i="11"/>
  <c r="AI453" i="11"/>
  <c r="AI813" i="11"/>
  <c r="AG813" i="11"/>
  <c r="AJ813" i="11"/>
  <c r="AG432" i="11"/>
  <c r="AJ432" i="11"/>
  <c r="AI432" i="11"/>
  <c r="AJ536" i="11"/>
  <c r="AI536" i="11"/>
  <c r="AG536" i="11"/>
  <c r="AI676" i="11"/>
  <c r="AG676" i="11"/>
  <c r="AJ676" i="11"/>
  <c r="AJ493" i="11"/>
  <c r="AI493" i="11"/>
  <c r="AG493" i="11"/>
  <c r="AJ565" i="11"/>
  <c r="AI565" i="11"/>
  <c r="AG565" i="11"/>
  <c r="AG866" i="11"/>
  <c r="AJ866" i="11"/>
  <c r="AI866" i="11"/>
  <c r="AG984" i="11"/>
  <c r="AI984" i="11"/>
  <c r="AJ984" i="11"/>
  <c r="AJ741" i="11"/>
  <c r="AI741" i="11"/>
  <c r="AG741" i="11"/>
  <c r="AI805" i="11"/>
  <c r="AG805" i="11"/>
  <c r="AJ805" i="11"/>
  <c r="AG731" i="11"/>
  <c r="AI731" i="11"/>
  <c r="AJ731" i="11"/>
  <c r="AJ592" i="11"/>
  <c r="AG592" i="11"/>
  <c r="AI592" i="11"/>
  <c r="AJ659" i="11"/>
  <c r="AI659" i="11"/>
  <c r="AG659" i="11"/>
  <c r="F6" i="8"/>
  <c r="H6" i="8" s="1"/>
  <c r="E19" i="7"/>
  <c r="F4" i="8"/>
  <c r="H4" i="8" s="1"/>
  <c r="F7" i="8"/>
  <c r="H7" i="8" s="1"/>
  <c r="F5" i="8"/>
  <c r="H5" i="8" s="1"/>
  <c r="D24" i="7"/>
  <c r="E24" i="7" s="1"/>
  <c r="AJ727" i="11"/>
  <c r="AG727" i="11"/>
  <c r="AI727" i="11"/>
  <c r="AJ50" i="11"/>
  <c r="AI50" i="11"/>
  <c r="AG50" i="11"/>
  <c r="AG949" i="11"/>
  <c r="AI949" i="11"/>
  <c r="AJ949" i="11"/>
  <c r="AG370" i="11"/>
  <c r="AJ370" i="11"/>
  <c r="AI370" i="11"/>
  <c r="AJ170" i="11"/>
  <c r="AI170" i="11"/>
  <c r="AG170" i="11"/>
  <c r="AJ760" i="11"/>
  <c r="AI760" i="11"/>
  <c r="AG760" i="11"/>
  <c r="AI494" i="11"/>
  <c r="AG494" i="11"/>
  <c r="AJ494" i="11"/>
  <c r="AI860" i="11"/>
  <c r="AG860" i="11"/>
  <c r="AJ860" i="11"/>
  <c r="AJ665" i="11"/>
  <c r="AI665" i="11"/>
  <c r="AG665" i="11"/>
  <c r="AJ205" i="11"/>
  <c r="AI205" i="11"/>
  <c r="AG205" i="11"/>
  <c r="AG682" i="11"/>
  <c r="AI682" i="11"/>
  <c r="AJ682" i="11"/>
  <c r="AJ865" i="11"/>
  <c r="AG865" i="11"/>
  <c r="AI865" i="11"/>
  <c r="AG484" i="11"/>
  <c r="AI484" i="11"/>
  <c r="AJ484" i="11"/>
  <c r="AJ730" i="11"/>
  <c r="AI730" i="11"/>
  <c r="AG730" i="11"/>
  <c r="AG308" i="11"/>
  <c r="AJ308" i="11"/>
  <c r="AI308" i="11"/>
  <c r="AJ326" i="11"/>
  <c r="AI326" i="11"/>
  <c r="AG326" i="11"/>
  <c r="AJ146" i="11"/>
  <c r="AI146" i="11"/>
  <c r="AG146" i="11"/>
  <c r="AI405" i="11"/>
  <c r="AG405" i="11"/>
  <c r="AJ405" i="11"/>
  <c r="AG362" i="11"/>
  <c r="AJ362" i="11"/>
  <c r="AI362" i="11"/>
  <c r="AI150" i="11"/>
  <c r="AG150" i="11"/>
  <c r="AJ150" i="11"/>
  <c r="AJ610" i="11"/>
  <c r="AI610" i="11"/>
  <c r="AG610" i="11"/>
  <c r="AG307" i="11"/>
  <c r="AJ307" i="11"/>
  <c r="AI307" i="11"/>
  <c r="AJ197" i="11"/>
  <c r="AI197" i="11"/>
  <c r="AG197" i="11"/>
  <c r="AI772" i="11"/>
  <c r="AG772" i="11"/>
  <c r="AJ772" i="11"/>
  <c r="AI922" i="11"/>
  <c r="AG922" i="11"/>
  <c r="AJ922" i="11"/>
  <c r="AI149" i="11"/>
  <c r="AG149" i="11"/>
  <c r="AJ149" i="11"/>
  <c r="AG302" i="11"/>
  <c r="AI302" i="11"/>
  <c r="AJ302" i="11"/>
  <c r="AG125" i="11"/>
  <c r="AI125" i="11"/>
  <c r="AJ125" i="11"/>
  <c r="AG802" i="11"/>
  <c r="AI802" i="11"/>
  <c r="AJ802" i="11"/>
  <c r="AI357" i="11"/>
  <c r="AG357" i="11"/>
  <c r="AJ357" i="11"/>
  <c r="AJ451" i="11"/>
  <c r="AI451" i="11"/>
  <c r="AG451" i="11"/>
  <c r="AG86" i="11"/>
  <c r="AJ86" i="11"/>
  <c r="AI86" i="11"/>
  <c r="AG473" i="11"/>
  <c r="AJ473" i="11"/>
  <c r="AI473" i="11"/>
  <c r="AG448" i="11"/>
  <c r="AJ448" i="11"/>
  <c r="AI448" i="11"/>
  <c r="AJ202" i="11"/>
  <c r="AI202" i="11"/>
  <c r="AG202" i="11"/>
  <c r="AJ130" i="11"/>
  <c r="AI130" i="11"/>
  <c r="AG130" i="11"/>
  <c r="AG928" i="11"/>
  <c r="AJ928" i="11"/>
  <c r="AI928" i="11"/>
  <c r="AG144" i="11"/>
  <c r="AJ144" i="11"/>
  <c r="AI144" i="11"/>
  <c r="AG875" i="11"/>
  <c r="AJ875" i="11"/>
  <c r="AI875" i="11"/>
  <c r="AJ675" i="11"/>
  <c r="AI675" i="11"/>
  <c r="AG675" i="11"/>
  <c r="AJ525" i="11"/>
  <c r="AI525" i="11"/>
  <c r="AG525" i="11"/>
  <c r="AJ851" i="11"/>
  <c r="AI851" i="11"/>
  <c r="AG851" i="11"/>
  <c r="AI569" i="11"/>
  <c r="AG569" i="11"/>
  <c r="AJ569" i="11"/>
  <c r="AG874" i="11"/>
  <c r="AI874" i="11"/>
  <c r="AJ874" i="11"/>
  <c r="AG973" i="11"/>
  <c r="AJ973" i="11"/>
  <c r="AI973" i="11"/>
  <c r="AI317" i="11"/>
  <c r="AG317" i="11"/>
  <c r="AJ317" i="11"/>
  <c r="AI181" i="11"/>
  <c r="AG181" i="11"/>
  <c r="AJ181" i="11"/>
  <c r="AJ578" i="11"/>
  <c r="AI578" i="11"/>
  <c r="AG578" i="11"/>
  <c r="AG241" i="11"/>
  <c r="AJ241" i="11"/>
  <c r="AI241" i="11"/>
  <c r="AG187" i="11"/>
  <c r="AJ187" i="11"/>
  <c r="AI187" i="11"/>
  <c r="AJ673" i="11"/>
  <c r="AI673" i="11"/>
  <c r="AG673" i="11"/>
  <c r="AI389" i="11"/>
  <c r="AG389" i="11"/>
  <c r="AJ389" i="11"/>
  <c r="AG663" i="11"/>
  <c r="AJ663" i="11"/>
  <c r="AI663" i="11"/>
  <c r="AG76" i="11"/>
  <c r="AJ76" i="11"/>
  <c r="AI76" i="11"/>
  <c r="AJ142" i="11"/>
  <c r="AI142" i="11"/>
  <c r="AG142" i="11"/>
  <c r="AJ531" i="11"/>
  <c r="AI531" i="11"/>
  <c r="AG531" i="11"/>
  <c r="AG532" i="11"/>
  <c r="AI532" i="11"/>
  <c r="AJ532" i="11"/>
  <c r="AJ154" i="11"/>
  <c r="AI154" i="11"/>
  <c r="AG154" i="11"/>
  <c r="AJ956" i="11"/>
  <c r="AG956" i="11"/>
  <c r="AI956" i="11"/>
  <c r="AG246" i="11"/>
  <c r="AI246" i="11"/>
  <c r="AJ246" i="11"/>
  <c r="AG645" i="11"/>
  <c r="AJ645" i="11"/>
  <c r="AI645" i="11"/>
  <c r="AJ56" i="11"/>
  <c r="AI56" i="11"/>
  <c r="AG56" i="11"/>
  <c r="AG758" i="11"/>
  <c r="AJ758" i="11"/>
  <c r="AI758" i="11"/>
  <c r="AJ957" i="11"/>
  <c r="AG957" i="11"/>
  <c r="AI957" i="11"/>
  <c r="AG176" i="11"/>
  <c r="AJ176" i="11"/>
  <c r="AI176" i="11"/>
  <c r="AG160" i="11"/>
  <c r="AJ160" i="11"/>
  <c r="AI160" i="11"/>
  <c r="AJ427" i="11"/>
  <c r="AG427" i="11"/>
  <c r="AI427" i="11"/>
  <c r="AG105" i="11"/>
  <c r="AI105" i="11"/>
  <c r="AJ105" i="11"/>
  <c r="AI463" i="11"/>
  <c r="AG463" i="11"/>
  <c r="AJ463" i="11"/>
  <c r="AJ602" i="11"/>
  <c r="AI602" i="11"/>
  <c r="AG602" i="11"/>
  <c r="AG235" i="11"/>
  <c r="AJ235" i="11"/>
  <c r="AI235" i="11"/>
  <c r="AI325" i="11"/>
  <c r="AG325" i="11"/>
  <c r="AJ325" i="11"/>
  <c r="AJ201" i="11"/>
  <c r="AI201" i="11"/>
  <c r="AG201" i="11"/>
  <c r="AJ290" i="11"/>
  <c r="AI290" i="11"/>
  <c r="AG290" i="11"/>
  <c r="AI712" i="11"/>
  <c r="AJ712" i="11"/>
  <c r="AG712" i="11"/>
  <c r="AG911" i="11"/>
  <c r="AI911" i="11"/>
  <c r="AJ911" i="11"/>
  <c r="AG291" i="11"/>
  <c r="AJ291" i="11"/>
  <c r="AI291" i="11"/>
  <c r="AG492" i="11"/>
  <c r="AI492" i="11"/>
  <c r="AJ492" i="11"/>
  <c r="AG116" i="11"/>
  <c r="AJ116" i="11"/>
  <c r="AI116" i="11"/>
  <c r="AI396" i="11"/>
  <c r="AG396" i="11"/>
  <c r="AJ396" i="11"/>
  <c r="AG38" i="11"/>
  <c r="AJ38" i="11"/>
  <c r="AI38" i="11"/>
  <c r="AI408" i="11"/>
  <c r="AG408" i="11"/>
  <c r="AJ408" i="11"/>
  <c r="AJ598" i="11"/>
  <c r="AI598" i="11"/>
  <c r="AG598" i="11"/>
  <c r="AI161" i="11"/>
  <c r="AG161" i="11"/>
  <c r="AJ161" i="11"/>
  <c r="AI368" i="11"/>
  <c r="AG368" i="11"/>
  <c r="AJ368" i="11"/>
  <c r="AJ766" i="11"/>
  <c r="AG766" i="11"/>
  <c r="AI766" i="11"/>
  <c r="AG564" i="11"/>
  <c r="AJ564" i="11"/>
  <c r="AI564" i="11"/>
  <c r="AG877" i="11"/>
  <c r="AJ877" i="11"/>
  <c r="AI877" i="11"/>
  <c r="AJ331" i="11"/>
  <c r="AG331" i="11"/>
  <c r="AI331" i="11"/>
  <c r="AJ411" i="11"/>
  <c r="AG411" i="11"/>
  <c r="AI411" i="11"/>
  <c r="AJ905" i="11"/>
  <c r="AI905" i="11"/>
  <c r="AG905" i="11"/>
  <c r="AI609" i="11"/>
  <c r="AG609" i="11"/>
  <c r="AJ609" i="11"/>
  <c r="AJ194" i="11"/>
  <c r="AI194" i="11"/>
  <c r="AG194" i="11"/>
  <c r="AJ101" i="11"/>
  <c r="AI101" i="11"/>
  <c r="AG101" i="11"/>
  <c r="AJ811" i="11"/>
  <c r="AI811" i="11"/>
  <c r="AG811" i="11"/>
  <c r="AJ337" i="11"/>
  <c r="AI337" i="11"/>
  <c r="AG337" i="11"/>
  <c r="AJ413" i="11"/>
  <c r="AI413" i="11"/>
  <c r="AG413" i="11"/>
  <c r="AJ649" i="11"/>
  <c r="AI649" i="11"/>
  <c r="AG649" i="11"/>
  <c r="AG831" i="11"/>
  <c r="AJ831" i="11"/>
  <c r="AI831" i="11"/>
  <c r="AG84" i="11"/>
  <c r="AJ84" i="11"/>
  <c r="AI84" i="11"/>
  <c r="AG597" i="11"/>
  <c r="AJ597" i="11"/>
  <c r="AI597" i="11"/>
  <c r="AJ821" i="11"/>
  <c r="AI821" i="11"/>
  <c r="AG821" i="11"/>
  <c r="AG580" i="11"/>
  <c r="AJ580" i="11"/>
  <c r="AI580" i="11"/>
  <c r="D20" i="11"/>
  <c r="C20" i="11"/>
  <c r="B20" i="11"/>
  <c r="E20" i="11"/>
  <c r="AJ826" i="11"/>
  <c r="AI826" i="11"/>
  <c r="AG826" i="11"/>
  <c r="AJ554" i="11"/>
  <c r="AI554" i="11"/>
  <c r="AG554" i="11"/>
  <c r="AJ830" i="11"/>
  <c r="AI830" i="11"/>
  <c r="AG830" i="11"/>
  <c r="AJ523" i="11"/>
  <c r="AI523" i="11"/>
  <c r="AG523" i="11"/>
  <c r="AI723" i="11"/>
  <c r="AG723" i="11"/>
  <c r="AJ723" i="11"/>
  <c r="AG354" i="11"/>
  <c r="AJ354" i="11"/>
  <c r="AI354" i="11"/>
  <c r="AJ139" i="11"/>
  <c r="AI139" i="11"/>
  <c r="AG139" i="11"/>
  <c r="AG450" i="11"/>
  <c r="AJ450" i="11"/>
  <c r="AI450" i="11"/>
  <c r="AG639" i="11"/>
  <c r="AJ639" i="11"/>
  <c r="AI639" i="11"/>
  <c r="AG65" i="11"/>
  <c r="AI65" i="11"/>
  <c r="AJ65" i="11"/>
  <c r="AJ53" i="11"/>
  <c r="AI53" i="11"/>
  <c r="AG53" i="11"/>
  <c r="AI644" i="11"/>
  <c r="AG644" i="11"/>
  <c r="AJ644" i="11"/>
  <c r="AG907" i="11"/>
  <c r="AJ907" i="11"/>
  <c r="AI907" i="11"/>
  <c r="AJ469" i="11"/>
  <c r="AI469" i="11"/>
  <c r="AG469" i="11"/>
  <c r="AJ990" i="11"/>
  <c r="AI990" i="11"/>
  <c r="AG990" i="11"/>
  <c r="AJ504" i="11"/>
  <c r="AI504" i="11"/>
  <c r="AG504" i="11"/>
  <c r="AJ85" i="11"/>
  <c r="AI85" i="11"/>
  <c r="AG85" i="11"/>
  <c r="AJ474" i="11"/>
  <c r="AI474" i="11"/>
  <c r="AG474" i="11"/>
  <c r="AJ274" i="11"/>
  <c r="AI274" i="11"/>
  <c r="AG274" i="11"/>
  <c r="AJ477" i="11"/>
  <c r="AI477" i="11"/>
  <c r="AG477" i="11"/>
  <c r="AI429" i="11"/>
  <c r="AG429" i="11"/>
  <c r="AJ429" i="11"/>
  <c r="AG679" i="11"/>
  <c r="AJ679" i="11"/>
  <c r="AI679" i="11"/>
  <c r="AG858" i="11"/>
  <c r="AI858" i="11"/>
  <c r="AJ858" i="11"/>
  <c r="AG978" i="11"/>
  <c r="AJ978" i="11"/>
  <c r="AI978" i="11"/>
  <c r="AI364" i="11"/>
  <c r="AG364" i="11"/>
  <c r="AJ364" i="11"/>
  <c r="G7" i="2"/>
  <c r="AJ735" i="11"/>
  <c r="AG735" i="11"/>
  <c r="AI735" i="11"/>
  <c r="AG431" i="11"/>
  <c r="AJ431" i="11"/>
  <c r="AI431" i="11"/>
  <c r="AJ699" i="11"/>
  <c r="AI699" i="11"/>
  <c r="AG699" i="11"/>
  <c r="AG867" i="11"/>
  <c r="AI867" i="11"/>
  <c r="AJ867" i="11"/>
  <c r="AI577" i="11"/>
  <c r="AG577" i="11"/>
  <c r="AJ577" i="11"/>
  <c r="AI852" i="11"/>
  <c r="AJ852" i="11"/>
  <c r="AG852" i="11"/>
  <c r="AJ258" i="11"/>
  <c r="AI258" i="11"/>
  <c r="AG258" i="11"/>
  <c r="AI342" i="11"/>
  <c r="AJ306" i="11"/>
  <c r="AI306" i="11"/>
  <c r="AG306" i="11"/>
  <c r="AJ425" i="11"/>
  <c r="AI425" i="11"/>
  <c r="AG425" i="11"/>
  <c r="AJ779" i="11"/>
  <c r="AI779" i="11"/>
  <c r="AG779" i="11"/>
  <c r="AG996" i="11"/>
  <c r="AI996" i="11"/>
  <c r="AJ996" i="11"/>
  <c r="AG839" i="11"/>
  <c r="AI839" i="11"/>
  <c r="AJ839" i="11"/>
  <c r="AG729" i="11"/>
  <c r="AJ729" i="11"/>
  <c r="AI729" i="11"/>
  <c r="AJ586" i="11"/>
  <c r="AI586" i="11"/>
  <c r="AG586" i="11"/>
  <c r="AJ245" i="11"/>
  <c r="AI245" i="11"/>
  <c r="AG245" i="11"/>
  <c r="AI131" i="11"/>
  <c r="AG131" i="11"/>
  <c r="AJ131" i="11"/>
  <c r="AG294" i="11"/>
  <c r="AI294" i="11"/>
  <c r="AJ294" i="11"/>
  <c r="AG823" i="11"/>
  <c r="AJ823" i="11"/>
  <c r="AI823" i="11"/>
  <c r="AG599" i="11"/>
  <c r="AI599" i="11"/>
  <c r="AJ599" i="11"/>
  <c r="AJ857" i="11"/>
  <c r="AI857" i="11"/>
  <c r="AG857" i="11"/>
  <c r="AG262" i="11"/>
  <c r="AI262" i="11"/>
  <c r="AJ262" i="11"/>
  <c r="AI817" i="11"/>
  <c r="AG817" i="11"/>
  <c r="AJ817" i="11"/>
  <c r="AG1013" i="11"/>
  <c r="AJ1013" i="11"/>
  <c r="AI1013" i="11"/>
  <c r="AJ1012" i="11"/>
  <c r="AG1012" i="11"/>
  <c r="AI1012" i="11"/>
  <c r="AG605" i="11"/>
  <c r="AJ605" i="11"/>
  <c r="AI605" i="11"/>
  <c r="AI876" i="11"/>
  <c r="AJ876" i="11"/>
  <c r="AG876" i="11"/>
  <c r="AI870" i="11"/>
  <c r="AG870" i="11"/>
  <c r="AJ870" i="11"/>
  <c r="AI43" i="11"/>
  <c r="AG43" i="11"/>
  <c r="AJ43" i="11"/>
  <c r="AJ814" i="11"/>
  <c r="AI814" i="11"/>
  <c r="AG814" i="11"/>
  <c r="AJ910" i="11"/>
  <c r="AI910" i="11"/>
  <c r="AG910" i="11"/>
  <c r="AJ914" i="11"/>
  <c r="AI914" i="11"/>
  <c r="AG914" i="11"/>
  <c r="AI376" i="11"/>
  <c r="AG376" i="11"/>
  <c r="AJ376" i="11"/>
  <c r="AI336" i="11"/>
  <c r="AG336" i="11"/>
  <c r="AJ336" i="11"/>
  <c r="AJ345" i="11"/>
  <c r="AI345" i="11"/>
  <c r="AG345" i="11"/>
  <c r="AG426" i="11"/>
  <c r="AJ426" i="11"/>
  <c r="AI426" i="11"/>
  <c r="AJ878" i="11"/>
  <c r="AI878" i="11"/>
  <c r="AG878" i="11"/>
  <c r="AJ363" i="11"/>
  <c r="AG363" i="11"/>
  <c r="AI363" i="11"/>
  <c r="AJ627" i="11"/>
  <c r="AI627" i="11"/>
  <c r="AG627" i="11"/>
  <c r="AG391" i="11"/>
  <c r="AI391" i="11"/>
  <c r="AJ391" i="11"/>
  <c r="AJ808" i="11"/>
  <c r="AI808" i="11"/>
  <c r="AG808" i="11"/>
  <c r="AG219" i="11"/>
  <c r="AI219" i="11"/>
  <c r="AJ219" i="11"/>
  <c r="AJ725" i="11"/>
  <c r="AG725" i="11"/>
  <c r="AI725" i="11"/>
  <c r="AG519" i="11"/>
  <c r="AJ519" i="11"/>
  <c r="AI519" i="11"/>
  <c r="AJ96" i="11"/>
  <c r="AI96" i="11"/>
  <c r="AG96" i="11"/>
  <c r="AG726" i="11"/>
  <c r="AJ726" i="11"/>
  <c r="AI726" i="11"/>
  <c r="AG880" i="11"/>
  <c r="AJ880" i="11"/>
  <c r="AI880" i="11"/>
  <c r="AI83" i="11"/>
  <c r="AG83" i="11"/>
  <c r="AJ83" i="11"/>
  <c r="AI561" i="11"/>
  <c r="AG561" i="11"/>
  <c r="AJ561" i="11"/>
  <c r="AG812" i="11"/>
  <c r="AI812" i="11"/>
  <c r="AJ812" i="11"/>
  <c r="AG807" i="11"/>
  <c r="AJ807" i="11"/>
  <c r="AI807" i="11"/>
  <c r="AJ563" i="11"/>
  <c r="AI563" i="11"/>
  <c r="AG563" i="11"/>
  <c r="AG259" i="11"/>
  <c r="AJ259" i="11"/>
  <c r="AI259" i="11"/>
  <c r="AI165" i="11"/>
  <c r="AG165" i="11"/>
  <c r="AJ165" i="11"/>
  <c r="AJ140" i="11"/>
  <c r="AI140" i="11"/>
  <c r="AG140" i="11"/>
  <c r="AG842" i="11"/>
  <c r="AI842" i="11"/>
  <c r="AJ842" i="11"/>
  <c r="AJ833" i="11"/>
  <c r="AI833" i="11"/>
  <c r="AG833" i="11"/>
  <c r="AG933" i="11"/>
  <c r="AI933" i="11"/>
  <c r="AJ933" i="11"/>
  <c r="AG386" i="11"/>
  <c r="AJ386" i="11"/>
  <c r="AI386" i="11"/>
  <c r="AG338" i="11"/>
  <c r="AJ338" i="11"/>
  <c r="AI338" i="11"/>
  <c r="AG97" i="11"/>
  <c r="AI97" i="11"/>
  <c r="AJ97" i="11"/>
  <c r="AG906" i="11"/>
  <c r="AJ906" i="11"/>
  <c r="AI906" i="11"/>
  <c r="AG848" i="11"/>
  <c r="AJ848" i="11"/>
  <c r="AI848" i="11"/>
  <c r="AI744" i="11"/>
  <c r="AG744" i="11"/>
  <c r="AJ744" i="11"/>
  <c r="AG799" i="11"/>
  <c r="AJ799" i="11"/>
  <c r="AI799" i="11"/>
  <c r="AI728" i="11"/>
  <c r="AG728" i="11"/>
  <c r="AJ728" i="11"/>
  <c r="AG924" i="11"/>
  <c r="AJ924" i="11"/>
  <c r="AI924" i="11"/>
  <c r="AG222" i="11"/>
  <c r="AI222" i="11"/>
  <c r="AJ222" i="11"/>
  <c r="AG672" i="11"/>
  <c r="AJ672" i="11"/>
  <c r="AI672" i="11"/>
  <c r="AG78" i="11"/>
  <c r="AJ78" i="11"/>
  <c r="AI78" i="11"/>
  <c r="AG122" i="11"/>
  <c r="AJ122" i="11"/>
  <c r="AI122" i="11"/>
  <c r="AI177" i="11"/>
  <c r="AG177" i="11"/>
  <c r="AJ177" i="11"/>
  <c r="AG596" i="11"/>
  <c r="AJ596" i="11"/>
  <c r="AI596" i="11"/>
  <c r="AI340" i="11"/>
  <c r="AG340" i="11"/>
  <c r="AJ340" i="11"/>
  <c r="AJ942" i="11"/>
  <c r="AI942" i="11"/>
  <c r="AG942" i="11"/>
  <c r="AI1001" i="11"/>
  <c r="AG1001" i="11"/>
  <c r="AJ1001" i="11"/>
  <c r="AJ989" i="11"/>
  <c r="AI989" i="11"/>
  <c r="AG989" i="11"/>
  <c r="AG292" i="11"/>
  <c r="AJ292" i="11"/>
  <c r="AI292" i="11"/>
  <c r="AJ109" i="11"/>
  <c r="AI109" i="11"/>
  <c r="AG109" i="11"/>
  <c r="AI248" i="11"/>
  <c r="AG248" i="11"/>
  <c r="AJ248" i="11"/>
  <c r="AJ827" i="11"/>
  <c r="AI827" i="11"/>
  <c r="AG827" i="11"/>
  <c r="AJ45" i="11"/>
  <c r="AI45" i="11"/>
  <c r="AG45" i="11"/>
  <c r="AJ167" i="11"/>
  <c r="AI167" i="11"/>
  <c r="AG167" i="11"/>
  <c r="AI224" i="11"/>
  <c r="AG224" i="11"/>
  <c r="AJ224" i="11"/>
  <c r="AJ358" i="11"/>
  <c r="AI358" i="11"/>
  <c r="AG358" i="11"/>
  <c r="AJ611" i="11"/>
  <c r="AG611" i="11"/>
  <c r="AI611" i="11"/>
  <c r="AI944" i="11"/>
  <c r="AG944" i="11"/>
  <c r="AJ944" i="11"/>
  <c r="AJ223" i="11"/>
  <c r="AG223" i="11"/>
  <c r="AI223" i="11"/>
  <c r="AJ315" i="11"/>
  <c r="AG315" i="11"/>
  <c r="AI315" i="11"/>
  <c r="AG367" i="11"/>
  <c r="AI367" i="11"/>
  <c r="AJ367" i="11"/>
  <c r="AG482" i="11"/>
  <c r="AJ482" i="11"/>
  <c r="AI482" i="11"/>
  <c r="AG909" i="11"/>
  <c r="AI909" i="11"/>
  <c r="AJ909" i="11"/>
  <c r="AG791" i="11"/>
  <c r="AJ791" i="11"/>
  <c r="AI791" i="11"/>
  <c r="AI119" i="11"/>
  <c r="AG119" i="11"/>
  <c r="AJ119" i="11"/>
  <c r="AI356" i="11"/>
  <c r="AG356" i="11"/>
  <c r="AJ356" i="11"/>
  <c r="AI185" i="11"/>
  <c r="AG185" i="11"/>
  <c r="AJ185" i="11"/>
  <c r="AG888" i="11"/>
  <c r="AJ888" i="11"/>
  <c r="AI888" i="11"/>
  <c r="AJ936" i="11"/>
  <c r="AI936" i="11"/>
  <c r="AG936" i="11"/>
  <c r="AI781" i="11"/>
  <c r="AG781" i="11"/>
  <c r="AJ781" i="11"/>
  <c r="AG653" i="11"/>
  <c r="AJ653" i="11"/>
  <c r="AI653" i="11"/>
  <c r="AJ641" i="11"/>
  <c r="AI641" i="11"/>
  <c r="AG641" i="11"/>
  <c r="AI844" i="11"/>
  <c r="AJ844" i="11"/>
  <c r="AG844" i="11"/>
  <c r="AG559" i="11"/>
  <c r="AI559" i="11"/>
  <c r="AJ559" i="11"/>
  <c r="AG305" i="11"/>
  <c r="AJ305" i="11"/>
  <c r="AI305" i="11"/>
  <c r="AI209" i="11"/>
  <c r="AG209" i="11"/>
  <c r="AJ209" i="11"/>
  <c r="AJ822" i="11"/>
  <c r="AI822" i="11"/>
  <c r="AG822" i="11"/>
  <c r="AJ237" i="11"/>
  <c r="AI237" i="11"/>
  <c r="AG237" i="11"/>
  <c r="AI963" i="11"/>
  <c r="AJ963" i="11"/>
  <c r="AG963" i="11"/>
  <c r="AJ379" i="11"/>
  <c r="AG379" i="11"/>
  <c r="AI379" i="11"/>
  <c r="AJ691" i="11"/>
  <c r="AI691" i="11"/>
  <c r="AG691" i="11"/>
  <c r="AI199" i="11"/>
  <c r="AG199" i="11"/>
  <c r="AJ199" i="11"/>
  <c r="AJ998" i="11"/>
  <c r="AI998" i="11"/>
  <c r="AG998" i="11"/>
  <c r="AJ183" i="11"/>
  <c r="AI183" i="11"/>
  <c r="AG183" i="11"/>
  <c r="AJ520" i="11"/>
  <c r="AI520" i="11"/>
  <c r="AG520" i="11"/>
  <c r="AG489" i="11"/>
  <c r="AJ489" i="11"/>
  <c r="AI489" i="11"/>
  <c r="AJ48" i="11"/>
  <c r="AI48" i="11"/>
  <c r="AG48" i="11"/>
  <c r="AG265" i="11"/>
  <c r="AJ265" i="11"/>
  <c r="AI265" i="11"/>
  <c r="AI656" i="11"/>
  <c r="AI349" i="11"/>
  <c r="AG349" i="11"/>
  <c r="AJ349" i="11"/>
  <c r="AG314" i="11"/>
  <c r="AJ314" i="11"/>
  <c r="AI314" i="11"/>
  <c r="AG935" i="11"/>
  <c r="AI935" i="11"/>
  <c r="AJ935" i="11"/>
  <c r="AI332" i="11"/>
  <c r="AG332" i="11"/>
  <c r="AJ332" i="11"/>
  <c r="AG330" i="11"/>
  <c r="AJ330" i="11"/>
  <c r="AI330" i="11"/>
  <c r="AG322" i="11"/>
  <c r="AJ322" i="11"/>
  <c r="AI322" i="11"/>
  <c r="AG887" i="11"/>
  <c r="AJ887" i="11"/>
  <c r="AI887" i="11"/>
  <c r="AJ657" i="11"/>
  <c r="AI657" i="11"/>
  <c r="AG657" i="11"/>
  <c r="AI797" i="11"/>
  <c r="AG797" i="11"/>
  <c r="AJ797" i="11"/>
  <c r="AJ457" i="11"/>
  <c r="AI457" i="11"/>
  <c r="AG457" i="11"/>
  <c r="B21" i="11"/>
  <c r="E21" i="11"/>
  <c r="D21" i="11"/>
  <c r="C21" i="11"/>
  <c r="AJ403" i="11"/>
  <c r="AG403" i="11"/>
  <c r="AI403" i="11"/>
  <c r="AI447" i="11"/>
  <c r="AG447" i="11"/>
  <c r="AJ447" i="11"/>
  <c r="AJ541" i="11"/>
  <c r="AI541" i="11"/>
  <c r="AG541" i="11"/>
  <c r="AG664" i="11"/>
  <c r="AJ664" i="11"/>
  <c r="AI664" i="11"/>
  <c r="AI320" i="11"/>
  <c r="AG320" i="11"/>
  <c r="AJ320" i="11"/>
  <c r="AG514" i="11"/>
  <c r="AJ514" i="11"/>
  <c r="AI514" i="11"/>
  <c r="AG111" i="11"/>
  <c r="AJ111" i="11"/>
  <c r="AI111" i="11"/>
  <c r="AJ433" i="11"/>
  <c r="AI433" i="11"/>
  <c r="AG433" i="11"/>
  <c r="AI169" i="11"/>
  <c r="AG169" i="11"/>
  <c r="AJ169" i="11"/>
  <c r="AG273" i="11"/>
  <c r="AJ273" i="11"/>
  <c r="AI273" i="11"/>
  <c r="AG543" i="11"/>
  <c r="AI543" i="11"/>
  <c r="AJ543" i="11"/>
  <c r="AG637" i="11"/>
  <c r="AJ637" i="11"/>
  <c r="AI637" i="11"/>
  <c r="AG898" i="11"/>
  <c r="AI898" i="11"/>
  <c r="AJ898" i="11"/>
  <c r="AG943" i="11"/>
  <c r="AI943" i="11"/>
  <c r="AJ943" i="11"/>
  <c r="AG709" i="11"/>
  <c r="AJ709" i="11"/>
  <c r="AI709" i="11"/>
  <c r="AJ412" i="11"/>
  <c r="AI412" i="11"/>
  <c r="AG412" i="11"/>
  <c r="AJ229" i="11"/>
  <c r="AI229" i="11"/>
  <c r="AG229" i="11"/>
  <c r="AG41" i="11"/>
  <c r="AI41" i="11"/>
  <c r="AJ41" i="11"/>
  <c r="AI220" i="11"/>
  <c r="AG220" i="11"/>
  <c r="AJ220" i="11"/>
  <c r="AJ862" i="11"/>
  <c r="AI862" i="11"/>
  <c r="AG862" i="11"/>
  <c r="AJ638" i="11"/>
  <c r="AI638" i="11"/>
  <c r="AG638" i="11"/>
  <c r="AJ323" i="11"/>
  <c r="AG323" i="11"/>
  <c r="AI323" i="11"/>
  <c r="AJ491" i="11"/>
  <c r="AI491" i="11"/>
  <c r="AG491" i="11"/>
  <c r="AJ239" i="11"/>
  <c r="AG239" i="11"/>
  <c r="AI239" i="11"/>
  <c r="AJ266" i="11"/>
  <c r="AI266" i="11"/>
  <c r="AG266" i="11"/>
  <c r="AJ480" i="11"/>
  <c r="AI480" i="11"/>
  <c r="AG480" i="11"/>
  <c r="AJ271" i="11"/>
  <c r="AG271" i="11"/>
  <c r="AI271" i="11"/>
  <c r="AI722" i="11"/>
  <c r="AG722" i="11"/>
  <c r="AJ722" i="11"/>
  <c r="AG838" i="11"/>
  <c r="AI838" i="11"/>
  <c r="AJ838" i="11"/>
  <c r="AI67" i="11"/>
  <c r="AG67" i="11"/>
  <c r="AJ67" i="11"/>
  <c r="AJ902" i="11"/>
  <c r="AG902" i="11"/>
  <c r="AI902" i="11"/>
  <c r="AJ939" i="11"/>
  <c r="AG939" i="11"/>
  <c r="AI939" i="11"/>
  <c r="AI900" i="11"/>
  <c r="AJ900" i="11"/>
  <c r="AG900" i="11"/>
  <c r="AI636" i="11"/>
  <c r="AG636" i="11"/>
  <c r="AJ636" i="11"/>
  <c r="AJ64" i="11"/>
  <c r="AI64" i="11"/>
  <c r="AG64" i="11"/>
  <c r="AG545" i="11"/>
  <c r="AJ545" i="11"/>
  <c r="AI545" i="11"/>
  <c r="AJ828" i="11"/>
  <c r="AI828" i="11"/>
  <c r="AG828" i="11"/>
  <c r="AG487" i="11"/>
  <c r="AJ487" i="11"/>
  <c r="AI487" i="11"/>
  <c r="AJ918" i="11"/>
  <c r="AI918" i="11"/>
  <c r="AG918" i="11"/>
  <c r="AJ342" i="11"/>
  <c r="B11" i="11" l="1"/>
  <c r="E23" i="7"/>
  <c r="B12" i="2"/>
  <c r="B14" i="11"/>
  <c r="B13" i="11"/>
  <c r="E22" i="7"/>
</calcChain>
</file>

<file path=xl/sharedStrings.xml><?xml version="1.0" encoding="utf-8"?>
<sst xmlns="http://schemas.openxmlformats.org/spreadsheetml/2006/main" count="696" uniqueCount="570">
  <si>
    <t>GlobalTech Accessibility Model - Control Sheet</t>
  </si>
  <si>
    <t>Purpose</t>
  </si>
  <si>
    <t>Transparent model supporting the report: WCAG prioritisation, cost-benefit analysis, Monte Carlo risk simulation, and scenario thinking.</t>
  </si>
  <si>
    <t>Auditability note</t>
  </si>
  <si>
    <t>Input assumptions are held on Sources_Assumptions. Derived values in analysis sheets use visible formulas. Change assumptions there to recalculate outputs.</t>
  </si>
  <si>
    <t>Limitations</t>
  </si>
  <si>
    <t>GlobalTech page views are visits, not unique users; issue counts are case-study estimates; costs are planning estimates anchored to cited public/industry sources. The model is not a procurement quote.</t>
  </si>
  <si>
    <t>GlobalTech Accessibility Remediation - Dashboard</t>
  </si>
  <si>
    <t>Metric</t>
  </si>
  <si>
    <t>Base model output</t>
  </si>
  <si>
    <t>Interpretation</t>
  </si>
  <si>
    <t>Formula link</t>
  </si>
  <si>
    <t>Priority rank</t>
  </si>
  <si>
    <t>Page</t>
  </si>
  <si>
    <t>Score</t>
  </si>
  <si>
    <t>Total annual page views</t>
  </si>
  <si>
    <t>Scale of current employee self-service demand</t>
  </si>
  <si>
    <t>Case_Data!N6</t>
  </si>
  <si>
    <t>Total estimated issues</t>
  </si>
  <si>
    <t>Known WCAG-related defects in case brief</t>
  </si>
  <si>
    <t>Case_Data!P6</t>
  </si>
  <si>
    <t>Top priority page</t>
  </si>
  <si>
    <t>Highest combined traffic/issue/legal/criticality score</t>
  </si>
  <si>
    <t>MCDA_Prioritisation</t>
  </si>
  <si>
    <t>Implementation cost</t>
  </si>
  <si>
    <t>One-off programme cost, formula-driven</t>
  </si>
  <si>
    <t>Cost_Benefit!D17</t>
  </si>
  <si>
    <t>Annual gross benefit</t>
  </si>
  <si>
    <t>Productivity, support, retention, legal-risk and rework benefits</t>
  </si>
  <si>
    <t>Cost_Benefit!D9</t>
  </si>
  <si>
    <t>Annual governance cost</t>
  </si>
  <si>
    <t>Ongoing tooling, audit and training</t>
  </si>
  <si>
    <t>Cost_Benefit!D18</t>
  </si>
  <si>
    <t>Net annual benefit</t>
  </si>
  <si>
    <t>Annual benefit after governance cost</t>
  </si>
  <si>
    <t>Cost_Benefit!D19</t>
  </si>
  <si>
    <t>Scenario</t>
  </si>
  <si>
    <t>NPV</t>
  </si>
  <si>
    <t>Base NPV</t>
  </si>
  <si>
    <t>Three-year discounted NPV at Green Book rate</t>
  </si>
  <si>
    <t>Cost_Benefit!D22</t>
  </si>
  <si>
    <t>Base BCR</t>
  </si>
  <si>
    <t>PV benefits divided by PV costs</t>
  </si>
  <si>
    <t>Cost_Benefit!D23</t>
  </si>
  <si>
    <t>Monte Carlo mean NPV</t>
  </si>
  <si>
    <t>Expected NPV under parameter uncertainty</t>
  </si>
  <si>
    <t>Monte_Carlo</t>
  </si>
  <si>
    <t>Monte Carlo 5th percentile NPV</t>
  </si>
  <si>
    <t>Downside risk case</t>
  </si>
  <si>
    <t>Probability of positive NPV</t>
  </si>
  <si>
    <t>Share of simulations with NPV &gt; 0</t>
  </si>
  <si>
    <t>ID</t>
  </si>
  <si>
    <t>Input / source item</t>
  </si>
  <si>
    <t>Low</t>
  </si>
  <si>
    <t>Base</t>
  </si>
  <si>
    <t>High</t>
  </si>
  <si>
    <t>Unit</t>
  </si>
  <si>
    <t>Rationale / use</t>
  </si>
  <si>
    <t>Source type</t>
  </si>
  <si>
    <t>URL / source</t>
  </si>
  <si>
    <t>Audit note</t>
  </si>
  <si>
    <t>A01</t>
  </si>
  <si>
    <t>GlobalTech employee / contractor population</t>
  </si>
  <si>
    <t>people</t>
  </si>
  <si>
    <t>Case brief states GlobalTech aims to support all 400K global employees.</t>
  </si>
  <si>
    <t>Case brief</t>
  </si>
  <si>
    <t>BA_Accessibility_CaseStudy.pdf</t>
  </si>
  <si>
    <t>Fixed case parameter.</t>
  </si>
  <si>
    <t>A02</t>
  </si>
  <si>
    <t>Disability prevalence / affected user share proxy</t>
  </si>
  <si>
    <t>% of population</t>
  </si>
  <si>
    <t>WHO estimates 16% of the global population experiences significant disability; used as proxy, not as a claim that only disabled employees benefit.</t>
  </si>
  <si>
    <t>Public health</t>
  </si>
  <si>
    <t>https://www.who.int/news-room/fact-sheets/detail/disability-and-health</t>
  </si>
  <si>
    <t>Low/high allow for disclosure and workforce mix uncertainty.</t>
  </si>
  <si>
    <t>A03</t>
  </si>
  <si>
    <t>Affected visit share</t>
  </si>
  <si>
    <t>% of page visits</t>
  </si>
  <si>
    <t>Planning proxy for visits where accessibility or cognitive load creates avoidable friction; aligned to disability prevalence but includes temporary/situational need.</t>
  </si>
  <si>
    <t>Model assumption</t>
  </si>
  <si>
    <t>Model-derived from A02</t>
  </si>
  <si>
    <t>Do not interpret as measured analytics.</t>
  </si>
  <si>
    <t>A04</t>
  </si>
  <si>
    <t>Avoidable delay per affected visit</t>
  </si>
  <si>
    <t>minutes</t>
  </si>
  <si>
    <t>Estimated extra time spent due to poor contrast, navigation, labels and keyboard support.</t>
  </si>
  <si>
    <t>Assumption; to be validated in usability testing</t>
  </si>
  <si>
    <t>Transparent assumption for sensitivity testing.</t>
  </si>
  <si>
    <t>A05</t>
  </si>
  <si>
    <t>Improvement capture rate</t>
  </si>
  <si>
    <t>%</t>
  </si>
  <si>
    <t>Share of avoidable delay/contact burden removed after remediation and governance.</t>
  </si>
  <si>
    <t>Assumption; to be validated with before/after analytics</t>
  </si>
  <si>
    <t>Uses conservative base below full elimination.</t>
  </si>
  <si>
    <t>A06</t>
  </si>
  <si>
    <t>Loaded employee hourly cost</t>
  </si>
  <si>
    <t>GBP/hour</t>
  </si>
  <si>
    <t>ONS full-time median weekly earnings (£766.60) imply about £20.44/hour at 37.5 hours; base adds approx. 25% employment overhead.</t>
  </si>
  <si>
    <t>Public statistics</t>
  </si>
  <si>
    <t>https://www.ons.gov.uk/employmentandlabourmarket/peopleinwork/earningsandworkinghours/bulletins/annualsurveyofhoursandearnings/2025</t>
  </si>
  <si>
    <t>Planning proxy for productivity time.</t>
  </si>
  <si>
    <t>A07</t>
  </si>
  <si>
    <t>Avoidable assisted-support contact rate</t>
  </si>
  <si>
    <t>Share of portal visits estimated to become avoidable service desk contacts because self-service fails.</t>
  </si>
  <si>
    <t>Assumption; validate with ticket deflection analytics</t>
  </si>
  <si>
    <t>Used only for support deflection benefit.</t>
  </si>
  <si>
    <t>A08</t>
  </si>
  <si>
    <t>Service desk cost per ticket</t>
  </si>
  <si>
    <t>GBP/contact</t>
  </si>
  <si>
    <t>Published HDI/MetricNet benchmarks report cost per ticket ranges; base converted/rounded to a conservative UK planning value.</t>
  </si>
  <si>
    <t>Industry benchmark</t>
  </si>
  <si>
    <t>https://www.ghdsi.com/blog/evaluate-reduce-it-service-desk-cost-per-ticket</t>
  </si>
  <si>
    <t>Support cost proxy.</t>
  </si>
  <si>
    <t>A09</t>
  </si>
  <si>
    <t>Avoidable accessibility-related exits prevented per year</t>
  </si>
  <si>
    <t>leavers/year</t>
  </si>
  <si>
    <t>Low absolute count against 400K workforce; reflects HR stress/retention signal without inflating benefit.</t>
  </si>
  <si>
    <t>Assumption; validate with HR case data and exit interviews</t>
  </si>
  <si>
    <t>Explicitly conservative.</t>
  </si>
  <si>
    <t>A10</t>
  </si>
  <si>
    <t>Median annual salary</t>
  </si>
  <si>
    <t>GBP/year</t>
  </si>
  <si>
    <t>ONS reported median gross annual earnings for full-time employees in April 2025.</t>
  </si>
  <si>
    <t>Used in turnover cost proxy.</t>
  </si>
  <si>
    <t>A11</t>
  </si>
  <si>
    <t>Replacement cost as share of salary</t>
  </si>
  <si>
    <t>% of salary</t>
  </si>
  <si>
    <t>Work Institute estimates replacement burden at 33% of base wages; high case reflects broader lost productivity estimates.</t>
  </si>
  <si>
    <t>Industry research</t>
  </si>
  <si>
    <t>https://info.workinstitute.com/hubfs/2025%20Retention%20Report/2025%20Retention%20Report%20-%20Employee%20Retention%20Truths%20in%20Todays%20Workplace.pdf</t>
  </si>
  <si>
    <t>Base deliberately avoids higher 0.5-2x salary estimates.</t>
  </si>
  <si>
    <t>A12</t>
  </si>
  <si>
    <t>Annual expected legal / settlement risk reduction</t>
  </si>
  <si>
    <t>Digital accessibility litigation risk is material for global firms. Input is a risk proxy, not a predicted claim.</t>
  </si>
  <si>
    <t>Industry/legal</t>
  </si>
  <si>
    <t>https://info.usablenet.com/hubfs/Remediated%20-%202025_Year-End_Digital_Accessibility_Lawsuit_Report_FINAL.pdf</t>
  </si>
  <si>
    <t>Contextualized because much litigation data is US/public e-commerce.</t>
  </si>
  <si>
    <t>A13</t>
  </si>
  <si>
    <t>Annual avoided retrofit / rework value</t>
  </si>
  <si>
    <t>Value of embedding accessibility in templates/design system rather than recurring page-by-page fixes.</t>
  </si>
  <si>
    <t>Industry guidance</t>
  </si>
  <si>
    <t>https://www.w3.org/WAI/business-case/</t>
  </si>
  <si>
    <t>Planning proxy.</t>
  </si>
  <si>
    <t>A14</t>
  </si>
  <si>
    <t>Total estimated accessibility issues</t>
  </si>
  <si>
    <t>issues</t>
  </si>
  <si>
    <t>Case issue count across four GlobalTech pages.</t>
  </si>
  <si>
    <t>44+37+32+24.</t>
  </si>
  <si>
    <t>A15</t>
  </si>
  <si>
    <t>Audit/triage hours per issue</t>
  </si>
  <si>
    <t>hours/issue</t>
  </si>
  <si>
    <t>Manual review, WCAG mapping, acceptance criteria drafting.</t>
  </si>
  <si>
    <t>Assumption based on project planning</t>
  </si>
  <si>
    <t>Formula-driven cost.</t>
  </si>
  <si>
    <t>A16</t>
  </si>
  <si>
    <t>Accessibility consultant hourly rate</t>
  </si>
  <si>
    <t>Planning rate for specialist review and advisory time.</t>
  </si>
  <si>
    <t>Assumption; replace with procurement quote</t>
  </si>
  <si>
    <t>Rate input not sourced to avoid false precision.</t>
  </si>
  <si>
    <t>A17</t>
  </si>
  <si>
    <t>Development remediation hours per issue</t>
  </si>
  <si>
    <t>HTML/CSS/JS remediation, component refactoring and content fixes.</t>
  </si>
  <si>
    <t>Assumption; validate with sprint history</t>
  </si>
  <si>
    <t>A18</t>
  </si>
  <si>
    <t>Developer hourly rate</t>
  </si>
  <si>
    <t>Planning loaded project delivery rate.</t>
  </si>
  <si>
    <t>Assumption; replace with internal charge-out</t>
  </si>
  <si>
    <t>A19</t>
  </si>
  <si>
    <t>QA and assistive technology test hours per issue</t>
  </si>
  <si>
    <t>Regression, keyboard, screen reader, zoom/reflow and contrast verification.</t>
  </si>
  <si>
    <t>Assumption; validate in test plan</t>
  </si>
  <si>
    <t>A20</t>
  </si>
  <si>
    <t>QA tester hourly rate</t>
  </si>
  <si>
    <t>A21</t>
  </si>
  <si>
    <t>User research and disabled employee testing</t>
  </si>
  <si>
    <t>GBP</t>
  </si>
  <si>
    <t>Facilitated sessions, incentives, analysis and synthesis.</t>
  </si>
  <si>
    <t>Assumption; should be procured or internally costed</t>
  </si>
  <si>
    <t>Fixed cost.</t>
  </si>
  <si>
    <t>A22</t>
  </si>
  <si>
    <t>Design system / accessible templates</t>
  </si>
  <si>
    <t>Accessible components, content patterns and design tokens.</t>
  </si>
  <si>
    <t>Assumption; validate with product/design scope</t>
  </si>
  <si>
    <t>A23</t>
  </si>
  <si>
    <t>Training and change enablement</t>
  </si>
  <si>
    <t>Training for developers, content owners, service desk and HR change communications.</t>
  </si>
  <si>
    <t>Assumption; validate with rollout plan</t>
  </si>
  <si>
    <t>A24</t>
  </si>
  <si>
    <t>Contingency rate</t>
  </si>
  <si>
    <t>% of one-off subtotal</t>
  </si>
  <si>
    <t>Allows for unknown legacy code, governance and regional complexity.</t>
  </si>
  <si>
    <t>Assumption</t>
  </si>
  <si>
    <t>Formula-driven contingency.</t>
  </si>
  <si>
    <t>A25</t>
  </si>
  <si>
    <t>Annual governance and tooling cost</t>
  </si>
  <si>
    <t>Automated monitoring, manual audit sample, content owner refresher training and governance forum.</t>
  </si>
  <si>
    <t>Assumption; validate with tool procurement</t>
  </si>
  <si>
    <t>Ongoing operating cost.</t>
  </si>
  <si>
    <t>A26</t>
  </si>
  <si>
    <t>Evaluation horizon</t>
  </si>
  <si>
    <t>years</t>
  </si>
  <si>
    <t>Short planning horizon for internal platform remediation benefits and costs.</t>
  </si>
  <si>
    <t>Editable.</t>
  </si>
  <si>
    <t>A27</t>
  </si>
  <si>
    <t>Discount rate</t>
  </si>
  <si>
    <t>HM Treasury Green Book STPR currently 3.5% for short-term proposals.</t>
  </si>
  <si>
    <t>Government guidance</t>
  </si>
  <si>
    <t>https://www.gov.uk/government/publications/green-book-discount-rate-review-2026/review-of-discounting-in-the-green-book-terms-of-reference</t>
  </si>
  <si>
    <t>Used for NPV/BCR.</t>
  </si>
  <si>
    <t>Jan</t>
  </si>
  <si>
    <t>Feb</t>
  </si>
  <si>
    <t>Mar</t>
  </si>
  <si>
    <t>Apr</t>
  </si>
  <si>
    <t>May</t>
  </si>
  <si>
    <t>Jun</t>
  </si>
  <si>
    <t>Jul</t>
  </si>
  <si>
    <t>Aug</t>
  </si>
  <si>
    <t>Sep</t>
  </si>
  <si>
    <t>Oct</t>
  </si>
  <si>
    <t>Nov</t>
  </si>
  <si>
    <t>Dec</t>
  </si>
  <si>
    <t>Annual Total</t>
  </si>
  <si>
    <t>% of Traffic</t>
  </si>
  <si>
    <t>Estimated Issues</t>
  </si>
  <si>
    <t>Training &amp; Learning</t>
  </si>
  <si>
    <t>HR Portal</t>
  </si>
  <si>
    <t>Technical Support</t>
  </si>
  <si>
    <t>General Intranet Homepage</t>
  </si>
  <si>
    <t>Total</t>
  </si>
  <si>
    <t>Views</t>
  </si>
  <si>
    <t>Issues</t>
  </si>
  <si>
    <t>Traffic score</t>
  </si>
  <si>
    <t>Issue score</t>
  </si>
  <si>
    <t>Process criticality</t>
  </si>
  <si>
    <t>Legal / HR sensitivity</t>
  </si>
  <si>
    <t>Feasibility</t>
  </si>
  <si>
    <t>Weighted priority score</t>
  </si>
  <si>
    <t>Rank</t>
  </si>
  <si>
    <t>Criteria weights</t>
  </si>
  <si>
    <t>Weight</t>
  </si>
  <si>
    <t>Issue theme</t>
  </si>
  <si>
    <t>WCAG / standard link</t>
  </si>
  <si>
    <t>Required change</t>
  </si>
  <si>
    <t>Test method</t>
  </si>
  <si>
    <t>Success criteria</t>
  </si>
  <si>
    <t>Severity (1-5)</t>
  </si>
  <si>
    <t>Effort days</t>
  </si>
  <si>
    <t>Priority formula</t>
  </si>
  <si>
    <t>Phase</t>
  </si>
  <si>
    <t>Owner</t>
  </si>
  <si>
    <t>T01</t>
  </si>
  <si>
    <t>All pages</t>
  </si>
  <si>
    <t>Colour contrast</t>
  </si>
  <si>
    <t>WCAG 1.4.3 / 1.4.11</t>
  </si>
  <si>
    <t>Replace blue/grey and low-contrast colour tokens; verify normal text &gt;=4.5:1 and UI component boundaries &gt;=3:1.</t>
  </si>
  <si>
    <t>Automated contrast scan plus manual sample in light/dark and high-contrast mode.</t>
  </si>
  <si>
    <t>All text and controls meet WCAG AA contrast; no information is conveyed by colour alone.</t>
  </si>
  <si>
    <t>0-30 days</t>
  </si>
  <si>
    <t>UX/UI + Front-end</t>
  </si>
  <si>
    <t>T02</t>
  </si>
  <si>
    <t>Keyboard navigation</t>
  </si>
  <si>
    <t>WCAG 2.1.1 / 2.4.7 / 2.4.11</t>
  </si>
  <si>
    <t>Ensure every control, menu and form is reachable and visible by keyboard; restore focus outline.</t>
  </si>
  <si>
    <t>Keyboard-only walkthrough across core journeys.</t>
  </si>
  <si>
    <t>No keyboard trap; focus order logical; focus indicator visible and not obscured.</t>
  </si>
  <si>
    <t>Front-end + QA</t>
  </si>
  <si>
    <t>T03</t>
  </si>
  <si>
    <t>Skip links and landmarks</t>
  </si>
  <si>
    <t>WCAG 2.4.1 / 1.3.1</t>
  </si>
  <si>
    <t>Add skip-to-main, semantic header/nav/main/footer and accessible page title.</t>
  </si>
  <si>
    <t>Screen reader rotor/landmark check and keyboard tab order.</t>
  </si>
  <si>
    <t>Users can bypass repeated content and identify page regions.</t>
  </si>
  <si>
    <t>Front-end</t>
  </si>
  <si>
    <t>T04</t>
  </si>
  <si>
    <t>Form labels and errors</t>
  </si>
  <si>
    <t>WCAG 1.3.1 / 3.3.1 / 3.3.2 / 3.3.3</t>
  </si>
  <si>
    <t>Associate labels/help text/errors programmatically with inputs; provide clear recovery guidance.</t>
  </si>
  <si>
    <t>Automated labels scan plus NVDA/VoiceOver form completion.</t>
  </si>
  <si>
    <t>Every input has a visible and programmatic label; errors are announced and actionable.</t>
  </si>
  <si>
    <t>31-60 days</t>
  </si>
  <si>
    <t>Front-end + Content</t>
  </si>
  <si>
    <t>T05</t>
  </si>
  <si>
    <t>Technology Support</t>
  </si>
  <si>
    <t>Ticket request journey</t>
  </si>
  <si>
    <t>WCAG 3.2.4 / 3.3.7 / service UX</t>
  </si>
  <si>
    <t>Simplify support ticket form, provide examples, autocomplete and confirmation summary.</t>
  </si>
  <si>
    <t>Usability test with disabled employee participants; compare completion time and error rate.</t>
  </si>
  <si>
    <t>&gt;=90% task completion in moderated accessibility test; critical errors below agreed threshold.</t>
  </si>
  <si>
    <t>Product + Service Desk</t>
  </si>
  <si>
    <t>T06</t>
  </si>
  <si>
    <t>Personal/leave/timesheet journeys</t>
  </si>
  <si>
    <t>WCAG 3.3.8 / 3.3.4 / 2.4.6</t>
  </si>
  <si>
    <t>Prioritise HR forms; improve headings, labels, confirmation and reversible submission where appropriate.</t>
  </si>
  <si>
    <t>Manual screen reader and cognitive walkthrough.</t>
  </si>
  <si>
    <t>Critical HR tasks can be completed independently with clear review/undo where needed.</t>
  </si>
  <si>
    <t>31-90 days</t>
  </si>
  <si>
    <t>HR Product + QA</t>
  </si>
  <si>
    <t>T07</t>
  </si>
  <si>
    <t>Course catalogue and status</t>
  </si>
  <si>
    <t>WCAG 2.4.5 / 2.4.6 / 1.3.1</t>
  </si>
  <si>
    <t>Restructure mandatory training table, filters and course cards with semantic headings and labels.</t>
  </si>
  <si>
    <t>Screen reader navigation plus browser zoom/reflow testing.</t>
  </si>
  <si>
    <t>Users can find assigned training and status without relying on visual layout or colour.</t>
  </si>
  <si>
    <t>L&amp;D Product</t>
  </si>
  <si>
    <t>T08</t>
  </si>
  <si>
    <t>Cognitive load / visual clutter</t>
  </si>
  <si>
    <t>WCAG 2.4.6 / 3.2.3 / COGA good practice</t>
  </si>
  <si>
    <t>Reduce competing notices, animations, dense link lists and unclear calls to action; create content hierarchy.</t>
  </si>
  <si>
    <t>Heuristic review and user testing with neurodivergent/low-vision employees.</t>
  </si>
  <si>
    <t>Primary task path is visually prominent; pages pass agreed readability and task success checks.</t>
  </si>
  <si>
    <t>Content Design</t>
  </si>
  <si>
    <t>T09</t>
  </si>
  <si>
    <t>Accessible link names</t>
  </si>
  <si>
    <t>WCAG 2.4.4</t>
  </si>
  <si>
    <t>Replace 'click here', 'more details' and ambiguous links with descriptive text.</t>
  </si>
  <si>
    <t>Automated link text report plus screen reader links list.</t>
  </si>
  <si>
    <t>Links make sense out of context and duplicate labels do not point to different destinations.</t>
  </si>
  <si>
    <t>Content Owners</t>
  </si>
  <si>
    <t>T10</t>
  </si>
  <si>
    <t>Responsive zoom and reflow</t>
  </si>
  <si>
    <t>WCAG 1.4.4 / 1.4.10 / 1.4.12</t>
  </si>
  <si>
    <t>Make layouts reflow to 320px width and support 200% text resize without loss of content/function.</t>
  </si>
  <si>
    <t>Browser zoom, mobile width and spacing override test.</t>
  </si>
  <si>
    <t>No horizontal scrolling for core content; controls remain usable at 200% zoom.</t>
  </si>
  <si>
    <t>T11</t>
  </si>
  <si>
    <t>ARIA and semantic markup</t>
  </si>
  <si>
    <t>WCAG 4.1.2 / 4.1.3</t>
  </si>
  <si>
    <t>Remove incorrect ARIA, add accessible names, roles and live-region status only where needed.</t>
  </si>
  <si>
    <t>Automated accessibility tree checks and manual screen reader validation.</t>
  </si>
  <si>
    <t>Controls expose correct role, name, value and status updates.</t>
  </si>
  <si>
    <t>T12</t>
  </si>
  <si>
    <t>Accessible search</t>
  </si>
  <si>
    <t>WCAG 2.4.5 / 3.3.2</t>
  </si>
  <si>
    <t>Make search keyboard accessible, labelled, and operable with visible submit/status feedback.</t>
  </si>
  <si>
    <t>Keyboard + screen reader test; no pointer-only shortcuts.</t>
  </si>
  <si>
    <t>Search can be initiated and results understood without a mouse.</t>
  </si>
  <si>
    <t>T13</t>
  </si>
  <si>
    <t>Accessibility statement and feedback route</t>
  </si>
  <si>
    <t>Governance / WCAG conformance reporting</t>
  </si>
  <si>
    <t>Publish internal accessibility statement, known issues list, contact route and SLA for fixes.</t>
  </si>
  <si>
    <t>Content review and governance approval.</t>
  </si>
  <si>
    <t>Statement is current, owner-named, and linked from all affected portals.</t>
  </si>
  <si>
    <t>Governance</t>
  </si>
  <si>
    <t>T14</t>
  </si>
  <si>
    <t>Design system governance</t>
  </si>
  <si>
    <t>Operating model</t>
  </si>
  <si>
    <t>Create reusable accessible components, contribution rules, code review checklist and definition of done.</t>
  </si>
  <si>
    <t>Sample code review and sprint audit.</t>
  </si>
  <si>
    <t>New work cannot pass done criteria without automated and manual a11y evidence.</t>
  </si>
  <si>
    <t>61-120 days</t>
  </si>
  <si>
    <t>Design System Team</t>
  </si>
  <si>
    <t>T15</t>
  </si>
  <si>
    <t>Analytics and incident tagging</t>
  </si>
  <si>
    <t>Performance measurement</t>
  </si>
  <si>
    <t>Add accessibility tags in service desk and analytics events for failed journeys, focus loss, form errors and feedback.</t>
  </si>
  <si>
    <t>Data quality test in dashboard and ticket taxonomy review.</t>
  </si>
  <si>
    <t>Monthly dashboard shows accessibility defects, SLA, task success and employee feedback.</t>
  </si>
  <si>
    <t>Service Ops + Data</t>
  </si>
  <si>
    <t>T16</t>
  </si>
  <si>
    <t>Training and ownership</t>
  </si>
  <si>
    <t>Change management</t>
  </si>
  <si>
    <t>Train content owners, designers, developers, QA and service desk on role-specific accessibility responsibilities.</t>
  </si>
  <si>
    <t>Training completion records and practical assessment.</t>
  </si>
  <si>
    <t>&gt;=95% completion for named owners; sampled content passes checklist.</t>
  </si>
  <si>
    <t>HR/L&amp;D + Product</t>
  </si>
  <si>
    <t>Cost-benefit model</t>
  </si>
  <si>
    <t>Benefit / cost item</t>
  </si>
  <si>
    <t>Formula driver</t>
  </si>
  <si>
    <t>Annual / one-off</t>
  </si>
  <si>
    <t>Year 0</t>
  </si>
  <si>
    <t>PV over horizon</t>
  </si>
  <si>
    <t>Notes</t>
  </si>
  <si>
    <t>Productivity time saving</t>
  </si>
  <si>
    <t>Visits * affected share * delay * hourly cost * capture</t>
  </si>
  <si>
    <t>Annual</t>
  </si>
  <si>
    <t>Conservative because page views are not unique users.</t>
  </si>
  <si>
    <t>Assisted support contact deflection</t>
  </si>
  <si>
    <t>Visits * contact rate * ticket cost * capture</t>
  </si>
  <si>
    <t>Estimates avoidable contacts due to self-service failure.</t>
  </si>
  <si>
    <t>Retention protection</t>
  </si>
  <si>
    <t>Prevented exits * salary * replacement %</t>
  </si>
  <si>
    <t>Models small number of avoided exits, not all disability-related retention.</t>
  </si>
  <si>
    <t>Expected legal / settlement risk reduction</t>
  </si>
  <si>
    <t>Scenario risk proxy</t>
  </si>
  <si>
    <t>Contextual global risk input.</t>
  </si>
  <si>
    <t>Avoided future retrofit / rework</t>
  </si>
  <si>
    <t>Governance and templates</t>
  </si>
  <si>
    <t>Benefit of embedding accessibility into the delivery system.</t>
  </si>
  <si>
    <t>Total annual gross benefit</t>
  </si>
  <si>
    <t>Sum of annual benefits</t>
  </si>
  <si>
    <t>Audit and triage</t>
  </si>
  <si>
    <t>Issues * hours * consultant rate</t>
  </si>
  <si>
    <t>One-off</t>
  </si>
  <si>
    <t>Accessible design system / templates</t>
  </si>
  <si>
    <t>Fixed programme input</t>
  </si>
  <si>
    <t>Development remediation</t>
  </si>
  <si>
    <t>Issues * hours * developer rate</t>
  </si>
  <si>
    <t>QA and assistive technology testing</t>
  </si>
  <si>
    <t>Issues * hours * QA rate</t>
  </si>
  <si>
    <t>Contingency</t>
  </si>
  <si>
    <t>Subtotal * contingency rate</t>
  </si>
  <si>
    <t>Total implementation cost</t>
  </si>
  <si>
    <t>Sum of one-off costs</t>
  </si>
  <si>
    <t>Monitoring, audits and training refresh</t>
  </si>
  <si>
    <t>Annual cost</t>
  </si>
  <si>
    <t>Gross benefit - annual governance</t>
  </si>
  <si>
    <t>PV gross benefits</t>
  </si>
  <si>
    <t>Discounted gross benefits</t>
  </si>
  <si>
    <t>PV</t>
  </si>
  <si>
    <t>PV total costs</t>
  </si>
  <si>
    <t>Implementation + discounted governance</t>
  </si>
  <si>
    <t>Net present value (NPV)</t>
  </si>
  <si>
    <t>PV benefits - PV costs</t>
  </si>
  <si>
    <t>Benefit-cost ratio (BCR)</t>
  </si>
  <si>
    <t>PV benefits / PV costs</t>
  </si>
  <si>
    <t>Ratio</t>
  </si>
  <si>
    <t>Simple payback</t>
  </si>
  <si>
    <t>Implementation / net annual benefit</t>
  </si>
  <si>
    <t>Years</t>
  </si>
  <si>
    <t>Model note: This cost-benefit model is evidence-informed rather than a precise financial forecast. Case data provides the scale, page traffic and accessibility issue counts, while published benchmarks inform salary, turnover, support-contact and discount-rate assumptions. GlobalTech-specific effects such as time saved, ticket deflection, avoided exits and legal-risk reduction are transparent planning assumptions because direct internal operational data was not available. The outputs should therefore be read as a decision-support estimate and tested through the scenario and Monte Carlo tabs before budget approval.</t>
  </si>
  <si>
    <t>Scenario thinking: regulatory pressure x internal adoption maturity</t>
  </si>
  <si>
    <t>External pressure</t>
  </si>
  <si>
    <t>Internal adoption</t>
  </si>
  <si>
    <t>Benefit multiplier</t>
  </si>
  <si>
    <t>Cost multiplier</t>
  </si>
  <si>
    <t>Strategic interpretation</t>
  </si>
  <si>
    <t>Comply and embed</t>
  </si>
  <si>
    <t>Best case: remediation is embedded into product governance and employee trust improves.</t>
  </si>
  <si>
    <t>Litigation scramble</t>
  </si>
  <si>
    <t>Quiet compliance</t>
  </si>
  <si>
    <t>Stable route: benefits come mainly from productivity, retention and support-service improvement.</t>
  </si>
  <si>
    <t>Drift and defer</t>
  </si>
  <si>
    <t>False economy: lower near-term spend but persistent employee harm and accumulating technical debt.</t>
  </si>
  <si>
    <t>Scenario note: This tab tests the cost-benefit case against two key uncertainties: external regulatory/legal pressure and internal adoption maturity. The scenarios are not predictions; they are structured “what-if” conditions used to examine whether the accessibility programme remains strategically justified under different futures. The analysis shows that the strongest case occurs when remediation is embedded into governance and product ownership, while the weakest case occurs when action is deferred and accessibility debt continues to accumulate. This supports treating accessibility as a managed operating capability rather than a one-off compliance exercise.</t>
  </si>
  <si>
    <t>Test layer</t>
  </si>
  <si>
    <t>Tools / method</t>
  </si>
  <si>
    <t>Sample coverage</t>
  </si>
  <si>
    <t>Entry criteria</t>
  </si>
  <si>
    <t>Exit criteria</t>
  </si>
  <si>
    <t>Evidence retained</t>
  </si>
  <si>
    <t>Automated WCAG scan</t>
  </si>
  <si>
    <t>Catch repeatable code defects early</t>
  </si>
  <si>
    <t>axe-core / WAVE / CI a11y scanner</t>
  </si>
  <si>
    <t>All pages and reusable components each sprint</t>
  </si>
  <si>
    <t>Page/component available in test environment</t>
  </si>
  <si>
    <t>No critical automated violations; known exceptions risk accepted</t>
  </si>
  <si>
    <t>QA / Dev</t>
  </si>
  <si>
    <t>Scanner export linked to ticket</t>
  </si>
  <si>
    <t>Manual keyboard test</t>
  </si>
  <si>
    <t>Verify operability beyond automated scan</t>
  </si>
  <si>
    <t>Tab/Shift+Tab/Enter/Escape/Arrow patterns</t>
  </si>
  <si>
    <t>All top tasks in HR, training, support, homepage</t>
  </si>
  <si>
    <t>Automated scan complete</t>
  </si>
  <si>
    <t>No keyboard traps; visible focus; logical order</t>
  </si>
  <si>
    <t>QA</t>
  </si>
  <si>
    <t>Video/screen capture checklist</t>
  </si>
  <si>
    <t>Screen reader test</t>
  </si>
  <si>
    <t>Verify accessible names, roles, values and announcements</t>
  </si>
  <si>
    <t>NVDA + Chrome; VoiceOver + Safari sample</t>
  </si>
  <si>
    <t>Top four journeys plus forms and search</t>
  </si>
  <si>
    <t>Keyboard test pass</t>
  </si>
  <si>
    <t>Task completion without sighted assistance</t>
  </si>
  <si>
    <t>Accessibility specialist</t>
  </si>
  <si>
    <t>Screen reader notes and defects</t>
  </si>
  <si>
    <t>Zoom/reflow/contrast</t>
  </si>
  <si>
    <t>Verify low vision support</t>
  </si>
  <si>
    <t>200% zoom, 320px reflow, contrast analyzer</t>
  </si>
  <si>
    <t>Representative breakpoints and themes</t>
  </si>
  <si>
    <t>Design tokens updated</t>
  </si>
  <si>
    <t>No content loss or overlap; contrast AA pass</t>
  </si>
  <si>
    <t>UX / QA</t>
  </si>
  <si>
    <t>Annotated screenshots</t>
  </si>
  <si>
    <t>Cognitive walkthrough</t>
  </si>
  <si>
    <t>Test comprehensibility and task sequencing</t>
  </si>
  <si>
    <t>Heuristic review plus moderated tasks</t>
  </si>
  <si>
    <t>Mandatory training, HR self-service, support ticket</t>
  </si>
  <si>
    <t>Prototype or test page ready</t>
  </si>
  <si>
    <t>Reduced steps, clear headings, no ambiguous calls to action</t>
  </si>
  <si>
    <t>BA / Content Design</t>
  </si>
  <si>
    <t>Session notes and findings</t>
  </si>
  <si>
    <t>Disabled employee usability sessions</t>
  </si>
  <si>
    <t>Validate lived experience and stress reduction</t>
  </si>
  <si>
    <t>Moderated sessions with assistive tech users</t>
  </si>
  <si>
    <t>Minimum 8-12 participants across disability types</t>
  </si>
  <si>
    <t>Consent, accessible test plan and support available</t>
  </si>
  <si>
    <t>&gt;=90% task success for priority journeys; severe pain points resolved</t>
  </si>
  <si>
    <t>Research / HR</t>
  </si>
  <si>
    <t>Research report with anonymised quotes</t>
  </si>
  <si>
    <t>Regression / release gate</t>
  </si>
  <si>
    <t>Prevent recurrence</t>
  </si>
  <si>
    <t>Definition of done, PR checklist, design system linting</t>
  </si>
  <si>
    <t>Every release and component change</t>
  </si>
  <si>
    <t>Training completed by owners</t>
  </si>
  <si>
    <t>Accessibility evidence attached before release</t>
  </si>
  <si>
    <t>Product Owner</t>
  </si>
  <si>
    <t>Release checklist</t>
  </si>
  <si>
    <t>Test strategy note: This test plan combines automated scanning, manual keyboard and screen-reader testing, zoom/reflow checks, cognitive walkthroughs and disabled-employee usability sessions. Automated tools are used to identify repeatable technical defects, but they are not treated as sufficient evidence of accessibility because many WCAG failures depend on context, task flow and assistive-technology use. Release approval should therefore require both technical pass evidence and user-centred validation, with test artefacts retained for auditability and future regression checks.</t>
  </si>
  <si>
    <t>Iteration</t>
  </si>
  <si>
    <t>Disability/affected share</t>
  </si>
  <si>
    <t>Delay min</t>
  </si>
  <si>
    <t>Improvement capture</t>
  </si>
  <si>
    <t>Support contact rate</t>
  </si>
  <si>
    <t>Ticket cost</t>
  </si>
  <si>
    <t>Prevented exits</t>
  </si>
  <si>
    <t>Legal avoided</t>
  </si>
  <si>
    <t>Rework avoided</t>
  </si>
  <si>
    <t>One-off cost</t>
  </si>
  <si>
    <t>Annual run cost</t>
  </si>
  <si>
    <t>Productivity benefit</t>
  </si>
  <si>
    <t>Support deflection</t>
  </si>
  <si>
    <t>Retention benefit</t>
  </si>
  <si>
    <t>Positive NPV?</t>
  </si>
  <si>
    <t>MCDA weight &amp; score stress test (live Monte Carlo on the prioritisation ranking)</t>
  </si>
  <si>
    <t>Method: 1,000 iterations. Each run perturbs the five criterion weights by a uniform +/- (cell B6), floors them at 0.02 and renormalises to sum to 1, and jitters the three analyst sub-scores (process criticality, legal/HR sensitivity, delivery feasibility) by a uniform +/- (cell B7), clipped to 0-100. The two data-derived sub-scores (traffic, issue severity) are held fixed. Weighted scores and ranks are recomputed each run. RAND is volatile, so results refresh on open and on F9. This tab stress-tests the RANKING; the Monte_Carlo tab separately stress-tests the financial NPV.</t>
  </si>
  <si>
    <t>Reference (20,000-run cross-check of the identical method): P(Training rank 1) ~ 96%, P(HR rank 2) ~ 96%, P(top two = Training &amp; HR) ~ 99%, P(exact 1-2-3-4 order) ~ 74%.</t>
  </si>
  <si>
    <t>Inputs</t>
  </si>
  <si>
    <t>Weight perturbation (absolute, uniform +/-)</t>
  </si>
  <si>
    <t>Analyst-score jitter (absolute, uniform +/-)</t>
  </si>
  <si>
    <t>Iterations</t>
  </si>
  <si>
    <t>P(Training &amp; Learning = rank 1)</t>
  </si>
  <si>
    <t>P(HR Portal = rank 2)</t>
  </si>
  <si>
    <t>P(top two = Training &amp; HR)</t>
  </si>
  <si>
    <t>P(exact order 1-2-3-4 preserved)</t>
  </si>
  <si>
    <t>Rank-hold distribution</t>
  </si>
  <si>
    <t>Rank 1</t>
  </si>
  <si>
    <t>Rank 2</t>
  </si>
  <si>
    <t>Rank 3</t>
  </si>
  <si>
    <t>Rank 4</t>
  </si>
  <si>
    <t>Intranet Homepage</t>
  </si>
  <si>
    <t>w_traffic_raw</t>
  </si>
  <si>
    <t>w_issue_raw</t>
  </si>
  <si>
    <t>w_crit_raw</t>
  </si>
  <si>
    <t>w_legal_raw</t>
  </si>
  <si>
    <t>w_feas_raw</t>
  </si>
  <si>
    <t>sum_w</t>
  </si>
  <si>
    <t>wn_traffic</t>
  </si>
  <si>
    <t>wn_issue</t>
  </si>
  <si>
    <t>wn_crit</t>
  </si>
  <si>
    <t>wn_legal</t>
  </si>
  <si>
    <t>wn_feas</t>
  </si>
  <si>
    <t>crit_Tr</t>
  </si>
  <si>
    <t>crit_HR</t>
  </si>
  <si>
    <t>crit_Tech</t>
  </si>
  <si>
    <t>crit_Intr</t>
  </si>
  <si>
    <t>legal_Tr</t>
  </si>
  <si>
    <t>legal_HR</t>
  </si>
  <si>
    <t>legal_Tech</t>
  </si>
  <si>
    <t>legal_Intr</t>
  </si>
  <si>
    <t>feas_Tr</t>
  </si>
  <si>
    <t>feas_HR</t>
  </si>
  <si>
    <t>feas_Tech</t>
  </si>
  <si>
    <t>feas_Intr</t>
  </si>
  <si>
    <t>score_Tr</t>
  </si>
  <si>
    <t>score_HR</t>
  </si>
  <si>
    <t>score_Tech</t>
  </si>
  <si>
    <t>score_Intr</t>
  </si>
  <si>
    <t>rank_Tr</t>
  </si>
  <si>
    <t>rank_HR</t>
  </si>
  <si>
    <t>rank_Tech</t>
  </si>
  <si>
    <t>rank_Intr</t>
  </si>
  <si>
    <t>f_Tr_r1</t>
  </si>
  <si>
    <t>f_HR_r2</t>
  </si>
  <si>
    <t>f_exact</t>
  </si>
  <si>
    <t>f_top2</t>
  </si>
  <si>
    <t>iterations</t>
  </si>
  <si>
    <t>Live results</t>
  </si>
  <si>
    <t>Triangular sampling formula used before final values were frozen:
=LET(u,RAND(),a,Low,m,Base,b,High,
IF(u&lt;=(m-a)/(b-a),
a+SQRT(u*(b-a)*(m-a)),
b-SQRT((1-u)*(b-a)*(b-m))))
Low = pessimistic bound
Base = most likely value
High = optimistic bound</t>
  </si>
  <si>
    <t>Note</t>
  </si>
  <si>
    <t>The Monte_Carlo sheet contains the final frozen simulation run used in the report. It was frozen after recalculation to avoid RAND-based changes between the workbook, dashboard and report.</t>
  </si>
  <si>
    <t>High-pressure reactive case: reactive fixes, duplicated work, higher legal exposure and weaker adoption. The lowest financial scenario is Drift and defer, where accessibility debt compounds and benefits are delayed. adoption.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</si>
</sst>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
    <numFmt numFmtId="166" formatCode="0.0%"/>
  </numFmts>
  <fonts count="12" x14ac:knownFonts="1">
    <font>
      <sz val="11"/>
      <name val="Calibri"/>
      <charset val="1"/>
    </font>
    <font>
      <b/>
      <sz val="10"/>
      <color theme="1"/>
      <name val="Aptos"/>
    </font>
    <font>
      <sz val="10"/>
      <color theme="1"/>
      <name val="Aptos"/>
    </font>
    <font>
      <u/>
      <sz val="11"/>
      <color theme="10"/>
      <name val="Calibri"/>
      <family val="2"/>
    </font>
    <font>
      <sz val="11"/>
      <color theme="1"/>
      <name val="Aptos"/>
    </font>
    <font>
      <b/>
      <sz val="11"/>
      <color theme="1"/>
      <name val="Aptos"/>
    </font>
    <font>
      <u/>
      <sz val="11"/>
      <color theme="10"/>
      <name val="Aptos"/>
    </font>
    <font>
      <b/>
      <sz val="14"/>
      <color theme="1"/>
      <name val="Aptos"/>
    </font>
    <font>
      <sz val="11"/>
      <name val="Aptos"/>
    </font>
    <font>
      <b/>
      <sz val="13"/>
      <color theme="1"/>
      <name val="Aptos"/>
    </font>
    <font>
      <b/>
      <sz val="9"/>
      <color theme="1"/>
      <name val="Aptos"/>
    </font>
    <font>
      <b/>
      <sz val="11"/>
      <name val="Aptos"/>
    </font>
  </fonts>
  <fills count="5">
    <fill>
      <patternFill patternType="none"/>
    </fill>
    <fill>
      <patternFill patternType="gray125"/>
    </fill>
    <fill>
      <patternFill patternType="solid">
        <fgColor theme="0"/>
        <bgColor rgb="FFFFFFCC"/>
      </patternFill>
    </fill>
    <fill>
      <patternFill patternType="solid">
        <fgColor theme="0"/>
        <bgColor indexed="64"/>
      </patternFill>
    </fill>
    <fill>
      <patternFill patternType="solid">
        <fgColor theme="0"/>
        <bgColor rgb="FF3366FF"/>
      </patternFill>
    </fill>
  </fills>
  <borders count="14">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indexed="64"/>
      </top>
      <bottom/>
      <diagonal/>
    </border>
    <border>
      <left style="thin">
        <color indexed="64"/>
      </left>
      <right/>
      <top/>
      <bottom/>
      <diagonal/>
    </border>
    <border>
      <left/>
      <right/>
      <top/>
      <bottom style="thin">
        <color indexed="64"/>
      </bottom>
      <diagonal/>
    </border>
    <border>
      <left/>
      <right style="thin">
        <color indexed="64"/>
      </right>
      <top/>
      <bottom/>
      <diagonal/>
    </border>
  </borders>
  <cellStyleXfs count="2">
    <xf numFmtId="0" fontId="0" fillId="0" borderId="0"/>
    <xf numFmtId="0" fontId="3" fillId="0" borderId="0"/>
  </cellStyleXfs>
  <cellXfs count="73">
    <xf numFmtId="0" fontId="0" fillId="0" borderId="0" xfId="0"/>
    <xf numFmtId="0" fontId="1" fillId="2" borderId="0" xfId="0" applyFont="1" applyFill="1"/>
    <xf numFmtId="0" fontId="2" fillId="2" borderId="0" xfId="0" applyFont="1" applyFill="1"/>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2" borderId="1" xfId="0" applyFont="1" applyFill="1" applyBorder="1"/>
    <xf numFmtId="0" fontId="1" fillId="2" borderId="1" xfId="0" applyFont="1" applyFill="1" applyBorder="1" applyAlignment="1">
      <alignment horizontal="center" vertical="center" wrapText="1"/>
    </xf>
    <xf numFmtId="0" fontId="1" fillId="2" borderId="1" xfId="0" applyFont="1" applyFill="1" applyBorder="1" applyAlignment="1">
      <alignment horizontal="center"/>
    </xf>
    <xf numFmtId="0" fontId="1" fillId="2" borderId="1" xfId="0" applyFont="1" applyFill="1" applyBorder="1" applyAlignment="1">
      <alignment horizontal="center" vertical="center"/>
    </xf>
    <xf numFmtId="0" fontId="4" fillId="2" borderId="0" xfId="0" applyFont="1" applyFill="1"/>
    <xf numFmtId="0" fontId="4" fillId="2" borderId="5" xfId="0" applyFont="1" applyFill="1" applyBorder="1"/>
    <xf numFmtId="164" fontId="4" fillId="2" borderId="1" xfId="0" applyNumberFormat="1" applyFont="1" applyFill="1" applyBorder="1"/>
    <xf numFmtId="1" fontId="4" fillId="2" borderId="6" xfId="0" applyNumberFormat="1" applyFont="1" applyFill="1" applyBorder="1"/>
    <xf numFmtId="0" fontId="4" fillId="2" borderId="7" xfId="0" applyFont="1" applyFill="1" applyBorder="1"/>
    <xf numFmtId="164" fontId="4" fillId="2" borderId="8" xfId="0" applyNumberFormat="1" applyFont="1" applyFill="1" applyBorder="1"/>
    <xf numFmtId="1" fontId="4" fillId="2" borderId="9" xfId="0" applyNumberFormat="1" applyFont="1" applyFill="1" applyBorder="1"/>
    <xf numFmtId="0" fontId="5" fillId="2" borderId="1" xfId="0" applyFont="1" applyFill="1" applyBorder="1" applyAlignment="1">
      <alignment horizontal="center" vertical="center" wrapText="1"/>
    </xf>
    <xf numFmtId="0" fontId="4" fillId="2" borderId="1" xfId="0" applyFont="1" applyFill="1" applyBorder="1"/>
    <xf numFmtId="9" fontId="4" fillId="2" borderId="1" xfId="0" applyNumberFormat="1" applyFont="1" applyFill="1" applyBorder="1"/>
    <xf numFmtId="0" fontId="4" fillId="2" borderId="5" xfId="0" applyFont="1" applyFill="1" applyBorder="1" applyAlignment="1">
      <alignment wrapText="1"/>
    </xf>
    <xf numFmtId="0" fontId="4" fillId="2" borderId="1" xfId="0" applyFont="1" applyFill="1" applyBorder="1" applyAlignment="1">
      <alignment wrapText="1"/>
    </xf>
    <xf numFmtId="2" fontId="4" fillId="2" borderId="1" xfId="0" applyNumberFormat="1" applyFont="1" applyFill="1" applyBorder="1" applyAlignment="1">
      <alignment wrapText="1"/>
    </xf>
    <xf numFmtId="0" fontId="4" fillId="2" borderId="6" xfId="0" applyFont="1" applyFill="1" applyBorder="1" applyAlignment="1">
      <alignment wrapText="1"/>
    </xf>
    <xf numFmtId="0" fontId="6" fillId="2" borderId="1" xfId="1" applyFont="1" applyFill="1" applyBorder="1" applyAlignment="1">
      <alignment wrapText="1"/>
    </xf>
    <xf numFmtId="0" fontId="4" fillId="2" borderId="7" xfId="0" applyFont="1" applyFill="1" applyBorder="1" applyAlignment="1">
      <alignment wrapText="1"/>
    </xf>
    <xf numFmtId="0" fontId="4" fillId="2" borderId="8" xfId="0" applyFont="1" applyFill="1" applyBorder="1" applyAlignment="1">
      <alignment wrapText="1"/>
    </xf>
    <xf numFmtId="2" fontId="4" fillId="2" borderId="8" xfId="0" applyNumberFormat="1" applyFont="1" applyFill="1" applyBorder="1" applyAlignment="1">
      <alignment wrapText="1"/>
    </xf>
    <xf numFmtId="0" fontId="6" fillId="2" borderId="8" xfId="1" applyFont="1" applyFill="1" applyBorder="1" applyAlignment="1">
      <alignment wrapText="1"/>
    </xf>
    <xf numFmtId="0" fontId="4" fillId="2" borderId="9" xfId="0" applyFont="1" applyFill="1" applyBorder="1" applyAlignment="1">
      <alignment wrapText="1"/>
    </xf>
    <xf numFmtId="0" fontId="7" fillId="2" borderId="1" xfId="0" applyFont="1" applyFill="1" applyBorder="1" applyAlignment="1">
      <alignment horizontal="center"/>
    </xf>
    <xf numFmtId="0" fontId="7" fillId="2" borderId="0" xfId="0" applyFont="1" applyFill="1"/>
    <xf numFmtId="0" fontId="8" fillId="0" borderId="0" xfId="0" applyFont="1"/>
    <xf numFmtId="0" fontId="4" fillId="2" borderId="1" xfId="0" applyFont="1" applyFill="1" applyBorder="1" applyAlignment="1">
      <alignment horizontal="left" vertical="center" wrapText="1"/>
    </xf>
    <xf numFmtId="0" fontId="4" fillId="2" borderId="0" xfId="0" applyFont="1" applyFill="1" applyAlignment="1">
      <alignment wrapText="1"/>
    </xf>
    <xf numFmtId="3" fontId="4" fillId="2" borderId="1" xfId="0" applyNumberFormat="1" applyFont="1" applyFill="1" applyBorder="1" applyAlignment="1">
      <alignment wrapText="1"/>
    </xf>
    <xf numFmtId="165" fontId="4" fillId="2" borderId="1" xfId="0" applyNumberFormat="1" applyFont="1" applyFill="1" applyBorder="1" applyAlignment="1">
      <alignment wrapText="1"/>
    </xf>
    <xf numFmtId="165" fontId="4" fillId="2" borderId="1" xfId="0" applyNumberFormat="1" applyFont="1" applyFill="1" applyBorder="1"/>
    <xf numFmtId="166" fontId="4" fillId="2" borderId="1" xfId="0" applyNumberFormat="1" applyFont="1" applyFill="1" applyBorder="1" applyAlignment="1">
      <alignment wrapText="1"/>
    </xf>
    <xf numFmtId="3" fontId="4" fillId="2" borderId="1" xfId="0" applyNumberFormat="1" applyFont="1" applyFill="1" applyBorder="1"/>
    <xf numFmtId="10" fontId="4" fillId="2" borderId="1" xfId="0" applyNumberFormat="1" applyFont="1" applyFill="1" applyBorder="1"/>
    <xf numFmtId="3" fontId="4" fillId="2" borderId="8" xfId="0" applyNumberFormat="1" applyFont="1" applyFill="1" applyBorder="1"/>
    <xf numFmtId="10" fontId="4" fillId="2" borderId="8" xfId="0" applyNumberFormat="1" applyFont="1" applyFill="1" applyBorder="1"/>
    <xf numFmtId="0" fontId="9" fillId="3" borderId="9" xfId="0" applyFont="1" applyFill="1" applyBorder="1"/>
    <xf numFmtId="0" fontId="4" fillId="3" borderId="10" xfId="0" applyFont="1" applyFill="1" applyBorder="1"/>
    <xf numFmtId="0" fontId="4" fillId="3" borderId="7" xfId="0" applyFont="1" applyFill="1" applyBorder="1"/>
    <xf numFmtId="0" fontId="4" fillId="3" borderId="0" xfId="0" applyFont="1" applyFill="1"/>
    <xf numFmtId="0" fontId="4" fillId="3" borderId="11" xfId="0" applyFont="1" applyFill="1" applyBorder="1" applyAlignment="1">
      <alignment vertical="top" wrapText="1"/>
    </xf>
    <xf numFmtId="0" fontId="4" fillId="3" borderId="0" xfId="0" applyFont="1" applyFill="1" applyAlignment="1">
      <alignment vertical="top" wrapText="1"/>
    </xf>
    <xf numFmtId="0" fontId="4" fillId="3" borderId="13" xfId="0" applyFont="1" applyFill="1" applyBorder="1" applyAlignment="1">
      <alignment vertical="top" wrapText="1"/>
    </xf>
    <xf numFmtId="0" fontId="2" fillId="3" borderId="4" xfId="0" applyFont="1" applyFill="1" applyBorder="1" applyAlignment="1">
      <alignment vertical="top" wrapText="1"/>
    </xf>
    <xf numFmtId="0" fontId="2" fillId="3" borderId="12" xfId="0" applyFont="1" applyFill="1" applyBorder="1" applyAlignment="1">
      <alignment vertical="top" wrapText="1"/>
    </xf>
    <xf numFmtId="0" fontId="2" fillId="3" borderId="2" xfId="0" applyFont="1" applyFill="1" applyBorder="1" applyAlignment="1">
      <alignment vertical="top" wrapText="1"/>
    </xf>
    <xf numFmtId="0" fontId="5" fillId="3" borderId="1" xfId="0" applyFont="1" applyFill="1" applyBorder="1"/>
    <xf numFmtId="0" fontId="4" fillId="3" borderId="1" xfId="0" applyFont="1" applyFill="1" applyBorder="1"/>
    <xf numFmtId="166" fontId="4" fillId="3" borderId="1" xfId="0" applyNumberFormat="1" applyFont="1" applyFill="1" applyBorder="1"/>
    <xf numFmtId="0" fontId="5" fillId="4" borderId="1" xfId="0" applyFont="1" applyFill="1" applyBorder="1"/>
    <xf numFmtId="0" fontId="10" fillId="3" borderId="1" xfId="0" applyFont="1" applyFill="1" applyBorder="1"/>
    <xf numFmtId="0" fontId="4" fillId="2" borderId="6" xfId="0" applyFont="1" applyFill="1" applyBorder="1"/>
    <xf numFmtId="0" fontId="4" fillId="2" borderId="8" xfId="0" applyFont="1" applyFill="1" applyBorder="1"/>
    <xf numFmtId="0" fontId="4" fillId="2" borderId="9" xfId="0" applyFont="1" applyFill="1" applyBorder="1"/>
    <xf numFmtId="164" fontId="4" fillId="2" borderId="1" xfId="0" applyNumberFormat="1" applyFont="1" applyFill="1" applyBorder="1" applyAlignment="1">
      <alignment wrapText="1"/>
    </xf>
    <xf numFmtId="0" fontId="4" fillId="2" borderId="1" xfId="0" applyFont="1" applyFill="1" applyBorder="1" applyAlignment="1">
      <alignment horizontal="left" vertical="center" wrapText="1"/>
    </xf>
    <xf numFmtId="0" fontId="4" fillId="2" borderId="1" xfId="0" applyFont="1" applyFill="1" applyBorder="1" applyAlignment="1">
      <alignment horizontal="left" wrapText="1"/>
    </xf>
    <xf numFmtId="165" fontId="4" fillId="2" borderId="0" xfId="0" applyNumberFormat="1" applyFont="1" applyFill="1"/>
    <xf numFmtId="0" fontId="5" fillId="2" borderId="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1" fontId="4" fillId="2" borderId="1" xfId="0" applyNumberFormat="1" applyFont="1" applyFill="1" applyBorder="1"/>
    <xf numFmtId="0" fontId="4" fillId="2" borderId="12" xfId="0" applyFont="1" applyFill="1" applyBorder="1" applyAlignment="1">
      <alignment horizontal="left" vertical="center" wrapText="1"/>
    </xf>
    <xf numFmtId="0" fontId="4" fillId="2" borderId="12" xfId="0" applyFont="1" applyFill="1" applyBorder="1" applyAlignment="1">
      <alignment horizontal="left" vertical="center"/>
    </xf>
    <xf numFmtId="0" fontId="8" fillId="0" borderId="1" xfId="0" applyFont="1" applyBorder="1" applyAlignment="1">
      <alignment wrapText="1"/>
    </xf>
    <xf numFmtId="0" fontId="11" fillId="0" borderId="1" xfId="0" applyFont="1" applyBorder="1" applyAlignment="1">
      <alignment horizontal="center" vertical="center"/>
    </xf>
  </cellXfs>
  <cellStyles count="2">
    <cellStyle name="Hyperlink" xfId="1" builtinId="8"/>
    <cellStyle name="Normal" xfId="0" builtinId="0"/>
  </cellStyles>
  <dxfs count="78">
    <dxf>
      <font>
        <strike val="0"/>
        <outline val="0"/>
        <shadow val="0"/>
        <u val="none"/>
        <vertAlign val="baseline"/>
        <sz val="11"/>
        <color theme="1"/>
        <name val="Aptos"/>
        <scheme val="none"/>
      </font>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1"/>
        <name val="Aptos"/>
        <scheme val="none"/>
      </font>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Aptos"/>
        <scheme val="none"/>
      </fon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Aptos"/>
        <scheme val="none"/>
      </font>
    </dxf>
    <dxf>
      <font>
        <strike val="0"/>
        <outline val="0"/>
        <shadow val="0"/>
        <u val="none"/>
        <vertAlign val="baseline"/>
        <color theme="1"/>
        <name val="Aptos"/>
        <scheme val="none"/>
      </font>
    </dxf>
    <dxf>
      <font>
        <strike val="0"/>
        <outline val="0"/>
        <shadow val="0"/>
        <u val="none"/>
        <vertAlign val="baseline"/>
        <color theme="1"/>
        <name val="Aptos"/>
        <scheme val="none"/>
      </font>
      <border diagonalUp="0" diagonalDown="0" outline="0">
        <left style="thin">
          <color indexed="64"/>
        </left>
        <right style="thin">
          <color indexed="64"/>
        </right>
        <top/>
        <bottom/>
      </border>
    </dxf>
    <dxf>
      <font>
        <strike val="0"/>
        <outline val="0"/>
        <shadow val="0"/>
        <u val="none"/>
        <vertAlign val="baseline"/>
        <color theme="1"/>
        <name val="Aptos"/>
        <scheme val="none"/>
      </font>
      <border diagonalUp="0" diagonalDown="0" outline="0">
        <left style="thin">
          <color indexed="64"/>
        </left>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right style="thin">
          <color indexed="64"/>
        </right>
        <top style="thin">
          <color indexed="64"/>
        </top>
        <bottom style="thin">
          <color indexed="64"/>
        </bottom>
      </border>
    </dxf>
    <dxf>
      <font>
        <strike val="0"/>
        <outline val="0"/>
        <shadow val="0"/>
        <u val="none"/>
        <vertAlign val="baseline"/>
        <color theme="1"/>
        <name val="Aptos"/>
        <scheme val="none"/>
      </font>
    </dxf>
    <dxf>
      <font>
        <strike val="0"/>
        <outline val="0"/>
        <shadow val="0"/>
        <u val="none"/>
        <vertAlign val="baseline"/>
        <color theme="1"/>
        <name val="Aptos"/>
        <scheme val="none"/>
      </font>
      <border diagonalUp="0" diagonalDown="0" outline="0">
        <left style="thin">
          <color indexed="64"/>
        </left>
        <right style="thin">
          <color indexed="64"/>
        </right>
        <top/>
        <bottom/>
      </border>
    </dxf>
    <dxf>
      <font>
        <strike val="0"/>
        <outline val="0"/>
        <shadow val="0"/>
        <u val="none"/>
        <vertAlign val="baseline"/>
        <color theme="1"/>
        <name val="Aptos"/>
        <scheme val="none"/>
      </font>
      <border diagonalUp="0" diagonalDown="0" outline="0">
        <left style="thin">
          <color indexed="64"/>
        </left>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right style="thin">
          <color indexed="64"/>
        </right>
        <top style="thin">
          <color indexed="64"/>
        </top>
        <bottom style="thin">
          <color indexed="64"/>
        </bottom>
      </border>
    </dxf>
    <dxf>
      <font>
        <strike val="0"/>
        <outline val="0"/>
        <shadow val="0"/>
        <u val="none"/>
        <vertAlign val="baseline"/>
        <color theme="1"/>
        <name val="Aptos"/>
        <scheme val="none"/>
      </font>
    </dxf>
    <dxf>
      <font>
        <strike val="0"/>
        <outline val="0"/>
        <shadow val="0"/>
        <u val="none"/>
        <vertAlign val="baseline"/>
        <color theme="1"/>
        <name val="Aptos"/>
        <scheme val="none"/>
      </font>
      <border diagonalUp="0" diagonalDown="0" outline="0">
        <left style="thin">
          <color indexed="64"/>
        </left>
        <right style="thin">
          <color indexed="64"/>
        </right>
        <top/>
        <bottom/>
      </border>
    </dxf>
    <dxf>
      <font>
        <strike val="0"/>
        <outline val="0"/>
        <shadow val="0"/>
        <u val="none"/>
        <vertAlign val="baseline"/>
        <color theme="1"/>
        <name val="Aptos"/>
        <scheme val="none"/>
      </font>
      <border diagonalUp="0" diagonalDown="0" outline="0">
        <left style="thin">
          <color indexed="64"/>
        </left>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color theme="1"/>
        <name val="Aptos"/>
        <scheme val="none"/>
      </font>
      <border diagonalUp="0" diagonalDown="0" outline="0">
        <left/>
        <right style="thin">
          <color indexed="64"/>
        </right>
        <top style="thin">
          <color indexed="64"/>
        </top>
        <bottom style="thin">
          <color indexed="64"/>
        </bottom>
      </border>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font>
        <strike val="0"/>
        <outline val="0"/>
        <shadow val="0"/>
        <vertAlign val="baseline"/>
        <name val="Aptos"/>
        <scheme val="none"/>
      </font>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B8B8B"/>
      <rgbColor rgb="FF9999FF"/>
      <rgbColor rgb="FF993366"/>
      <rgbColor rgb="FFFFFFCC"/>
      <rgbColor rgb="FFCCFFFF"/>
      <rgbColor rgb="FF660066"/>
      <rgbColor rgb="FFFF8080"/>
      <rgbColor rgb="FF1D4ED8"/>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barChart>
        <c:barDir val="col"/>
        <c:grouping val="clustered"/>
        <c:varyColors val="0"/>
        <c:ser>
          <c:idx val="0"/>
          <c:order val="0"/>
          <c:tx>
            <c:v>Annual views</c:v>
          </c:tx>
          <c:spPr>
            <a:solidFill>
              <a:srgbClr val="000000"/>
            </a:solidFill>
            <a:ln w="12600">
              <a:noFill/>
            </a:ln>
          </c:spPr>
          <c:invertIfNegative val="0"/>
          <c:dLbls>
            <c:spPr>
              <a:noFill/>
              <a:ln>
                <a:noFill/>
              </a:ln>
              <a:effectLst/>
            </c:spPr>
            <c:txPr>
              <a:bodyPr wrap="square"/>
              <a:lstStyle/>
              <a:p>
                <a:pPr>
                  <a:defRPr sz="1000" b="0" u="none" strike="noStrike">
                    <a:solidFill>
                      <a:srgbClr val="000000"/>
                    </a:solidFill>
                    <a:uFillTx/>
                    <a:latin typeface="Calibri"/>
                    <a:ea typeface="Calibri"/>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Case_Data!$A$2:$A$5</c:f>
              <c:strCache>
                <c:ptCount val="4"/>
                <c:pt idx="0">
                  <c:v>Training &amp; Learning</c:v>
                </c:pt>
                <c:pt idx="1">
                  <c:v>HR Portal</c:v>
                </c:pt>
                <c:pt idx="2">
                  <c:v>Technical Support</c:v>
                </c:pt>
                <c:pt idx="3">
                  <c:v>General Intranet Homepage</c:v>
                </c:pt>
              </c:strCache>
            </c:strRef>
          </c:cat>
          <c:val>
            <c:numRef>
              <c:f>Case_Data!$N$2:$N$5</c:f>
              <c:numCache>
                <c:formatCode>#,##0</c:formatCode>
                <c:ptCount val="4"/>
                <c:pt idx="0">
                  <c:v>180907</c:v>
                </c:pt>
                <c:pt idx="1">
                  <c:v>158107</c:v>
                </c:pt>
                <c:pt idx="2">
                  <c:v>125973</c:v>
                </c:pt>
                <c:pt idx="3">
                  <c:v>96018</c:v>
                </c:pt>
              </c:numCache>
            </c:numRef>
          </c:val>
          <c:extLst>
            <c:ext xmlns:c16="http://schemas.microsoft.com/office/drawing/2014/chart" uri="{C3380CC4-5D6E-409C-BE32-E72D297353CC}">
              <c16:uniqueId val="{00000000-14F7-0142-9B3B-8A908DF5C4A3}"/>
            </c:ext>
          </c:extLst>
        </c:ser>
        <c:dLbls>
          <c:showLegendKey val="0"/>
          <c:showVal val="0"/>
          <c:showCatName val="0"/>
          <c:showSerName val="0"/>
          <c:showPercent val="0"/>
          <c:showBubbleSize val="0"/>
        </c:dLbls>
        <c:gapWidth val="150"/>
        <c:axId val="76215186"/>
        <c:axId val="71505348"/>
      </c:barChart>
      <c:catAx>
        <c:axId val="76215186"/>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endParaRPr lang="en-US"/>
          </a:p>
        </c:txPr>
        <c:crossAx val="71505348"/>
        <c:crosses val="autoZero"/>
        <c:auto val="1"/>
        <c:lblAlgn val="ctr"/>
        <c:lblOffset val="100"/>
        <c:noMultiLvlLbl val="0"/>
      </c:catAx>
      <c:valAx>
        <c:axId val="71505348"/>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endParaRPr lang="en-US"/>
          </a:p>
        </c:txPr>
        <c:crossAx val="76215186"/>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barChart>
        <c:barDir val="col"/>
        <c:grouping val="clustered"/>
        <c:varyColors val="0"/>
        <c:ser>
          <c:idx val="0"/>
          <c:order val="0"/>
          <c:tx>
            <c:v>Priority score</c:v>
          </c:tx>
          <c:spPr>
            <a:solidFill>
              <a:srgbClr val="000000"/>
            </a:solidFill>
            <a:ln w="12600">
              <a:noFill/>
            </a:ln>
          </c:spPr>
          <c:invertIfNegative val="0"/>
          <c:dLbls>
            <c:spPr>
              <a:noFill/>
              <a:ln>
                <a:noFill/>
              </a:ln>
              <a:effectLst/>
            </c:spPr>
            <c:txPr>
              <a:bodyPr wrap="square"/>
              <a:lstStyle/>
              <a:p>
                <a:pPr>
                  <a:defRPr sz="1000" b="0" u="none" strike="noStrike">
                    <a:solidFill>
                      <a:srgbClr val="000000"/>
                    </a:solidFill>
                    <a:uFillTx/>
                    <a:latin typeface="Calibri"/>
                    <a:ea typeface="Calibri"/>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Dashboard!$G$4:$G$7</c:f>
              <c:strCache>
                <c:ptCount val="4"/>
                <c:pt idx="0">
                  <c:v>Training &amp; Learning</c:v>
                </c:pt>
                <c:pt idx="1">
                  <c:v>HR Portal</c:v>
                </c:pt>
                <c:pt idx="2">
                  <c:v>Technical Support</c:v>
                </c:pt>
                <c:pt idx="3">
                  <c:v>General Intranet Homepage</c:v>
                </c:pt>
              </c:strCache>
            </c:strRef>
          </c:cat>
          <c:val>
            <c:numRef>
              <c:f>Dashboard!$H$4:$H$7</c:f>
              <c:numCache>
                <c:formatCode>0.0</c:formatCode>
                <c:ptCount val="4"/>
                <c:pt idx="0">
                  <c:v>88</c:v>
                </c:pt>
                <c:pt idx="1">
                  <c:v>82.661186033808434</c:v>
                </c:pt>
                <c:pt idx="2">
                  <c:v>74.813187916242242</c:v>
                </c:pt>
                <c:pt idx="3">
                  <c:v>72.137905237095708</c:v>
                </c:pt>
              </c:numCache>
            </c:numRef>
          </c:val>
          <c:extLst>
            <c:ext xmlns:c16="http://schemas.microsoft.com/office/drawing/2014/chart" uri="{C3380CC4-5D6E-409C-BE32-E72D297353CC}">
              <c16:uniqueId val="{00000000-A295-9649-9EDE-244A3AA88DD0}"/>
            </c:ext>
          </c:extLst>
        </c:ser>
        <c:dLbls>
          <c:showLegendKey val="0"/>
          <c:showVal val="0"/>
          <c:showCatName val="0"/>
          <c:showSerName val="0"/>
          <c:showPercent val="0"/>
          <c:showBubbleSize val="0"/>
        </c:dLbls>
        <c:gapWidth val="150"/>
        <c:axId val="90708532"/>
        <c:axId val="2496337"/>
      </c:barChart>
      <c:catAx>
        <c:axId val="90708532"/>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endParaRPr lang="en-US"/>
          </a:p>
        </c:txPr>
        <c:crossAx val="2496337"/>
        <c:crosses val="autoZero"/>
        <c:auto val="1"/>
        <c:lblAlgn val="ctr"/>
        <c:lblOffset val="100"/>
        <c:noMultiLvlLbl val="0"/>
      </c:catAx>
      <c:valAx>
        <c:axId val="2496337"/>
        <c:scaling>
          <c:orientation val="minMax"/>
        </c:scaling>
        <c:delete val="0"/>
        <c:axPos val="l"/>
        <c:majorGridlines>
          <c:spPr>
            <a:ln w="9360">
              <a:solidFill>
                <a:srgbClr val="CCCCCC"/>
              </a:solidFill>
              <a:prstDash val="dash"/>
              <a:round/>
            </a:ln>
          </c:spPr>
        </c:majorGridlines>
        <c:numFmt formatCode="0.0"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endParaRPr lang="en-US"/>
          </a:p>
        </c:txPr>
        <c:crossAx val="90708532"/>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18</xdr:row>
      <xdr:rowOff>139680</xdr:rowOff>
    </xdr:from>
    <xdr:to>
      <xdr:col>4</xdr:col>
      <xdr:colOff>507780</xdr:colOff>
      <xdr:row>33</xdr:row>
      <xdr:rowOff>139320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101520</xdr:colOff>
      <xdr:row>18</xdr:row>
      <xdr:rowOff>127080</xdr:rowOff>
    </xdr:from>
    <xdr:to>
      <xdr:col>13</xdr:col>
      <xdr:colOff>383735</xdr:colOff>
      <xdr:row>33</xdr:row>
      <xdr:rowOff>126720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SourcesAssumptionsTable" displayName="SourcesAssumptionsTable" ref="A1:J28" totalsRowShown="0" headerRowDxfId="58" dataDxfId="57">
  <tableColumns count="10">
    <tableColumn id="1" xr3:uid="{00000000-0010-0000-0000-000001000000}" name="ID" dataDxfId="68"/>
    <tableColumn id="2" xr3:uid="{00000000-0010-0000-0000-000002000000}" name="Input / source item" dataDxfId="67"/>
    <tableColumn id="3" xr3:uid="{00000000-0010-0000-0000-000003000000}" name="Low" dataDxfId="66"/>
    <tableColumn id="4" xr3:uid="{00000000-0010-0000-0000-000004000000}" name="Base" dataDxfId="65"/>
    <tableColumn id="5" xr3:uid="{00000000-0010-0000-0000-000005000000}" name="High" dataDxfId="64"/>
    <tableColumn id="6" xr3:uid="{00000000-0010-0000-0000-000006000000}" name="Unit" dataDxfId="63"/>
    <tableColumn id="7" xr3:uid="{00000000-0010-0000-0000-000007000000}" name="Rationale / use" dataDxfId="62"/>
    <tableColumn id="8" xr3:uid="{00000000-0010-0000-0000-000008000000}" name="Source type" dataDxfId="61"/>
    <tableColumn id="9" xr3:uid="{00000000-0010-0000-0000-000009000000}" name="URL / source" dataDxfId="60"/>
    <tableColumn id="10" xr3:uid="{00000000-0010-0000-0000-00000A000000}" name="Audit note" dataDxfId="5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seDataTable" displayName="CaseDataTable" ref="A1:P6" totalsRowShown="0" headerRowDxfId="40" dataDxfId="39" headerRowBorderDxfId="77" tableBorderDxfId="76" totalsRowBorderDxfId="75">
  <tableColumns count="16">
    <tableColumn id="1" xr3:uid="{00000000-0010-0000-0100-000001000000}" name="Page" dataDxfId="56"/>
    <tableColumn id="2" xr3:uid="{00000000-0010-0000-0100-000002000000}" name="Jan" dataDxfId="55"/>
    <tableColumn id="3" xr3:uid="{00000000-0010-0000-0100-000003000000}" name="Feb" dataDxfId="54"/>
    <tableColumn id="4" xr3:uid="{00000000-0010-0000-0100-000004000000}" name="Mar" dataDxfId="53"/>
    <tableColumn id="5" xr3:uid="{00000000-0010-0000-0100-000005000000}" name="Apr" dataDxfId="52"/>
    <tableColumn id="6" xr3:uid="{00000000-0010-0000-0100-000006000000}" name="May" dataDxfId="51"/>
    <tableColumn id="7" xr3:uid="{00000000-0010-0000-0100-000007000000}" name="Jun" dataDxfId="50"/>
    <tableColumn id="8" xr3:uid="{00000000-0010-0000-0100-000008000000}" name="Jul" dataDxfId="49"/>
    <tableColumn id="9" xr3:uid="{00000000-0010-0000-0100-000009000000}" name="Aug" dataDxfId="48"/>
    <tableColumn id="10" xr3:uid="{00000000-0010-0000-0100-00000A000000}" name="Sep" dataDxfId="47"/>
    <tableColumn id="11" xr3:uid="{00000000-0010-0000-0100-00000B000000}" name="Oct" dataDxfId="46"/>
    <tableColumn id="12" xr3:uid="{00000000-0010-0000-0100-00000C000000}" name="Nov" dataDxfId="45"/>
    <tableColumn id="13" xr3:uid="{00000000-0010-0000-0100-00000D000000}" name="Dec" dataDxfId="44"/>
    <tableColumn id="14" xr3:uid="{00000000-0010-0000-0100-00000E000000}" name="Annual Total" dataDxfId="43"/>
    <tableColumn id="15" xr3:uid="{00000000-0010-0000-0100-00000F000000}" name="% of Traffic" dataDxfId="42"/>
    <tableColumn id="16" xr3:uid="{00000000-0010-0000-0100-000010000000}" name="Estimated Issues" dataDxfId="4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CDATable" displayName="MCDATable" ref="A1:J5" totalsRowShown="0" headerRowDxfId="28" dataDxfId="27" headerRowBorderDxfId="74" tableBorderDxfId="73" totalsRowBorderDxfId="72">
  <tableColumns count="10">
    <tableColumn id="1" xr3:uid="{00000000-0010-0000-0200-000001000000}" name="Page" dataDxfId="38"/>
    <tableColumn id="2" xr3:uid="{00000000-0010-0000-0200-000002000000}" name="Views" dataDxfId="37"/>
    <tableColumn id="3" xr3:uid="{00000000-0010-0000-0200-000003000000}" name="Issues" dataDxfId="36"/>
    <tableColumn id="4" xr3:uid="{00000000-0010-0000-0200-000004000000}" name="Traffic score" dataDxfId="35"/>
    <tableColumn id="5" xr3:uid="{00000000-0010-0000-0200-000005000000}" name="Issue score" dataDxfId="34"/>
    <tableColumn id="6" xr3:uid="{00000000-0010-0000-0200-000006000000}" name="Process criticality" dataDxfId="33"/>
    <tableColumn id="7" xr3:uid="{00000000-0010-0000-0200-000007000000}" name="Legal / HR sensitivity" dataDxfId="32"/>
    <tableColumn id="8" xr3:uid="{00000000-0010-0000-0200-000008000000}" name="Feasibility" dataDxfId="31"/>
    <tableColumn id="9" xr3:uid="{00000000-0010-0000-0200-000009000000}" name="Weighted priority score" dataDxfId="30">
      <calculatedColumnFormula>D2*$B$9+E2*$B$10+F2*$B$11+G2*$B$12+H2*$B$13</calculatedColumnFormula>
    </tableColumn>
    <tableColumn id="10" xr3:uid="{00000000-0010-0000-0200-00000A000000}" name="Rank" dataDxfId="29"/>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AuditBacklogTable" displayName="AuditBacklogTable" ref="A1:L17" totalsRowShown="0" headerRowDxfId="14" dataDxfId="13" headerRowBorderDxfId="71" tableBorderDxfId="70" totalsRowBorderDxfId="69">
  <tableColumns count="12">
    <tableColumn id="1" xr3:uid="{00000000-0010-0000-0300-000001000000}" name="ID" dataDxfId="26"/>
    <tableColumn id="2" xr3:uid="{00000000-0010-0000-0300-000002000000}" name="Page" dataDxfId="25"/>
    <tableColumn id="3" xr3:uid="{00000000-0010-0000-0300-000003000000}" name="Issue theme" dataDxfId="24"/>
    <tableColumn id="4" xr3:uid="{00000000-0010-0000-0300-000004000000}" name="WCAG / standard link" dataDxfId="23"/>
    <tableColumn id="5" xr3:uid="{00000000-0010-0000-0300-000005000000}" name="Required change" dataDxfId="22"/>
    <tableColumn id="6" xr3:uid="{00000000-0010-0000-0300-000006000000}" name="Test method" dataDxfId="21"/>
    <tableColumn id="7" xr3:uid="{00000000-0010-0000-0300-000007000000}" name="Success criteria" dataDxfId="20"/>
    <tableColumn id="8" xr3:uid="{00000000-0010-0000-0300-000008000000}" name="Severity (1-5)" dataDxfId="19"/>
    <tableColumn id="9" xr3:uid="{00000000-0010-0000-0300-000009000000}" name="Effort days" dataDxfId="18"/>
    <tableColumn id="10" xr3:uid="{00000000-0010-0000-0300-00000A000000}" name="Priority formula" dataDxfId="17"/>
    <tableColumn id="11" xr3:uid="{00000000-0010-0000-0300-00000B000000}" name="Phase" dataDxfId="16"/>
    <tableColumn id="12" xr3:uid="{00000000-0010-0000-0300-00000C000000}" name="Owner" dataDxfId="15"/>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estStrategyTable" displayName="TestStrategyTable" ref="A1:H8" totalsRowShown="0" headerRowDxfId="0" dataDxfId="12" headerRowBorderDxfId="10" tableBorderDxfId="11" totalsRowBorderDxfId="9">
  <tableColumns count="8">
    <tableColumn id="1" xr3:uid="{00000000-0010-0000-0400-000001000000}" name="Test layer" dataDxfId="8"/>
    <tableColumn id="2" xr3:uid="{00000000-0010-0000-0400-000002000000}" name="Purpose" dataDxfId="7"/>
    <tableColumn id="3" xr3:uid="{00000000-0010-0000-0400-000003000000}" name="Tools / method" dataDxfId="6"/>
    <tableColumn id="4" xr3:uid="{00000000-0010-0000-0400-000004000000}" name="Sample coverage" dataDxfId="5"/>
    <tableColumn id="5" xr3:uid="{00000000-0010-0000-0400-000005000000}" name="Entry criteria" dataDxfId="4"/>
    <tableColumn id="6" xr3:uid="{00000000-0010-0000-0400-000006000000}" name="Exit criteria" dataDxfId="3"/>
    <tableColumn id="7" xr3:uid="{00000000-0010-0000-0400-000007000000}" name="Owner" dataDxfId="2"/>
    <tableColumn id="8" xr3:uid="{00000000-0010-0000-0400-000008000000}" name="Evidence retained" dataDxfId="1"/>
  </tableColumns>
  <tableStyleInfo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hyperlink" Target="https://www.gov.uk/government/publications/green-book-discount-rate-review-2026/review-of-discounting-in-the-green-book-terms-of-reference" TargetMode="External"/><Relationship Id="rId3" Type="http://schemas.openxmlformats.org/officeDocument/2006/relationships/hyperlink" Target="https://www.ghdsi.com/blog/evaluate-reduce-it-service-desk-cost-per-ticket" TargetMode="External"/><Relationship Id="rId7" Type="http://schemas.openxmlformats.org/officeDocument/2006/relationships/hyperlink" Target="https://www.w3.org/WAI/business-case/" TargetMode="External"/><Relationship Id="rId2" Type="http://schemas.openxmlformats.org/officeDocument/2006/relationships/hyperlink" Target="https://www.ons.gov.uk/employmentandlabourmarket/peopleinwork/earningsandworkinghours/bulletins/annualsurveyofhoursandearnings/2025" TargetMode="External"/><Relationship Id="rId1" Type="http://schemas.openxmlformats.org/officeDocument/2006/relationships/hyperlink" Target="https://www.who.int/news-room/fact-sheets/detail/disability-and-health" TargetMode="External"/><Relationship Id="rId6" Type="http://schemas.openxmlformats.org/officeDocument/2006/relationships/hyperlink" Target="https://info.usablenet.com/hubfs/Remediated%20-%202025_Year-End_Digital_Accessibility_Lawsuit_Report_FINAL.pdf" TargetMode="External"/><Relationship Id="rId5" Type="http://schemas.openxmlformats.org/officeDocument/2006/relationships/hyperlink" Target="https://info.workinstitute.com/hubfs/2025%20Retention%20Report/2025%20Retention%20Report%20-%20Employee%20Retention%20Truths%20in%20Todays%20Workplace.pdf" TargetMode="External"/><Relationship Id="rId4" Type="http://schemas.openxmlformats.org/officeDocument/2006/relationships/hyperlink" Target="https://www.ons.gov.uk/employmentandlabourmarket/peopleinwork/earningsandworkinghours/bulletins/annualsurveyofhoursandearnings/2025" TargetMode="External"/><Relationship Id="rId9"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
  <sheetViews>
    <sheetView showGridLines="0" tabSelected="1" zoomScaleNormal="100" workbookViewId="0">
      <selection sqref="A1:B1"/>
    </sheetView>
  </sheetViews>
  <sheetFormatPr baseColWidth="10" defaultColWidth="8.83203125" defaultRowHeight="15" x14ac:dyDescent="0.2"/>
  <cols>
    <col min="1" max="1" width="15.83203125" style="32" customWidth="1"/>
    <col min="2" max="2" width="79.6640625" style="32" customWidth="1"/>
    <col min="3" max="3" width="11.6640625" style="32" customWidth="1"/>
    <col min="4" max="4" width="18.83203125" style="32" customWidth="1"/>
    <col min="5" max="16384" width="8.83203125" style="32"/>
  </cols>
  <sheetData>
    <row r="1" spans="1:8" ht="18" customHeight="1" x14ac:dyDescent="0.25">
      <c r="A1" s="30" t="s">
        <v>0</v>
      </c>
      <c r="B1" s="30"/>
      <c r="C1" s="31"/>
      <c r="D1" s="31"/>
      <c r="E1" s="31"/>
      <c r="F1" s="31"/>
      <c r="G1" s="31"/>
      <c r="H1" s="31"/>
    </row>
    <row r="2" spans="1:8" ht="5" customHeight="1" x14ac:dyDescent="0.2">
      <c r="A2" s="18"/>
      <c r="B2" s="18"/>
      <c r="C2" s="10"/>
      <c r="D2" s="10"/>
      <c r="E2" s="10"/>
      <c r="F2" s="10"/>
      <c r="G2" s="10"/>
      <c r="H2" s="10"/>
    </row>
    <row r="3" spans="1:8" ht="30.75" customHeight="1" x14ac:dyDescent="0.2">
      <c r="A3" s="17" t="s">
        <v>1</v>
      </c>
      <c r="B3" s="33" t="s">
        <v>2</v>
      </c>
      <c r="C3" s="34"/>
      <c r="D3" s="34"/>
      <c r="E3" s="34"/>
      <c r="F3" s="34"/>
      <c r="G3" s="34"/>
      <c r="H3" s="34"/>
    </row>
    <row r="4" spans="1:8" ht="30.75" customHeight="1" x14ac:dyDescent="0.2">
      <c r="A4" s="17" t="s">
        <v>3</v>
      </c>
      <c r="B4" s="33" t="s">
        <v>4</v>
      </c>
      <c r="C4" s="34"/>
      <c r="D4" s="34"/>
      <c r="E4" s="34"/>
      <c r="F4" s="34"/>
      <c r="G4" s="34"/>
      <c r="H4" s="34"/>
    </row>
    <row r="5" spans="1:8" ht="45.75" customHeight="1" x14ac:dyDescent="0.2">
      <c r="A5" s="17" t="s">
        <v>5</v>
      </c>
      <c r="B5" s="33" t="s">
        <v>6</v>
      </c>
      <c r="C5" s="34"/>
      <c r="D5" s="34"/>
      <c r="E5" s="34"/>
      <c r="F5" s="34"/>
      <c r="G5" s="34"/>
      <c r="H5" s="34"/>
    </row>
    <row r="6" spans="1:8" ht="32" x14ac:dyDescent="0.2">
      <c r="A6" s="72" t="s">
        <v>567</v>
      </c>
      <c r="B6" s="71" t="s">
        <v>568</v>
      </c>
    </row>
  </sheetData>
  <mergeCells count="1">
    <mergeCell ref="A1:B1"/>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5"/>
  <sheetViews>
    <sheetView zoomScaleNormal="100" workbookViewId="0">
      <selection activeCell="H12" sqref="H12"/>
    </sheetView>
  </sheetViews>
  <sheetFormatPr baseColWidth="10" defaultColWidth="8.83203125" defaultRowHeight="15" x14ac:dyDescent="0.2"/>
  <cols>
    <col min="1" max="1" width="26.33203125" style="10" customWidth="1"/>
    <col min="2" max="2" width="11.5" style="10" customWidth="1"/>
    <col min="3" max="3" width="50.5" style="10" customWidth="1"/>
    <col min="4" max="4" width="17" style="10" bestFit="1" customWidth="1"/>
    <col min="5" max="5" width="8.83203125" style="10"/>
    <col min="6" max="6" width="16.6640625" style="10" bestFit="1" customWidth="1"/>
    <col min="7" max="7" width="24.5" style="10" bestFit="1" customWidth="1"/>
    <col min="8" max="8" width="22.6640625" style="10" customWidth="1"/>
    <col min="9" max="16384" width="8.83203125" style="10"/>
  </cols>
  <sheetData>
    <row r="1" spans="1:26" ht="21" customHeight="1" x14ac:dyDescent="0.2">
      <c r="A1" s="8" t="s">
        <v>7</v>
      </c>
      <c r="B1" s="8"/>
      <c r="C1" s="8"/>
      <c r="D1" s="8"/>
      <c r="E1" s="8"/>
      <c r="F1" s="8"/>
      <c r="G1" s="8"/>
      <c r="H1" s="8"/>
      <c r="I1" s="1"/>
      <c r="J1" s="1"/>
      <c r="K1" s="2"/>
      <c r="L1" s="2"/>
      <c r="M1" s="2"/>
      <c r="N1" s="2"/>
      <c r="O1" s="2"/>
      <c r="P1" s="2"/>
      <c r="Q1" s="2"/>
      <c r="R1" s="2"/>
      <c r="S1" s="2"/>
      <c r="T1" s="2"/>
      <c r="U1" s="2"/>
      <c r="V1" s="2"/>
      <c r="W1" s="2"/>
      <c r="X1" s="2"/>
      <c r="Y1" s="2"/>
      <c r="Z1" s="2"/>
    </row>
    <row r="2" spans="1:26" ht="13" customHeight="1" x14ac:dyDescent="0.2">
      <c r="A2" s="18"/>
      <c r="B2" s="18"/>
      <c r="C2" s="18"/>
      <c r="D2" s="18"/>
      <c r="E2" s="18"/>
      <c r="F2" s="18"/>
      <c r="G2" s="18"/>
      <c r="H2" s="18"/>
    </row>
    <row r="3" spans="1:26" ht="31.5" customHeight="1" x14ac:dyDescent="0.2">
      <c r="A3" s="17" t="s">
        <v>8</v>
      </c>
      <c r="B3" s="17" t="s">
        <v>9</v>
      </c>
      <c r="C3" s="17" t="s">
        <v>10</v>
      </c>
      <c r="D3" s="17" t="s">
        <v>11</v>
      </c>
      <c r="E3" s="18"/>
      <c r="F3" s="17" t="s">
        <v>12</v>
      </c>
      <c r="G3" s="17" t="s">
        <v>13</v>
      </c>
      <c r="H3" s="17" t="s">
        <v>14</v>
      </c>
    </row>
    <row r="4" spans="1:26" ht="15" customHeight="1" x14ac:dyDescent="0.2">
      <c r="A4" s="21" t="s">
        <v>15</v>
      </c>
      <c r="B4" s="35" t="str">
        <f>TEXT(Case_Data!N6,"0")</f>
        <v>561005</v>
      </c>
      <c r="C4" s="21" t="s">
        <v>16</v>
      </c>
      <c r="D4" s="21" t="s">
        <v>17</v>
      </c>
      <c r="E4" s="18"/>
      <c r="F4" s="18">
        <f>1</f>
        <v>1</v>
      </c>
      <c r="G4" s="18" t="str">
        <f>INDEX(MCDA_Prioritisation!$A$2:$A$5,MATCH(1,MCDA_Prioritisation!$J$2:$J$5,0))</f>
        <v>Training &amp; Learning</v>
      </c>
      <c r="H4" s="12">
        <f>INDEX(MCDA_Prioritisation!$I$2:$I$5,MATCH(1,MCDA_Prioritisation!$J$2:$J$5,0))</f>
        <v>88</v>
      </c>
    </row>
    <row r="5" spans="1:26" ht="15" customHeight="1" x14ac:dyDescent="0.2">
      <c r="A5" s="21" t="s">
        <v>18</v>
      </c>
      <c r="B5" s="35" t="str">
        <f>TEXT(Case_Data!P6,"0")</f>
        <v>137</v>
      </c>
      <c r="C5" s="21" t="s">
        <v>19</v>
      </c>
      <c r="D5" s="21" t="s">
        <v>20</v>
      </c>
      <c r="E5" s="18"/>
      <c r="F5" s="18">
        <f>2</f>
        <v>2</v>
      </c>
      <c r="G5" s="18" t="str">
        <f>INDEX(MCDA_Prioritisation!$A$2:$A$5,MATCH(2,MCDA_Prioritisation!$J$2:$J$5,0))</f>
        <v>HR Portal</v>
      </c>
      <c r="H5" s="12">
        <f>INDEX(MCDA_Prioritisation!$I$2:$I$5,MATCH(2,MCDA_Prioritisation!$J$2:$J$5,0))</f>
        <v>82.661186033808434</v>
      </c>
    </row>
    <row r="6" spans="1:26" ht="30" customHeight="1" x14ac:dyDescent="0.2">
      <c r="A6" s="21" t="s">
        <v>21</v>
      </c>
      <c r="B6" s="35" t="str">
        <f>INDEX(MCDA_Prioritisation!A2:A5,MATCH(1,MCDA_Prioritisation!J2:J5,0))</f>
        <v>Training &amp; Learning</v>
      </c>
      <c r="C6" s="21" t="s">
        <v>22</v>
      </c>
      <c r="D6" s="21" t="s">
        <v>23</v>
      </c>
      <c r="E6" s="18"/>
      <c r="F6" s="18">
        <f>3</f>
        <v>3</v>
      </c>
      <c r="G6" s="18" t="str">
        <f>INDEX(MCDA_Prioritisation!$A$2:$A$5,MATCH(3,MCDA_Prioritisation!$J$2:$J$5,0))</f>
        <v>Technical Support</v>
      </c>
      <c r="H6" s="12">
        <f>INDEX(MCDA_Prioritisation!$I$2:$I$5,MATCH(3,MCDA_Prioritisation!$J$2:$J$5,0))</f>
        <v>74.813187916242242</v>
      </c>
    </row>
    <row r="7" spans="1:26" ht="15" customHeight="1" x14ac:dyDescent="0.2">
      <c r="A7" s="21" t="s">
        <v>24</v>
      </c>
      <c r="B7" s="36" t="str">
        <f>TEXT(Cost_Benefit!D17,"£0")</f>
        <v>£306273</v>
      </c>
      <c r="C7" s="21" t="s">
        <v>25</v>
      </c>
      <c r="D7" s="21" t="s">
        <v>26</v>
      </c>
      <c r="E7" s="18"/>
      <c r="F7" s="18">
        <f>4</f>
        <v>4</v>
      </c>
      <c r="G7" s="18" t="str">
        <f>INDEX(MCDA_Prioritisation!$A$2:$A$5,MATCH(4,MCDA_Prioritisation!$J$2:$J$5,0))</f>
        <v>General Intranet Homepage</v>
      </c>
      <c r="H7" s="12">
        <f>INDEX(MCDA_Prioritisation!$I$2:$I$5,MATCH(4,MCDA_Prioritisation!$J$2:$J$5,0))</f>
        <v>72.137905237095708</v>
      </c>
    </row>
    <row r="8" spans="1:26" ht="15" customHeight="1" x14ac:dyDescent="0.2">
      <c r="A8" s="21" t="s">
        <v>27</v>
      </c>
      <c r="B8" s="36" t="str">
        <f>TEXT(Cost_Benefit!D9,"£0")</f>
        <v>£485404</v>
      </c>
      <c r="C8" s="21" t="s">
        <v>28</v>
      </c>
      <c r="D8" s="21" t="s">
        <v>29</v>
      </c>
      <c r="E8" s="18"/>
      <c r="F8" s="18"/>
      <c r="G8" s="18"/>
      <c r="H8" s="18"/>
    </row>
    <row r="9" spans="1:26" ht="15" customHeight="1" x14ac:dyDescent="0.2">
      <c r="A9" s="21" t="s">
        <v>30</v>
      </c>
      <c r="B9" s="36" t="str">
        <f>TEXT(Cost_Benefit!D18,"£0")</f>
        <v>£95000</v>
      </c>
      <c r="C9" s="21" t="s">
        <v>31</v>
      </c>
      <c r="D9" s="21" t="s">
        <v>32</v>
      </c>
      <c r="E9" s="18"/>
      <c r="F9" s="18"/>
      <c r="G9" s="18"/>
      <c r="H9" s="18"/>
    </row>
    <row r="10" spans="1:26" ht="15.75" customHeight="1" x14ac:dyDescent="0.2">
      <c r="A10" s="21" t="s">
        <v>33</v>
      </c>
      <c r="B10" s="36" t="str">
        <f>TEXT(Cost_Benefit!D19,"£0")</f>
        <v>£390404</v>
      </c>
      <c r="C10" s="21" t="s">
        <v>34</v>
      </c>
      <c r="D10" s="21" t="s">
        <v>35</v>
      </c>
      <c r="E10" s="18"/>
      <c r="F10" s="17" t="s">
        <v>36</v>
      </c>
      <c r="G10" s="17" t="s">
        <v>37</v>
      </c>
      <c r="H10" s="17" t="s">
        <v>10</v>
      </c>
    </row>
    <row r="11" spans="1:26" ht="30" customHeight="1" x14ac:dyDescent="0.2">
      <c r="A11" s="21" t="s">
        <v>38</v>
      </c>
      <c r="B11" s="36" t="str">
        <f>TEXT(Cost_Benefit!D22,"£0")</f>
        <v>£787496</v>
      </c>
      <c r="C11" s="21" t="s">
        <v>39</v>
      </c>
      <c r="D11" s="21" t="s">
        <v>40</v>
      </c>
      <c r="E11" s="18"/>
      <c r="F11" s="18" t="str">
        <f>Scenario_Uncertainty!A4</f>
        <v>Comply and embed</v>
      </c>
      <c r="G11" s="37" t="str">
        <f>TEXT(Scenario_Uncertainty!$H$4,"£0")</f>
        <v>£936248</v>
      </c>
      <c r="H11" s="21" t="str">
        <f>Scenario_Uncertainty!I4</f>
        <v>Best case: remediation is embedded into product governance and employee trust improves.</v>
      </c>
    </row>
    <row r="12" spans="1:26" ht="30" customHeight="1" x14ac:dyDescent="0.2">
      <c r="A12" s="21" t="s">
        <v>41</v>
      </c>
      <c r="B12" s="22" t="str">
        <f>TEXT(Cost_Benefit!D23,"0.00")</f>
        <v>2.38</v>
      </c>
      <c r="C12" s="21" t="s">
        <v>42</v>
      </c>
      <c r="D12" s="21" t="s">
        <v>43</v>
      </c>
      <c r="E12" s="18"/>
      <c r="F12" s="18" t="str">
        <f>Scenario_Uncertainty!A5</f>
        <v>Litigation scramble</v>
      </c>
      <c r="G12" s="37" t="str">
        <f>TEXT(Scenario_Uncertainty!$H$5,"£0")</f>
        <v>£406858</v>
      </c>
      <c r="H12" s="21" t="str">
        <f>Scenario_Uncertainty!I5</f>
        <v>High-pressure reactive case: reactive fixes, duplicated work, higher legal exposure and weaker adoption. The lowest financial scenario is Drift and defer, where accessibility debt compounds and benefits are delayed. adoption.</v>
      </c>
    </row>
    <row r="13" spans="1:26" ht="30" customHeight="1" x14ac:dyDescent="0.2">
      <c r="A13" s="21" t="s">
        <v>44</v>
      </c>
      <c r="B13" s="36" t="str">
        <f>TEXT(AVERAGE(Monte_Carlo!$O$3:$O$1002),"£0")</f>
        <v>£837480</v>
      </c>
      <c r="C13" s="21" t="s">
        <v>45</v>
      </c>
      <c r="D13" s="21" t="s">
        <v>46</v>
      </c>
      <c r="E13" s="18"/>
      <c r="F13" s="18" t="str">
        <f>Scenario_Uncertainty!A6</f>
        <v>Quiet compliance</v>
      </c>
      <c r="G13" s="37" t="str">
        <f>TEXT(Scenario_Uncertainty!$H$6,"£0")</f>
        <v>£787496</v>
      </c>
      <c r="H13" s="21" t="str">
        <f>Scenario_Uncertainty!I6</f>
        <v>Stable route: benefits come mainly from productivity, retention and support-service improvement.</v>
      </c>
    </row>
    <row r="14" spans="1:26" ht="30" customHeight="1" x14ac:dyDescent="0.2">
      <c r="A14" s="21" t="s">
        <v>47</v>
      </c>
      <c r="B14" s="36" t="str">
        <f>TEXT(_xlfn.PERCENTILE.INC(Monte_Carlo!$O$3:$O$1002,0.05),"£0")</f>
        <v>£168518</v>
      </c>
      <c r="C14" s="21" t="s">
        <v>48</v>
      </c>
      <c r="D14" s="21" t="s">
        <v>46</v>
      </c>
      <c r="E14" s="18"/>
      <c r="F14" s="18" t="str">
        <f>Scenario_Uncertainty!A7</f>
        <v>Drift and defer</v>
      </c>
      <c r="G14" s="37" t="str">
        <f>TEXT(Scenario_Uncertainty!$H$7,"£0")</f>
        <v>£325927</v>
      </c>
      <c r="H14" s="21" t="str">
        <f>Scenario_Uncertainty!I7</f>
        <v>False economy: lower near-term spend but persistent employee harm and accumulating technical debt.</v>
      </c>
    </row>
    <row r="15" spans="1:26" ht="15" customHeight="1" x14ac:dyDescent="0.2">
      <c r="A15" s="21" t="s">
        <v>49</v>
      </c>
      <c r="B15" s="38" t="str">
        <f>TEXT(AVERAGE(Monte_Carlo!$P$3:$P$1002),"0%")</f>
        <v>98%</v>
      </c>
      <c r="C15" s="21" t="s">
        <v>50</v>
      </c>
      <c r="D15" s="21" t="s">
        <v>46</v>
      </c>
      <c r="E15" s="18"/>
      <c r="F15" s="18"/>
      <c r="G15" s="18"/>
      <c r="H15" s="18"/>
    </row>
  </sheetData>
  <mergeCells count="1">
    <mergeCell ref="A1:H1"/>
  </mergeCells>
  <pageMargins left="0.7" right="0.7" top="0.75" bottom="0.75"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8"/>
  <sheetViews>
    <sheetView showGridLines="0" zoomScaleNormal="100" workbookViewId="0"/>
  </sheetViews>
  <sheetFormatPr baseColWidth="10" defaultColWidth="7.33203125" defaultRowHeight="15" x14ac:dyDescent="0.2"/>
  <cols>
    <col min="1" max="1" width="4.5" style="18" customWidth="1"/>
    <col min="2" max="2" width="25" style="18" customWidth="1"/>
    <col min="3" max="5" width="9.6640625" style="18" customWidth="1"/>
    <col min="6" max="6" width="17.83203125" style="18" customWidth="1"/>
    <col min="7" max="7" width="54.1640625" style="18" customWidth="1"/>
    <col min="8" max="8" width="10.5" style="18" customWidth="1"/>
    <col min="9" max="9" width="60" style="18" customWidth="1"/>
    <col min="10" max="10" width="32" style="18" customWidth="1"/>
    <col min="11" max="16384" width="7.33203125" style="18"/>
  </cols>
  <sheetData>
    <row r="1" spans="1:26" ht="15" customHeight="1" x14ac:dyDescent="0.2">
      <c r="A1" s="3" t="s">
        <v>51</v>
      </c>
      <c r="B1" s="4" t="s">
        <v>52</v>
      </c>
      <c r="C1" s="4" t="s">
        <v>53</v>
      </c>
      <c r="D1" s="4" t="s">
        <v>54</v>
      </c>
      <c r="E1" s="4" t="s">
        <v>55</v>
      </c>
      <c r="F1" s="4" t="s">
        <v>56</v>
      </c>
      <c r="G1" s="4" t="s">
        <v>57</v>
      </c>
      <c r="H1" s="4" t="s">
        <v>58</v>
      </c>
      <c r="I1" s="4" t="s">
        <v>59</v>
      </c>
      <c r="J1" s="5" t="s">
        <v>60</v>
      </c>
      <c r="K1" s="6"/>
      <c r="L1" s="6"/>
      <c r="M1" s="6"/>
      <c r="N1" s="6"/>
      <c r="O1" s="6"/>
      <c r="P1" s="6"/>
      <c r="Q1" s="6"/>
      <c r="R1" s="6"/>
      <c r="S1" s="6"/>
      <c r="T1" s="6"/>
      <c r="U1" s="6"/>
      <c r="V1" s="6"/>
      <c r="W1" s="6"/>
      <c r="X1" s="6"/>
      <c r="Y1" s="6"/>
      <c r="Z1" s="6"/>
    </row>
    <row r="2" spans="1:26" ht="30" customHeight="1" x14ac:dyDescent="0.2">
      <c r="A2" s="20" t="s">
        <v>61</v>
      </c>
      <c r="B2" s="21" t="s">
        <v>62</v>
      </c>
      <c r="C2" s="22">
        <v>400000</v>
      </c>
      <c r="D2" s="22">
        <v>400000</v>
      </c>
      <c r="E2" s="22">
        <v>400000</v>
      </c>
      <c r="F2" s="21" t="s">
        <v>63</v>
      </c>
      <c r="G2" s="21" t="s">
        <v>64</v>
      </c>
      <c r="H2" s="21" t="s">
        <v>65</v>
      </c>
      <c r="I2" s="21" t="s">
        <v>66</v>
      </c>
      <c r="J2" s="23" t="s">
        <v>67</v>
      </c>
    </row>
    <row r="3" spans="1:26" ht="45" customHeight="1" x14ac:dyDescent="0.2">
      <c r="A3" s="20" t="s">
        <v>68</v>
      </c>
      <c r="B3" s="21" t="s">
        <v>69</v>
      </c>
      <c r="C3" s="22">
        <v>0.1</v>
      </c>
      <c r="D3" s="22">
        <v>0.16</v>
      </c>
      <c r="E3" s="22">
        <v>0.24</v>
      </c>
      <c r="F3" s="21" t="s">
        <v>70</v>
      </c>
      <c r="G3" s="21" t="s">
        <v>71</v>
      </c>
      <c r="H3" s="21" t="s">
        <v>72</v>
      </c>
      <c r="I3" s="24" t="s">
        <v>73</v>
      </c>
      <c r="J3" s="23" t="s">
        <v>74</v>
      </c>
    </row>
    <row r="4" spans="1:26" ht="45" customHeight="1" x14ac:dyDescent="0.2">
      <c r="A4" s="20" t="s">
        <v>75</v>
      </c>
      <c r="B4" s="21" t="s">
        <v>76</v>
      </c>
      <c r="C4" s="22">
        <v>0.03</v>
      </c>
      <c r="D4" s="22">
        <v>0.16</v>
      </c>
      <c r="E4" s="22">
        <v>0.24</v>
      </c>
      <c r="F4" s="21" t="s">
        <v>77</v>
      </c>
      <c r="G4" s="21" t="s">
        <v>78</v>
      </c>
      <c r="H4" s="21" t="s">
        <v>79</v>
      </c>
      <c r="I4" s="21" t="s">
        <v>80</v>
      </c>
      <c r="J4" s="23" t="s">
        <v>81</v>
      </c>
    </row>
    <row r="5" spans="1:26" ht="30" customHeight="1" x14ac:dyDescent="0.2">
      <c r="A5" s="20" t="s">
        <v>82</v>
      </c>
      <c r="B5" s="21" t="s">
        <v>83</v>
      </c>
      <c r="C5" s="22">
        <v>1</v>
      </c>
      <c r="D5" s="22">
        <v>5</v>
      </c>
      <c r="E5" s="22">
        <v>10</v>
      </c>
      <c r="F5" s="21" t="s">
        <v>84</v>
      </c>
      <c r="G5" s="21" t="s">
        <v>85</v>
      </c>
      <c r="H5" s="21" t="s">
        <v>79</v>
      </c>
      <c r="I5" s="21" t="s">
        <v>86</v>
      </c>
      <c r="J5" s="23" t="s">
        <v>87</v>
      </c>
    </row>
    <row r="6" spans="1:26" ht="30" customHeight="1" x14ac:dyDescent="0.2">
      <c r="A6" s="20" t="s">
        <v>88</v>
      </c>
      <c r="B6" s="21" t="s">
        <v>89</v>
      </c>
      <c r="C6" s="22">
        <v>0.2</v>
      </c>
      <c r="D6" s="22">
        <v>0.65</v>
      </c>
      <c r="E6" s="22">
        <v>0.85</v>
      </c>
      <c r="F6" s="21" t="s">
        <v>90</v>
      </c>
      <c r="G6" s="21" t="s">
        <v>91</v>
      </c>
      <c r="H6" s="21" t="s">
        <v>79</v>
      </c>
      <c r="I6" s="21" t="s">
        <v>92</v>
      </c>
      <c r="J6" s="23" t="s">
        <v>93</v>
      </c>
    </row>
    <row r="7" spans="1:26" ht="45" customHeight="1" x14ac:dyDescent="0.2">
      <c r="A7" s="20" t="s">
        <v>94</v>
      </c>
      <c r="B7" s="21" t="s">
        <v>95</v>
      </c>
      <c r="C7" s="22">
        <v>20</v>
      </c>
      <c r="D7" s="22">
        <v>26</v>
      </c>
      <c r="E7" s="22">
        <v>38</v>
      </c>
      <c r="F7" s="21" t="s">
        <v>96</v>
      </c>
      <c r="G7" s="21" t="s">
        <v>97</v>
      </c>
      <c r="H7" s="21" t="s">
        <v>98</v>
      </c>
      <c r="I7" s="24" t="s">
        <v>99</v>
      </c>
      <c r="J7" s="23" t="s">
        <v>100</v>
      </c>
    </row>
    <row r="8" spans="1:26" ht="30" customHeight="1" x14ac:dyDescent="0.2">
      <c r="A8" s="20" t="s">
        <v>101</v>
      </c>
      <c r="B8" s="21" t="s">
        <v>102</v>
      </c>
      <c r="C8" s="22">
        <v>2E-3</v>
      </c>
      <c r="D8" s="22">
        <v>2.5000000000000001E-2</v>
      </c>
      <c r="E8" s="22">
        <v>0.05</v>
      </c>
      <c r="F8" s="21" t="s">
        <v>77</v>
      </c>
      <c r="G8" s="21" t="s">
        <v>103</v>
      </c>
      <c r="H8" s="21" t="s">
        <v>79</v>
      </c>
      <c r="I8" s="21" t="s">
        <v>104</v>
      </c>
      <c r="J8" s="23" t="s">
        <v>105</v>
      </c>
    </row>
    <row r="9" spans="1:26" ht="30" customHeight="1" x14ac:dyDescent="0.2">
      <c r="A9" s="20" t="s">
        <v>106</v>
      </c>
      <c r="B9" s="21" t="s">
        <v>107</v>
      </c>
      <c r="C9" s="22">
        <v>6</v>
      </c>
      <c r="D9" s="22">
        <v>12</v>
      </c>
      <c r="E9" s="22">
        <v>30</v>
      </c>
      <c r="F9" s="21" t="s">
        <v>108</v>
      </c>
      <c r="G9" s="21" t="s">
        <v>109</v>
      </c>
      <c r="H9" s="21" t="s">
        <v>110</v>
      </c>
      <c r="I9" s="24" t="s">
        <v>111</v>
      </c>
      <c r="J9" s="23" t="s">
        <v>112</v>
      </c>
    </row>
    <row r="10" spans="1:26" ht="30" customHeight="1" x14ac:dyDescent="0.2">
      <c r="A10" s="20" t="s">
        <v>113</v>
      </c>
      <c r="B10" s="21" t="s">
        <v>114</v>
      </c>
      <c r="C10" s="22">
        <v>0</v>
      </c>
      <c r="D10" s="22">
        <v>12</v>
      </c>
      <c r="E10" s="22">
        <v>30</v>
      </c>
      <c r="F10" s="21" t="s">
        <v>115</v>
      </c>
      <c r="G10" s="21" t="s">
        <v>116</v>
      </c>
      <c r="H10" s="21" t="s">
        <v>79</v>
      </c>
      <c r="I10" s="21" t="s">
        <v>117</v>
      </c>
      <c r="J10" s="23" t="s">
        <v>118</v>
      </c>
    </row>
    <row r="11" spans="1:26" ht="30" customHeight="1" x14ac:dyDescent="0.2">
      <c r="A11" s="20" t="s">
        <v>119</v>
      </c>
      <c r="B11" s="21" t="s">
        <v>120</v>
      </c>
      <c r="C11" s="22">
        <v>39039</v>
      </c>
      <c r="D11" s="22">
        <v>39039</v>
      </c>
      <c r="E11" s="22">
        <v>39039</v>
      </c>
      <c r="F11" s="21" t="s">
        <v>121</v>
      </c>
      <c r="G11" s="21" t="s">
        <v>122</v>
      </c>
      <c r="H11" s="21" t="s">
        <v>98</v>
      </c>
      <c r="I11" s="24" t="s">
        <v>99</v>
      </c>
      <c r="J11" s="23" t="s">
        <v>123</v>
      </c>
    </row>
    <row r="12" spans="1:26" ht="60" customHeight="1" x14ac:dyDescent="0.2">
      <c r="A12" s="20" t="s">
        <v>124</v>
      </c>
      <c r="B12" s="21" t="s">
        <v>125</v>
      </c>
      <c r="C12" s="22">
        <v>0.33</v>
      </c>
      <c r="D12" s="22">
        <v>0.33</v>
      </c>
      <c r="E12" s="22">
        <v>0.6</v>
      </c>
      <c r="F12" s="21" t="s">
        <v>126</v>
      </c>
      <c r="G12" s="21" t="s">
        <v>127</v>
      </c>
      <c r="H12" s="21" t="s">
        <v>128</v>
      </c>
      <c r="I12" s="24" t="s">
        <v>129</v>
      </c>
      <c r="J12" s="23" t="s">
        <v>130</v>
      </c>
    </row>
    <row r="13" spans="1:26" ht="30" customHeight="1" x14ac:dyDescent="0.2">
      <c r="A13" s="20" t="s">
        <v>131</v>
      </c>
      <c r="B13" s="21" t="s">
        <v>132</v>
      </c>
      <c r="C13" s="22">
        <v>0</v>
      </c>
      <c r="D13" s="22">
        <v>60000</v>
      </c>
      <c r="E13" s="22">
        <v>250000</v>
      </c>
      <c r="F13" s="21" t="s">
        <v>121</v>
      </c>
      <c r="G13" s="21" t="s">
        <v>133</v>
      </c>
      <c r="H13" s="21" t="s">
        <v>134</v>
      </c>
      <c r="I13" s="24" t="s">
        <v>135</v>
      </c>
      <c r="J13" s="23" t="s">
        <v>136</v>
      </c>
    </row>
    <row r="14" spans="1:26" ht="30" customHeight="1" x14ac:dyDescent="0.2">
      <c r="A14" s="20" t="s">
        <v>137</v>
      </c>
      <c r="B14" s="21" t="s">
        <v>138</v>
      </c>
      <c r="C14" s="22">
        <v>0</v>
      </c>
      <c r="D14" s="22">
        <v>35000</v>
      </c>
      <c r="E14" s="22">
        <v>80000</v>
      </c>
      <c r="F14" s="21" t="s">
        <v>121</v>
      </c>
      <c r="G14" s="21" t="s">
        <v>139</v>
      </c>
      <c r="H14" s="21" t="s">
        <v>140</v>
      </c>
      <c r="I14" s="24" t="s">
        <v>141</v>
      </c>
      <c r="J14" s="23" t="s">
        <v>142</v>
      </c>
    </row>
    <row r="15" spans="1:26" ht="30" customHeight="1" x14ac:dyDescent="0.2">
      <c r="A15" s="20" t="s">
        <v>143</v>
      </c>
      <c r="B15" s="21" t="s">
        <v>144</v>
      </c>
      <c r="C15" s="22">
        <v>137</v>
      </c>
      <c r="D15" s="22">
        <v>137</v>
      </c>
      <c r="E15" s="22">
        <v>137</v>
      </c>
      <c r="F15" s="21" t="s">
        <v>145</v>
      </c>
      <c r="G15" s="21" t="s">
        <v>146</v>
      </c>
      <c r="H15" s="21" t="s">
        <v>65</v>
      </c>
      <c r="I15" s="21" t="s">
        <v>66</v>
      </c>
      <c r="J15" s="23" t="s">
        <v>147</v>
      </c>
    </row>
    <row r="16" spans="1:26" ht="30" customHeight="1" x14ac:dyDescent="0.2">
      <c r="A16" s="20" t="s">
        <v>148</v>
      </c>
      <c r="B16" s="21" t="s">
        <v>149</v>
      </c>
      <c r="C16" s="22">
        <v>1</v>
      </c>
      <c r="D16" s="22">
        <v>1.5</v>
      </c>
      <c r="E16" s="22">
        <v>2.5</v>
      </c>
      <c r="F16" s="21" t="s">
        <v>150</v>
      </c>
      <c r="G16" s="21" t="s">
        <v>151</v>
      </c>
      <c r="H16" s="21" t="s">
        <v>79</v>
      </c>
      <c r="I16" s="21" t="s">
        <v>152</v>
      </c>
      <c r="J16" s="23" t="s">
        <v>153</v>
      </c>
    </row>
    <row r="17" spans="1:10" ht="30" customHeight="1" x14ac:dyDescent="0.2">
      <c r="A17" s="20" t="s">
        <v>154</v>
      </c>
      <c r="B17" s="21" t="s">
        <v>155</v>
      </c>
      <c r="C17" s="22">
        <v>55</v>
      </c>
      <c r="D17" s="22">
        <v>75</v>
      </c>
      <c r="E17" s="22">
        <v>100</v>
      </c>
      <c r="F17" s="21" t="s">
        <v>96</v>
      </c>
      <c r="G17" s="21" t="s">
        <v>156</v>
      </c>
      <c r="H17" s="21" t="s">
        <v>79</v>
      </c>
      <c r="I17" s="21" t="s">
        <v>157</v>
      </c>
      <c r="J17" s="23" t="s">
        <v>158</v>
      </c>
    </row>
    <row r="18" spans="1:10" ht="30" customHeight="1" x14ac:dyDescent="0.2">
      <c r="A18" s="20" t="s">
        <v>159</v>
      </c>
      <c r="B18" s="21" t="s">
        <v>160</v>
      </c>
      <c r="C18" s="22">
        <v>3</v>
      </c>
      <c r="D18" s="22">
        <v>5.5</v>
      </c>
      <c r="E18" s="22">
        <v>9</v>
      </c>
      <c r="F18" s="21" t="s">
        <v>150</v>
      </c>
      <c r="G18" s="21" t="s">
        <v>161</v>
      </c>
      <c r="H18" s="21" t="s">
        <v>79</v>
      </c>
      <c r="I18" s="21" t="s">
        <v>162</v>
      </c>
      <c r="J18" s="23" t="s">
        <v>153</v>
      </c>
    </row>
    <row r="19" spans="1:10" ht="30" customHeight="1" x14ac:dyDescent="0.2">
      <c r="A19" s="20" t="s">
        <v>163</v>
      </c>
      <c r="B19" s="21" t="s">
        <v>164</v>
      </c>
      <c r="C19" s="22">
        <v>45</v>
      </c>
      <c r="D19" s="22">
        <v>65</v>
      </c>
      <c r="E19" s="22">
        <v>90</v>
      </c>
      <c r="F19" s="21" t="s">
        <v>96</v>
      </c>
      <c r="G19" s="21" t="s">
        <v>165</v>
      </c>
      <c r="H19" s="21" t="s">
        <v>79</v>
      </c>
      <c r="I19" s="21" t="s">
        <v>166</v>
      </c>
      <c r="J19" s="23" t="s">
        <v>153</v>
      </c>
    </row>
    <row r="20" spans="1:10" ht="30" customHeight="1" x14ac:dyDescent="0.2">
      <c r="A20" s="20" t="s">
        <v>167</v>
      </c>
      <c r="B20" s="21" t="s">
        <v>168</v>
      </c>
      <c r="C20" s="22">
        <v>1.5</v>
      </c>
      <c r="D20" s="22">
        <v>2.5</v>
      </c>
      <c r="E20" s="22">
        <v>4.5</v>
      </c>
      <c r="F20" s="21" t="s">
        <v>150</v>
      </c>
      <c r="G20" s="21" t="s">
        <v>169</v>
      </c>
      <c r="H20" s="21" t="s">
        <v>79</v>
      </c>
      <c r="I20" s="21" t="s">
        <v>170</v>
      </c>
      <c r="J20" s="23" t="s">
        <v>153</v>
      </c>
    </row>
    <row r="21" spans="1:10" ht="30" customHeight="1" x14ac:dyDescent="0.2">
      <c r="A21" s="20" t="s">
        <v>171</v>
      </c>
      <c r="B21" s="21" t="s">
        <v>172</v>
      </c>
      <c r="C21" s="22">
        <v>40</v>
      </c>
      <c r="D21" s="22">
        <v>55</v>
      </c>
      <c r="E21" s="22">
        <v>80</v>
      </c>
      <c r="F21" s="21" t="s">
        <v>96</v>
      </c>
      <c r="G21" s="21" t="s">
        <v>165</v>
      </c>
      <c r="H21" s="21" t="s">
        <v>79</v>
      </c>
      <c r="I21" s="21" t="s">
        <v>166</v>
      </c>
      <c r="J21" s="23" t="s">
        <v>153</v>
      </c>
    </row>
    <row r="22" spans="1:10" ht="30" customHeight="1" x14ac:dyDescent="0.2">
      <c r="A22" s="20" t="s">
        <v>173</v>
      </c>
      <c r="B22" s="21" t="s">
        <v>174</v>
      </c>
      <c r="C22" s="22">
        <v>15000</v>
      </c>
      <c r="D22" s="22">
        <v>30000</v>
      </c>
      <c r="E22" s="22">
        <v>60000</v>
      </c>
      <c r="F22" s="21" t="s">
        <v>175</v>
      </c>
      <c r="G22" s="21" t="s">
        <v>176</v>
      </c>
      <c r="H22" s="21" t="s">
        <v>79</v>
      </c>
      <c r="I22" s="21" t="s">
        <v>177</v>
      </c>
      <c r="J22" s="23" t="s">
        <v>178</v>
      </c>
    </row>
    <row r="23" spans="1:10" ht="30" customHeight="1" x14ac:dyDescent="0.2">
      <c r="A23" s="20" t="s">
        <v>179</v>
      </c>
      <c r="B23" s="21" t="s">
        <v>180</v>
      </c>
      <c r="C23" s="22">
        <v>50000</v>
      </c>
      <c r="D23" s="22">
        <v>72000</v>
      </c>
      <c r="E23" s="22">
        <v>120000</v>
      </c>
      <c r="F23" s="21" t="s">
        <v>175</v>
      </c>
      <c r="G23" s="21" t="s">
        <v>181</v>
      </c>
      <c r="H23" s="21" t="s">
        <v>79</v>
      </c>
      <c r="I23" s="21" t="s">
        <v>182</v>
      </c>
      <c r="J23" s="23" t="s">
        <v>178</v>
      </c>
    </row>
    <row r="24" spans="1:10" ht="30" customHeight="1" x14ac:dyDescent="0.2">
      <c r="A24" s="20" t="s">
        <v>183</v>
      </c>
      <c r="B24" s="21" t="s">
        <v>184</v>
      </c>
      <c r="C24" s="22">
        <v>40000</v>
      </c>
      <c r="D24" s="22">
        <v>70000</v>
      </c>
      <c r="E24" s="22">
        <v>110000</v>
      </c>
      <c r="F24" s="21" t="s">
        <v>175</v>
      </c>
      <c r="G24" s="21" t="s">
        <v>185</v>
      </c>
      <c r="H24" s="21" t="s">
        <v>79</v>
      </c>
      <c r="I24" s="21" t="s">
        <v>186</v>
      </c>
      <c r="J24" s="23" t="s">
        <v>178</v>
      </c>
    </row>
    <row r="25" spans="1:10" ht="30" customHeight="1" x14ac:dyDescent="0.2">
      <c r="A25" s="20" t="s">
        <v>187</v>
      </c>
      <c r="B25" s="21" t="s">
        <v>188</v>
      </c>
      <c r="C25" s="22">
        <v>0.1</v>
      </c>
      <c r="D25" s="22">
        <v>0.2</v>
      </c>
      <c r="E25" s="22">
        <v>0.35</v>
      </c>
      <c r="F25" s="21" t="s">
        <v>189</v>
      </c>
      <c r="G25" s="21" t="s">
        <v>190</v>
      </c>
      <c r="H25" s="21" t="s">
        <v>79</v>
      </c>
      <c r="I25" s="21" t="s">
        <v>191</v>
      </c>
      <c r="J25" s="23" t="s">
        <v>192</v>
      </c>
    </row>
    <row r="26" spans="1:10" ht="30" customHeight="1" x14ac:dyDescent="0.2">
      <c r="A26" s="20" t="s">
        <v>193</v>
      </c>
      <c r="B26" s="21" t="s">
        <v>194</v>
      </c>
      <c r="C26" s="22">
        <v>60000</v>
      </c>
      <c r="D26" s="22">
        <v>95000</v>
      </c>
      <c r="E26" s="22">
        <v>220000</v>
      </c>
      <c r="F26" s="21" t="s">
        <v>121</v>
      </c>
      <c r="G26" s="21" t="s">
        <v>195</v>
      </c>
      <c r="H26" s="21" t="s">
        <v>79</v>
      </c>
      <c r="I26" s="21" t="s">
        <v>196</v>
      </c>
      <c r="J26" s="23" t="s">
        <v>197</v>
      </c>
    </row>
    <row r="27" spans="1:10" ht="30" customHeight="1" x14ac:dyDescent="0.2">
      <c r="A27" s="20" t="s">
        <v>198</v>
      </c>
      <c r="B27" s="21" t="s">
        <v>199</v>
      </c>
      <c r="C27" s="22">
        <v>3</v>
      </c>
      <c r="D27" s="22">
        <v>3</v>
      </c>
      <c r="E27" s="22">
        <v>3</v>
      </c>
      <c r="F27" s="21" t="s">
        <v>200</v>
      </c>
      <c r="G27" s="21" t="s">
        <v>201</v>
      </c>
      <c r="H27" s="21" t="s">
        <v>79</v>
      </c>
      <c r="I27" s="21" t="s">
        <v>191</v>
      </c>
      <c r="J27" s="23" t="s">
        <v>202</v>
      </c>
    </row>
    <row r="28" spans="1:10" ht="30" customHeight="1" x14ac:dyDescent="0.2">
      <c r="A28" s="25" t="s">
        <v>203</v>
      </c>
      <c r="B28" s="26" t="s">
        <v>204</v>
      </c>
      <c r="C28" s="27">
        <v>3.5000000000000003E-2</v>
      </c>
      <c r="D28" s="27">
        <v>3.5000000000000003E-2</v>
      </c>
      <c r="E28" s="27">
        <v>3.5000000000000003E-2</v>
      </c>
      <c r="F28" s="26" t="s">
        <v>90</v>
      </c>
      <c r="G28" s="26" t="s">
        <v>205</v>
      </c>
      <c r="H28" s="26" t="s">
        <v>206</v>
      </c>
      <c r="I28" s="28" t="s">
        <v>207</v>
      </c>
      <c r="J28" s="29" t="s">
        <v>208</v>
      </c>
    </row>
  </sheetData>
  <hyperlinks>
    <hyperlink ref="I3" r:id="rId1" xr:uid="{00000000-0004-0000-0200-000000000000}"/>
    <hyperlink ref="I7" r:id="rId2" xr:uid="{00000000-0004-0000-0200-000001000000}"/>
    <hyperlink ref="I9" r:id="rId3" xr:uid="{00000000-0004-0000-0200-000002000000}"/>
    <hyperlink ref="I11" r:id="rId4" xr:uid="{00000000-0004-0000-0200-000003000000}"/>
    <hyperlink ref="I12" r:id="rId5" xr:uid="{00000000-0004-0000-0200-000004000000}"/>
    <hyperlink ref="I13" r:id="rId6" xr:uid="{00000000-0004-0000-0200-000005000000}"/>
    <hyperlink ref="I14" r:id="rId7" xr:uid="{00000000-0004-0000-0200-000006000000}"/>
    <hyperlink ref="I28" r:id="rId8" xr:uid="{00000000-0004-0000-0200-000007000000}"/>
  </hyperlinks>
  <pageMargins left="0.7" right="0.7" top="0.75" bottom="0.75" header="0.511811023622047" footer="0.511811023622047"/>
  <pageSetup paperSize="9" orientation="portrait" horizontalDpi="300" verticalDpi="300"/>
  <tableParts count="1">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6"/>
  <sheetViews>
    <sheetView zoomScaleNormal="100" workbookViewId="0"/>
  </sheetViews>
  <sheetFormatPr baseColWidth="10" defaultColWidth="8.83203125" defaultRowHeight="15" x14ac:dyDescent="0.2"/>
  <cols>
    <col min="1" max="1" width="23.83203125" style="10" bestFit="1" customWidth="1"/>
    <col min="2" max="13" width="6.6640625" style="10" customWidth="1"/>
    <col min="14" max="15" width="8.1640625" style="10" customWidth="1"/>
    <col min="16" max="16" width="9.33203125" style="10" customWidth="1"/>
    <col min="17" max="16384" width="8.83203125" style="10"/>
  </cols>
  <sheetData>
    <row r="1" spans="1:26" ht="30" customHeight="1" x14ac:dyDescent="0.2">
      <c r="A1" s="3" t="s">
        <v>13</v>
      </c>
      <c r="B1" s="4" t="s">
        <v>209</v>
      </c>
      <c r="C1" s="4" t="s">
        <v>210</v>
      </c>
      <c r="D1" s="4" t="s">
        <v>211</v>
      </c>
      <c r="E1" s="4" t="s">
        <v>212</v>
      </c>
      <c r="F1" s="4" t="s">
        <v>213</v>
      </c>
      <c r="G1" s="4" t="s">
        <v>214</v>
      </c>
      <c r="H1" s="4" t="s">
        <v>215</v>
      </c>
      <c r="I1" s="4" t="s">
        <v>216</v>
      </c>
      <c r="J1" s="4" t="s">
        <v>217</v>
      </c>
      <c r="K1" s="4" t="s">
        <v>218</v>
      </c>
      <c r="L1" s="4" t="s">
        <v>219</v>
      </c>
      <c r="M1" s="4" t="s">
        <v>220</v>
      </c>
      <c r="N1" s="4" t="s">
        <v>221</v>
      </c>
      <c r="O1" s="4" t="s">
        <v>222</v>
      </c>
      <c r="P1" s="5" t="s">
        <v>223</v>
      </c>
      <c r="Q1" s="2"/>
      <c r="R1" s="2"/>
      <c r="S1" s="2"/>
      <c r="T1" s="2"/>
      <c r="U1" s="2"/>
      <c r="V1" s="2"/>
      <c r="W1" s="2"/>
      <c r="X1" s="2"/>
      <c r="Y1" s="2"/>
      <c r="Z1" s="2"/>
    </row>
    <row r="2" spans="1:26" x14ac:dyDescent="0.2">
      <c r="A2" s="11" t="s">
        <v>224</v>
      </c>
      <c r="B2" s="39">
        <v>12845</v>
      </c>
      <c r="C2" s="39">
        <v>17102</v>
      </c>
      <c r="D2" s="39">
        <v>19580</v>
      </c>
      <c r="E2" s="39">
        <v>15220</v>
      </c>
      <c r="F2" s="39">
        <v>13996</v>
      </c>
      <c r="G2" s="39">
        <v>14105</v>
      </c>
      <c r="H2" s="39">
        <v>14450</v>
      </c>
      <c r="I2" s="39">
        <v>13875</v>
      </c>
      <c r="J2" s="39">
        <v>14220</v>
      </c>
      <c r="K2" s="39">
        <v>15010</v>
      </c>
      <c r="L2" s="39">
        <v>14661</v>
      </c>
      <c r="M2" s="39">
        <v>15843</v>
      </c>
      <c r="N2" s="39">
        <f>SUM(B2:M2)</f>
        <v>180907</v>
      </c>
      <c r="O2" s="40">
        <f>N2/$N$6</f>
        <v>0.32246949670680297</v>
      </c>
      <c r="P2" s="13">
        <v>44</v>
      </c>
    </row>
    <row r="3" spans="1:26" x14ac:dyDescent="0.2">
      <c r="A3" s="11" t="s">
        <v>225</v>
      </c>
      <c r="B3" s="39">
        <v>36479</v>
      </c>
      <c r="C3" s="39">
        <v>10540</v>
      </c>
      <c r="D3" s="39">
        <v>11020</v>
      </c>
      <c r="E3" s="39">
        <v>10980</v>
      </c>
      <c r="F3" s="39">
        <v>11250</v>
      </c>
      <c r="G3" s="39">
        <v>10860</v>
      </c>
      <c r="H3" s="39">
        <v>11340</v>
      </c>
      <c r="I3" s="39">
        <v>10790</v>
      </c>
      <c r="J3" s="39">
        <v>10920</v>
      </c>
      <c r="K3" s="39">
        <v>11470</v>
      </c>
      <c r="L3" s="39">
        <v>11120</v>
      </c>
      <c r="M3" s="39">
        <v>11338</v>
      </c>
      <c r="N3" s="39">
        <f>SUM(B3:M3)</f>
        <v>158107</v>
      </c>
      <c r="O3" s="40">
        <f>N3/$N$6</f>
        <v>0.28182814769921838</v>
      </c>
      <c r="P3" s="13">
        <v>32</v>
      </c>
    </row>
    <row r="4" spans="1:26" x14ac:dyDescent="0.2">
      <c r="A4" s="11" t="s">
        <v>226</v>
      </c>
      <c r="B4" s="39">
        <v>8916</v>
      </c>
      <c r="C4" s="39">
        <v>9040</v>
      </c>
      <c r="D4" s="39">
        <v>9320</v>
      </c>
      <c r="E4" s="39">
        <v>9445</v>
      </c>
      <c r="F4" s="39">
        <v>9767</v>
      </c>
      <c r="G4" s="39">
        <v>9410</v>
      </c>
      <c r="H4" s="39">
        <v>9680</v>
      </c>
      <c r="I4" s="39">
        <v>9291</v>
      </c>
      <c r="J4" s="39">
        <v>18510</v>
      </c>
      <c r="K4" s="39">
        <v>12850</v>
      </c>
      <c r="L4" s="39">
        <v>9630</v>
      </c>
      <c r="M4" s="39">
        <v>10114</v>
      </c>
      <c r="N4" s="39">
        <f>SUM(B4:M4)</f>
        <v>125973</v>
      </c>
      <c r="O4" s="40">
        <f>N4/$N$6</f>
        <v>0.22454880081282699</v>
      </c>
      <c r="P4" s="13">
        <v>24</v>
      </c>
    </row>
    <row r="5" spans="1:26" x14ac:dyDescent="0.2">
      <c r="A5" s="11" t="s">
        <v>227</v>
      </c>
      <c r="B5" s="39">
        <v>7254</v>
      </c>
      <c r="C5" s="39">
        <v>7480</v>
      </c>
      <c r="D5" s="39">
        <v>7692</v>
      </c>
      <c r="E5" s="39">
        <v>7856</v>
      </c>
      <c r="F5" s="39">
        <v>8042</v>
      </c>
      <c r="G5" s="39">
        <v>7920</v>
      </c>
      <c r="H5" s="39">
        <v>6110</v>
      </c>
      <c r="I5" s="39">
        <v>5848</v>
      </c>
      <c r="J5" s="39">
        <v>7980</v>
      </c>
      <c r="K5" s="39">
        <v>8260</v>
      </c>
      <c r="L5" s="39">
        <v>8140</v>
      </c>
      <c r="M5" s="39">
        <v>13436</v>
      </c>
      <c r="N5" s="39">
        <f>SUM(B5:M5)</f>
        <v>96018</v>
      </c>
      <c r="O5" s="40">
        <f>N5/$N$6</f>
        <v>0.17115355478115168</v>
      </c>
      <c r="P5" s="13">
        <v>37</v>
      </c>
    </row>
    <row r="6" spans="1:26" x14ac:dyDescent="0.2">
      <c r="A6" s="14" t="s">
        <v>228</v>
      </c>
      <c r="B6" s="41">
        <f t="shared" ref="B6:P6" si="0">SUM(B2:B5)</f>
        <v>65494</v>
      </c>
      <c r="C6" s="41">
        <f t="shared" si="0"/>
        <v>44162</v>
      </c>
      <c r="D6" s="41">
        <f t="shared" si="0"/>
        <v>47612</v>
      </c>
      <c r="E6" s="41">
        <f t="shared" si="0"/>
        <v>43501</v>
      </c>
      <c r="F6" s="41">
        <f t="shared" si="0"/>
        <v>43055</v>
      </c>
      <c r="G6" s="41">
        <f t="shared" si="0"/>
        <v>42295</v>
      </c>
      <c r="H6" s="41">
        <f t="shared" si="0"/>
        <v>41580</v>
      </c>
      <c r="I6" s="41">
        <f t="shared" si="0"/>
        <v>39804</v>
      </c>
      <c r="J6" s="41">
        <f t="shared" si="0"/>
        <v>51630</v>
      </c>
      <c r="K6" s="41">
        <f t="shared" si="0"/>
        <v>47590</v>
      </c>
      <c r="L6" s="41">
        <f t="shared" si="0"/>
        <v>43551</v>
      </c>
      <c r="M6" s="41">
        <f t="shared" si="0"/>
        <v>50731</v>
      </c>
      <c r="N6" s="41">
        <f t="shared" si="0"/>
        <v>561005</v>
      </c>
      <c r="O6" s="42">
        <f t="shared" si="0"/>
        <v>1</v>
      </c>
      <c r="P6" s="16">
        <f t="shared" si="0"/>
        <v>137</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3"/>
  <sheetViews>
    <sheetView zoomScaleNormal="100" workbookViewId="0"/>
  </sheetViews>
  <sheetFormatPr baseColWidth="10" defaultColWidth="8.83203125" defaultRowHeight="15" x14ac:dyDescent="0.2"/>
  <cols>
    <col min="1" max="1" width="22.83203125" style="10" customWidth="1"/>
    <col min="2" max="2" width="8.6640625" style="10" customWidth="1"/>
    <col min="3" max="3" width="6.1640625" style="10" customWidth="1"/>
    <col min="4" max="4" width="10.6640625" style="10" customWidth="1"/>
    <col min="5" max="5" width="10" style="10" customWidth="1"/>
    <col min="6" max="6" width="15.1640625" style="10" customWidth="1"/>
    <col min="7" max="7" width="17.5" style="10" customWidth="1"/>
    <col min="8" max="8" width="10.83203125" style="10" customWidth="1"/>
    <col min="9" max="9" width="19.6640625" style="10" customWidth="1"/>
    <col min="10" max="10" width="21" style="10" customWidth="1"/>
    <col min="11" max="16384" width="8.83203125" style="10"/>
  </cols>
  <sheetData>
    <row r="1" spans="1:26" ht="30" customHeight="1" x14ac:dyDescent="0.2">
      <c r="A1" s="3" t="s">
        <v>13</v>
      </c>
      <c r="B1" s="4" t="s">
        <v>229</v>
      </c>
      <c r="C1" s="4" t="s">
        <v>230</v>
      </c>
      <c r="D1" s="4" t="s">
        <v>231</v>
      </c>
      <c r="E1" s="4" t="s">
        <v>232</v>
      </c>
      <c r="F1" s="4" t="s">
        <v>233</v>
      </c>
      <c r="G1" s="4" t="s">
        <v>234</v>
      </c>
      <c r="H1" s="4" t="s">
        <v>235</v>
      </c>
      <c r="I1" s="4" t="s">
        <v>236</v>
      </c>
      <c r="J1" s="5" t="s">
        <v>237</v>
      </c>
      <c r="K1" s="2"/>
      <c r="L1" s="2"/>
      <c r="M1" s="2"/>
      <c r="N1" s="2"/>
      <c r="O1" s="2"/>
      <c r="P1" s="2"/>
      <c r="Q1" s="2"/>
      <c r="R1" s="2"/>
      <c r="S1" s="2"/>
      <c r="T1" s="2"/>
      <c r="U1" s="2"/>
      <c r="V1" s="2"/>
      <c r="W1" s="2"/>
      <c r="X1" s="2"/>
      <c r="Y1" s="2"/>
      <c r="Z1" s="2"/>
    </row>
    <row r="2" spans="1:26" x14ac:dyDescent="0.2">
      <c r="A2" s="11" t="s">
        <v>224</v>
      </c>
      <c r="B2" s="12">
        <f>Case_Data!N2</f>
        <v>180907</v>
      </c>
      <c r="C2" s="12">
        <f>Case_Data!P2</f>
        <v>44</v>
      </c>
      <c r="D2" s="12">
        <f>B2/MAX($B$2:$B$5)*100</f>
        <v>100</v>
      </c>
      <c r="E2" s="12">
        <f>C2/MAX($C$2:$C$5)*100</f>
        <v>100</v>
      </c>
      <c r="F2" s="12">
        <v>85</v>
      </c>
      <c r="G2" s="12">
        <v>80</v>
      </c>
      <c r="H2" s="12">
        <v>65</v>
      </c>
      <c r="I2" s="12">
        <f>D2*$B$9+E2*$B$10+F2*$B$11+G2*$B$12+H2*$B$13</f>
        <v>88</v>
      </c>
      <c r="J2" s="13">
        <f>COUNTIF($I$2:$I$5,"&gt;"&amp;I2)+1</f>
        <v>1</v>
      </c>
    </row>
    <row r="3" spans="1:26" x14ac:dyDescent="0.2">
      <c r="A3" s="11" t="s">
        <v>225</v>
      </c>
      <c r="B3" s="12">
        <f>Case_Data!N3</f>
        <v>158107</v>
      </c>
      <c r="C3" s="12">
        <f>Case_Data!P3</f>
        <v>32</v>
      </c>
      <c r="D3" s="12">
        <f>B3/MAX($B$2:$B$5)*100</f>
        <v>87.396839259951236</v>
      </c>
      <c r="E3" s="12">
        <f>C3/MAX($C$2:$C$5)*100</f>
        <v>72.727272727272734</v>
      </c>
      <c r="F3" s="12">
        <v>95</v>
      </c>
      <c r="G3" s="12">
        <v>95</v>
      </c>
      <c r="H3" s="12">
        <v>60</v>
      </c>
      <c r="I3" s="12">
        <f t="shared" ref="I3:I5" si="0">D3*$B$9+E3*$B$10+F3*$B$11+G3*$B$12+H3*$B$13</f>
        <v>82.661186033808434</v>
      </c>
      <c r="J3" s="13">
        <f>COUNTIF($I$2:$I$5,"&gt;"&amp;I3)+1</f>
        <v>2</v>
      </c>
    </row>
    <row r="4" spans="1:26" x14ac:dyDescent="0.2">
      <c r="A4" s="11" t="s">
        <v>226</v>
      </c>
      <c r="B4" s="12">
        <f>Case_Data!N4</f>
        <v>125973</v>
      </c>
      <c r="C4" s="12">
        <f>Case_Data!P4</f>
        <v>24</v>
      </c>
      <c r="D4" s="12">
        <f>B4/MAX($B$2:$B$5)*100</f>
        <v>69.634121399393052</v>
      </c>
      <c r="E4" s="12">
        <f>C4/MAX($C$2:$C$5)*100</f>
        <v>54.54545454545454</v>
      </c>
      <c r="F4" s="12">
        <v>90</v>
      </c>
      <c r="G4" s="12">
        <v>85</v>
      </c>
      <c r="H4" s="12">
        <v>80</v>
      </c>
      <c r="I4" s="12">
        <f>D4*$B$9+E4*$B$10+F4*$B$11+G4*$B$12+H4*$B$13</f>
        <v>74.813187916242242</v>
      </c>
      <c r="J4" s="13">
        <f>COUNTIF($I$2:$I$5,"&gt;"&amp;I4)+1</f>
        <v>3</v>
      </c>
    </row>
    <row r="5" spans="1:26" x14ac:dyDescent="0.2">
      <c r="A5" s="14" t="s">
        <v>227</v>
      </c>
      <c r="B5" s="15">
        <f>Case_Data!N5</f>
        <v>96018</v>
      </c>
      <c r="C5" s="15">
        <f>Case_Data!P5</f>
        <v>37</v>
      </c>
      <c r="D5" s="15">
        <f>B5/MAX($B$2:$B$5)*100</f>
        <v>53.075889821842161</v>
      </c>
      <c r="E5" s="15">
        <f>C5/MAX($C$2:$C$5)*100</f>
        <v>84.090909090909093</v>
      </c>
      <c r="F5" s="15">
        <v>75</v>
      </c>
      <c r="G5" s="15">
        <v>70</v>
      </c>
      <c r="H5" s="15">
        <v>75</v>
      </c>
      <c r="I5" s="12">
        <f>D5*$B$9+E5*$B$10+F5*$B$11+G5*$B$12+H5*$B$13</f>
        <v>72.137905237095708</v>
      </c>
      <c r="J5" s="16">
        <f>COUNTIF($I$2:$I$5,"&gt;"&amp;I5)+1</f>
        <v>4</v>
      </c>
    </row>
    <row r="8" spans="1:26" ht="15.75" customHeight="1" x14ac:dyDescent="0.2">
      <c r="A8" s="17" t="s">
        <v>238</v>
      </c>
      <c r="B8" s="17" t="s">
        <v>239</v>
      </c>
    </row>
    <row r="9" spans="1:26" x14ac:dyDescent="0.2">
      <c r="A9" s="18" t="s">
        <v>231</v>
      </c>
      <c r="B9" s="19">
        <v>0.2</v>
      </c>
    </row>
    <row r="10" spans="1:26" x14ac:dyDescent="0.2">
      <c r="A10" s="18" t="s">
        <v>232</v>
      </c>
      <c r="B10" s="19">
        <v>0.25</v>
      </c>
    </row>
    <row r="11" spans="1:26" x14ac:dyDescent="0.2">
      <c r="A11" s="18" t="s">
        <v>233</v>
      </c>
      <c r="B11" s="19">
        <v>0.25</v>
      </c>
    </row>
    <row r="12" spans="1:26" x14ac:dyDescent="0.2">
      <c r="A12" s="18" t="s">
        <v>234</v>
      </c>
      <c r="B12" s="19">
        <v>0.15</v>
      </c>
    </row>
    <row r="13" spans="1:26" x14ac:dyDescent="0.2">
      <c r="A13" s="18" t="s">
        <v>235</v>
      </c>
      <c r="B13" s="19">
        <v>0.15</v>
      </c>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J1023"/>
  <sheetViews>
    <sheetView zoomScaleNormal="100" workbookViewId="0"/>
  </sheetViews>
  <sheetFormatPr baseColWidth="10" defaultColWidth="8.6640625" defaultRowHeight="15" x14ac:dyDescent="0.2"/>
  <cols>
    <col min="1" max="1" width="34" style="46" customWidth="1"/>
    <col min="2" max="2" width="12.1640625" style="46" bestFit="1" customWidth="1"/>
    <col min="3" max="16384" width="8.6640625" style="46"/>
  </cols>
  <sheetData>
    <row r="1" spans="1:8" ht="18" x14ac:dyDescent="0.25">
      <c r="A1" s="43" t="s">
        <v>512</v>
      </c>
      <c r="B1" s="44"/>
      <c r="C1" s="44"/>
      <c r="D1" s="44"/>
      <c r="E1" s="44"/>
      <c r="F1" s="44"/>
      <c r="G1" s="44"/>
      <c r="H1" s="45"/>
    </row>
    <row r="2" spans="1:8" ht="78" customHeight="1" x14ac:dyDescent="0.2">
      <c r="A2" s="47" t="s">
        <v>513</v>
      </c>
      <c r="B2" s="48"/>
      <c r="C2" s="48"/>
      <c r="D2" s="48"/>
      <c r="E2" s="48"/>
      <c r="F2" s="48"/>
      <c r="G2" s="48"/>
      <c r="H2" s="49"/>
    </row>
    <row r="3" spans="1:8" ht="30" customHeight="1" x14ac:dyDescent="0.2">
      <c r="A3" s="50" t="s">
        <v>514</v>
      </c>
      <c r="B3" s="51"/>
      <c r="C3" s="51"/>
      <c r="D3" s="51"/>
      <c r="E3" s="51"/>
      <c r="F3" s="51"/>
      <c r="G3" s="51"/>
      <c r="H3" s="52"/>
    </row>
    <row r="5" spans="1:8" x14ac:dyDescent="0.2">
      <c r="A5" s="53" t="s">
        <v>515</v>
      </c>
      <c r="B5" s="54"/>
    </row>
    <row r="6" spans="1:8" x14ac:dyDescent="0.2">
      <c r="A6" s="54" t="s">
        <v>516</v>
      </c>
      <c r="B6" s="54">
        <v>0.08</v>
      </c>
    </row>
    <row r="7" spans="1:8" x14ac:dyDescent="0.2">
      <c r="A7" s="54" t="s">
        <v>517</v>
      </c>
      <c r="B7" s="54">
        <v>10</v>
      </c>
    </row>
    <row r="8" spans="1:8" x14ac:dyDescent="0.2">
      <c r="A8" s="54" t="s">
        <v>518</v>
      </c>
      <c r="B8" s="54">
        <v>1000</v>
      </c>
    </row>
    <row r="10" spans="1:8" x14ac:dyDescent="0.2">
      <c r="A10" s="53" t="s">
        <v>565</v>
      </c>
      <c r="B10" s="54"/>
    </row>
    <row r="11" spans="1:8" x14ac:dyDescent="0.2">
      <c r="A11" s="53" t="s">
        <v>519</v>
      </c>
      <c r="B11" s="55">
        <f ca="1">AVERAGE(AG24:AG1023)</f>
        <v>0.96799999999999997</v>
      </c>
    </row>
    <row r="12" spans="1:8" x14ac:dyDescent="0.2">
      <c r="A12" s="53" t="s">
        <v>520</v>
      </c>
      <c r="B12" s="55">
        <f ca="1">AVERAGE(AH24:AH1023)</f>
        <v>0.96399999999999997</v>
      </c>
    </row>
    <row r="13" spans="1:8" x14ac:dyDescent="0.2">
      <c r="A13" s="53" t="s">
        <v>521</v>
      </c>
      <c r="B13" s="55">
        <f ca="1">AVERAGE(AJ24:AJ1023)</f>
        <v>0.99399999999999999</v>
      </c>
    </row>
    <row r="14" spans="1:8" x14ac:dyDescent="0.2">
      <c r="A14" s="53" t="s">
        <v>522</v>
      </c>
      <c r="B14" s="55">
        <f ca="1">AVERAGE(AI24:AI1023)</f>
        <v>0.76600000000000001</v>
      </c>
    </row>
    <row r="16" spans="1:8" x14ac:dyDescent="0.2">
      <c r="A16" s="53" t="s">
        <v>523</v>
      </c>
      <c r="B16" s="54"/>
      <c r="C16" s="54"/>
      <c r="D16" s="54"/>
      <c r="E16" s="54"/>
    </row>
    <row r="17" spans="1:36" x14ac:dyDescent="0.2">
      <c r="A17" s="56" t="s">
        <v>13</v>
      </c>
      <c r="B17" s="56" t="s">
        <v>524</v>
      </c>
      <c r="C17" s="56" t="s">
        <v>525</v>
      </c>
      <c r="D17" s="56" t="s">
        <v>526</v>
      </c>
      <c r="E17" s="56" t="s">
        <v>527</v>
      </c>
    </row>
    <row r="18" spans="1:36" x14ac:dyDescent="0.2">
      <c r="A18" s="54" t="s">
        <v>224</v>
      </c>
      <c r="B18" s="55">
        <f ca="1">COUNTIF(AC24:AC1023,1)/$B$8</f>
        <v>0.96799999999999997</v>
      </c>
      <c r="C18" s="55">
        <f ca="1">COUNTIF(AC24:AC1023,2)/$B$8</f>
        <v>0.03</v>
      </c>
      <c r="D18" s="55">
        <f ca="1">COUNTIF(AC24:AC1023,3)/$B$8</f>
        <v>2E-3</v>
      </c>
      <c r="E18" s="55">
        <f ca="1">COUNTIF(AC24:AC1023,4)/$B$8</f>
        <v>0</v>
      </c>
    </row>
    <row r="19" spans="1:36" x14ac:dyDescent="0.2">
      <c r="A19" s="54" t="s">
        <v>225</v>
      </c>
      <c r="B19" s="55">
        <f ca="1">COUNTIF(AD24:AD1023,1)/$B$8</f>
        <v>3.2000000000000001E-2</v>
      </c>
      <c r="C19" s="55">
        <f ca="1">COUNTIF(AD24:AD1023,2)/$B$8</f>
        <v>0.96399999999999997</v>
      </c>
      <c r="D19" s="55">
        <f ca="1">COUNTIF(AD24:AD1023,3)/$B$8</f>
        <v>4.0000000000000001E-3</v>
      </c>
      <c r="E19" s="55">
        <f ca="1">COUNTIF(AD24:AD1023,4)/$B$8</f>
        <v>0</v>
      </c>
    </row>
    <row r="20" spans="1:36" x14ac:dyDescent="0.2">
      <c r="A20" s="54" t="s">
        <v>226</v>
      </c>
      <c r="B20" s="55">
        <f ca="1">COUNTIF(AE24:AE1023,1)/$B$8</f>
        <v>0</v>
      </c>
      <c r="C20" s="55">
        <f ca="1">COUNTIF(AE24:AE1023,2)/$B$8</f>
        <v>5.0000000000000001E-3</v>
      </c>
      <c r="D20" s="55">
        <f ca="1">COUNTIF(AE24:AE1023,3)/$B$8</f>
        <v>0.79500000000000004</v>
      </c>
      <c r="E20" s="55">
        <f ca="1">COUNTIF(AE24:AE1023,4)/$B$8</f>
        <v>0.2</v>
      </c>
    </row>
    <row r="21" spans="1:36" x14ac:dyDescent="0.2">
      <c r="A21" s="54" t="s">
        <v>528</v>
      </c>
      <c r="B21" s="55">
        <f ca="1">COUNTIF(AF24:AF1023,1)/$B$8</f>
        <v>0</v>
      </c>
      <c r="C21" s="55">
        <f ca="1">COUNTIF(AF24:AF1023,2)/$B$8</f>
        <v>1E-3</v>
      </c>
      <c r="D21" s="55">
        <f ca="1">COUNTIF(AF24:AF1023,3)/$B$8</f>
        <v>0.19900000000000001</v>
      </c>
      <c r="E21" s="55">
        <f ca="1">COUNTIF(AF24:AF1023,4)/$B$8</f>
        <v>0.8</v>
      </c>
    </row>
    <row r="23" spans="1:36" ht="25" customHeight="1" x14ac:dyDescent="0.2">
      <c r="A23" s="57" t="s">
        <v>564</v>
      </c>
      <c r="B23" s="57" t="s">
        <v>529</v>
      </c>
      <c r="C23" s="57" t="s">
        <v>530</v>
      </c>
      <c r="D23" s="57" t="s">
        <v>531</v>
      </c>
      <c r="E23" s="57" t="s">
        <v>532</v>
      </c>
      <c r="F23" s="57" t="s">
        <v>533</v>
      </c>
      <c r="G23" s="57" t="s">
        <v>534</v>
      </c>
      <c r="H23" s="57" t="s">
        <v>535</v>
      </c>
      <c r="I23" s="57" t="s">
        <v>536</v>
      </c>
      <c r="J23" s="57" t="s">
        <v>537</v>
      </c>
      <c r="K23" s="57" t="s">
        <v>538</v>
      </c>
      <c r="L23" s="57" t="s">
        <v>539</v>
      </c>
      <c r="M23" s="57" t="s">
        <v>540</v>
      </c>
      <c r="N23" s="57" t="s">
        <v>541</v>
      </c>
      <c r="O23" s="57" t="s">
        <v>542</v>
      </c>
      <c r="P23" s="57" t="s">
        <v>543</v>
      </c>
      <c r="Q23" s="57" t="s">
        <v>544</v>
      </c>
      <c r="R23" s="57" t="s">
        <v>545</v>
      </c>
      <c r="S23" s="57" t="s">
        <v>546</v>
      </c>
      <c r="T23" s="57" t="s">
        <v>547</v>
      </c>
      <c r="U23" s="57" t="s">
        <v>548</v>
      </c>
      <c r="V23" s="57" t="s">
        <v>549</v>
      </c>
      <c r="W23" s="57" t="s">
        <v>550</v>
      </c>
      <c r="X23" s="57" t="s">
        <v>551</v>
      </c>
      <c r="Y23" s="57" t="s">
        <v>552</v>
      </c>
      <c r="Z23" s="57" t="s">
        <v>553</v>
      </c>
      <c r="AA23" s="57" t="s">
        <v>554</v>
      </c>
      <c r="AB23" s="57" t="s">
        <v>555</v>
      </c>
      <c r="AC23" s="57" t="s">
        <v>556</v>
      </c>
      <c r="AD23" s="57" t="s">
        <v>557</v>
      </c>
      <c r="AE23" s="57" t="s">
        <v>558</v>
      </c>
      <c r="AF23" s="57" t="s">
        <v>559</v>
      </c>
      <c r="AG23" s="57" t="s">
        <v>560</v>
      </c>
      <c r="AH23" s="57" t="s">
        <v>561</v>
      </c>
      <c r="AI23" s="57" t="s">
        <v>562</v>
      </c>
      <c r="AJ23" s="57" t="s">
        <v>563</v>
      </c>
    </row>
    <row r="24" spans="1:36" x14ac:dyDescent="0.2">
      <c r="A24" s="54">
        <v>1</v>
      </c>
      <c r="B24" s="54">
        <f ca="1">MAX(0.02,MCDA_Prioritisation!$B$9+(RAND()-0.5)*2*$B$6)</f>
        <v>0.24619213066678236</v>
      </c>
      <c r="C24" s="54">
        <f ca="1">MAX(0.02,MCDA_Prioritisation!$B$10+(RAND()-0.5)*2*$B$6)</f>
        <v>0.26777885559503511</v>
      </c>
      <c r="D24" s="54">
        <f ca="1">MAX(0.02,MCDA_Prioritisation!$B$11+(RAND()-0.5)*2*$B$6)</f>
        <v>0.27884222482180349</v>
      </c>
      <c r="E24" s="54">
        <f ca="1">MAX(0.02,MCDA_Prioritisation!$B$12+(RAND()-0.5)*2*$B$6)</f>
        <v>0.14335939665461533</v>
      </c>
      <c r="F24" s="54">
        <f ca="1">MAX(0.02,MCDA_Prioritisation!$B$13+(RAND()-0.5)*2*$B$6)</f>
        <v>0.20881468166744552</v>
      </c>
      <c r="G24" s="54">
        <f t="shared" ref="G24:G87" ca="1" si="0">SUM(B24:F24)</f>
        <v>1.1449872894056818</v>
      </c>
      <c r="H24" s="54">
        <f t="shared" ref="H24:H87" ca="1" si="1">B24/$G24</f>
        <v>0.21501734817909732</v>
      </c>
      <c r="I24" s="54">
        <f t="shared" ref="I24:I87" ca="1" si="2">C24/$G24</f>
        <v>0.23387059233996271</v>
      </c>
      <c r="J24" s="54">
        <f t="shared" ref="J24:J87" ca="1" si="3">D24/$G24</f>
        <v>0.24353303080468219</v>
      </c>
      <c r="K24" s="54">
        <f t="shared" ref="K24:K87" ca="1" si="4">E24/$G24</f>
        <v>0.12520610314288083</v>
      </c>
      <c r="L24" s="54">
        <f t="shared" ref="L24:L87" ca="1" si="5">F24/$G24</f>
        <v>0.18237292553337695</v>
      </c>
      <c r="M24" s="54">
        <f ca="1">MIN(100,MAX(0,MCDA_Prioritisation!$F$2+(RAND()-0.5)*2*$B$7))</f>
        <v>84.913037567378993</v>
      </c>
      <c r="N24" s="54">
        <f ca="1">MIN(100,MAX(0,MCDA_Prioritisation!$F$3+(RAND()-0.5)*2*$B$7))</f>
        <v>91.90171526975206</v>
      </c>
      <c r="O24" s="54">
        <f ca="1">MIN(100,MAX(0,MCDA_Prioritisation!$F$4+(RAND()-0.5)*2*$B$7))</f>
        <v>96.277845867738108</v>
      </c>
      <c r="P24" s="54">
        <f ca="1">MIN(100,MAX(0,MCDA_Prioritisation!$F$5+(RAND()-0.5)*2*$B$7))</f>
        <v>73.371906764801437</v>
      </c>
      <c r="Q24" s="54">
        <f ca="1">MIN(100,MAX(0,MCDA_Prioritisation!$G$2+(RAND()-0.5)*2*$B$7))</f>
        <v>78.595700844174374</v>
      </c>
      <c r="R24" s="54">
        <f ca="1">MIN(100,MAX(0,MCDA_Prioritisation!$G$3+(RAND()-0.5)*2*$B$7))</f>
        <v>99.094552007698425</v>
      </c>
      <c r="S24" s="54">
        <f ca="1">MIN(100,MAX(0,MCDA_Prioritisation!$G$4+(RAND()-0.5)*2*$B$7))</f>
        <v>84.464565475595705</v>
      </c>
      <c r="T24" s="54">
        <f ca="1">MIN(100,MAX(0,MCDA_Prioritisation!$G$5+(RAND()-0.5)*2*$B$7))</f>
        <v>60.278609369084677</v>
      </c>
      <c r="U24" s="54">
        <f ca="1">MIN(100,MAX(0,MCDA_Prioritisation!$H$2+(RAND()-0.5)*2*$B$7))</f>
        <v>68.24974582336371</v>
      </c>
      <c r="V24" s="54">
        <f ca="1">MIN(100,MAX(0,MCDA_Prioritisation!$H$3+(RAND()-0.5)*2*$B$7))</f>
        <v>58.209225222397322</v>
      </c>
      <c r="W24" s="54">
        <f ca="1">MIN(100,MAX(0,MCDA_Prioritisation!$H$4+(RAND()-0.5)*2*$B$7))</f>
        <v>86.209337805662244</v>
      </c>
      <c r="X24" s="54">
        <f ca="1">MIN(100,MAX(0,MCDA_Prioritisation!$H$5+(RAND()-0.5)*2*$B$7))</f>
        <v>74.011563179033018</v>
      </c>
      <c r="Y24" s="54">
        <f ca="1">H24*MCDA_Prioritisation!$D$2+I24*MCDA_Prioritisation!$E$2+J24*M24+K24*Q24+L24*U24</f>
        <v>87.85549068472055</v>
      </c>
      <c r="Z24" s="54">
        <f ca="1">H24*MCDA_Prioritisation!$D$3+I24*MCDA_Prioritisation!$E$3+J24*N24+K24*R24+L24*V24</f>
        <v>81.20473962111177</v>
      </c>
      <c r="AA24" s="54">
        <f ca="1">H24*MCDA_Prioritisation!$D$4+I24*MCDA_Prioritisation!$E$4+J24*O24+K24*S24+L24*W24</f>
        <v>77.473685734362931</v>
      </c>
      <c r="AB24" s="54">
        <f ca="1">H24*MCDA_Prioritisation!$D$5+I24*MCDA_Prioritisation!$E$5+J24*P24+K24*T24+L24*X24</f>
        <v>69.992065713819613</v>
      </c>
      <c r="AC24" s="54">
        <f t="shared" ref="AC24:AC87" ca="1" si="6">SUMPRODUCT(--($Y24:$AB24&gt;Y24))+1</f>
        <v>1</v>
      </c>
      <c r="AD24" s="54">
        <f t="shared" ref="AD24:AD87" ca="1" si="7">SUMPRODUCT(--($Y24:$AB24&gt;Z24))+1</f>
        <v>2</v>
      </c>
      <c r="AE24" s="54">
        <f t="shared" ref="AE24:AE87" ca="1" si="8">SUMPRODUCT(--($Y24:$AB24&gt;AA24))+1</f>
        <v>3</v>
      </c>
      <c r="AF24" s="54">
        <f t="shared" ref="AF24:AF87" ca="1" si="9">SUMPRODUCT(--($Y24:$AB24&gt;AB24))+1</f>
        <v>4</v>
      </c>
      <c r="AG24" s="54">
        <f t="shared" ref="AG24:AG87" ca="1" si="10">IF(AC24=1,1,0)</f>
        <v>1</v>
      </c>
      <c r="AH24" s="54">
        <f t="shared" ref="AH24:AH87" ca="1" si="11">IF(AD24=2,1,0)</f>
        <v>1</v>
      </c>
      <c r="AI24" s="54">
        <f t="shared" ref="AI24:AI87" ca="1" si="12">IF(AND(AC24=1,AD24=2,AE24=3,AF24=4),1,0)</f>
        <v>1</v>
      </c>
      <c r="AJ24" s="54">
        <f t="shared" ref="AJ24:AJ87" ca="1" si="13">IF(AND(AC24&lt;=2,AD24&lt;=2),1,0)</f>
        <v>1</v>
      </c>
    </row>
    <row r="25" spans="1:36" x14ac:dyDescent="0.2">
      <c r="A25" s="54">
        <v>2</v>
      </c>
      <c r="B25" s="54">
        <f ca="1">MAX(0.02,MCDA_Prioritisation!$B$9+(RAND()-0.5)*2*$B$6)</f>
        <v>0.25891882433630203</v>
      </c>
      <c r="C25" s="54">
        <f ca="1">MAX(0.02,MCDA_Prioritisation!$B$10+(RAND()-0.5)*2*$B$6)</f>
        <v>0.18188105386702347</v>
      </c>
      <c r="D25" s="54">
        <f ca="1">MAX(0.02,MCDA_Prioritisation!$B$11+(RAND()-0.5)*2*$B$6)</f>
        <v>0.20948090333941982</v>
      </c>
      <c r="E25" s="54">
        <f ca="1">MAX(0.02,MCDA_Prioritisation!$B$12+(RAND()-0.5)*2*$B$6)</f>
        <v>0.16812687284790162</v>
      </c>
      <c r="F25" s="54">
        <f ca="1">MAX(0.02,MCDA_Prioritisation!$B$13+(RAND()-0.5)*2*$B$6)</f>
        <v>0.14293937877683432</v>
      </c>
      <c r="G25" s="54">
        <f t="shared" ca="1" si="0"/>
        <v>0.96134703316748138</v>
      </c>
      <c r="H25" s="54">
        <f t="shared" ca="1" si="1"/>
        <v>0.26932919684914075</v>
      </c>
      <c r="I25" s="54">
        <f t="shared" ca="1" si="2"/>
        <v>0.18919396179728679</v>
      </c>
      <c r="J25" s="54">
        <f t="shared" ca="1" si="3"/>
        <v>0.21790352090567594</v>
      </c>
      <c r="K25" s="54">
        <f t="shared" ca="1" si="4"/>
        <v>0.17488676518192503</v>
      </c>
      <c r="L25" s="54">
        <f t="shared" ca="1" si="5"/>
        <v>0.14868655526597135</v>
      </c>
      <c r="M25" s="54">
        <f ca="1">MIN(100,MAX(0,MCDA_Prioritisation!$F$2+(RAND()-0.5)*2*$B$7))</f>
        <v>87.865074960259307</v>
      </c>
      <c r="N25" s="54">
        <f ca="1">MIN(100,MAX(0,MCDA_Prioritisation!$F$3+(RAND()-0.5)*2*$B$7))</f>
        <v>94.140423503569465</v>
      </c>
      <c r="O25" s="54">
        <f ca="1">MIN(100,MAX(0,MCDA_Prioritisation!$F$4+(RAND()-0.5)*2*$B$7))</f>
        <v>86.554933245897658</v>
      </c>
      <c r="P25" s="54">
        <f ca="1">MIN(100,MAX(0,MCDA_Prioritisation!$F$5+(RAND()-0.5)*2*$B$7))</f>
        <v>77.839314839939348</v>
      </c>
      <c r="Q25" s="54">
        <f ca="1">MIN(100,MAX(0,MCDA_Prioritisation!$G$2+(RAND()-0.5)*2*$B$7))</f>
        <v>88.246014928183001</v>
      </c>
      <c r="R25" s="54">
        <f ca="1">MIN(100,MAX(0,MCDA_Prioritisation!$G$3+(RAND()-0.5)*2*$B$7))</f>
        <v>100</v>
      </c>
      <c r="S25" s="54">
        <f ca="1">MIN(100,MAX(0,MCDA_Prioritisation!$G$4+(RAND()-0.5)*2*$B$7))</f>
        <v>82.570818270840689</v>
      </c>
      <c r="T25" s="54">
        <f ca="1">MIN(100,MAX(0,MCDA_Prioritisation!$G$5+(RAND()-0.5)*2*$B$7))</f>
        <v>79.650855632810931</v>
      </c>
      <c r="U25" s="54">
        <f ca="1">MIN(100,MAX(0,MCDA_Prioritisation!$H$2+(RAND()-0.5)*2*$B$7))</f>
        <v>63.614467891521002</v>
      </c>
      <c r="V25" s="54">
        <f ca="1">MIN(100,MAX(0,MCDA_Prioritisation!$H$3+(RAND()-0.5)*2*$B$7))</f>
        <v>50.724825469046806</v>
      </c>
      <c r="W25" s="54">
        <f ca="1">MIN(100,MAX(0,MCDA_Prioritisation!$H$4+(RAND()-0.5)*2*$B$7))</f>
        <v>82.162825165722651</v>
      </c>
      <c r="X25" s="54">
        <f ca="1">MIN(100,MAX(0,MCDA_Prioritisation!$H$5+(RAND()-0.5)*2*$B$7))</f>
        <v>79.726943313445403</v>
      </c>
      <c r="Y25" s="54">
        <f ca="1">H25*MCDA_Prioritisation!$D$2+I25*MCDA_Prioritisation!$E$2+J25*M25+K25*Q25+L25*U25</f>
        <v>89.890101249978187</v>
      </c>
      <c r="Z25" s="54">
        <f ca="1">H25*MCDA_Prioritisation!$D$3+I25*MCDA_Prioritisation!$E$3+J25*N25+K25*R25+L25*V25</f>
        <v>82.842387207652536</v>
      </c>
      <c r="AA25" s="54">
        <f ca="1">H25*MCDA_Prioritisation!$D$4+I25*MCDA_Prioritisation!$E$4+J25*O25+K25*S25+L25*W25</f>
        <v>74.5918480899428</v>
      </c>
      <c r="AB25" s="54">
        <f ca="1">H25*MCDA_Prioritisation!$D$5+I25*MCDA_Prioritisation!$E$5+J25*P25+K25*T25+L25*X25</f>
        <v>72.950044837079403</v>
      </c>
      <c r="AC25" s="54">
        <f t="shared" ca="1" si="6"/>
        <v>1</v>
      </c>
      <c r="AD25" s="54">
        <f t="shared" ca="1" si="7"/>
        <v>2</v>
      </c>
      <c r="AE25" s="54">
        <f t="shared" ca="1" si="8"/>
        <v>3</v>
      </c>
      <c r="AF25" s="54">
        <f t="shared" ca="1" si="9"/>
        <v>4</v>
      </c>
      <c r="AG25" s="54">
        <f t="shared" ca="1" si="10"/>
        <v>1</v>
      </c>
      <c r="AH25" s="54">
        <f t="shared" ca="1" si="11"/>
        <v>1</v>
      </c>
      <c r="AI25" s="54">
        <f t="shared" ca="1" si="12"/>
        <v>1</v>
      </c>
      <c r="AJ25" s="54">
        <f t="shared" ca="1" si="13"/>
        <v>1</v>
      </c>
    </row>
    <row r="26" spans="1:36" x14ac:dyDescent="0.2">
      <c r="A26" s="54">
        <v>3</v>
      </c>
      <c r="B26" s="54">
        <f ca="1">MAX(0.02,MCDA_Prioritisation!$B$9+(RAND()-0.5)*2*$B$6)</f>
        <v>0.15278655049692305</v>
      </c>
      <c r="C26" s="54">
        <f ca="1">MAX(0.02,MCDA_Prioritisation!$B$10+(RAND()-0.5)*2*$B$6)</f>
        <v>0.2467914303395399</v>
      </c>
      <c r="D26" s="54">
        <f ca="1">MAX(0.02,MCDA_Prioritisation!$B$11+(RAND()-0.5)*2*$B$6)</f>
        <v>0.25088268504277478</v>
      </c>
      <c r="E26" s="54">
        <f ca="1">MAX(0.02,MCDA_Prioritisation!$B$12+(RAND()-0.5)*2*$B$6)</f>
        <v>0.16394434597948807</v>
      </c>
      <c r="F26" s="54">
        <f ca="1">MAX(0.02,MCDA_Prioritisation!$B$13+(RAND()-0.5)*2*$B$6)</f>
        <v>0.10397898315081494</v>
      </c>
      <c r="G26" s="54">
        <f t="shared" ca="1" si="0"/>
        <v>0.91838399500954071</v>
      </c>
      <c r="H26" s="54">
        <f t="shared" ca="1" si="1"/>
        <v>0.1663645613677488</v>
      </c>
      <c r="I26" s="54">
        <f t="shared" ca="1" si="2"/>
        <v>0.26872357497582056</v>
      </c>
      <c r="J26" s="54">
        <f t="shared" ca="1" si="3"/>
        <v>0.27317841600687787</v>
      </c>
      <c r="K26" s="54">
        <f t="shared" ca="1" si="4"/>
        <v>0.17851394065048456</v>
      </c>
      <c r="L26" s="54">
        <f t="shared" ca="1" si="5"/>
        <v>0.11321950699906823</v>
      </c>
      <c r="M26" s="54">
        <f ca="1">MIN(100,MAX(0,MCDA_Prioritisation!$F$2+(RAND()-0.5)*2*$B$7))</f>
        <v>77.799814747376558</v>
      </c>
      <c r="N26" s="54">
        <f ca="1">MIN(100,MAX(0,MCDA_Prioritisation!$F$3+(RAND()-0.5)*2*$B$7))</f>
        <v>93.463984432288044</v>
      </c>
      <c r="O26" s="54">
        <f ca="1">MIN(100,MAX(0,MCDA_Prioritisation!$F$4+(RAND()-0.5)*2*$B$7))</f>
        <v>95.568893021335114</v>
      </c>
      <c r="P26" s="54">
        <f ca="1">MIN(100,MAX(0,MCDA_Prioritisation!$F$5+(RAND()-0.5)*2*$B$7))</f>
        <v>82.687618625737343</v>
      </c>
      <c r="Q26" s="54">
        <f ca="1">MIN(100,MAX(0,MCDA_Prioritisation!$G$2+(RAND()-0.5)*2*$B$7))</f>
        <v>74.72362836386516</v>
      </c>
      <c r="R26" s="54">
        <f ca="1">MIN(100,MAX(0,MCDA_Prioritisation!$G$3+(RAND()-0.5)*2*$B$7))</f>
        <v>91.8448316235866</v>
      </c>
      <c r="S26" s="54">
        <f ca="1">MIN(100,MAX(0,MCDA_Prioritisation!$G$4+(RAND()-0.5)*2*$B$7))</f>
        <v>93.053005267627768</v>
      </c>
      <c r="T26" s="54">
        <f ca="1">MIN(100,MAX(0,MCDA_Prioritisation!$G$5+(RAND()-0.5)*2*$B$7))</f>
        <v>60.791804940825159</v>
      </c>
      <c r="U26" s="54">
        <f ca="1">MIN(100,MAX(0,MCDA_Prioritisation!$H$2+(RAND()-0.5)*2*$B$7))</f>
        <v>67.764881784580268</v>
      </c>
      <c r="V26" s="54">
        <f ca="1">MIN(100,MAX(0,MCDA_Prioritisation!$H$3+(RAND()-0.5)*2*$B$7))</f>
        <v>59.861467892713513</v>
      </c>
      <c r="W26" s="54">
        <f ca="1">MIN(100,MAX(0,MCDA_Prioritisation!$H$4+(RAND()-0.5)*2*$B$7))</f>
        <v>88.464578583920286</v>
      </c>
      <c r="X26" s="54">
        <f ca="1">MIN(100,MAX(0,MCDA_Prioritisation!$H$5+(RAND()-0.5)*2*$B$7))</f>
        <v>78.951456882699446</v>
      </c>
      <c r="Y26" s="54">
        <f ca="1">H26*MCDA_Prioritisation!$D$2+I26*MCDA_Prioritisation!$E$2+J26*M26+K26*Q26+L26*U26</f>
        <v>85.773559659110006</v>
      </c>
      <c r="Z26" s="54">
        <f ca="1">H26*MCDA_Prioritisation!$D$3+I26*MCDA_Prioritisation!$E$3+J26*N26+K26*R26+L26*V26</f>
        <v>82.788681479387861</v>
      </c>
      <c r="AA26" s="54">
        <f ca="1">H26*MCDA_Prioritisation!$D$4+I26*MCDA_Prioritisation!$E$4+J26*O26+K26*S26+L26*W26</f>
        <v>78.976833055919656</v>
      </c>
      <c r="AB26" s="54">
        <f ca="1">H26*MCDA_Prioritisation!$D$5+I26*MCDA_Prioritisation!$E$5+J26*P26+K26*T26+L26*X26</f>
        <v>73.806659207209009</v>
      </c>
      <c r="AC26" s="54">
        <f t="shared" ca="1" si="6"/>
        <v>1</v>
      </c>
      <c r="AD26" s="54">
        <f t="shared" ca="1" si="7"/>
        <v>2</v>
      </c>
      <c r="AE26" s="54">
        <f t="shared" ca="1" si="8"/>
        <v>3</v>
      </c>
      <c r="AF26" s="54">
        <f t="shared" ca="1" si="9"/>
        <v>4</v>
      </c>
      <c r="AG26" s="54">
        <f t="shared" ca="1" si="10"/>
        <v>1</v>
      </c>
      <c r="AH26" s="54">
        <f t="shared" ca="1" si="11"/>
        <v>1</v>
      </c>
      <c r="AI26" s="54">
        <f t="shared" ca="1" si="12"/>
        <v>1</v>
      </c>
      <c r="AJ26" s="54">
        <f t="shared" ca="1" si="13"/>
        <v>1</v>
      </c>
    </row>
    <row r="27" spans="1:36" x14ac:dyDescent="0.2">
      <c r="A27" s="54">
        <v>4</v>
      </c>
      <c r="B27" s="54">
        <f ca="1">MAX(0.02,MCDA_Prioritisation!$B$9+(RAND()-0.5)*2*$B$6)</f>
        <v>0.24417228058313345</v>
      </c>
      <c r="C27" s="54">
        <f ca="1">MAX(0.02,MCDA_Prioritisation!$B$10+(RAND()-0.5)*2*$B$6)</f>
        <v>0.30668254664118272</v>
      </c>
      <c r="D27" s="54">
        <f ca="1">MAX(0.02,MCDA_Prioritisation!$B$11+(RAND()-0.5)*2*$B$6)</f>
        <v>0.28825533400694697</v>
      </c>
      <c r="E27" s="54">
        <f ca="1">MAX(0.02,MCDA_Prioritisation!$B$12+(RAND()-0.5)*2*$B$6)</f>
        <v>0.1727739445549962</v>
      </c>
      <c r="F27" s="54">
        <f ca="1">MAX(0.02,MCDA_Prioritisation!$B$13+(RAND()-0.5)*2*$B$6)</f>
        <v>7.1192739062889698E-2</v>
      </c>
      <c r="G27" s="54">
        <f t="shared" ca="1" si="0"/>
        <v>1.083076844849149</v>
      </c>
      <c r="H27" s="54">
        <f t="shared" ca="1" si="1"/>
        <v>0.22544317307156703</v>
      </c>
      <c r="I27" s="54">
        <f t="shared" ca="1" si="2"/>
        <v>0.28315862175402473</v>
      </c>
      <c r="J27" s="54">
        <f t="shared" ca="1" si="3"/>
        <v>0.26614485886003331</v>
      </c>
      <c r="K27" s="54">
        <f t="shared" ca="1" si="4"/>
        <v>0.15952140919332475</v>
      </c>
      <c r="L27" s="54">
        <f t="shared" ca="1" si="5"/>
        <v>6.5731937121050188E-2</v>
      </c>
      <c r="M27" s="54">
        <f ca="1">MIN(100,MAX(0,MCDA_Prioritisation!$F$2+(RAND()-0.5)*2*$B$7))</f>
        <v>80.93351502810998</v>
      </c>
      <c r="N27" s="54">
        <f ca="1">MIN(100,MAX(0,MCDA_Prioritisation!$F$3+(RAND()-0.5)*2*$B$7))</f>
        <v>100</v>
      </c>
      <c r="O27" s="54">
        <f ca="1">MIN(100,MAX(0,MCDA_Prioritisation!$F$4+(RAND()-0.5)*2*$B$7))</f>
        <v>86.771750374893486</v>
      </c>
      <c r="P27" s="54">
        <f ca="1">MIN(100,MAX(0,MCDA_Prioritisation!$F$5+(RAND()-0.5)*2*$B$7))</f>
        <v>72.582504086025125</v>
      </c>
      <c r="Q27" s="54">
        <f ca="1">MIN(100,MAX(0,MCDA_Prioritisation!$G$2+(RAND()-0.5)*2*$B$7))</f>
        <v>85.164663480058465</v>
      </c>
      <c r="R27" s="54">
        <f ca="1">MIN(100,MAX(0,MCDA_Prioritisation!$G$3+(RAND()-0.5)*2*$B$7))</f>
        <v>98.820357841849713</v>
      </c>
      <c r="S27" s="54">
        <f ca="1">MIN(100,MAX(0,MCDA_Prioritisation!$G$4+(RAND()-0.5)*2*$B$7))</f>
        <v>94.862094237481372</v>
      </c>
      <c r="T27" s="54">
        <f ca="1">MIN(100,MAX(0,MCDA_Prioritisation!$G$5+(RAND()-0.5)*2*$B$7))</f>
        <v>63.478250298924721</v>
      </c>
      <c r="U27" s="54">
        <f ca="1">MIN(100,MAX(0,MCDA_Prioritisation!$H$2+(RAND()-0.5)*2*$B$7))</f>
        <v>62.447959138035564</v>
      </c>
      <c r="V27" s="54">
        <f ca="1">MIN(100,MAX(0,MCDA_Prioritisation!$H$3+(RAND()-0.5)*2*$B$7))</f>
        <v>67.337909630169435</v>
      </c>
      <c r="W27" s="54">
        <f ca="1">MIN(100,MAX(0,MCDA_Prioritisation!$H$4+(RAND()-0.5)*2*$B$7))</f>
        <v>78.653442951495094</v>
      </c>
      <c r="X27" s="54">
        <f ca="1">MIN(100,MAX(0,MCDA_Prioritisation!$H$5+(RAND()-0.5)*2*$B$7))</f>
        <v>71.961560019271786</v>
      </c>
      <c r="Y27" s="54">
        <f ca="1">H27*MCDA_Prioritisation!$D$2+I27*MCDA_Prioritisation!$E$2+J27*M27+K27*Q27+L27*U27</f>
        <v>90.090630871975364</v>
      </c>
      <c r="Z27" s="54">
        <f ca="1">H27*MCDA_Prioritisation!$D$3+I27*MCDA_Prioritisation!$E$3+J27*N27+K27*R27+L27*V27</f>
        <v>87.101074936169809</v>
      </c>
      <c r="AA27" s="54">
        <f ca="1">H27*MCDA_Prioritisation!$D$4+I27*MCDA_Prioritisation!$E$4+J27*O27+K27*S27+L27*W27</f>
        <v>74.539986389166444</v>
      </c>
      <c r="AB27" s="54">
        <f ca="1">H27*MCDA_Prioritisation!$D$5+I27*MCDA_Prioritisation!$E$5+J27*P27+K27*T27+L27*X27</f>
        <v>69.950435920071257</v>
      </c>
      <c r="AC27" s="54">
        <f t="shared" ca="1" si="6"/>
        <v>1</v>
      </c>
      <c r="AD27" s="54">
        <f t="shared" ca="1" si="7"/>
        <v>2</v>
      </c>
      <c r="AE27" s="54">
        <f t="shared" ca="1" si="8"/>
        <v>3</v>
      </c>
      <c r="AF27" s="54">
        <f t="shared" ca="1" si="9"/>
        <v>4</v>
      </c>
      <c r="AG27" s="54">
        <f t="shared" ca="1" si="10"/>
        <v>1</v>
      </c>
      <c r="AH27" s="54">
        <f t="shared" ca="1" si="11"/>
        <v>1</v>
      </c>
      <c r="AI27" s="54">
        <f t="shared" ca="1" si="12"/>
        <v>1</v>
      </c>
      <c r="AJ27" s="54">
        <f t="shared" ca="1" si="13"/>
        <v>1</v>
      </c>
    </row>
    <row r="28" spans="1:36" x14ac:dyDescent="0.2">
      <c r="A28" s="54">
        <v>5</v>
      </c>
      <c r="B28" s="54">
        <f ca="1">MAX(0.02,MCDA_Prioritisation!$B$9+(RAND()-0.5)*2*$B$6)</f>
        <v>0.15563629974982421</v>
      </c>
      <c r="C28" s="54">
        <f ca="1">MAX(0.02,MCDA_Prioritisation!$B$10+(RAND()-0.5)*2*$B$6)</f>
        <v>0.22714800600704405</v>
      </c>
      <c r="D28" s="54">
        <f ca="1">MAX(0.02,MCDA_Prioritisation!$B$11+(RAND()-0.5)*2*$B$6)</f>
        <v>0.19668401481639042</v>
      </c>
      <c r="E28" s="54">
        <f ca="1">MAX(0.02,MCDA_Prioritisation!$B$12+(RAND()-0.5)*2*$B$6)</f>
        <v>0.20142084433175259</v>
      </c>
      <c r="F28" s="54">
        <f ca="1">MAX(0.02,MCDA_Prioritisation!$B$13+(RAND()-0.5)*2*$B$6)</f>
        <v>0.17626306440760139</v>
      </c>
      <c r="G28" s="54">
        <f t="shared" ca="1" si="0"/>
        <v>0.95715222931261268</v>
      </c>
      <c r="H28" s="54">
        <f t="shared" ca="1" si="1"/>
        <v>0.16260349710682467</v>
      </c>
      <c r="I28" s="54">
        <f t="shared" ca="1" si="2"/>
        <v>0.23731648848602943</v>
      </c>
      <c r="J28" s="54">
        <f t="shared" ca="1" si="3"/>
        <v>0.20548874963979427</v>
      </c>
      <c r="K28" s="54">
        <f t="shared" ca="1" si="4"/>
        <v>0.21043762754061049</v>
      </c>
      <c r="L28" s="54">
        <f t="shared" ca="1" si="5"/>
        <v>0.18415363722674111</v>
      </c>
      <c r="M28" s="54">
        <f ca="1">MIN(100,MAX(0,MCDA_Prioritisation!$F$2+(RAND()-0.5)*2*$B$7))</f>
        <v>78.426903420894249</v>
      </c>
      <c r="N28" s="54">
        <f ca="1">MIN(100,MAX(0,MCDA_Prioritisation!$F$3+(RAND()-0.5)*2*$B$7))</f>
        <v>93.346696834305675</v>
      </c>
      <c r="O28" s="54">
        <f ca="1">MIN(100,MAX(0,MCDA_Prioritisation!$F$4+(RAND()-0.5)*2*$B$7))</f>
        <v>99.806780911391343</v>
      </c>
      <c r="P28" s="54">
        <f ca="1">MIN(100,MAX(0,MCDA_Prioritisation!$F$5+(RAND()-0.5)*2*$B$7))</f>
        <v>81.380229742597265</v>
      </c>
      <c r="Q28" s="54">
        <f ca="1">MIN(100,MAX(0,MCDA_Prioritisation!$G$2+(RAND()-0.5)*2*$B$7))</f>
        <v>78.090712510037818</v>
      </c>
      <c r="R28" s="54">
        <f ca="1">MIN(100,MAX(0,MCDA_Prioritisation!$G$3+(RAND()-0.5)*2*$B$7))</f>
        <v>94.090698217731372</v>
      </c>
      <c r="S28" s="54">
        <f ca="1">MIN(100,MAX(0,MCDA_Prioritisation!$G$4+(RAND()-0.5)*2*$B$7))</f>
        <v>90.26195592936314</v>
      </c>
      <c r="T28" s="54">
        <f ca="1">MIN(100,MAX(0,MCDA_Prioritisation!$G$5+(RAND()-0.5)*2*$B$7))</f>
        <v>63.9568486135801</v>
      </c>
      <c r="U28" s="54">
        <f ca="1">MIN(100,MAX(0,MCDA_Prioritisation!$H$2+(RAND()-0.5)*2*$B$7))</f>
        <v>59.408069819675539</v>
      </c>
      <c r="V28" s="54">
        <f ca="1">MIN(100,MAX(0,MCDA_Prioritisation!$H$3+(RAND()-0.5)*2*$B$7))</f>
        <v>65.719809953425212</v>
      </c>
      <c r="W28" s="54">
        <f ca="1">MIN(100,MAX(0,MCDA_Prioritisation!$H$4+(RAND()-0.5)*2*$B$7))</f>
        <v>87.903608826788627</v>
      </c>
      <c r="X28" s="54">
        <f ca="1">MIN(100,MAX(0,MCDA_Prioritisation!$H$5+(RAND()-0.5)*2*$B$7))</f>
        <v>74.435700573553049</v>
      </c>
      <c r="Y28" s="54">
        <f ca="1">H28*MCDA_Prioritisation!$D$2+I28*MCDA_Prioritisation!$E$2+J28*M28+K28*Q28+L28*U28</f>
        <v>83.481281292847541</v>
      </c>
      <c r="Z28" s="54">
        <f ca="1">H28*MCDA_Prioritisation!$D$3+I28*MCDA_Prioritisation!$E$3+J28*N28+K28*R28+L28*V28</f>
        <v>82.554874043392033</v>
      </c>
      <c r="AA28" s="54">
        <f ca="1">H28*MCDA_Prioritisation!$D$4+I28*MCDA_Prioritisation!$E$4+J28*O28+K28*S28+L28*W28</f>
        <v>79.958739161918885</v>
      </c>
      <c r="AB28" s="54">
        <f ca="1">H28*MCDA_Prioritisation!$D$5+I28*MCDA_Prioritisation!$E$5+J28*P28+K28*T28+L28*X28</f>
        <v>72.47573869870223</v>
      </c>
      <c r="AC28" s="54">
        <f t="shared" ca="1" si="6"/>
        <v>1</v>
      </c>
      <c r="AD28" s="54">
        <f t="shared" ca="1" si="7"/>
        <v>2</v>
      </c>
      <c r="AE28" s="54">
        <f t="shared" ca="1" si="8"/>
        <v>3</v>
      </c>
      <c r="AF28" s="54">
        <f t="shared" ca="1" si="9"/>
        <v>4</v>
      </c>
      <c r="AG28" s="54">
        <f t="shared" ca="1" si="10"/>
        <v>1</v>
      </c>
      <c r="AH28" s="54">
        <f t="shared" ca="1" si="11"/>
        <v>1</v>
      </c>
      <c r="AI28" s="54">
        <f t="shared" ca="1" si="12"/>
        <v>1</v>
      </c>
      <c r="AJ28" s="54">
        <f t="shared" ca="1" si="13"/>
        <v>1</v>
      </c>
    </row>
    <row r="29" spans="1:36" x14ac:dyDescent="0.2">
      <c r="A29" s="54">
        <v>6</v>
      </c>
      <c r="B29" s="54">
        <f ca="1">MAX(0.02,MCDA_Prioritisation!$B$9+(RAND()-0.5)*2*$B$6)</f>
        <v>0.22462403403147457</v>
      </c>
      <c r="C29" s="54">
        <f ca="1">MAX(0.02,MCDA_Prioritisation!$B$10+(RAND()-0.5)*2*$B$6)</f>
        <v>0.32310756718394096</v>
      </c>
      <c r="D29" s="54">
        <f ca="1">MAX(0.02,MCDA_Prioritisation!$B$11+(RAND()-0.5)*2*$B$6)</f>
        <v>0.19251964220737289</v>
      </c>
      <c r="E29" s="54">
        <f ca="1">MAX(0.02,MCDA_Prioritisation!$B$12+(RAND()-0.5)*2*$B$6)</f>
        <v>0.14381385073412434</v>
      </c>
      <c r="F29" s="54">
        <f ca="1">MAX(0.02,MCDA_Prioritisation!$B$13+(RAND()-0.5)*2*$B$6)</f>
        <v>0.17032675845969486</v>
      </c>
      <c r="G29" s="54">
        <f t="shared" ca="1" si="0"/>
        <v>1.0543918526166076</v>
      </c>
      <c r="H29" s="54">
        <f t="shared" ca="1" si="1"/>
        <v>0.21303657978202453</v>
      </c>
      <c r="I29" s="54">
        <f t="shared" ca="1" si="2"/>
        <v>0.30643974190630208</v>
      </c>
      <c r="J29" s="54">
        <f t="shared" ca="1" si="3"/>
        <v>0.18258832494732474</v>
      </c>
      <c r="K29" s="54">
        <f t="shared" ca="1" si="4"/>
        <v>0.1363950701793</v>
      </c>
      <c r="L29" s="54">
        <f t="shared" ca="1" si="5"/>
        <v>0.16154028318504865</v>
      </c>
      <c r="M29" s="54">
        <f ca="1">MIN(100,MAX(0,MCDA_Prioritisation!$F$2+(RAND()-0.5)*2*$B$7))</f>
        <v>82.461839433661424</v>
      </c>
      <c r="N29" s="54">
        <f ca="1">MIN(100,MAX(0,MCDA_Prioritisation!$F$3+(RAND()-0.5)*2*$B$7))</f>
        <v>95.620740128113937</v>
      </c>
      <c r="O29" s="54">
        <f ca="1">MIN(100,MAX(0,MCDA_Prioritisation!$F$4+(RAND()-0.5)*2*$B$7))</f>
        <v>83.326646676718639</v>
      </c>
      <c r="P29" s="54">
        <f ca="1">MIN(100,MAX(0,MCDA_Prioritisation!$F$5+(RAND()-0.5)*2*$B$7))</f>
        <v>73.439298003216578</v>
      </c>
      <c r="Q29" s="54">
        <f ca="1">MIN(100,MAX(0,MCDA_Prioritisation!$G$2+(RAND()-0.5)*2*$B$7))</f>
        <v>87.156517187141404</v>
      </c>
      <c r="R29" s="54">
        <f ca="1">MIN(100,MAX(0,MCDA_Prioritisation!$G$3+(RAND()-0.5)*2*$B$7))</f>
        <v>93.541006911634398</v>
      </c>
      <c r="S29" s="54">
        <f ca="1">MIN(100,MAX(0,MCDA_Prioritisation!$G$4+(RAND()-0.5)*2*$B$7))</f>
        <v>80.638596095941864</v>
      </c>
      <c r="T29" s="54">
        <f ca="1">MIN(100,MAX(0,MCDA_Prioritisation!$G$5+(RAND()-0.5)*2*$B$7))</f>
        <v>73.327550632286972</v>
      </c>
      <c r="U29" s="54">
        <f ca="1">MIN(100,MAX(0,MCDA_Prioritisation!$H$2+(RAND()-0.5)*2*$B$7))</f>
        <v>66.597648086746119</v>
      </c>
      <c r="V29" s="54">
        <f ca="1">MIN(100,MAX(0,MCDA_Prioritisation!$H$3+(RAND()-0.5)*2*$B$7))</f>
        <v>62.396776720988299</v>
      </c>
      <c r="W29" s="54">
        <f ca="1">MIN(100,MAX(0,MCDA_Prioritisation!$H$4+(RAND()-0.5)*2*$B$7))</f>
        <v>75.701918506130639</v>
      </c>
      <c r="X29" s="54">
        <f ca="1">MIN(100,MAX(0,MCDA_Prioritisation!$H$5+(RAND()-0.5)*2*$B$7))</f>
        <v>74.376425201861835</v>
      </c>
      <c r="Y29" s="54">
        <f ca="1">H29*MCDA_Prioritisation!$D$2+I29*MCDA_Prioritisation!$E$2+J29*M29+K29*Q29+L29*U29</f>
        <v>89.650123512814844</v>
      </c>
      <c r="Z29" s="54">
        <f ca="1">H29*MCDA_Prioritisation!$D$3+I29*MCDA_Prioritisation!$E$3+J29*N29+K29*R29+L29*V29</f>
        <v>81.202606357707296</v>
      </c>
      <c r="AA29" s="54">
        <f ca="1">H29*MCDA_Prioritisation!$D$4+I29*MCDA_Prioritisation!$E$4+J29*O29+K29*S29+L29*W29</f>
        <v>69.991599239101646</v>
      </c>
      <c r="AB29" s="54">
        <f ca="1">H29*MCDA_Prioritisation!$D$5+I29*MCDA_Prioritisation!$E$5+J29*P29+K29*T29+L29*X29</f>
        <v>72.501366126699352</v>
      </c>
      <c r="AC29" s="54">
        <f t="shared" ca="1" si="6"/>
        <v>1</v>
      </c>
      <c r="AD29" s="54">
        <f t="shared" ca="1" si="7"/>
        <v>2</v>
      </c>
      <c r="AE29" s="54">
        <f t="shared" ca="1" si="8"/>
        <v>4</v>
      </c>
      <c r="AF29" s="54">
        <f t="shared" ca="1" si="9"/>
        <v>3</v>
      </c>
      <c r="AG29" s="54">
        <f t="shared" ca="1" si="10"/>
        <v>1</v>
      </c>
      <c r="AH29" s="54">
        <f t="shared" ca="1" si="11"/>
        <v>1</v>
      </c>
      <c r="AI29" s="54">
        <f t="shared" ca="1" si="12"/>
        <v>0</v>
      </c>
      <c r="AJ29" s="54">
        <f t="shared" ca="1" si="13"/>
        <v>1</v>
      </c>
    </row>
    <row r="30" spans="1:36" x14ac:dyDescent="0.2">
      <c r="A30" s="54">
        <v>7</v>
      </c>
      <c r="B30" s="54">
        <f ca="1">MAX(0.02,MCDA_Prioritisation!$B$9+(RAND()-0.5)*2*$B$6)</f>
        <v>0.21212039340229769</v>
      </c>
      <c r="C30" s="54">
        <f ca="1">MAX(0.02,MCDA_Prioritisation!$B$10+(RAND()-0.5)*2*$B$6)</f>
        <v>0.25126737894618417</v>
      </c>
      <c r="D30" s="54">
        <f ca="1">MAX(0.02,MCDA_Prioritisation!$B$11+(RAND()-0.5)*2*$B$6)</f>
        <v>0.3248965083186422</v>
      </c>
      <c r="E30" s="54">
        <f ca="1">MAX(0.02,MCDA_Prioritisation!$B$12+(RAND()-0.5)*2*$B$6)</f>
        <v>0.1411548455739785</v>
      </c>
      <c r="F30" s="54">
        <f ca="1">MAX(0.02,MCDA_Prioritisation!$B$13+(RAND()-0.5)*2*$B$6)</f>
        <v>0.179312619154301</v>
      </c>
      <c r="G30" s="54">
        <f t="shared" ca="1" si="0"/>
        <v>1.1087517453954034</v>
      </c>
      <c r="H30" s="54">
        <f t="shared" ca="1" si="1"/>
        <v>0.19131459705314938</v>
      </c>
      <c r="I30" s="54">
        <f t="shared" ca="1" si="2"/>
        <v>0.22662185650636979</v>
      </c>
      <c r="J30" s="54">
        <f t="shared" ca="1" si="3"/>
        <v>0.29302908398378891</v>
      </c>
      <c r="K30" s="54">
        <f t="shared" ca="1" si="4"/>
        <v>0.12730969413143048</v>
      </c>
      <c r="L30" s="54">
        <f t="shared" ca="1" si="5"/>
        <v>0.16172476832526153</v>
      </c>
      <c r="M30" s="54">
        <f ca="1">MIN(100,MAX(0,MCDA_Prioritisation!$F$2+(RAND()-0.5)*2*$B$7))</f>
        <v>79.476264453337137</v>
      </c>
      <c r="N30" s="54">
        <f ca="1">MIN(100,MAX(0,MCDA_Prioritisation!$F$3+(RAND()-0.5)*2*$B$7))</f>
        <v>100</v>
      </c>
      <c r="O30" s="54">
        <f ca="1">MIN(100,MAX(0,MCDA_Prioritisation!$F$4+(RAND()-0.5)*2*$B$7))</f>
        <v>84.354885864023032</v>
      </c>
      <c r="P30" s="54">
        <f ca="1">MIN(100,MAX(0,MCDA_Prioritisation!$F$5+(RAND()-0.5)*2*$B$7))</f>
        <v>67.479562232121339</v>
      </c>
      <c r="Q30" s="54">
        <f ca="1">MIN(100,MAX(0,MCDA_Prioritisation!$G$2+(RAND()-0.5)*2*$B$7))</f>
        <v>80.142883516948032</v>
      </c>
      <c r="R30" s="54">
        <f ca="1">MIN(100,MAX(0,MCDA_Prioritisation!$G$3+(RAND()-0.5)*2*$B$7))</f>
        <v>94.695842226178584</v>
      </c>
      <c r="S30" s="54">
        <f ca="1">MIN(100,MAX(0,MCDA_Prioritisation!$G$4+(RAND()-0.5)*2*$B$7))</f>
        <v>85.837529472337735</v>
      </c>
      <c r="T30" s="54">
        <f ca="1">MIN(100,MAX(0,MCDA_Prioritisation!$G$5+(RAND()-0.5)*2*$B$7))</f>
        <v>76.781611663377745</v>
      </c>
      <c r="U30" s="54">
        <f ca="1">MIN(100,MAX(0,MCDA_Prioritisation!$H$2+(RAND()-0.5)*2*$B$7))</f>
        <v>64.335384726868313</v>
      </c>
      <c r="V30" s="54">
        <f ca="1">MIN(100,MAX(0,MCDA_Prioritisation!$H$3+(RAND()-0.5)*2*$B$7))</f>
        <v>54.516764711415</v>
      </c>
      <c r="W30" s="54">
        <f ca="1">MIN(100,MAX(0,MCDA_Prioritisation!$H$4+(RAND()-0.5)*2*$B$7))</f>
        <v>73.758147817283785</v>
      </c>
      <c r="X30" s="54">
        <f ca="1">MIN(100,MAX(0,MCDA_Prioritisation!$H$5+(RAND()-0.5)*2*$B$7))</f>
        <v>83.928540390870751</v>
      </c>
      <c r="Y30" s="54">
        <f ca="1">H30*MCDA_Prioritisation!$D$2+I30*MCDA_Prioritisation!$E$2+J30*M30+K30*Q30+L30*U30</f>
        <v>85.690093504589527</v>
      </c>
      <c r="Z30" s="54">
        <f ca="1">H30*MCDA_Prioritisation!$D$3+I30*MCDA_Prioritisation!$E$3+J30*N30+K30*R30+L30*V30</f>
        <v>83.377198901344315</v>
      </c>
      <c r="AA30" s="54">
        <f ca="1">H30*MCDA_Prioritisation!$D$4+I30*MCDA_Prioritisation!$E$4+J30*O30+K30*S30+L30*W30</f>
        <v>73.258119974012985</v>
      </c>
      <c r="AB30" s="54">
        <f ca="1">H30*MCDA_Prioritisation!$D$5+I30*MCDA_Prioritisation!$E$5+J30*P30+K30*T30+L30*X30</f>
        <v>72.332871962872687</v>
      </c>
      <c r="AC30" s="54">
        <f t="shared" ca="1" si="6"/>
        <v>1</v>
      </c>
      <c r="AD30" s="54">
        <f t="shared" ca="1" si="7"/>
        <v>2</v>
      </c>
      <c r="AE30" s="54">
        <f t="shared" ca="1" si="8"/>
        <v>3</v>
      </c>
      <c r="AF30" s="54">
        <f t="shared" ca="1" si="9"/>
        <v>4</v>
      </c>
      <c r="AG30" s="54">
        <f t="shared" ca="1" si="10"/>
        <v>1</v>
      </c>
      <c r="AH30" s="54">
        <f t="shared" ca="1" si="11"/>
        <v>1</v>
      </c>
      <c r="AI30" s="54">
        <f t="shared" ca="1" si="12"/>
        <v>1</v>
      </c>
      <c r="AJ30" s="54">
        <f t="shared" ca="1" si="13"/>
        <v>1</v>
      </c>
    </row>
    <row r="31" spans="1:36" x14ac:dyDescent="0.2">
      <c r="A31" s="54">
        <v>8</v>
      </c>
      <c r="B31" s="54">
        <f ca="1">MAX(0.02,MCDA_Prioritisation!$B$9+(RAND()-0.5)*2*$B$6)</f>
        <v>0.16745684965794433</v>
      </c>
      <c r="C31" s="54">
        <f ca="1">MAX(0.02,MCDA_Prioritisation!$B$10+(RAND()-0.5)*2*$B$6)</f>
        <v>0.23960326261129622</v>
      </c>
      <c r="D31" s="54">
        <f ca="1">MAX(0.02,MCDA_Prioritisation!$B$11+(RAND()-0.5)*2*$B$6)</f>
        <v>0.21745430698269491</v>
      </c>
      <c r="E31" s="54">
        <f ca="1">MAX(0.02,MCDA_Prioritisation!$B$12+(RAND()-0.5)*2*$B$6)</f>
        <v>0.13432016041457731</v>
      </c>
      <c r="F31" s="54">
        <f ca="1">MAX(0.02,MCDA_Prioritisation!$B$13+(RAND()-0.5)*2*$B$6)</f>
        <v>0.12796913550020333</v>
      </c>
      <c r="G31" s="54">
        <f t="shared" ca="1" si="0"/>
        <v>0.88680371516671608</v>
      </c>
      <c r="H31" s="54">
        <f t="shared" ca="1" si="1"/>
        <v>0.188831921646227</v>
      </c>
      <c r="I31" s="54">
        <f t="shared" ca="1" si="2"/>
        <v>0.27018748175434926</v>
      </c>
      <c r="J31" s="54">
        <f t="shared" ca="1" si="3"/>
        <v>0.24521131707461807</v>
      </c>
      <c r="K31" s="54">
        <f t="shared" ca="1" si="4"/>
        <v>0.15146549131148551</v>
      </c>
      <c r="L31" s="54">
        <f t="shared" ca="1" si="5"/>
        <v>0.14430378821332021</v>
      </c>
      <c r="M31" s="54">
        <f ca="1">MIN(100,MAX(0,MCDA_Prioritisation!$F$2+(RAND()-0.5)*2*$B$7))</f>
        <v>81.649237220783874</v>
      </c>
      <c r="N31" s="54">
        <f ca="1">MIN(100,MAX(0,MCDA_Prioritisation!$F$3+(RAND()-0.5)*2*$B$7))</f>
        <v>100</v>
      </c>
      <c r="O31" s="54">
        <f ca="1">MIN(100,MAX(0,MCDA_Prioritisation!$F$4+(RAND()-0.5)*2*$B$7))</f>
        <v>83.938635650681732</v>
      </c>
      <c r="P31" s="54">
        <f ca="1">MIN(100,MAX(0,MCDA_Prioritisation!$F$5+(RAND()-0.5)*2*$B$7))</f>
        <v>72.095394848767313</v>
      </c>
      <c r="Q31" s="54">
        <f ca="1">MIN(100,MAX(0,MCDA_Prioritisation!$G$2+(RAND()-0.5)*2*$B$7))</f>
        <v>86.566936110320952</v>
      </c>
      <c r="R31" s="54">
        <f ca="1">MIN(100,MAX(0,MCDA_Prioritisation!$G$3+(RAND()-0.5)*2*$B$7))</f>
        <v>100</v>
      </c>
      <c r="S31" s="54">
        <f ca="1">MIN(100,MAX(0,MCDA_Prioritisation!$G$4+(RAND()-0.5)*2*$B$7))</f>
        <v>81.300257605419247</v>
      </c>
      <c r="T31" s="54">
        <f ca="1">MIN(100,MAX(0,MCDA_Prioritisation!$G$5+(RAND()-0.5)*2*$B$7))</f>
        <v>63.675417116111745</v>
      </c>
      <c r="U31" s="54">
        <f ca="1">MIN(100,MAX(0,MCDA_Prioritisation!$H$2+(RAND()-0.5)*2*$B$7))</f>
        <v>63.11681127448238</v>
      </c>
      <c r="V31" s="54">
        <f ca="1">MIN(100,MAX(0,MCDA_Prioritisation!$H$3+(RAND()-0.5)*2*$B$7))</f>
        <v>62.031298186028899</v>
      </c>
      <c r="W31" s="54">
        <f ca="1">MIN(100,MAX(0,MCDA_Prioritisation!$H$4+(RAND()-0.5)*2*$B$7))</f>
        <v>75.348800970922042</v>
      </c>
      <c r="X31" s="54">
        <f ca="1">MIN(100,MAX(0,MCDA_Prioritisation!$H$5+(RAND()-0.5)*2*$B$7))</f>
        <v>81.700708125720013</v>
      </c>
      <c r="Y31" s="54">
        <f ca="1">H31*MCDA_Prioritisation!$D$2+I31*MCDA_Prioritisation!$E$2+J31*M31+K31*Q31+L31*U31</f>
        <v>88.143155813236717</v>
      </c>
      <c r="Z31" s="54">
        <f ca="1">H31*MCDA_Prioritisation!$D$3+I31*MCDA_Prioritisation!$E$3+J31*N31+K31*R31+L31*V31</f>
        <v>84.772343930950967</v>
      </c>
      <c r="AA31" s="54">
        <f ca="1">H31*MCDA_Prioritisation!$D$4+I31*MCDA_Prioritisation!$E$4+J31*O31+K31*S31+L31*W31</f>
        <v>71.656648241517615</v>
      </c>
      <c r="AB31" s="54">
        <f ca="1">H31*MCDA_Prioritisation!$D$5+I31*MCDA_Prioritisation!$E$5+J31*P31+K31*T31+L31*X31</f>
        <v>71.85568997993721</v>
      </c>
      <c r="AC31" s="54">
        <f t="shared" ca="1" si="6"/>
        <v>1</v>
      </c>
      <c r="AD31" s="54">
        <f t="shared" ca="1" si="7"/>
        <v>2</v>
      </c>
      <c r="AE31" s="54">
        <f t="shared" ca="1" si="8"/>
        <v>4</v>
      </c>
      <c r="AF31" s="54">
        <f t="shared" ca="1" si="9"/>
        <v>3</v>
      </c>
      <c r="AG31" s="54">
        <f t="shared" ca="1" si="10"/>
        <v>1</v>
      </c>
      <c r="AH31" s="54">
        <f t="shared" ca="1" si="11"/>
        <v>1</v>
      </c>
      <c r="AI31" s="54">
        <f t="shared" ca="1" si="12"/>
        <v>0</v>
      </c>
      <c r="AJ31" s="54">
        <f t="shared" ca="1" si="13"/>
        <v>1</v>
      </c>
    </row>
    <row r="32" spans="1:36" x14ac:dyDescent="0.2">
      <c r="A32" s="54">
        <v>9</v>
      </c>
      <c r="B32" s="54">
        <f ca="1">MAX(0.02,MCDA_Prioritisation!$B$9+(RAND()-0.5)*2*$B$6)</f>
        <v>0.26518979726003938</v>
      </c>
      <c r="C32" s="54">
        <f ca="1">MAX(0.02,MCDA_Prioritisation!$B$10+(RAND()-0.5)*2*$B$6)</f>
        <v>0.2556457878055089</v>
      </c>
      <c r="D32" s="54">
        <f ca="1">MAX(0.02,MCDA_Prioritisation!$B$11+(RAND()-0.5)*2*$B$6)</f>
        <v>0.26099107997189297</v>
      </c>
      <c r="E32" s="54">
        <f ca="1">MAX(0.02,MCDA_Prioritisation!$B$12+(RAND()-0.5)*2*$B$6)</f>
        <v>0.18737526345172742</v>
      </c>
      <c r="F32" s="54">
        <f ca="1">MAX(0.02,MCDA_Prioritisation!$B$13+(RAND()-0.5)*2*$B$6)</f>
        <v>0.15533209314078913</v>
      </c>
      <c r="G32" s="54">
        <f t="shared" ca="1" si="0"/>
        <v>1.1245340216299577</v>
      </c>
      <c r="H32" s="54">
        <f t="shared" ca="1" si="1"/>
        <v>0.23582194238610904</v>
      </c>
      <c r="I32" s="54">
        <f t="shared" ca="1" si="2"/>
        <v>0.2273348630528427</v>
      </c>
      <c r="J32" s="54">
        <f t="shared" ca="1" si="3"/>
        <v>0.23208820271493344</v>
      </c>
      <c r="K32" s="54">
        <f t="shared" ca="1" si="4"/>
        <v>0.1666248062287489</v>
      </c>
      <c r="L32" s="54">
        <f t="shared" ca="1" si="5"/>
        <v>0.13813018561736601</v>
      </c>
      <c r="M32" s="54">
        <f ca="1">MIN(100,MAX(0,MCDA_Prioritisation!$F$2+(RAND()-0.5)*2*$B$7))</f>
        <v>86.410833743722208</v>
      </c>
      <c r="N32" s="54">
        <f ca="1">MIN(100,MAX(0,MCDA_Prioritisation!$F$3+(RAND()-0.5)*2*$B$7))</f>
        <v>89.657539318479991</v>
      </c>
      <c r="O32" s="54">
        <f ca="1">MIN(100,MAX(0,MCDA_Prioritisation!$F$4+(RAND()-0.5)*2*$B$7))</f>
        <v>82.099172348301408</v>
      </c>
      <c r="P32" s="54">
        <f ca="1">MIN(100,MAX(0,MCDA_Prioritisation!$F$5+(RAND()-0.5)*2*$B$7))</f>
        <v>75.468268860175513</v>
      </c>
      <c r="Q32" s="54">
        <f ca="1">MIN(100,MAX(0,MCDA_Prioritisation!$G$2+(RAND()-0.5)*2*$B$7))</f>
        <v>87.79009415538097</v>
      </c>
      <c r="R32" s="54">
        <f ca="1">MIN(100,MAX(0,MCDA_Prioritisation!$G$3+(RAND()-0.5)*2*$B$7))</f>
        <v>87.970618459170481</v>
      </c>
      <c r="S32" s="54">
        <f ca="1">MIN(100,MAX(0,MCDA_Prioritisation!$G$4+(RAND()-0.5)*2*$B$7))</f>
        <v>82.916748205527625</v>
      </c>
      <c r="T32" s="54">
        <f ca="1">MIN(100,MAX(0,MCDA_Prioritisation!$G$5+(RAND()-0.5)*2*$B$7))</f>
        <v>71.192084697905429</v>
      </c>
      <c r="U32" s="54">
        <f ca="1">MIN(100,MAX(0,MCDA_Prioritisation!$H$2+(RAND()-0.5)*2*$B$7))</f>
        <v>58.188890771097121</v>
      </c>
      <c r="V32" s="54">
        <f ca="1">MIN(100,MAX(0,MCDA_Prioritisation!$H$3+(RAND()-0.5)*2*$B$7))</f>
        <v>63.12690363264074</v>
      </c>
      <c r="W32" s="54">
        <f ca="1">MIN(100,MAX(0,MCDA_Prioritisation!$H$4+(RAND()-0.5)*2*$B$7))</f>
        <v>83.031839679352416</v>
      </c>
      <c r="X32" s="54">
        <f ca="1">MIN(100,MAX(0,MCDA_Prioritisation!$H$5+(RAND()-0.5)*2*$B$7))</f>
        <v>79.911332649314502</v>
      </c>
      <c r="Y32" s="54">
        <f ca="1">H32*MCDA_Prioritisation!$D$2+I32*MCDA_Prioritisation!$E$2+J32*M32+K32*Q32+L32*U32</f>
        <v>89.036265353098827</v>
      </c>
      <c r="Z32" s="54">
        <f ca="1">H32*MCDA_Prioritisation!$D$3+I32*MCDA_Prioritisation!$E$3+J32*N32+K32*R32+L32*V32</f>
        <v>81.329812309427766</v>
      </c>
      <c r="AA32" s="54">
        <f ca="1">H32*MCDA_Prioritisation!$D$4+I32*MCDA_Prioritisation!$E$4+J32*O32+K32*S32+L32*W32</f>
        <v>73.160777088626119</v>
      </c>
      <c r="AB32" s="54">
        <f ca="1">H32*MCDA_Prioritisation!$D$5+I32*MCDA_Prioritisation!$E$5+J32*P32+K32*T32+L32*X32</f>
        <v>72.049084145184381</v>
      </c>
      <c r="AC32" s="54">
        <f t="shared" ca="1" si="6"/>
        <v>1</v>
      </c>
      <c r="AD32" s="54">
        <f t="shared" ca="1" si="7"/>
        <v>2</v>
      </c>
      <c r="AE32" s="54">
        <f t="shared" ca="1" si="8"/>
        <v>3</v>
      </c>
      <c r="AF32" s="54">
        <f t="shared" ca="1" si="9"/>
        <v>4</v>
      </c>
      <c r="AG32" s="54">
        <f t="shared" ca="1" si="10"/>
        <v>1</v>
      </c>
      <c r="AH32" s="54">
        <f t="shared" ca="1" si="11"/>
        <v>1</v>
      </c>
      <c r="AI32" s="54">
        <f t="shared" ca="1" si="12"/>
        <v>1</v>
      </c>
      <c r="AJ32" s="54">
        <f t="shared" ca="1" si="13"/>
        <v>1</v>
      </c>
    </row>
    <row r="33" spans="1:36" x14ac:dyDescent="0.2">
      <c r="A33" s="54">
        <v>10</v>
      </c>
      <c r="B33" s="54">
        <f ca="1">MAX(0.02,MCDA_Prioritisation!$B$9+(RAND()-0.5)*2*$B$6)</f>
        <v>0.14427717472614318</v>
      </c>
      <c r="C33" s="54">
        <f ca="1">MAX(0.02,MCDA_Prioritisation!$B$10+(RAND()-0.5)*2*$B$6)</f>
        <v>0.22681426520637588</v>
      </c>
      <c r="D33" s="54">
        <f ca="1">MAX(0.02,MCDA_Prioritisation!$B$11+(RAND()-0.5)*2*$B$6)</f>
        <v>0.30100091184976568</v>
      </c>
      <c r="E33" s="54">
        <f ca="1">MAX(0.02,MCDA_Prioritisation!$B$12+(RAND()-0.5)*2*$B$6)</f>
        <v>0.15004988764447261</v>
      </c>
      <c r="F33" s="54">
        <f ca="1">MAX(0.02,MCDA_Prioritisation!$B$13+(RAND()-0.5)*2*$B$6)</f>
        <v>0.12912137802815768</v>
      </c>
      <c r="G33" s="54">
        <f t="shared" ca="1" si="0"/>
        <v>0.95126361745491506</v>
      </c>
      <c r="H33" s="54">
        <f t="shared" ca="1" si="1"/>
        <v>0.15166897175375382</v>
      </c>
      <c r="I33" s="54">
        <f t="shared" ca="1" si="2"/>
        <v>0.23843471046775916</v>
      </c>
      <c r="J33" s="54">
        <f t="shared" ca="1" si="3"/>
        <v>0.31642218447824905</v>
      </c>
      <c r="K33" s="54">
        <f t="shared" ca="1" si="4"/>
        <v>0.15773743985492453</v>
      </c>
      <c r="L33" s="54">
        <f t="shared" ca="1" si="5"/>
        <v>0.13573669344531339</v>
      </c>
      <c r="M33" s="54">
        <f ca="1">MIN(100,MAX(0,MCDA_Prioritisation!$F$2+(RAND()-0.5)*2*$B$7))</f>
        <v>91.447458342390362</v>
      </c>
      <c r="N33" s="54">
        <f ca="1">MIN(100,MAX(0,MCDA_Prioritisation!$F$3+(RAND()-0.5)*2*$B$7))</f>
        <v>100</v>
      </c>
      <c r="O33" s="54">
        <f ca="1">MIN(100,MAX(0,MCDA_Prioritisation!$F$4+(RAND()-0.5)*2*$B$7))</f>
        <v>90.98750922855649</v>
      </c>
      <c r="P33" s="54">
        <f ca="1">MIN(100,MAX(0,MCDA_Prioritisation!$F$5+(RAND()-0.5)*2*$B$7))</f>
        <v>79.922433400186009</v>
      </c>
      <c r="Q33" s="54">
        <f ca="1">MIN(100,MAX(0,MCDA_Prioritisation!$G$2+(RAND()-0.5)*2*$B$7))</f>
        <v>88.335165952051327</v>
      </c>
      <c r="R33" s="54">
        <f ca="1">MIN(100,MAX(0,MCDA_Prioritisation!$G$3+(RAND()-0.5)*2*$B$7))</f>
        <v>90.347791672959943</v>
      </c>
      <c r="S33" s="54">
        <f ca="1">MIN(100,MAX(0,MCDA_Prioritisation!$G$4+(RAND()-0.5)*2*$B$7))</f>
        <v>87.008175085348114</v>
      </c>
      <c r="T33" s="54">
        <f ca="1">MIN(100,MAX(0,MCDA_Prioritisation!$G$5+(RAND()-0.5)*2*$B$7))</f>
        <v>76.5790028375784</v>
      </c>
      <c r="U33" s="54">
        <f ca="1">MIN(100,MAX(0,MCDA_Prioritisation!$H$2+(RAND()-0.5)*2*$B$7))</f>
        <v>60.351586280053695</v>
      </c>
      <c r="V33" s="54">
        <f ca="1">MIN(100,MAX(0,MCDA_Prioritisation!$H$3+(RAND()-0.5)*2*$B$7))</f>
        <v>51.106531627695134</v>
      </c>
      <c r="W33" s="54">
        <f ca="1">MIN(100,MAX(0,MCDA_Prioritisation!$H$4+(RAND()-0.5)*2*$B$7))</f>
        <v>71.064503029795702</v>
      </c>
      <c r="X33" s="54">
        <f ca="1">MIN(100,MAX(0,MCDA_Prioritisation!$H$5+(RAND()-0.5)*2*$B$7))</f>
        <v>72.10213032243864</v>
      </c>
      <c r="Y33" s="54">
        <f ca="1">H33*MCDA_Prioritisation!$D$2+I33*MCDA_Prioritisation!$E$2+J33*M33+K33*Q33+L33*U33</f>
        <v>90.072060448104637</v>
      </c>
      <c r="Z33" s="54">
        <f ca="1">H33*MCDA_Prioritisation!$D$3+I33*MCDA_Prioritisation!$E$3+J33*N33+K33*R33+L33*V33</f>
        <v>83.426574380387294</v>
      </c>
      <c r="AA33" s="54">
        <f ca="1">H33*MCDA_Prioritisation!$D$4+I33*MCDA_Prioritisation!$E$4+J33*O33+K33*S33+L33*W33</f>
        <v>75.72783913084524</v>
      </c>
      <c r="AB33" s="54">
        <f ca="1">H33*MCDA_Prioritisation!$D$5+I33*MCDA_Prioritisation!$E$5+J33*P33+K33*T33+L33*X33</f>
        <v>75.255668776133632</v>
      </c>
      <c r="AC33" s="54">
        <f t="shared" ca="1" si="6"/>
        <v>1</v>
      </c>
      <c r="AD33" s="54">
        <f t="shared" ca="1" si="7"/>
        <v>2</v>
      </c>
      <c r="AE33" s="54">
        <f t="shared" ca="1" si="8"/>
        <v>3</v>
      </c>
      <c r="AF33" s="54">
        <f t="shared" ca="1" si="9"/>
        <v>4</v>
      </c>
      <c r="AG33" s="54">
        <f t="shared" ca="1" si="10"/>
        <v>1</v>
      </c>
      <c r="AH33" s="54">
        <f t="shared" ca="1" si="11"/>
        <v>1</v>
      </c>
      <c r="AI33" s="54">
        <f t="shared" ca="1" si="12"/>
        <v>1</v>
      </c>
      <c r="AJ33" s="54">
        <f t="shared" ca="1" si="13"/>
        <v>1</v>
      </c>
    </row>
    <row r="34" spans="1:36" x14ac:dyDescent="0.2">
      <c r="A34" s="54">
        <v>11</v>
      </c>
      <c r="B34" s="54">
        <f ca="1">MAX(0.02,MCDA_Prioritisation!$B$9+(RAND()-0.5)*2*$B$6)</f>
        <v>0.20612172034633991</v>
      </c>
      <c r="C34" s="54">
        <f ca="1">MAX(0.02,MCDA_Prioritisation!$B$10+(RAND()-0.5)*2*$B$6)</f>
        <v>0.27741540978644214</v>
      </c>
      <c r="D34" s="54">
        <f ca="1">MAX(0.02,MCDA_Prioritisation!$B$11+(RAND()-0.5)*2*$B$6)</f>
        <v>0.32940477435712806</v>
      </c>
      <c r="E34" s="54">
        <f ca="1">MAX(0.02,MCDA_Prioritisation!$B$12+(RAND()-0.5)*2*$B$6)</f>
        <v>0.15896849613279848</v>
      </c>
      <c r="F34" s="54">
        <f ca="1">MAX(0.02,MCDA_Prioritisation!$B$13+(RAND()-0.5)*2*$B$6)</f>
        <v>0.11496224021059732</v>
      </c>
      <c r="G34" s="54">
        <f t="shared" ca="1" si="0"/>
        <v>1.086872640833306</v>
      </c>
      <c r="H34" s="54">
        <f t="shared" ca="1" si="1"/>
        <v>0.18964661783031564</v>
      </c>
      <c r="I34" s="54">
        <f t="shared" ca="1" si="2"/>
        <v>0.25524187412956456</v>
      </c>
      <c r="J34" s="54">
        <f t="shared" ca="1" si="3"/>
        <v>0.30307578089791015</v>
      </c>
      <c r="K34" s="54">
        <f t="shared" ca="1" si="4"/>
        <v>0.14626230356752493</v>
      </c>
      <c r="L34" s="54">
        <f t="shared" ca="1" si="5"/>
        <v>0.1057734235746846</v>
      </c>
      <c r="M34" s="54">
        <f ca="1">MIN(100,MAX(0,MCDA_Prioritisation!$F$2+(RAND()-0.5)*2*$B$7))</f>
        <v>84.929958508199121</v>
      </c>
      <c r="N34" s="54">
        <f ca="1">MIN(100,MAX(0,MCDA_Prioritisation!$F$3+(RAND()-0.5)*2*$B$7))</f>
        <v>96.427553196700117</v>
      </c>
      <c r="O34" s="54">
        <f ca="1">MIN(100,MAX(0,MCDA_Prioritisation!$F$4+(RAND()-0.5)*2*$B$7))</f>
        <v>96.622151064539608</v>
      </c>
      <c r="P34" s="54">
        <f ca="1">MIN(100,MAX(0,MCDA_Prioritisation!$F$5+(RAND()-0.5)*2*$B$7))</f>
        <v>72.417092608409817</v>
      </c>
      <c r="Q34" s="54">
        <f ca="1">MIN(100,MAX(0,MCDA_Prioritisation!$G$2+(RAND()-0.5)*2*$B$7))</f>
        <v>80.744083136311744</v>
      </c>
      <c r="R34" s="54">
        <f ca="1">MIN(100,MAX(0,MCDA_Prioritisation!$G$3+(RAND()-0.5)*2*$B$7))</f>
        <v>87.165626601237491</v>
      </c>
      <c r="S34" s="54">
        <f ca="1">MIN(100,MAX(0,MCDA_Prioritisation!$G$4+(RAND()-0.5)*2*$B$7))</f>
        <v>77.591627308958067</v>
      </c>
      <c r="T34" s="54">
        <f ca="1">MIN(100,MAX(0,MCDA_Prioritisation!$G$5+(RAND()-0.5)*2*$B$7))</f>
        <v>71.352942745889194</v>
      </c>
      <c r="U34" s="54">
        <f ca="1">MIN(100,MAX(0,MCDA_Prioritisation!$H$2+(RAND()-0.5)*2*$B$7))</f>
        <v>70.326715902091706</v>
      </c>
      <c r="V34" s="54">
        <f ca="1">MIN(100,MAX(0,MCDA_Prioritisation!$H$3+(RAND()-0.5)*2*$B$7))</f>
        <v>68.284196942566965</v>
      </c>
      <c r="W34" s="54">
        <f ca="1">MIN(100,MAX(0,MCDA_Prioritisation!$H$4+(RAND()-0.5)*2*$B$7))</f>
        <v>80.900246536458752</v>
      </c>
      <c r="X34" s="54">
        <f ca="1">MIN(100,MAX(0,MCDA_Prioritisation!$H$5+(RAND()-0.5)*2*$B$7))</f>
        <v>67.362005814419433</v>
      </c>
      <c r="Y34" s="54">
        <f ca="1">H34*MCDA_Prioritisation!$D$2+I34*MCDA_Prioritisation!$E$2+J34*M34+K34*Q34+L34*U34</f>
        <v>89.477575801180748</v>
      </c>
      <c r="Z34" s="54">
        <f ca="1">H34*MCDA_Prioritisation!$D$3+I34*MCDA_Prioritisation!$E$3+J34*N34+K34*R34+L34*V34</f>
        <v>84.334114976382267</v>
      </c>
      <c r="AA34" s="54">
        <f ca="1">H34*MCDA_Prioritisation!$D$4+I34*MCDA_Prioritisation!$E$4+J34*O34+K34*S34+L34*W34</f>
        <v>76.317819730290822</v>
      </c>
      <c r="AB34" s="54">
        <f ca="1">H34*MCDA_Prioritisation!$D$5+I34*MCDA_Prioritisation!$E$5+J34*P34+K34*T34+L34*X34</f>
        <v>71.038406865503816</v>
      </c>
      <c r="AC34" s="54">
        <f t="shared" ca="1" si="6"/>
        <v>1</v>
      </c>
      <c r="AD34" s="54">
        <f t="shared" ca="1" si="7"/>
        <v>2</v>
      </c>
      <c r="AE34" s="54">
        <f t="shared" ca="1" si="8"/>
        <v>3</v>
      </c>
      <c r="AF34" s="54">
        <f t="shared" ca="1" si="9"/>
        <v>4</v>
      </c>
      <c r="AG34" s="54">
        <f t="shared" ca="1" si="10"/>
        <v>1</v>
      </c>
      <c r="AH34" s="54">
        <f t="shared" ca="1" si="11"/>
        <v>1</v>
      </c>
      <c r="AI34" s="54">
        <f t="shared" ca="1" si="12"/>
        <v>1</v>
      </c>
      <c r="AJ34" s="54">
        <f t="shared" ca="1" si="13"/>
        <v>1</v>
      </c>
    </row>
    <row r="35" spans="1:36" x14ac:dyDescent="0.2">
      <c r="A35" s="54">
        <v>12</v>
      </c>
      <c r="B35" s="54">
        <f ca="1">MAX(0.02,MCDA_Prioritisation!$B$9+(RAND()-0.5)*2*$B$6)</f>
        <v>0.22223181033306597</v>
      </c>
      <c r="C35" s="54">
        <f ca="1">MAX(0.02,MCDA_Prioritisation!$B$10+(RAND()-0.5)*2*$B$6)</f>
        <v>0.20771141295151241</v>
      </c>
      <c r="D35" s="54">
        <f ca="1">MAX(0.02,MCDA_Prioritisation!$B$11+(RAND()-0.5)*2*$B$6)</f>
        <v>0.3077346618562955</v>
      </c>
      <c r="E35" s="54">
        <f ca="1">MAX(0.02,MCDA_Prioritisation!$B$12+(RAND()-0.5)*2*$B$6)</f>
        <v>0.16931261125099803</v>
      </c>
      <c r="F35" s="54">
        <f ca="1">MAX(0.02,MCDA_Prioritisation!$B$13+(RAND()-0.5)*2*$B$6)</f>
        <v>8.5851443754098464E-2</v>
      </c>
      <c r="G35" s="54">
        <f t="shared" ca="1" si="0"/>
        <v>0.99284194014597038</v>
      </c>
      <c r="H35" s="54">
        <f t="shared" ca="1" si="1"/>
        <v>0.22383402770071623</v>
      </c>
      <c r="I35" s="54">
        <f t="shared" ca="1" si="2"/>
        <v>0.20920894308813556</v>
      </c>
      <c r="J35" s="54">
        <f t="shared" ca="1" si="3"/>
        <v>0.30995332631803557</v>
      </c>
      <c r="K35" s="54">
        <f t="shared" ca="1" si="4"/>
        <v>0.17053329881099222</v>
      </c>
      <c r="L35" s="54">
        <f t="shared" ca="1" si="5"/>
        <v>8.6470404082120408E-2</v>
      </c>
      <c r="M35" s="54">
        <f ca="1">MIN(100,MAX(0,MCDA_Prioritisation!$F$2+(RAND()-0.5)*2*$B$7))</f>
        <v>84.820638763953113</v>
      </c>
      <c r="N35" s="54">
        <f ca="1">MIN(100,MAX(0,MCDA_Prioritisation!$F$3+(RAND()-0.5)*2*$B$7))</f>
        <v>99.548160850371502</v>
      </c>
      <c r="O35" s="54">
        <f ca="1">MIN(100,MAX(0,MCDA_Prioritisation!$F$4+(RAND()-0.5)*2*$B$7))</f>
        <v>95.266503051297761</v>
      </c>
      <c r="P35" s="54">
        <f ca="1">MIN(100,MAX(0,MCDA_Prioritisation!$F$5+(RAND()-0.5)*2*$B$7))</f>
        <v>81.129390840494338</v>
      </c>
      <c r="Q35" s="54">
        <f ca="1">MIN(100,MAX(0,MCDA_Prioritisation!$G$2+(RAND()-0.5)*2*$B$7))</f>
        <v>73.300194055173677</v>
      </c>
      <c r="R35" s="54">
        <f ca="1">MIN(100,MAX(0,MCDA_Prioritisation!$G$3+(RAND()-0.5)*2*$B$7))</f>
        <v>100</v>
      </c>
      <c r="S35" s="54">
        <f ca="1">MIN(100,MAX(0,MCDA_Prioritisation!$G$4+(RAND()-0.5)*2*$B$7))</f>
        <v>94.676540576793045</v>
      </c>
      <c r="T35" s="54">
        <f ca="1">MIN(100,MAX(0,MCDA_Prioritisation!$G$5+(RAND()-0.5)*2*$B$7))</f>
        <v>71.373147022509016</v>
      </c>
      <c r="U35" s="54">
        <f ca="1">MIN(100,MAX(0,MCDA_Prioritisation!$H$2+(RAND()-0.5)*2*$B$7))</f>
        <v>73.078126157805485</v>
      </c>
      <c r="V35" s="54">
        <f ca="1">MIN(100,MAX(0,MCDA_Prioritisation!$H$3+(RAND()-0.5)*2*$B$7))</f>
        <v>56.521751508652834</v>
      </c>
      <c r="W35" s="54">
        <f ca="1">MIN(100,MAX(0,MCDA_Prioritisation!$H$4+(RAND()-0.5)*2*$B$7))</f>
        <v>81.172311471537824</v>
      </c>
      <c r="X35" s="54">
        <f ca="1">MIN(100,MAX(0,MCDA_Prioritisation!$H$5+(RAND()-0.5)*2*$B$7))</f>
        <v>83.033358402065076</v>
      </c>
      <c r="Y35" s="54">
        <f ca="1">H35*MCDA_Prioritisation!$D$2+I35*MCDA_Prioritisation!$E$2+J35*M35+K35*Q35+L35*U35</f>
        <v>88.41395519833722</v>
      </c>
      <c r="Z35" s="54">
        <f ca="1">H35*MCDA_Prioritisation!$D$3+I35*MCDA_Prioritisation!$E$3+J35*N35+K35*R35+L35*V35</f>
        <v>87.573654558719397</v>
      </c>
      <c r="AA35" s="54">
        <f ca="1">H35*MCDA_Prioritisation!$D$4+I35*MCDA_Prioritisation!$E$4+J35*O35+K35*S35+L35*W35</f>
        <v>79.690557619177184</v>
      </c>
      <c r="AB35" s="54">
        <f ca="1">H35*MCDA_Prioritisation!$D$5+I35*MCDA_Prioritisation!$E$5+J35*P35+K35*T35+L35*X35</f>
        <v>73.970511221611659</v>
      </c>
      <c r="AC35" s="54">
        <f t="shared" ca="1" si="6"/>
        <v>1</v>
      </c>
      <c r="AD35" s="54">
        <f t="shared" ca="1" si="7"/>
        <v>2</v>
      </c>
      <c r="AE35" s="54">
        <f t="shared" ca="1" si="8"/>
        <v>3</v>
      </c>
      <c r="AF35" s="54">
        <f t="shared" ca="1" si="9"/>
        <v>4</v>
      </c>
      <c r="AG35" s="54">
        <f t="shared" ca="1" si="10"/>
        <v>1</v>
      </c>
      <c r="AH35" s="54">
        <f t="shared" ca="1" si="11"/>
        <v>1</v>
      </c>
      <c r="AI35" s="54">
        <f t="shared" ca="1" si="12"/>
        <v>1</v>
      </c>
      <c r="AJ35" s="54">
        <f t="shared" ca="1" si="13"/>
        <v>1</v>
      </c>
    </row>
    <row r="36" spans="1:36" x14ac:dyDescent="0.2">
      <c r="A36" s="54">
        <v>13</v>
      </c>
      <c r="B36" s="54">
        <f ca="1">MAX(0.02,MCDA_Prioritisation!$B$9+(RAND()-0.5)*2*$B$6)</f>
        <v>0.26938483349128423</v>
      </c>
      <c r="C36" s="54">
        <f ca="1">MAX(0.02,MCDA_Prioritisation!$B$10+(RAND()-0.5)*2*$B$6)</f>
        <v>0.17438971761516581</v>
      </c>
      <c r="D36" s="54">
        <f ca="1">MAX(0.02,MCDA_Prioritisation!$B$11+(RAND()-0.5)*2*$B$6)</f>
        <v>0.24700152780607701</v>
      </c>
      <c r="E36" s="54">
        <f ca="1">MAX(0.02,MCDA_Prioritisation!$B$12+(RAND()-0.5)*2*$B$6)</f>
        <v>8.3625790521705504E-2</v>
      </c>
      <c r="F36" s="54">
        <f ca="1">MAX(0.02,MCDA_Prioritisation!$B$13+(RAND()-0.5)*2*$B$6)</f>
        <v>0.11822854803801908</v>
      </c>
      <c r="G36" s="54">
        <f t="shared" ca="1" si="0"/>
        <v>0.89263041747225158</v>
      </c>
      <c r="H36" s="54">
        <f t="shared" ca="1" si="1"/>
        <v>0.30178764718115642</v>
      </c>
      <c r="I36" s="54">
        <f t="shared" ca="1" si="2"/>
        <v>0.19536609351606249</v>
      </c>
      <c r="J36" s="54">
        <f t="shared" ca="1" si="3"/>
        <v>0.27671197728790742</v>
      </c>
      <c r="K36" s="54">
        <f t="shared" ca="1" si="4"/>
        <v>9.3684674961577938E-2</v>
      </c>
      <c r="L36" s="54">
        <f t="shared" ca="1" si="5"/>
        <v>0.13244960705329575</v>
      </c>
      <c r="M36" s="54">
        <f ca="1">MIN(100,MAX(0,MCDA_Prioritisation!$F$2+(RAND()-0.5)*2*$B$7))</f>
        <v>89.910722854273445</v>
      </c>
      <c r="N36" s="54">
        <f ca="1">MIN(100,MAX(0,MCDA_Prioritisation!$F$3+(RAND()-0.5)*2*$B$7))</f>
        <v>99.366114988235367</v>
      </c>
      <c r="O36" s="54">
        <f ca="1">MIN(100,MAX(0,MCDA_Prioritisation!$F$4+(RAND()-0.5)*2*$B$7))</f>
        <v>96.811848190620452</v>
      </c>
      <c r="P36" s="54">
        <f ca="1">MIN(100,MAX(0,MCDA_Prioritisation!$F$5+(RAND()-0.5)*2*$B$7))</f>
        <v>71.103267250867503</v>
      </c>
      <c r="Q36" s="54">
        <f ca="1">MIN(100,MAX(0,MCDA_Prioritisation!$G$2+(RAND()-0.5)*2*$B$7))</f>
        <v>73.636819990076631</v>
      </c>
      <c r="R36" s="54">
        <f ca="1">MIN(100,MAX(0,MCDA_Prioritisation!$G$3+(RAND()-0.5)*2*$B$7))</f>
        <v>97.581183128757047</v>
      </c>
      <c r="S36" s="54">
        <f ca="1">MIN(100,MAX(0,MCDA_Prioritisation!$G$4+(RAND()-0.5)*2*$B$7))</f>
        <v>79.26210787283091</v>
      </c>
      <c r="T36" s="54">
        <f ca="1">MIN(100,MAX(0,MCDA_Prioritisation!$G$5+(RAND()-0.5)*2*$B$7))</f>
        <v>74.296711180590876</v>
      </c>
      <c r="U36" s="54">
        <f ca="1">MIN(100,MAX(0,MCDA_Prioritisation!$H$2+(RAND()-0.5)*2*$B$7))</f>
        <v>58.462702836751369</v>
      </c>
      <c r="V36" s="54">
        <f ca="1">MIN(100,MAX(0,MCDA_Prioritisation!$H$3+(RAND()-0.5)*2*$B$7))</f>
        <v>69.200265878754195</v>
      </c>
      <c r="W36" s="54">
        <f ca="1">MIN(100,MAX(0,MCDA_Prioritisation!$H$4+(RAND()-0.5)*2*$B$7))</f>
        <v>80.17376774774975</v>
      </c>
      <c r="X36" s="54">
        <f ca="1">MIN(100,MAX(0,MCDA_Prioritisation!$H$5+(RAND()-0.5)*2*$B$7))</f>
        <v>77.481054863339864</v>
      </c>
      <c r="Y36" s="54">
        <f ca="1">H36*MCDA_Prioritisation!$D$2+I36*MCDA_Prioritisation!$E$2+J36*M36+K36*Q36+L36*U36</f>
        <v>89.23675153408881</v>
      </c>
      <c r="Z36" s="54">
        <f ca="1">H36*MCDA_Prioritisation!$D$3+I36*MCDA_Prioritisation!$E$3+J36*N36+K36*R36+L36*V36</f>
        <v>86.386933257355537</v>
      </c>
      <c r="AA36" s="54">
        <f ca="1">H36*MCDA_Prioritisation!$D$4+I36*MCDA_Prioritisation!$E$4+J36*O36+K36*S36+L36*W36</f>
        <v>76.504676818983896</v>
      </c>
      <c r="AB36" s="54">
        <f ca="1">H36*MCDA_Prioritisation!$D$5+I36*MCDA_Prioritisation!$E$5+J36*P36+K36*T36+L36*X36</f>
        <v>69.344084501695448</v>
      </c>
      <c r="AC36" s="54">
        <f t="shared" ca="1" si="6"/>
        <v>1</v>
      </c>
      <c r="AD36" s="54">
        <f t="shared" ca="1" si="7"/>
        <v>2</v>
      </c>
      <c r="AE36" s="54">
        <f t="shared" ca="1" si="8"/>
        <v>3</v>
      </c>
      <c r="AF36" s="54">
        <f t="shared" ca="1" si="9"/>
        <v>4</v>
      </c>
      <c r="AG36" s="54">
        <f t="shared" ca="1" si="10"/>
        <v>1</v>
      </c>
      <c r="AH36" s="54">
        <f t="shared" ca="1" si="11"/>
        <v>1</v>
      </c>
      <c r="AI36" s="54">
        <f t="shared" ca="1" si="12"/>
        <v>1</v>
      </c>
      <c r="AJ36" s="54">
        <f t="shared" ca="1" si="13"/>
        <v>1</v>
      </c>
    </row>
    <row r="37" spans="1:36" x14ac:dyDescent="0.2">
      <c r="A37" s="54">
        <v>14</v>
      </c>
      <c r="B37" s="54">
        <f ca="1">MAX(0.02,MCDA_Prioritisation!$B$9+(RAND()-0.5)*2*$B$6)</f>
        <v>0.14043000253517698</v>
      </c>
      <c r="C37" s="54">
        <f ca="1">MAX(0.02,MCDA_Prioritisation!$B$10+(RAND()-0.5)*2*$B$6)</f>
        <v>0.28351910999561275</v>
      </c>
      <c r="D37" s="54">
        <f ca="1">MAX(0.02,MCDA_Prioritisation!$B$11+(RAND()-0.5)*2*$B$6)</f>
        <v>0.21245616380453269</v>
      </c>
      <c r="E37" s="54">
        <f ca="1">MAX(0.02,MCDA_Prioritisation!$B$12+(RAND()-0.5)*2*$B$6)</f>
        <v>0.13883614813057529</v>
      </c>
      <c r="F37" s="54">
        <f ca="1">MAX(0.02,MCDA_Prioritisation!$B$13+(RAND()-0.5)*2*$B$6)</f>
        <v>0.12374030373304389</v>
      </c>
      <c r="G37" s="54">
        <f t="shared" ca="1" si="0"/>
        <v>0.89898172819894162</v>
      </c>
      <c r="H37" s="54">
        <f t="shared" ca="1" si="1"/>
        <v>0.15621007427650443</v>
      </c>
      <c r="I37" s="54">
        <f t="shared" ca="1" si="2"/>
        <v>0.315378056196567</v>
      </c>
      <c r="J37" s="54">
        <f t="shared" ca="1" si="3"/>
        <v>0.23632979085145195</v>
      </c>
      <c r="K37" s="54">
        <f t="shared" ca="1" si="4"/>
        <v>0.15443711899320309</v>
      </c>
      <c r="L37" s="54">
        <f t="shared" ca="1" si="5"/>
        <v>0.13764495968227353</v>
      </c>
      <c r="M37" s="54">
        <f ca="1">MIN(100,MAX(0,MCDA_Prioritisation!$F$2+(RAND()-0.5)*2*$B$7))</f>
        <v>76.440264727109124</v>
      </c>
      <c r="N37" s="54">
        <f ca="1">MIN(100,MAX(0,MCDA_Prioritisation!$F$3+(RAND()-0.5)*2*$B$7))</f>
        <v>100</v>
      </c>
      <c r="O37" s="54">
        <f ca="1">MIN(100,MAX(0,MCDA_Prioritisation!$F$4+(RAND()-0.5)*2*$B$7))</f>
        <v>94.294539824418806</v>
      </c>
      <c r="P37" s="54">
        <f ca="1">MIN(100,MAX(0,MCDA_Prioritisation!$F$5+(RAND()-0.5)*2*$B$7))</f>
        <v>74.753205725827485</v>
      </c>
      <c r="Q37" s="54">
        <f ca="1">MIN(100,MAX(0,MCDA_Prioritisation!$G$2+(RAND()-0.5)*2*$B$7))</f>
        <v>87.65697132433003</v>
      </c>
      <c r="R37" s="54">
        <f ca="1">MIN(100,MAX(0,MCDA_Prioritisation!$G$3+(RAND()-0.5)*2*$B$7))</f>
        <v>96.087057084999827</v>
      </c>
      <c r="S37" s="54">
        <f ca="1">MIN(100,MAX(0,MCDA_Prioritisation!$G$4+(RAND()-0.5)*2*$B$7))</f>
        <v>75.509946232505754</v>
      </c>
      <c r="T37" s="54">
        <f ca="1">MIN(100,MAX(0,MCDA_Prioritisation!$G$5+(RAND()-0.5)*2*$B$7))</f>
        <v>62.461127464089358</v>
      </c>
      <c r="U37" s="54">
        <f ca="1">MIN(100,MAX(0,MCDA_Prioritisation!$H$2+(RAND()-0.5)*2*$B$7))</f>
        <v>64.328700268120727</v>
      </c>
      <c r="V37" s="54">
        <f ca="1">MIN(100,MAX(0,MCDA_Prioritisation!$H$3+(RAND()-0.5)*2*$B$7))</f>
        <v>58.27405954794348</v>
      </c>
      <c r="W37" s="54">
        <f ca="1">MIN(100,MAX(0,MCDA_Prioritisation!$H$4+(RAND()-0.5)*2*$B$7))</f>
        <v>77.67107488258371</v>
      </c>
      <c r="X37" s="54">
        <f ca="1">MIN(100,MAX(0,MCDA_Prioritisation!$H$5+(RAND()-0.5)*2*$B$7))</f>
        <v>69.613264862064938</v>
      </c>
      <c r="Y37" s="54">
        <f ca="1">H37*MCDA_Prioritisation!$D$2+I37*MCDA_Prioritisation!$E$2+J37*M37+K37*Q37+L37*U37</f>
        <v>87.615936288712348</v>
      </c>
      <c r="Z37" s="54">
        <f ca="1">H37*MCDA_Prioritisation!$D$3+I37*MCDA_Prioritisation!$E$3+J37*N37+K37*R37+L37*V37</f>
        <v>83.082370588420673</v>
      </c>
      <c r="AA37" s="54">
        <f ca="1">H37*MCDA_Prioritisation!$D$4+I37*MCDA_Prioritisation!$E$4+J37*O37+K37*S37+L37*W37</f>
        <v>72.717170102192711</v>
      </c>
      <c r="AB37" s="54">
        <f ca="1">H37*MCDA_Prioritisation!$D$5+I37*MCDA_Prioritisation!$E$5+J37*P37+K37*T37+L37*X37</f>
        <v>71.70605722882658</v>
      </c>
      <c r="AC37" s="54">
        <f t="shared" ca="1" si="6"/>
        <v>1</v>
      </c>
      <c r="AD37" s="54">
        <f t="shared" ca="1" si="7"/>
        <v>2</v>
      </c>
      <c r="AE37" s="54">
        <f t="shared" ca="1" si="8"/>
        <v>3</v>
      </c>
      <c r="AF37" s="54">
        <f t="shared" ca="1" si="9"/>
        <v>4</v>
      </c>
      <c r="AG37" s="54">
        <f t="shared" ca="1" si="10"/>
        <v>1</v>
      </c>
      <c r="AH37" s="54">
        <f t="shared" ca="1" si="11"/>
        <v>1</v>
      </c>
      <c r="AI37" s="54">
        <f t="shared" ca="1" si="12"/>
        <v>1</v>
      </c>
      <c r="AJ37" s="54">
        <f t="shared" ca="1" si="13"/>
        <v>1</v>
      </c>
    </row>
    <row r="38" spans="1:36" x14ac:dyDescent="0.2">
      <c r="A38" s="54">
        <v>15</v>
      </c>
      <c r="B38" s="54">
        <f ca="1">MAX(0.02,MCDA_Prioritisation!$B$9+(RAND()-0.5)*2*$B$6)</f>
        <v>0.24747123221686224</v>
      </c>
      <c r="C38" s="54">
        <f ca="1">MAX(0.02,MCDA_Prioritisation!$B$10+(RAND()-0.5)*2*$B$6)</f>
        <v>0.26510758348994512</v>
      </c>
      <c r="D38" s="54">
        <f ca="1">MAX(0.02,MCDA_Prioritisation!$B$11+(RAND()-0.5)*2*$B$6)</f>
        <v>0.19278713877308443</v>
      </c>
      <c r="E38" s="54">
        <f ca="1">MAX(0.02,MCDA_Prioritisation!$B$12+(RAND()-0.5)*2*$B$6)</f>
        <v>0.19660343903828012</v>
      </c>
      <c r="F38" s="54">
        <f ca="1">MAX(0.02,MCDA_Prioritisation!$B$13+(RAND()-0.5)*2*$B$6)</f>
        <v>7.9806674432662941E-2</v>
      </c>
      <c r="G38" s="54">
        <f t="shared" ca="1" si="0"/>
        <v>0.98177606795083494</v>
      </c>
      <c r="H38" s="54">
        <f t="shared" ca="1" si="1"/>
        <v>0.25206484482086094</v>
      </c>
      <c r="I38" s="54">
        <f t="shared" ca="1" si="2"/>
        <v>0.27002856572301487</v>
      </c>
      <c r="J38" s="54">
        <f t="shared" ca="1" si="3"/>
        <v>0.19636569383430802</v>
      </c>
      <c r="K38" s="54">
        <f t="shared" ca="1" si="4"/>
        <v>0.20025283306062983</v>
      </c>
      <c r="L38" s="54">
        <f t="shared" ca="1" si="5"/>
        <v>8.1288062561186272E-2</v>
      </c>
      <c r="M38" s="54">
        <f ca="1">MIN(100,MAX(0,MCDA_Prioritisation!$F$2+(RAND()-0.5)*2*$B$7))</f>
        <v>82.286403175191992</v>
      </c>
      <c r="N38" s="54">
        <f ca="1">MIN(100,MAX(0,MCDA_Prioritisation!$F$3+(RAND()-0.5)*2*$B$7))</f>
        <v>86.48223121631149</v>
      </c>
      <c r="O38" s="54">
        <f ca="1">MIN(100,MAX(0,MCDA_Prioritisation!$F$4+(RAND()-0.5)*2*$B$7))</f>
        <v>93.994681444667776</v>
      </c>
      <c r="P38" s="54">
        <f ca="1">MIN(100,MAX(0,MCDA_Prioritisation!$F$5+(RAND()-0.5)*2*$B$7))</f>
        <v>70.224418565998562</v>
      </c>
      <c r="Q38" s="54">
        <f ca="1">MIN(100,MAX(0,MCDA_Prioritisation!$G$2+(RAND()-0.5)*2*$B$7))</f>
        <v>83.89520845816385</v>
      </c>
      <c r="R38" s="54">
        <f ca="1">MIN(100,MAX(0,MCDA_Prioritisation!$G$3+(RAND()-0.5)*2*$B$7))</f>
        <v>100</v>
      </c>
      <c r="S38" s="54">
        <f ca="1">MIN(100,MAX(0,MCDA_Prioritisation!$G$4+(RAND()-0.5)*2*$B$7))</f>
        <v>84.160420227092374</v>
      </c>
      <c r="T38" s="54">
        <f ca="1">MIN(100,MAX(0,MCDA_Prioritisation!$G$5+(RAND()-0.5)*2*$B$7))</f>
        <v>74.12083227144285</v>
      </c>
      <c r="U38" s="54">
        <f ca="1">MIN(100,MAX(0,MCDA_Prioritisation!$H$2+(RAND()-0.5)*2*$B$7))</f>
        <v>68.298015491524751</v>
      </c>
      <c r="V38" s="54">
        <f ca="1">MIN(100,MAX(0,MCDA_Prioritisation!$H$3+(RAND()-0.5)*2*$B$7))</f>
        <v>63.572940244895449</v>
      </c>
      <c r="W38" s="54">
        <f ca="1">MIN(100,MAX(0,MCDA_Prioritisation!$H$4+(RAND()-0.5)*2*$B$7))</f>
        <v>87.98707098125206</v>
      </c>
      <c r="X38" s="54">
        <f ca="1">MIN(100,MAX(0,MCDA_Prioritisation!$H$5+(RAND()-0.5)*2*$B$7))</f>
        <v>79.320807361980556</v>
      </c>
      <c r="Y38" s="54">
        <f ca="1">H38*MCDA_Prioritisation!$D$2+I38*MCDA_Prioritisation!$E$2+J38*M38+K38*Q38+L38*U38</f>
        <v>90.719634237053114</v>
      </c>
      <c r="Z38" s="54">
        <f ca="1">H38*MCDA_Prioritisation!$D$3+I38*MCDA_Prioritisation!$E$3+J38*N38+K38*R38+L38*V38</f>
        <v>83.843259656403973</v>
      </c>
      <c r="AA38" s="54">
        <f ca="1">H38*MCDA_Prioritisation!$D$4+I38*MCDA_Prioritisation!$E$4+J38*O38+K38*S38+L38*W38</f>
        <v>74.744136813558882</v>
      </c>
      <c r="AB38" s="54">
        <f ca="1">H38*MCDA_Prioritisation!$D$5+I38*MCDA_Prioritisation!$E$5+J38*P38+K38*T38+L38*X38</f>
        <v>71.165921582070212</v>
      </c>
      <c r="AC38" s="54">
        <f t="shared" ca="1" si="6"/>
        <v>1</v>
      </c>
      <c r="AD38" s="54">
        <f t="shared" ca="1" si="7"/>
        <v>2</v>
      </c>
      <c r="AE38" s="54">
        <f t="shared" ca="1" si="8"/>
        <v>3</v>
      </c>
      <c r="AF38" s="54">
        <f t="shared" ca="1" si="9"/>
        <v>4</v>
      </c>
      <c r="AG38" s="54">
        <f t="shared" ca="1" si="10"/>
        <v>1</v>
      </c>
      <c r="AH38" s="54">
        <f t="shared" ca="1" si="11"/>
        <v>1</v>
      </c>
      <c r="AI38" s="54">
        <f t="shared" ca="1" si="12"/>
        <v>1</v>
      </c>
      <c r="AJ38" s="54">
        <f t="shared" ca="1" si="13"/>
        <v>1</v>
      </c>
    </row>
    <row r="39" spans="1:36" x14ac:dyDescent="0.2">
      <c r="A39" s="54">
        <v>16</v>
      </c>
      <c r="B39" s="54">
        <f ca="1">MAX(0.02,MCDA_Prioritisation!$B$9+(RAND()-0.5)*2*$B$6)</f>
        <v>0.1668965324299696</v>
      </c>
      <c r="C39" s="54">
        <f ca="1">MAX(0.02,MCDA_Prioritisation!$B$10+(RAND()-0.5)*2*$B$6)</f>
        <v>0.29194386545799161</v>
      </c>
      <c r="D39" s="54">
        <f ca="1">MAX(0.02,MCDA_Prioritisation!$B$11+(RAND()-0.5)*2*$B$6)</f>
        <v>0.25728847777455088</v>
      </c>
      <c r="E39" s="54">
        <f ca="1">MAX(0.02,MCDA_Prioritisation!$B$12+(RAND()-0.5)*2*$B$6)</f>
        <v>8.4976297214512234E-2</v>
      </c>
      <c r="F39" s="54">
        <f ca="1">MAX(0.02,MCDA_Prioritisation!$B$13+(RAND()-0.5)*2*$B$6)</f>
        <v>0.22797481395533478</v>
      </c>
      <c r="G39" s="54">
        <f t="shared" ca="1" si="0"/>
        <v>1.0290799868323592</v>
      </c>
      <c r="H39" s="54">
        <f t="shared" ca="1" si="1"/>
        <v>0.16218033055302011</v>
      </c>
      <c r="I39" s="54">
        <f t="shared" ca="1" si="2"/>
        <v>0.28369404632640116</v>
      </c>
      <c r="J39" s="54">
        <f t="shared" ca="1" si="3"/>
        <v>0.25001795882409295</v>
      </c>
      <c r="K39" s="54">
        <f t="shared" ca="1" si="4"/>
        <v>8.2575016812910934E-2</v>
      </c>
      <c r="L39" s="54">
        <f t="shared" ca="1" si="5"/>
        <v>0.22153264748357474</v>
      </c>
      <c r="M39" s="54">
        <f ca="1">MIN(100,MAX(0,MCDA_Prioritisation!$F$2+(RAND()-0.5)*2*$B$7))</f>
        <v>77.33827742899534</v>
      </c>
      <c r="N39" s="54">
        <f ca="1">MIN(100,MAX(0,MCDA_Prioritisation!$F$3+(RAND()-0.5)*2*$B$7))</f>
        <v>100</v>
      </c>
      <c r="O39" s="54">
        <f ca="1">MIN(100,MAX(0,MCDA_Prioritisation!$F$4+(RAND()-0.5)*2*$B$7))</f>
        <v>91.329959339452316</v>
      </c>
      <c r="P39" s="54">
        <f ca="1">MIN(100,MAX(0,MCDA_Prioritisation!$F$5+(RAND()-0.5)*2*$B$7))</f>
        <v>70.631194988544777</v>
      </c>
      <c r="Q39" s="54">
        <f ca="1">MIN(100,MAX(0,MCDA_Prioritisation!$G$2+(RAND()-0.5)*2*$B$7))</f>
        <v>82.554899917562196</v>
      </c>
      <c r="R39" s="54">
        <f ca="1">MIN(100,MAX(0,MCDA_Prioritisation!$G$3+(RAND()-0.5)*2*$B$7))</f>
        <v>97.851422515785401</v>
      </c>
      <c r="S39" s="54">
        <f ca="1">MIN(100,MAX(0,MCDA_Prioritisation!$G$4+(RAND()-0.5)*2*$B$7))</f>
        <v>85.192473665558623</v>
      </c>
      <c r="T39" s="54">
        <f ca="1">MIN(100,MAX(0,MCDA_Prioritisation!$G$5+(RAND()-0.5)*2*$B$7))</f>
        <v>67.440581707863728</v>
      </c>
      <c r="U39" s="54">
        <f ca="1">MIN(100,MAX(0,MCDA_Prioritisation!$H$2+(RAND()-0.5)*2*$B$7))</f>
        <v>61.895560287773932</v>
      </c>
      <c r="V39" s="54">
        <f ca="1">MIN(100,MAX(0,MCDA_Prioritisation!$H$3+(RAND()-0.5)*2*$B$7))</f>
        <v>51.368727360042662</v>
      </c>
      <c r="W39" s="54">
        <f ca="1">MIN(100,MAX(0,MCDA_Prioritisation!$H$4+(RAND()-0.5)*2*$B$7))</f>
        <v>71.383225832317521</v>
      </c>
      <c r="X39" s="54">
        <f ca="1">MIN(100,MAX(0,MCDA_Prioritisation!$H$5+(RAND()-0.5)*2*$B$7))</f>
        <v>66.772997795103549</v>
      </c>
      <c r="Y39" s="54">
        <f ca="1">H39*MCDA_Prioritisation!$D$2+I39*MCDA_Prioritisation!$E$2+J39*M39+K39*Q39+L39*U39</f>
        <v>84.452255536421617</v>
      </c>
      <c r="Z39" s="54">
        <f ca="1">H39*MCDA_Prioritisation!$D$3+I39*MCDA_Prioritisation!$E$3+J39*N39+K39*R39+L39*V39</f>
        <v>79.268071470501511</v>
      </c>
      <c r="AA39" s="54">
        <f ca="1">H39*MCDA_Prioritisation!$D$4+I39*MCDA_Prioritisation!$E$4+J39*O39+K39*S39+L39*W39</f>
        <v>72.45012049839093</v>
      </c>
      <c r="AB39" s="54">
        <f ca="1">H39*MCDA_Prioritisation!$D$5+I39*MCDA_Prioritisation!$E$5+J39*P39+K39*T39+L39*X39</f>
        <v>70.484328965673583</v>
      </c>
      <c r="AC39" s="54">
        <f t="shared" ca="1" si="6"/>
        <v>1</v>
      </c>
      <c r="AD39" s="54">
        <f t="shared" ca="1" si="7"/>
        <v>2</v>
      </c>
      <c r="AE39" s="54">
        <f t="shared" ca="1" si="8"/>
        <v>3</v>
      </c>
      <c r="AF39" s="54">
        <f t="shared" ca="1" si="9"/>
        <v>4</v>
      </c>
      <c r="AG39" s="54">
        <f t="shared" ca="1" si="10"/>
        <v>1</v>
      </c>
      <c r="AH39" s="54">
        <f t="shared" ca="1" si="11"/>
        <v>1</v>
      </c>
      <c r="AI39" s="54">
        <f t="shared" ca="1" si="12"/>
        <v>1</v>
      </c>
      <c r="AJ39" s="54">
        <f t="shared" ca="1" si="13"/>
        <v>1</v>
      </c>
    </row>
    <row r="40" spans="1:36" x14ac:dyDescent="0.2">
      <c r="A40" s="54">
        <v>17</v>
      </c>
      <c r="B40" s="54">
        <f ca="1">MAX(0.02,MCDA_Prioritisation!$B$9+(RAND()-0.5)*2*$B$6)</f>
        <v>0.24659607555515586</v>
      </c>
      <c r="C40" s="54">
        <f ca="1">MAX(0.02,MCDA_Prioritisation!$B$10+(RAND()-0.5)*2*$B$6)</f>
        <v>0.23442575472247357</v>
      </c>
      <c r="D40" s="54">
        <f ca="1">MAX(0.02,MCDA_Prioritisation!$B$11+(RAND()-0.5)*2*$B$6)</f>
        <v>0.28819640775668709</v>
      </c>
      <c r="E40" s="54">
        <f ca="1">MAX(0.02,MCDA_Prioritisation!$B$12+(RAND()-0.5)*2*$B$6)</f>
        <v>0.1289170402720953</v>
      </c>
      <c r="F40" s="54">
        <f ca="1">MAX(0.02,MCDA_Prioritisation!$B$13+(RAND()-0.5)*2*$B$6)</f>
        <v>8.0871109933697657E-2</v>
      </c>
      <c r="G40" s="54">
        <f t="shared" ca="1" si="0"/>
        <v>0.97900638824010944</v>
      </c>
      <c r="H40" s="54">
        <f t="shared" ca="1" si="1"/>
        <v>0.25188403111285534</v>
      </c>
      <c r="I40" s="54">
        <f t="shared" ca="1" si="2"/>
        <v>0.23945273242178142</v>
      </c>
      <c r="J40" s="54">
        <f t="shared" ca="1" si="3"/>
        <v>0.2943764322873903</v>
      </c>
      <c r="K40" s="54">
        <f t="shared" ca="1" si="4"/>
        <v>0.13168151078548154</v>
      </c>
      <c r="L40" s="54">
        <f t="shared" ca="1" si="5"/>
        <v>8.260529339249148E-2</v>
      </c>
      <c r="M40" s="54">
        <f ca="1">MIN(100,MAX(0,MCDA_Prioritisation!$F$2+(RAND()-0.5)*2*$B$7))</f>
        <v>82.599169563991865</v>
      </c>
      <c r="N40" s="54">
        <f ca="1">MIN(100,MAX(0,MCDA_Prioritisation!$F$3+(RAND()-0.5)*2*$B$7))</f>
        <v>97.43637048168786</v>
      </c>
      <c r="O40" s="54">
        <f ca="1">MIN(100,MAX(0,MCDA_Prioritisation!$F$4+(RAND()-0.5)*2*$B$7))</f>
        <v>99.955169390923672</v>
      </c>
      <c r="P40" s="54">
        <f ca="1">MIN(100,MAX(0,MCDA_Prioritisation!$F$5+(RAND()-0.5)*2*$B$7))</f>
        <v>74.568419950023213</v>
      </c>
      <c r="Q40" s="54">
        <f ca="1">MIN(100,MAX(0,MCDA_Prioritisation!$G$2+(RAND()-0.5)*2*$B$7))</f>
        <v>87.933324258922937</v>
      </c>
      <c r="R40" s="54">
        <f ca="1">MIN(100,MAX(0,MCDA_Prioritisation!$G$3+(RAND()-0.5)*2*$B$7))</f>
        <v>100</v>
      </c>
      <c r="S40" s="54">
        <f ca="1">MIN(100,MAX(0,MCDA_Prioritisation!$G$4+(RAND()-0.5)*2*$B$7))</f>
        <v>91.560360003262218</v>
      </c>
      <c r="T40" s="54">
        <f ca="1">MIN(100,MAX(0,MCDA_Prioritisation!$G$5+(RAND()-0.5)*2*$B$7))</f>
        <v>62.367270858669357</v>
      </c>
      <c r="U40" s="54">
        <f ca="1">MIN(100,MAX(0,MCDA_Prioritisation!$H$2+(RAND()-0.5)*2*$B$7))</f>
        <v>68.21064555254722</v>
      </c>
      <c r="V40" s="54">
        <f ca="1">MIN(100,MAX(0,MCDA_Prioritisation!$H$3+(RAND()-0.5)*2*$B$7))</f>
        <v>50.575384986791292</v>
      </c>
      <c r="W40" s="54">
        <f ca="1">MIN(100,MAX(0,MCDA_Prioritisation!$H$4+(RAND()-0.5)*2*$B$7))</f>
        <v>77.054509890876318</v>
      </c>
      <c r="X40" s="54">
        <f ca="1">MIN(100,MAX(0,MCDA_Prioritisation!$H$5+(RAND()-0.5)*2*$B$7))</f>
        <v>73.880162142108219</v>
      </c>
      <c r="Y40" s="54">
        <f ca="1">H40*MCDA_Prioritisation!$D$2+I40*MCDA_Prioritisation!$E$2+J40*M40+K40*Q40+L40*U40</f>
        <v>90.662678574776805</v>
      </c>
      <c r="Z40" s="54">
        <f ca="1">H40*MCDA_Prioritisation!$D$3+I40*MCDA_Prioritisation!$E$3+J40*N40+K40*R40+L40*V40</f>
        <v>85.457529066700246</v>
      </c>
      <c r="AA40" s="54">
        <f ca="1">H40*MCDA_Prioritisation!$D$4+I40*MCDA_Prioritisation!$E$4+J40*O40+K40*S40+L40*W40</f>
        <v>78.447144417202736</v>
      </c>
      <c r="AB40" s="54">
        <f ca="1">H40*MCDA_Prioritisation!$D$5+I40*MCDA_Prioritisation!$E$5+J40*P40+K40*T40+L40*X40</f>
        <v>69.771461382943471</v>
      </c>
      <c r="AC40" s="54">
        <f t="shared" ca="1" si="6"/>
        <v>1</v>
      </c>
      <c r="AD40" s="54">
        <f t="shared" ca="1" si="7"/>
        <v>2</v>
      </c>
      <c r="AE40" s="54">
        <f t="shared" ca="1" si="8"/>
        <v>3</v>
      </c>
      <c r="AF40" s="54">
        <f t="shared" ca="1" si="9"/>
        <v>4</v>
      </c>
      <c r="AG40" s="54">
        <f t="shared" ca="1" si="10"/>
        <v>1</v>
      </c>
      <c r="AH40" s="54">
        <f t="shared" ca="1" si="11"/>
        <v>1</v>
      </c>
      <c r="AI40" s="54">
        <f t="shared" ca="1" si="12"/>
        <v>1</v>
      </c>
      <c r="AJ40" s="54">
        <f t="shared" ca="1" si="13"/>
        <v>1</v>
      </c>
    </row>
    <row r="41" spans="1:36" x14ac:dyDescent="0.2">
      <c r="A41" s="54">
        <v>18</v>
      </c>
      <c r="B41" s="54">
        <f ca="1">MAX(0.02,MCDA_Prioritisation!$B$9+(RAND()-0.5)*2*$B$6)</f>
        <v>0.17468805080551364</v>
      </c>
      <c r="C41" s="54">
        <f ca="1">MAX(0.02,MCDA_Prioritisation!$B$10+(RAND()-0.5)*2*$B$6)</f>
        <v>0.29240043118542841</v>
      </c>
      <c r="D41" s="54">
        <f ca="1">MAX(0.02,MCDA_Prioritisation!$B$11+(RAND()-0.5)*2*$B$6)</f>
        <v>0.22683160824426488</v>
      </c>
      <c r="E41" s="54">
        <f ca="1">MAX(0.02,MCDA_Prioritisation!$B$12+(RAND()-0.5)*2*$B$6)</f>
        <v>0.1873625342077552</v>
      </c>
      <c r="F41" s="54">
        <f ca="1">MAX(0.02,MCDA_Prioritisation!$B$13+(RAND()-0.5)*2*$B$6)</f>
        <v>0.12939515877937036</v>
      </c>
      <c r="G41" s="54">
        <f t="shared" ca="1" si="0"/>
        <v>1.0106777832223326</v>
      </c>
      <c r="H41" s="54">
        <f t="shared" ca="1" si="1"/>
        <v>0.1728424763118446</v>
      </c>
      <c r="I41" s="54">
        <f t="shared" ca="1" si="2"/>
        <v>0.28931122860262287</v>
      </c>
      <c r="J41" s="54">
        <f t="shared" ca="1" si="3"/>
        <v>0.22443513848801566</v>
      </c>
      <c r="K41" s="54">
        <f t="shared" ca="1" si="4"/>
        <v>0.18538305414252734</v>
      </c>
      <c r="L41" s="54">
        <f t="shared" ca="1" si="5"/>
        <v>0.12802810245498938</v>
      </c>
      <c r="M41" s="54">
        <f ca="1">MIN(100,MAX(0,MCDA_Prioritisation!$F$2+(RAND()-0.5)*2*$B$7))</f>
        <v>94.376816659524508</v>
      </c>
      <c r="N41" s="54">
        <f ca="1">MIN(100,MAX(0,MCDA_Prioritisation!$F$3+(RAND()-0.5)*2*$B$7))</f>
        <v>88.663384110814349</v>
      </c>
      <c r="O41" s="54">
        <f ca="1">MIN(100,MAX(0,MCDA_Prioritisation!$F$4+(RAND()-0.5)*2*$B$7))</f>
        <v>98.573068806837995</v>
      </c>
      <c r="P41" s="54">
        <f ca="1">MIN(100,MAX(0,MCDA_Prioritisation!$F$5+(RAND()-0.5)*2*$B$7))</f>
        <v>68.244632828150841</v>
      </c>
      <c r="Q41" s="54">
        <f ca="1">MIN(100,MAX(0,MCDA_Prioritisation!$G$2+(RAND()-0.5)*2*$B$7))</f>
        <v>74.947589453752428</v>
      </c>
      <c r="R41" s="54">
        <f ca="1">MIN(100,MAX(0,MCDA_Prioritisation!$G$3+(RAND()-0.5)*2*$B$7))</f>
        <v>93.095641960765334</v>
      </c>
      <c r="S41" s="54">
        <f ca="1">MIN(100,MAX(0,MCDA_Prioritisation!$G$4+(RAND()-0.5)*2*$B$7))</f>
        <v>93.990847914824897</v>
      </c>
      <c r="T41" s="54">
        <f ca="1">MIN(100,MAX(0,MCDA_Prioritisation!$G$5+(RAND()-0.5)*2*$B$7))</f>
        <v>76.472288823154074</v>
      </c>
      <c r="U41" s="54">
        <f ca="1">MIN(100,MAX(0,MCDA_Prioritisation!$H$2+(RAND()-0.5)*2*$B$7))</f>
        <v>64.375381535746229</v>
      </c>
      <c r="V41" s="54">
        <f ca="1">MIN(100,MAX(0,MCDA_Prioritisation!$H$3+(RAND()-0.5)*2*$B$7))</f>
        <v>54.003101641759258</v>
      </c>
      <c r="W41" s="54">
        <f ca="1">MIN(100,MAX(0,MCDA_Prioritisation!$H$4+(RAND()-0.5)*2*$B$7))</f>
        <v>87.521112638916875</v>
      </c>
      <c r="X41" s="54">
        <f ca="1">MIN(100,MAX(0,MCDA_Prioritisation!$H$5+(RAND()-0.5)*2*$B$7))</f>
        <v>81.383214414994171</v>
      </c>
      <c r="Y41" s="54">
        <f ca="1">H41*MCDA_Prioritisation!$D$2+I41*MCDA_Prioritisation!$E$2+J41*M41+K41*Q41+L41*U41</f>
        <v>89.532715384879651</v>
      </c>
      <c r="Z41" s="54">
        <f ca="1">H41*MCDA_Prioritisation!$D$3+I41*MCDA_Prioritisation!$E$3+J41*N41+K41*R41+L41*V41</f>
        <v>80.218150700814519</v>
      </c>
      <c r="AA41" s="54">
        <f ca="1">H41*MCDA_Prioritisation!$D$4+I41*MCDA_Prioritisation!$E$4+J41*O41+K41*S41+L41*W41</f>
        <v>78.569079220362013</v>
      </c>
      <c r="AB41" s="54">
        <f ca="1">H41*MCDA_Prioritisation!$D$5+I41*MCDA_Prioritisation!$E$5+J41*P41+K41*T41+L41*X41</f>
        <v>73.414711045059022</v>
      </c>
      <c r="AC41" s="54">
        <f t="shared" ca="1" si="6"/>
        <v>1</v>
      </c>
      <c r="AD41" s="54">
        <f t="shared" ca="1" si="7"/>
        <v>2</v>
      </c>
      <c r="AE41" s="54">
        <f t="shared" ca="1" si="8"/>
        <v>3</v>
      </c>
      <c r="AF41" s="54">
        <f t="shared" ca="1" si="9"/>
        <v>4</v>
      </c>
      <c r="AG41" s="54">
        <f t="shared" ca="1" si="10"/>
        <v>1</v>
      </c>
      <c r="AH41" s="54">
        <f t="shared" ca="1" si="11"/>
        <v>1</v>
      </c>
      <c r="AI41" s="54">
        <f t="shared" ca="1" si="12"/>
        <v>1</v>
      </c>
      <c r="AJ41" s="54">
        <f t="shared" ca="1" si="13"/>
        <v>1</v>
      </c>
    </row>
    <row r="42" spans="1:36" x14ac:dyDescent="0.2">
      <c r="A42" s="54">
        <v>19</v>
      </c>
      <c r="B42" s="54">
        <f ca="1">MAX(0.02,MCDA_Prioritisation!$B$9+(RAND()-0.5)*2*$B$6)</f>
        <v>0.20113579000960194</v>
      </c>
      <c r="C42" s="54">
        <f ca="1">MAX(0.02,MCDA_Prioritisation!$B$10+(RAND()-0.5)*2*$B$6)</f>
        <v>0.22431131012467767</v>
      </c>
      <c r="D42" s="54">
        <f ca="1">MAX(0.02,MCDA_Prioritisation!$B$11+(RAND()-0.5)*2*$B$6)</f>
        <v>0.24718439457878985</v>
      </c>
      <c r="E42" s="54">
        <f ca="1">MAX(0.02,MCDA_Prioritisation!$B$12+(RAND()-0.5)*2*$B$6)</f>
        <v>0.15902598081347152</v>
      </c>
      <c r="F42" s="54">
        <f ca="1">MAX(0.02,MCDA_Prioritisation!$B$13+(RAND()-0.5)*2*$B$6)</f>
        <v>0.16387638656382347</v>
      </c>
      <c r="G42" s="54">
        <f t="shared" ca="1" si="0"/>
        <v>0.99553386209036443</v>
      </c>
      <c r="H42" s="54">
        <f t="shared" ca="1" si="1"/>
        <v>0.20203812011704819</v>
      </c>
      <c r="I42" s="54">
        <f t="shared" ca="1" si="2"/>
        <v>0.22531760964281189</v>
      </c>
      <c r="J42" s="54">
        <f t="shared" ca="1" si="3"/>
        <v>0.24829330672867958</v>
      </c>
      <c r="K42" s="54">
        <f t="shared" ca="1" si="4"/>
        <v>0.15973939899900338</v>
      </c>
      <c r="L42" s="54">
        <f t="shared" ca="1" si="5"/>
        <v>0.16461156451245698</v>
      </c>
      <c r="M42" s="54">
        <f ca="1">MIN(100,MAX(0,MCDA_Prioritisation!$F$2+(RAND()-0.5)*2*$B$7))</f>
        <v>82.823916856780414</v>
      </c>
      <c r="N42" s="54">
        <f ca="1">MIN(100,MAX(0,MCDA_Prioritisation!$F$3+(RAND()-0.5)*2*$B$7))</f>
        <v>92.28618889646097</v>
      </c>
      <c r="O42" s="54">
        <f ca="1">MIN(100,MAX(0,MCDA_Prioritisation!$F$4+(RAND()-0.5)*2*$B$7))</f>
        <v>98.053341874372933</v>
      </c>
      <c r="P42" s="54">
        <f ca="1">MIN(100,MAX(0,MCDA_Prioritisation!$F$5+(RAND()-0.5)*2*$B$7))</f>
        <v>83.946740242086832</v>
      </c>
      <c r="Q42" s="54">
        <f ca="1">MIN(100,MAX(0,MCDA_Prioritisation!$G$2+(RAND()-0.5)*2*$B$7))</f>
        <v>85.558574798825887</v>
      </c>
      <c r="R42" s="54">
        <f ca="1">MIN(100,MAX(0,MCDA_Prioritisation!$G$3+(RAND()-0.5)*2*$B$7))</f>
        <v>100</v>
      </c>
      <c r="S42" s="54">
        <f ca="1">MIN(100,MAX(0,MCDA_Prioritisation!$G$4+(RAND()-0.5)*2*$B$7))</f>
        <v>80.263641326094231</v>
      </c>
      <c r="T42" s="54">
        <f ca="1">MIN(100,MAX(0,MCDA_Prioritisation!$G$5+(RAND()-0.5)*2*$B$7))</f>
        <v>75.537013128411701</v>
      </c>
      <c r="U42" s="54">
        <f ca="1">MIN(100,MAX(0,MCDA_Prioritisation!$H$2+(RAND()-0.5)*2*$B$7))</f>
        <v>74.434371856202958</v>
      </c>
      <c r="V42" s="54">
        <f ca="1">MIN(100,MAX(0,MCDA_Prioritisation!$H$3+(RAND()-0.5)*2*$B$7))</f>
        <v>63.438921136935065</v>
      </c>
      <c r="W42" s="54">
        <f ca="1">MIN(100,MAX(0,MCDA_Prioritisation!$H$4+(RAND()-0.5)*2*$B$7))</f>
        <v>73.115316728110173</v>
      </c>
      <c r="X42" s="54">
        <f ca="1">MIN(100,MAX(0,MCDA_Prioritisation!$H$5+(RAND()-0.5)*2*$B$7))</f>
        <v>70.551865279602168</v>
      </c>
      <c r="Y42" s="54">
        <f ca="1">H42*MCDA_Prioritisation!$D$2+I42*MCDA_Prioritisation!$E$2+J42*M42+K42*Q42+L42*U42</f>
        <v>89.220030890904525</v>
      </c>
      <c r="Z42" s="54">
        <f ca="1">H42*MCDA_Prioritisation!$D$3+I42*MCDA_Prioritisation!$E$3+J42*N42+K42*R42+L42*V42</f>
        <v>83.374991320725783</v>
      </c>
      <c r="AA42" s="54">
        <f ca="1">H42*MCDA_Prioritisation!$D$4+I42*MCDA_Prioritisation!$E$4+J42*O42+K42*S42+L42*W42</f>
        <v>75.561679411723816</v>
      </c>
      <c r="AB42" s="54">
        <f ca="1">H42*MCDA_Prioritisation!$D$5+I42*MCDA_Prioritisation!$E$5+J42*P42+K42*T42+L42*X42</f>
        <v>74.193819358260171</v>
      </c>
      <c r="AC42" s="54">
        <f t="shared" ca="1" si="6"/>
        <v>1</v>
      </c>
      <c r="AD42" s="54">
        <f t="shared" ca="1" si="7"/>
        <v>2</v>
      </c>
      <c r="AE42" s="54">
        <f t="shared" ca="1" si="8"/>
        <v>3</v>
      </c>
      <c r="AF42" s="54">
        <f t="shared" ca="1" si="9"/>
        <v>4</v>
      </c>
      <c r="AG42" s="54">
        <f t="shared" ca="1" si="10"/>
        <v>1</v>
      </c>
      <c r="AH42" s="54">
        <f t="shared" ca="1" si="11"/>
        <v>1</v>
      </c>
      <c r="AI42" s="54">
        <f t="shared" ca="1" si="12"/>
        <v>1</v>
      </c>
      <c r="AJ42" s="54">
        <f t="shared" ca="1" si="13"/>
        <v>1</v>
      </c>
    </row>
    <row r="43" spans="1:36" x14ac:dyDescent="0.2">
      <c r="A43" s="54">
        <v>20</v>
      </c>
      <c r="B43" s="54">
        <f ca="1">MAX(0.02,MCDA_Prioritisation!$B$9+(RAND()-0.5)*2*$B$6)</f>
        <v>0.12176638599215399</v>
      </c>
      <c r="C43" s="54">
        <f ca="1">MAX(0.02,MCDA_Prioritisation!$B$10+(RAND()-0.5)*2*$B$6)</f>
        <v>0.20220644062043813</v>
      </c>
      <c r="D43" s="54">
        <f ca="1">MAX(0.02,MCDA_Prioritisation!$B$11+(RAND()-0.5)*2*$B$6)</f>
        <v>0.27648013393114468</v>
      </c>
      <c r="E43" s="54">
        <f ca="1">MAX(0.02,MCDA_Prioritisation!$B$12+(RAND()-0.5)*2*$B$6)</f>
        <v>0.14217039770983886</v>
      </c>
      <c r="F43" s="54">
        <f ca="1">MAX(0.02,MCDA_Prioritisation!$B$13+(RAND()-0.5)*2*$B$6)</f>
        <v>0.13026695270438188</v>
      </c>
      <c r="G43" s="54">
        <f t="shared" ca="1" si="0"/>
        <v>0.87289031095795755</v>
      </c>
      <c r="H43" s="54">
        <f t="shared" ca="1" si="1"/>
        <v>0.13949792369504124</v>
      </c>
      <c r="I43" s="54">
        <f t="shared" ca="1" si="2"/>
        <v>0.23165160396674095</v>
      </c>
      <c r="J43" s="54">
        <f t="shared" ca="1" si="3"/>
        <v>0.31674098161053049</v>
      </c>
      <c r="K43" s="54">
        <f t="shared" ca="1" si="4"/>
        <v>0.16287315361974095</v>
      </c>
      <c r="L43" s="54">
        <f t="shared" ca="1" si="5"/>
        <v>0.14923633710794637</v>
      </c>
      <c r="M43" s="54">
        <f ca="1">MIN(100,MAX(0,MCDA_Prioritisation!$F$2+(RAND()-0.5)*2*$B$7))</f>
        <v>82.717177071888045</v>
      </c>
      <c r="N43" s="54">
        <f ca="1">MIN(100,MAX(0,MCDA_Prioritisation!$F$3+(RAND()-0.5)*2*$B$7))</f>
        <v>91.668595203806575</v>
      </c>
      <c r="O43" s="54">
        <f ca="1">MIN(100,MAX(0,MCDA_Prioritisation!$F$4+(RAND()-0.5)*2*$B$7))</f>
        <v>85.712476020876395</v>
      </c>
      <c r="P43" s="54">
        <f ca="1">MIN(100,MAX(0,MCDA_Prioritisation!$F$5+(RAND()-0.5)*2*$B$7))</f>
        <v>82.345722965950529</v>
      </c>
      <c r="Q43" s="54">
        <f ca="1">MIN(100,MAX(0,MCDA_Prioritisation!$G$2+(RAND()-0.5)*2*$B$7))</f>
        <v>77.868372596142109</v>
      </c>
      <c r="R43" s="54">
        <f ca="1">MIN(100,MAX(0,MCDA_Prioritisation!$G$3+(RAND()-0.5)*2*$B$7))</f>
        <v>94.653437654888634</v>
      </c>
      <c r="S43" s="54">
        <f ca="1">MIN(100,MAX(0,MCDA_Prioritisation!$G$4+(RAND()-0.5)*2*$B$7))</f>
        <v>91.068835137151709</v>
      </c>
      <c r="T43" s="54">
        <f ca="1">MIN(100,MAX(0,MCDA_Prioritisation!$G$5+(RAND()-0.5)*2*$B$7))</f>
        <v>72.410786114635357</v>
      </c>
      <c r="U43" s="54">
        <f ca="1">MIN(100,MAX(0,MCDA_Prioritisation!$H$2+(RAND()-0.5)*2*$B$7))</f>
        <v>68.885850485101599</v>
      </c>
      <c r="V43" s="54">
        <f ca="1">MIN(100,MAX(0,MCDA_Prioritisation!$H$3+(RAND()-0.5)*2*$B$7))</f>
        <v>56.517429864559027</v>
      </c>
      <c r="W43" s="54">
        <f ca="1">MIN(100,MAX(0,MCDA_Prioritisation!$H$4+(RAND()-0.5)*2*$B$7))</f>
        <v>82.724055920264874</v>
      </c>
      <c r="X43" s="54">
        <f ca="1">MIN(100,MAX(0,MCDA_Prioritisation!$H$5+(RAND()-0.5)*2*$B$7))</f>
        <v>69.769695521591331</v>
      </c>
      <c r="Y43" s="54">
        <f ca="1">H43*MCDA_Prioritisation!$D$2+I43*MCDA_Prioritisation!$E$2+J43*M43+K43*Q43+L43*U43</f>
        <v>86.277812044913006</v>
      </c>
      <c r="Z43" s="54">
        <f ca="1">H43*MCDA_Prioritisation!$D$3+I43*MCDA_Prioritisation!$E$3+J43*N43+K43*R43+L43*V43</f>
        <v>81.925225928927162</v>
      </c>
      <c r="AA43" s="54">
        <f ca="1">H43*MCDA_Prioritisation!$D$4+I43*MCDA_Prioritisation!$E$4+J43*O43+K43*S43+L43*W43</f>
        <v>76.676114650732146</v>
      </c>
      <c r="AB43" s="54">
        <f ca="1">H43*MCDA_Prioritisation!$D$5+I43*MCDA_Prioritisation!$E$5+J43*P43+K43*T43+L43*X43</f>
        <v>75.1719824133624</v>
      </c>
      <c r="AC43" s="54">
        <f t="shared" ca="1" si="6"/>
        <v>1</v>
      </c>
      <c r="AD43" s="54">
        <f t="shared" ca="1" si="7"/>
        <v>2</v>
      </c>
      <c r="AE43" s="54">
        <f t="shared" ca="1" si="8"/>
        <v>3</v>
      </c>
      <c r="AF43" s="54">
        <f t="shared" ca="1" si="9"/>
        <v>4</v>
      </c>
      <c r="AG43" s="54">
        <f t="shared" ca="1" si="10"/>
        <v>1</v>
      </c>
      <c r="AH43" s="54">
        <f t="shared" ca="1" si="11"/>
        <v>1</v>
      </c>
      <c r="AI43" s="54">
        <f t="shared" ca="1" si="12"/>
        <v>1</v>
      </c>
      <c r="AJ43" s="54">
        <f t="shared" ca="1" si="13"/>
        <v>1</v>
      </c>
    </row>
    <row r="44" spans="1:36" x14ac:dyDescent="0.2">
      <c r="A44" s="54">
        <v>21</v>
      </c>
      <c r="B44" s="54">
        <f ca="1">MAX(0.02,MCDA_Prioritisation!$B$9+(RAND()-0.5)*2*$B$6)</f>
        <v>0.19563545954032874</v>
      </c>
      <c r="C44" s="54">
        <f ca="1">MAX(0.02,MCDA_Prioritisation!$B$10+(RAND()-0.5)*2*$B$6)</f>
        <v>0.20609030333456768</v>
      </c>
      <c r="D44" s="54">
        <f ca="1">MAX(0.02,MCDA_Prioritisation!$B$11+(RAND()-0.5)*2*$B$6)</f>
        <v>0.17471284739552503</v>
      </c>
      <c r="E44" s="54">
        <f ca="1">MAX(0.02,MCDA_Prioritisation!$B$12+(RAND()-0.5)*2*$B$6)</f>
        <v>0.1095067105197092</v>
      </c>
      <c r="F44" s="54">
        <f ca="1">MAX(0.02,MCDA_Prioritisation!$B$13+(RAND()-0.5)*2*$B$6)</f>
        <v>0.16477091053229259</v>
      </c>
      <c r="G44" s="54">
        <f t="shared" ca="1" si="0"/>
        <v>0.85071623132242324</v>
      </c>
      <c r="H44" s="54">
        <f t="shared" ca="1" si="1"/>
        <v>0.22996558939073833</v>
      </c>
      <c r="I44" s="54">
        <f t="shared" ca="1" si="2"/>
        <v>0.24225505021128371</v>
      </c>
      <c r="J44" s="54">
        <f t="shared" ca="1" si="3"/>
        <v>0.20537147519089535</v>
      </c>
      <c r="K44" s="54">
        <f t="shared" ca="1" si="4"/>
        <v>0.12872295894658431</v>
      </c>
      <c r="L44" s="54">
        <f t="shared" ca="1" si="5"/>
        <v>0.19368492626049832</v>
      </c>
      <c r="M44" s="54">
        <f ca="1">MIN(100,MAX(0,MCDA_Prioritisation!$F$2+(RAND()-0.5)*2*$B$7))</f>
        <v>78.044145965455613</v>
      </c>
      <c r="N44" s="54">
        <f ca="1">MIN(100,MAX(0,MCDA_Prioritisation!$F$3+(RAND()-0.5)*2*$B$7))</f>
        <v>93.266872247493836</v>
      </c>
      <c r="O44" s="54">
        <f ca="1">MIN(100,MAX(0,MCDA_Prioritisation!$F$4+(RAND()-0.5)*2*$B$7))</f>
        <v>92.081308267537437</v>
      </c>
      <c r="P44" s="54">
        <f ca="1">MIN(100,MAX(0,MCDA_Prioritisation!$F$5+(RAND()-0.5)*2*$B$7))</f>
        <v>77.703556371259296</v>
      </c>
      <c r="Q44" s="54">
        <f ca="1">MIN(100,MAX(0,MCDA_Prioritisation!$G$2+(RAND()-0.5)*2*$B$7))</f>
        <v>76.453583111477414</v>
      </c>
      <c r="R44" s="54">
        <f ca="1">MIN(100,MAX(0,MCDA_Prioritisation!$G$3+(RAND()-0.5)*2*$B$7))</f>
        <v>100</v>
      </c>
      <c r="S44" s="54">
        <f ca="1">MIN(100,MAX(0,MCDA_Prioritisation!$G$4+(RAND()-0.5)*2*$B$7))</f>
        <v>79.668486585880615</v>
      </c>
      <c r="T44" s="54">
        <f ca="1">MIN(100,MAX(0,MCDA_Prioritisation!$G$5+(RAND()-0.5)*2*$B$7))</f>
        <v>76.425714063695139</v>
      </c>
      <c r="U44" s="54">
        <f ca="1">MIN(100,MAX(0,MCDA_Prioritisation!$H$2+(RAND()-0.5)*2*$B$7))</f>
        <v>62.157168363094598</v>
      </c>
      <c r="V44" s="54">
        <f ca="1">MIN(100,MAX(0,MCDA_Prioritisation!$H$3+(RAND()-0.5)*2*$B$7))</f>
        <v>69.345791634496095</v>
      </c>
      <c r="W44" s="54">
        <f ca="1">MIN(100,MAX(0,MCDA_Prioritisation!$H$4+(RAND()-0.5)*2*$B$7))</f>
        <v>70.021148260177512</v>
      </c>
      <c r="X44" s="54">
        <f ca="1">MIN(100,MAX(0,MCDA_Prioritisation!$H$5+(RAND()-0.5)*2*$B$7))</f>
        <v>65.994397341403953</v>
      </c>
      <c r="Y44" s="54">
        <f ca="1">H44*MCDA_Prioritisation!$D$2+I44*MCDA_Prioritisation!$E$2+J44*M44+K44*Q44+L44*U44</f>
        <v>85.130343358286723</v>
      </c>
      <c r="Z44" s="54">
        <f ca="1">H44*MCDA_Prioritisation!$D$3+I44*MCDA_Prioritisation!$E$3+J44*N44+K44*R44+L44*V44</f>
        <v>83.174700331347765</v>
      </c>
      <c r="AA44" s="54">
        <f ca="1">H44*MCDA_Prioritisation!$D$4+I44*MCDA_Prioritisation!$E$4+J44*O44+K44*S44+L44*W44</f>
        <v>71.955441981014488</v>
      </c>
      <c r="AB44" s="54">
        <f ca="1">H44*MCDA_Prioritisation!$D$5+I44*MCDA_Prioritisation!$E$5+J44*P44+K44*T44+L44*X44</f>
        <v>71.155033725553182</v>
      </c>
      <c r="AC44" s="54">
        <f t="shared" ca="1" si="6"/>
        <v>1</v>
      </c>
      <c r="AD44" s="54">
        <f t="shared" ca="1" si="7"/>
        <v>2</v>
      </c>
      <c r="AE44" s="54">
        <f t="shared" ca="1" si="8"/>
        <v>3</v>
      </c>
      <c r="AF44" s="54">
        <f t="shared" ca="1" si="9"/>
        <v>4</v>
      </c>
      <c r="AG44" s="54">
        <f t="shared" ca="1" si="10"/>
        <v>1</v>
      </c>
      <c r="AH44" s="54">
        <f t="shared" ca="1" si="11"/>
        <v>1</v>
      </c>
      <c r="AI44" s="54">
        <f t="shared" ca="1" si="12"/>
        <v>1</v>
      </c>
      <c r="AJ44" s="54">
        <f t="shared" ca="1" si="13"/>
        <v>1</v>
      </c>
    </row>
    <row r="45" spans="1:36" x14ac:dyDescent="0.2">
      <c r="A45" s="54">
        <v>22</v>
      </c>
      <c r="B45" s="54">
        <f ca="1">MAX(0.02,MCDA_Prioritisation!$B$9+(RAND()-0.5)*2*$B$6)</f>
        <v>0.15645689617756536</v>
      </c>
      <c r="C45" s="54">
        <f ca="1">MAX(0.02,MCDA_Prioritisation!$B$10+(RAND()-0.5)*2*$B$6)</f>
        <v>0.2336908716072312</v>
      </c>
      <c r="D45" s="54">
        <f ca="1">MAX(0.02,MCDA_Prioritisation!$B$11+(RAND()-0.5)*2*$B$6)</f>
        <v>0.28657881862643159</v>
      </c>
      <c r="E45" s="54">
        <f ca="1">MAX(0.02,MCDA_Prioritisation!$B$12+(RAND()-0.5)*2*$B$6)</f>
        <v>0.20835636925902035</v>
      </c>
      <c r="F45" s="54">
        <f ca="1">MAX(0.02,MCDA_Prioritisation!$B$13+(RAND()-0.5)*2*$B$6)</f>
        <v>0.1250435299979292</v>
      </c>
      <c r="G45" s="54">
        <f t="shared" ca="1" si="0"/>
        <v>1.0101264856681778</v>
      </c>
      <c r="H45" s="54">
        <f t="shared" ca="1" si="1"/>
        <v>0.15488842080412571</v>
      </c>
      <c r="I45" s="54">
        <f t="shared" ca="1" si="2"/>
        <v>0.23134812810363004</v>
      </c>
      <c r="J45" s="54">
        <f t="shared" ca="1" si="3"/>
        <v>0.28370587514776985</v>
      </c>
      <c r="K45" s="54">
        <f t="shared" ca="1" si="4"/>
        <v>0.20626760333008884</v>
      </c>
      <c r="L45" s="54">
        <f t="shared" ca="1" si="5"/>
        <v>0.12378997261438551</v>
      </c>
      <c r="M45" s="54">
        <f ca="1">MIN(100,MAX(0,MCDA_Prioritisation!$F$2+(RAND()-0.5)*2*$B$7))</f>
        <v>83.194762890401108</v>
      </c>
      <c r="N45" s="54">
        <f ca="1">MIN(100,MAX(0,MCDA_Prioritisation!$F$3+(RAND()-0.5)*2*$B$7))</f>
        <v>89.121002883009623</v>
      </c>
      <c r="O45" s="54">
        <f ca="1">MIN(100,MAX(0,MCDA_Prioritisation!$F$4+(RAND()-0.5)*2*$B$7))</f>
        <v>95.723766981856357</v>
      </c>
      <c r="P45" s="54">
        <f ca="1">MIN(100,MAX(0,MCDA_Prioritisation!$F$5+(RAND()-0.5)*2*$B$7))</f>
        <v>76.723194316890542</v>
      </c>
      <c r="Q45" s="54">
        <f ca="1">MIN(100,MAX(0,MCDA_Prioritisation!$G$2+(RAND()-0.5)*2*$B$7))</f>
        <v>88.396650570361572</v>
      </c>
      <c r="R45" s="54">
        <f ca="1">MIN(100,MAX(0,MCDA_Prioritisation!$G$3+(RAND()-0.5)*2*$B$7))</f>
        <v>91.180620231905465</v>
      </c>
      <c r="S45" s="54">
        <f ca="1">MIN(100,MAX(0,MCDA_Prioritisation!$G$4+(RAND()-0.5)*2*$B$7))</f>
        <v>87.420429409404875</v>
      </c>
      <c r="T45" s="54">
        <f ca="1">MIN(100,MAX(0,MCDA_Prioritisation!$G$5+(RAND()-0.5)*2*$B$7))</f>
        <v>71.624336061784788</v>
      </c>
      <c r="U45" s="54">
        <f ca="1">MIN(100,MAX(0,MCDA_Prioritisation!$H$2+(RAND()-0.5)*2*$B$7))</f>
        <v>61.440589071500597</v>
      </c>
      <c r="V45" s="54">
        <f ca="1">MIN(100,MAX(0,MCDA_Prioritisation!$H$3+(RAND()-0.5)*2*$B$7))</f>
        <v>58.611327553022349</v>
      </c>
      <c r="W45" s="54">
        <f ca="1">MIN(100,MAX(0,MCDA_Prioritisation!$H$4+(RAND()-0.5)*2*$B$7))</f>
        <v>79.498850894880121</v>
      </c>
      <c r="X45" s="54">
        <f ca="1">MIN(100,MAX(0,MCDA_Prioritisation!$H$5+(RAND()-0.5)*2*$B$7))</f>
        <v>70.905180541859167</v>
      </c>
      <c r="Y45" s="54">
        <f ca="1">H45*MCDA_Prioritisation!$D$2+I45*MCDA_Prioritisation!$E$2+J45*M45+K45*Q45+L45*U45</f>
        <v>88.065591998436602</v>
      </c>
      <c r="Z45" s="54">
        <f ca="1">H45*MCDA_Prioritisation!$D$3+I45*MCDA_Prioritisation!$E$3+J45*N45+K45*R45+L45*V45</f>
        <v>81.709331578821335</v>
      </c>
      <c r="AA45" s="54">
        <f ca="1">H45*MCDA_Prioritisation!$D$4+I45*MCDA_Prioritisation!$E$4+J45*O45+K45*S45+L45*W45</f>
        <v>78.435066018833552</v>
      </c>
      <c r="AB45" s="54">
        <f ca="1">H45*MCDA_Prioritisation!$D$5+I45*MCDA_Prioritisation!$E$5+J45*P45+K45*T45+L45*X45</f>
        <v>72.993066650867092</v>
      </c>
      <c r="AC45" s="54">
        <f t="shared" ca="1" si="6"/>
        <v>1</v>
      </c>
      <c r="AD45" s="54">
        <f t="shared" ca="1" si="7"/>
        <v>2</v>
      </c>
      <c r="AE45" s="54">
        <f t="shared" ca="1" si="8"/>
        <v>3</v>
      </c>
      <c r="AF45" s="54">
        <f t="shared" ca="1" si="9"/>
        <v>4</v>
      </c>
      <c r="AG45" s="54">
        <f t="shared" ca="1" si="10"/>
        <v>1</v>
      </c>
      <c r="AH45" s="54">
        <f t="shared" ca="1" si="11"/>
        <v>1</v>
      </c>
      <c r="AI45" s="54">
        <f t="shared" ca="1" si="12"/>
        <v>1</v>
      </c>
      <c r="AJ45" s="54">
        <f t="shared" ca="1" si="13"/>
        <v>1</v>
      </c>
    </row>
    <row r="46" spans="1:36" x14ac:dyDescent="0.2">
      <c r="A46" s="54">
        <v>23</v>
      </c>
      <c r="B46" s="54">
        <f ca="1">MAX(0.02,MCDA_Prioritisation!$B$9+(RAND()-0.5)*2*$B$6)</f>
        <v>0.1826956432067034</v>
      </c>
      <c r="C46" s="54">
        <f ca="1">MAX(0.02,MCDA_Prioritisation!$B$10+(RAND()-0.5)*2*$B$6)</f>
        <v>0.31919485423272431</v>
      </c>
      <c r="D46" s="54">
        <f ca="1">MAX(0.02,MCDA_Prioritisation!$B$11+(RAND()-0.5)*2*$B$6)</f>
        <v>0.22521750188623266</v>
      </c>
      <c r="E46" s="54">
        <f ca="1">MAX(0.02,MCDA_Prioritisation!$B$12+(RAND()-0.5)*2*$B$6)</f>
        <v>0.11871150654033989</v>
      </c>
      <c r="F46" s="54">
        <f ca="1">MAX(0.02,MCDA_Prioritisation!$B$13+(RAND()-0.5)*2*$B$6)</f>
        <v>0.17174575141867493</v>
      </c>
      <c r="G46" s="54">
        <f t="shared" ca="1" si="0"/>
        <v>1.0175652572846752</v>
      </c>
      <c r="H46" s="54">
        <f t="shared" ca="1" si="1"/>
        <v>0.17954194278823757</v>
      </c>
      <c r="I46" s="54">
        <f t="shared" ca="1" si="2"/>
        <v>0.3136848982879788</v>
      </c>
      <c r="J46" s="54">
        <f t="shared" ca="1" si="3"/>
        <v>0.22132978722879643</v>
      </c>
      <c r="K46" s="54">
        <f t="shared" ca="1" si="4"/>
        <v>0.11666230316974062</v>
      </c>
      <c r="L46" s="54">
        <f t="shared" ca="1" si="5"/>
        <v>0.16878106852524657</v>
      </c>
      <c r="M46" s="54">
        <f ca="1">MIN(100,MAX(0,MCDA_Prioritisation!$F$2+(RAND()-0.5)*2*$B$7))</f>
        <v>81.974669805340113</v>
      </c>
      <c r="N46" s="54">
        <f ca="1">MIN(100,MAX(0,MCDA_Prioritisation!$F$3+(RAND()-0.5)*2*$B$7))</f>
        <v>100</v>
      </c>
      <c r="O46" s="54">
        <f ca="1">MIN(100,MAX(0,MCDA_Prioritisation!$F$4+(RAND()-0.5)*2*$B$7))</f>
        <v>90.479453456162389</v>
      </c>
      <c r="P46" s="54">
        <f ca="1">MIN(100,MAX(0,MCDA_Prioritisation!$F$5+(RAND()-0.5)*2*$B$7))</f>
        <v>73.157302522718268</v>
      </c>
      <c r="Q46" s="54">
        <f ca="1">MIN(100,MAX(0,MCDA_Prioritisation!$G$2+(RAND()-0.5)*2*$B$7))</f>
        <v>71.920642611017797</v>
      </c>
      <c r="R46" s="54">
        <f ca="1">MIN(100,MAX(0,MCDA_Prioritisation!$G$3+(RAND()-0.5)*2*$B$7))</f>
        <v>87.826777745457747</v>
      </c>
      <c r="S46" s="54">
        <f ca="1">MIN(100,MAX(0,MCDA_Prioritisation!$G$4+(RAND()-0.5)*2*$B$7))</f>
        <v>89.80548938022811</v>
      </c>
      <c r="T46" s="54">
        <f ca="1">MIN(100,MAX(0,MCDA_Prioritisation!$G$5+(RAND()-0.5)*2*$B$7))</f>
        <v>74.177794386350129</v>
      </c>
      <c r="U46" s="54">
        <f ca="1">MIN(100,MAX(0,MCDA_Prioritisation!$H$2+(RAND()-0.5)*2*$B$7))</f>
        <v>72.236992298410797</v>
      </c>
      <c r="V46" s="54">
        <f ca="1">MIN(100,MAX(0,MCDA_Prioritisation!$H$3+(RAND()-0.5)*2*$B$7))</f>
        <v>60.646581310960492</v>
      </c>
      <c r="W46" s="54">
        <f ca="1">MIN(100,MAX(0,MCDA_Prioritisation!$H$4+(RAND()-0.5)*2*$B$7))</f>
        <v>82.352824951139823</v>
      </c>
      <c r="X46" s="54">
        <f ca="1">MIN(100,MAX(0,MCDA_Prioritisation!$H$5+(RAND()-0.5)*2*$B$7))</f>
        <v>76.904226717951872</v>
      </c>
      <c r="Y46" s="54">
        <f ca="1">H46*MCDA_Prioritisation!$D$2+I46*MCDA_Prioritisation!$E$2+J46*M46+K46*Q46+L46*U46</f>
        <v>88.048784893413313</v>
      </c>
      <c r="Z46" s="54">
        <f ca="1">H46*MCDA_Prioritisation!$D$3+I46*MCDA_Prioritisation!$E$3+J46*N46+K46*R46+L46*V46</f>
        <v>81.119893153208423</v>
      </c>
      <c r="AA46" s="54">
        <f ca="1">H46*MCDA_Prioritisation!$D$4+I46*MCDA_Prioritisation!$E$4+J46*O46+K46*S46+L46*W46</f>
        <v>74.014642003300764</v>
      </c>
      <c r="AB46" s="54">
        <f ca="1">H46*MCDA_Prioritisation!$D$5+I46*MCDA_Prioritisation!$E$5+J46*P46+K46*T46+L46*X46</f>
        <v>73.733016737266198</v>
      </c>
      <c r="AC46" s="54">
        <f t="shared" ca="1" si="6"/>
        <v>1</v>
      </c>
      <c r="AD46" s="54">
        <f t="shared" ca="1" si="7"/>
        <v>2</v>
      </c>
      <c r="AE46" s="54">
        <f t="shared" ca="1" si="8"/>
        <v>3</v>
      </c>
      <c r="AF46" s="54">
        <f t="shared" ca="1" si="9"/>
        <v>4</v>
      </c>
      <c r="AG46" s="54">
        <f t="shared" ca="1" si="10"/>
        <v>1</v>
      </c>
      <c r="AH46" s="54">
        <f t="shared" ca="1" si="11"/>
        <v>1</v>
      </c>
      <c r="AI46" s="54">
        <f t="shared" ca="1" si="12"/>
        <v>1</v>
      </c>
      <c r="AJ46" s="54">
        <f t="shared" ca="1" si="13"/>
        <v>1</v>
      </c>
    </row>
    <row r="47" spans="1:36" x14ac:dyDescent="0.2">
      <c r="A47" s="54">
        <v>24</v>
      </c>
      <c r="B47" s="54">
        <f ca="1">MAX(0.02,MCDA_Prioritisation!$B$9+(RAND()-0.5)*2*$B$6)</f>
        <v>0.1501956721802637</v>
      </c>
      <c r="C47" s="54">
        <f ca="1">MAX(0.02,MCDA_Prioritisation!$B$10+(RAND()-0.5)*2*$B$6)</f>
        <v>0.21538907335779672</v>
      </c>
      <c r="D47" s="54">
        <f ca="1">MAX(0.02,MCDA_Prioritisation!$B$11+(RAND()-0.5)*2*$B$6)</f>
        <v>0.21794252041461365</v>
      </c>
      <c r="E47" s="54">
        <f ca="1">MAX(0.02,MCDA_Prioritisation!$B$12+(RAND()-0.5)*2*$B$6)</f>
        <v>0.22871285685842907</v>
      </c>
      <c r="F47" s="54">
        <f ca="1">MAX(0.02,MCDA_Prioritisation!$B$13+(RAND()-0.5)*2*$B$6)</f>
        <v>7.8607591347748113E-2</v>
      </c>
      <c r="G47" s="54">
        <f t="shared" ca="1" si="0"/>
        <v>0.89084771415885122</v>
      </c>
      <c r="H47" s="54">
        <f t="shared" ca="1" si="1"/>
        <v>0.16859859411782877</v>
      </c>
      <c r="I47" s="54">
        <f t="shared" ca="1" si="2"/>
        <v>0.24177990237216873</v>
      </c>
      <c r="J47" s="54">
        <f t="shared" ca="1" si="3"/>
        <v>0.24464621388224306</v>
      </c>
      <c r="K47" s="54">
        <f t="shared" ca="1" si="4"/>
        <v>0.25673619994005642</v>
      </c>
      <c r="L47" s="54">
        <f t="shared" ca="1" si="5"/>
        <v>8.823908968770304E-2</v>
      </c>
      <c r="M47" s="54">
        <f ca="1">MIN(100,MAX(0,MCDA_Prioritisation!$F$2+(RAND()-0.5)*2*$B$7))</f>
        <v>94.544597852932384</v>
      </c>
      <c r="N47" s="54">
        <f ca="1">MIN(100,MAX(0,MCDA_Prioritisation!$F$3+(RAND()-0.5)*2*$B$7))</f>
        <v>86.056292704759969</v>
      </c>
      <c r="O47" s="54">
        <f ca="1">MIN(100,MAX(0,MCDA_Prioritisation!$F$4+(RAND()-0.5)*2*$B$7))</f>
        <v>89.359114463614333</v>
      </c>
      <c r="P47" s="54">
        <f ca="1">MIN(100,MAX(0,MCDA_Prioritisation!$F$5+(RAND()-0.5)*2*$B$7))</f>
        <v>83.499036152232719</v>
      </c>
      <c r="Q47" s="54">
        <f ca="1">MIN(100,MAX(0,MCDA_Prioritisation!$G$2+(RAND()-0.5)*2*$B$7))</f>
        <v>83.802096607728942</v>
      </c>
      <c r="R47" s="54">
        <f ca="1">MIN(100,MAX(0,MCDA_Prioritisation!$G$3+(RAND()-0.5)*2*$B$7))</f>
        <v>100</v>
      </c>
      <c r="S47" s="54">
        <f ca="1">MIN(100,MAX(0,MCDA_Prioritisation!$G$4+(RAND()-0.5)*2*$B$7))</f>
        <v>88.879281028738617</v>
      </c>
      <c r="T47" s="54">
        <f ca="1">MIN(100,MAX(0,MCDA_Prioritisation!$G$5+(RAND()-0.5)*2*$B$7))</f>
        <v>66.099034461237437</v>
      </c>
      <c r="U47" s="54">
        <f ca="1">MIN(100,MAX(0,MCDA_Prioritisation!$H$2+(RAND()-0.5)*2*$B$7))</f>
        <v>65.598931505331748</v>
      </c>
      <c r="V47" s="54">
        <f ca="1">MIN(100,MAX(0,MCDA_Prioritisation!$H$3+(RAND()-0.5)*2*$B$7))</f>
        <v>59.224029606556428</v>
      </c>
      <c r="W47" s="54">
        <f ca="1">MIN(100,MAX(0,MCDA_Prioritisation!$H$4+(RAND()-0.5)*2*$B$7))</f>
        <v>76.92022807241456</v>
      </c>
      <c r="X47" s="54">
        <f ca="1">MIN(100,MAX(0,MCDA_Prioritisation!$H$5+(RAND()-0.5)*2*$B$7))</f>
        <v>68.100657617961346</v>
      </c>
      <c r="Y47" s="54">
        <f ca="1">H47*MCDA_Prioritisation!$D$2+I47*MCDA_Prioritisation!$E$2+J47*M47+K47*Q47+L47*U47</f>
        <v>91.471249387333174</v>
      </c>
      <c r="Z47" s="54">
        <f ca="1">H47*MCDA_Prioritisation!$D$3+I47*MCDA_Prioritisation!$E$3+J47*N47+K47*R47+L47*V47</f>
        <v>84.271817774451108</v>
      </c>
      <c r="AA47" s="54">
        <f ca="1">H47*MCDA_Prioritisation!$D$4+I47*MCDA_Prioritisation!$E$4+J47*O47+K47*S47+L47*W47</f>
        <v>76.395478443209754</v>
      </c>
      <c r="AB47" s="54">
        <f ca="1">H47*MCDA_Prioritisation!$D$5+I47*MCDA_Prioritisation!$E$5+J47*P47+K47*T47+L47*X47</f>
        <v>72.686890215990331</v>
      </c>
      <c r="AC47" s="54">
        <f t="shared" ca="1" si="6"/>
        <v>1</v>
      </c>
      <c r="AD47" s="54">
        <f t="shared" ca="1" si="7"/>
        <v>2</v>
      </c>
      <c r="AE47" s="54">
        <f t="shared" ca="1" si="8"/>
        <v>3</v>
      </c>
      <c r="AF47" s="54">
        <f t="shared" ca="1" si="9"/>
        <v>4</v>
      </c>
      <c r="AG47" s="54">
        <f t="shared" ca="1" si="10"/>
        <v>1</v>
      </c>
      <c r="AH47" s="54">
        <f t="shared" ca="1" si="11"/>
        <v>1</v>
      </c>
      <c r="AI47" s="54">
        <f t="shared" ca="1" si="12"/>
        <v>1</v>
      </c>
      <c r="AJ47" s="54">
        <f t="shared" ca="1" si="13"/>
        <v>1</v>
      </c>
    </row>
    <row r="48" spans="1:36" x14ac:dyDescent="0.2">
      <c r="A48" s="54">
        <v>25</v>
      </c>
      <c r="B48" s="54">
        <f ca="1">MAX(0.02,MCDA_Prioritisation!$B$9+(RAND()-0.5)*2*$B$6)</f>
        <v>0.17940598431537594</v>
      </c>
      <c r="C48" s="54">
        <f ca="1">MAX(0.02,MCDA_Prioritisation!$B$10+(RAND()-0.5)*2*$B$6)</f>
        <v>0.20477903262124011</v>
      </c>
      <c r="D48" s="54">
        <f ca="1">MAX(0.02,MCDA_Prioritisation!$B$11+(RAND()-0.5)*2*$B$6)</f>
        <v>0.32949975429240069</v>
      </c>
      <c r="E48" s="54">
        <f ca="1">MAX(0.02,MCDA_Prioritisation!$B$12+(RAND()-0.5)*2*$B$6)</f>
        <v>0.12226735655275353</v>
      </c>
      <c r="F48" s="54">
        <f ca="1">MAX(0.02,MCDA_Prioritisation!$B$13+(RAND()-0.5)*2*$B$6)</f>
        <v>0.10424233444950212</v>
      </c>
      <c r="G48" s="54">
        <f t="shared" ca="1" si="0"/>
        <v>0.94019446223127245</v>
      </c>
      <c r="H48" s="54">
        <f t="shared" ca="1" si="1"/>
        <v>0.19081795471291024</v>
      </c>
      <c r="I48" s="54">
        <f t="shared" ca="1" si="2"/>
        <v>0.21780497636122836</v>
      </c>
      <c r="J48" s="54">
        <f t="shared" ca="1" si="3"/>
        <v>0.35045915236559766</v>
      </c>
      <c r="K48" s="54">
        <f t="shared" ca="1" si="4"/>
        <v>0.13004475293609818</v>
      </c>
      <c r="L48" s="54">
        <f t="shared" ca="1" si="5"/>
        <v>0.11087316362416545</v>
      </c>
      <c r="M48" s="54">
        <f ca="1">MIN(100,MAX(0,MCDA_Prioritisation!$F$2+(RAND()-0.5)*2*$B$7))</f>
        <v>92.350903074304313</v>
      </c>
      <c r="N48" s="54">
        <f ca="1">MIN(100,MAX(0,MCDA_Prioritisation!$F$3+(RAND()-0.5)*2*$B$7))</f>
        <v>91.926695566456758</v>
      </c>
      <c r="O48" s="54">
        <f ca="1">MIN(100,MAX(0,MCDA_Prioritisation!$F$4+(RAND()-0.5)*2*$B$7))</f>
        <v>94.216428317846422</v>
      </c>
      <c r="P48" s="54">
        <f ca="1">MIN(100,MAX(0,MCDA_Prioritisation!$F$5+(RAND()-0.5)*2*$B$7))</f>
        <v>79.246839856475106</v>
      </c>
      <c r="Q48" s="54">
        <f ca="1">MIN(100,MAX(0,MCDA_Prioritisation!$G$2+(RAND()-0.5)*2*$B$7))</f>
        <v>79.208427491702551</v>
      </c>
      <c r="R48" s="54">
        <f ca="1">MIN(100,MAX(0,MCDA_Prioritisation!$G$3+(RAND()-0.5)*2*$B$7))</f>
        <v>90.252129083516195</v>
      </c>
      <c r="S48" s="54">
        <f ca="1">MIN(100,MAX(0,MCDA_Prioritisation!$G$4+(RAND()-0.5)*2*$B$7))</f>
        <v>80.845330067155516</v>
      </c>
      <c r="T48" s="54">
        <f ca="1">MIN(100,MAX(0,MCDA_Prioritisation!$G$5+(RAND()-0.5)*2*$B$7))</f>
        <v>73.178167560694789</v>
      </c>
      <c r="U48" s="54">
        <f ca="1">MIN(100,MAX(0,MCDA_Prioritisation!$H$2+(RAND()-0.5)*2*$B$7))</f>
        <v>60.749833331217374</v>
      </c>
      <c r="V48" s="54">
        <f ca="1">MIN(100,MAX(0,MCDA_Prioritisation!$H$3+(RAND()-0.5)*2*$B$7))</f>
        <v>56.174455518410682</v>
      </c>
      <c r="W48" s="54">
        <f ca="1">MIN(100,MAX(0,MCDA_Prioritisation!$H$4+(RAND()-0.5)*2*$B$7))</f>
        <v>80.741168865231202</v>
      </c>
      <c r="X48" s="54">
        <f ca="1">MIN(100,MAX(0,MCDA_Prioritisation!$H$5+(RAND()-0.5)*2*$B$7))</f>
        <v>73.057241212233194</v>
      </c>
      <c r="Y48" s="54">
        <f ca="1">H48*MCDA_Prioritisation!$D$2+I48*MCDA_Prioritisation!$E$2+J48*M48+K48*Q48+L48*U48</f>
        <v>90.263678913720156</v>
      </c>
      <c r="Z48" s="54">
        <f ca="1">H48*MCDA_Prioritisation!$D$3+I48*MCDA_Prioritisation!$E$3+J48*N48+K48*R48+L48*V48</f>
        <v>82.698855267941767</v>
      </c>
      <c r="AA48" s="54">
        <f ca="1">H48*MCDA_Prioritisation!$D$4+I48*MCDA_Prioritisation!$E$4+J48*O48+K48*S48+L48*W48</f>
        <v>77.652261470156105</v>
      </c>
      <c r="AB48" s="54">
        <f ca="1">H48*MCDA_Prioritisation!$D$5+I48*MCDA_Prioritisation!$E$5+J48*P48+K48*T48+L48*X48</f>
        <v>73.832555710464874</v>
      </c>
      <c r="AC48" s="54">
        <f t="shared" ca="1" si="6"/>
        <v>1</v>
      </c>
      <c r="AD48" s="54">
        <f t="shared" ca="1" si="7"/>
        <v>2</v>
      </c>
      <c r="AE48" s="54">
        <f t="shared" ca="1" si="8"/>
        <v>3</v>
      </c>
      <c r="AF48" s="54">
        <f t="shared" ca="1" si="9"/>
        <v>4</v>
      </c>
      <c r="AG48" s="54">
        <f t="shared" ca="1" si="10"/>
        <v>1</v>
      </c>
      <c r="AH48" s="54">
        <f t="shared" ca="1" si="11"/>
        <v>1</v>
      </c>
      <c r="AI48" s="54">
        <f t="shared" ca="1" si="12"/>
        <v>1</v>
      </c>
      <c r="AJ48" s="54">
        <f t="shared" ca="1" si="13"/>
        <v>1</v>
      </c>
    </row>
    <row r="49" spans="1:36" x14ac:dyDescent="0.2">
      <c r="A49" s="54">
        <v>26</v>
      </c>
      <c r="B49" s="54">
        <f ca="1">MAX(0.02,MCDA_Prioritisation!$B$9+(RAND()-0.5)*2*$B$6)</f>
        <v>0.17441193872224919</v>
      </c>
      <c r="C49" s="54">
        <f ca="1">MAX(0.02,MCDA_Prioritisation!$B$10+(RAND()-0.5)*2*$B$6)</f>
        <v>0.27035086812963838</v>
      </c>
      <c r="D49" s="54">
        <f ca="1">MAX(0.02,MCDA_Prioritisation!$B$11+(RAND()-0.5)*2*$B$6)</f>
        <v>0.19528000347740532</v>
      </c>
      <c r="E49" s="54">
        <f ca="1">MAX(0.02,MCDA_Prioritisation!$B$12+(RAND()-0.5)*2*$B$6)</f>
        <v>0.11687099165154684</v>
      </c>
      <c r="F49" s="54">
        <f ca="1">MAX(0.02,MCDA_Prioritisation!$B$13+(RAND()-0.5)*2*$B$6)</f>
        <v>0.18531537718094779</v>
      </c>
      <c r="G49" s="54">
        <f t="shared" ca="1" si="0"/>
        <v>0.9422291791617875</v>
      </c>
      <c r="H49" s="54">
        <f t="shared" ca="1" si="1"/>
        <v>0.18510564370061969</v>
      </c>
      <c r="I49" s="54">
        <f t="shared" ca="1" si="2"/>
        <v>0.28692686886447738</v>
      </c>
      <c r="J49" s="54">
        <f t="shared" ca="1" si="3"/>
        <v>0.20725319040865145</v>
      </c>
      <c r="K49" s="54">
        <f t="shared" ca="1" si="4"/>
        <v>0.12403669323371617</v>
      </c>
      <c r="L49" s="54">
        <f t="shared" ca="1" si="5"/>
        <v>0.19667760379253529</v>
      </c>
      <c r="M49" s="54">
        <f ca="1">MIN(100,MAX(0,MCDA_Prioritisation!$F$2+(RAND()-0.5)*2*$B$7))</f>
        <v>82.91084930369496</v>
      </c>
      <c r="N49" s="54">
        <f ca="1">MIN(100,MAX(0,MCDA_Prioritisation!$F$3+(RAND()-0.5)*2*$B$7))</f>
        <v>98.624484921629119</v>
      </c>
      <c r="O49" s="54">
        <f ca="1">MIN(100,MAX(0,MCDA_Prioritisation!$F$4+(RAND()-0.5)*2*$B$7))</f>
        <v>98.258440456407186</v>
      </c>
      <c r="P49" s="54">
        <f ca="1">MIN(100,MAX(0,MCDA_Prioritisation!$F$5+(RAND()-0.5)*2*$B$7))</f>
        <v>72.18588027267576</v>
      </c>
      <c r="Q49" s="54">
        <f ca="1">MIN(100,MAX(0,MCDA_Prioritisation!$G$2+(RAND()-0.5)*2*$B$7))</f>
        <v>74.997778632543628</v>
      </c>
      <c r="R49" s="54">
        <f ca="1">MIN(100,MAX(0,MCDA_Prioritisation!$G$3+(RAND()-0.5)*2*$B$7))</f>
        <v>100</v>
      </c>
      <c r="S49" s="54">
        <f ca="1">MIN(100,MAX(0,MCDA_Prioritisation!$G$4+(RAND()-0.5)*2*$B$7))</f>
        <v>82.541971506115672</v>
      </c>
      <c r="T49" s="54">
        <f ca="1">MIN(100,MAX(0,MCDA_Prioritisation!$G$5+(RAND()-0.5)*2*$B$7))</f>
        <v>65.925984704461413</v>
      </c>
      <c r="U49" s="54">
        <f ca="1">MIN(100,MAX(0,MCDA_Prioritisation!$H$2+(RAND()-0.5)*2*$B$7))</f>
        <v>63.003898446454357</v>
      </c>
      <c r="V49" s="54">
        <f ca="1">MIN(100,MAX(0,MCDA_Prioritisation!$H$3+(RAND()-0.5)*2*$B$7))</f>
        <v>61.029133697996819</v>
      </c>
      <c r="W49" s="54">
        <f ca="1">MIN(100,MAX(0,MCDA_Prioritisation!$H$4+(RAND()-0.5)*2*$B$7))</f>
        <v>79.04918345071485</v>
      </c>
      <c r="X49" s="54">
        <f ca="1">MIN(100,MAX(0,MCDA_Prioritisation!$H$5+(RAND()-0.5)*2*$B$7))</f>
        <v>72.813290184571301</v>
      </c>
      <c r="Y49" s="54">
        <f ca="1">H49*MCDA_Prioritisation!$D$2+I49*MCDA_Prioritisation!$E$2+J49*M49+K49*Q49+L49*U49</f>
        <v>86.080721531683253</v>
      </c>
      <c r="Z49" s="54">
        <f ca="1">H49*MCDA_Prioritisation!$D$3+I49*MCDA_Prioritisation!$E$3+J49*N49+K49*R49+L49*V49</f>
        <v>81.892029086347605</v>
      </c>
      <c r="AA49" s="54">
        <f ca="1">H49*MCDA_Prioritisation!$D$4+I49*MCDA_Prioritisation!$E$4+J49*O49+K49*S49+L49*W49</f>
        <v>74.690037799300939</v>
      </c>
      <c r="AB49" s="54">
        <f ca="1">H49*MCDA_Prioritisation!$D$5+I49*MCDA_Prioritisation!$E$5+J49*P49+K49*T49+L49*X49</f>
        <v>71.41132656351617</v>
      </c>
      <c r="AC49" s="54">
        <f t="shared" ca="1" si="6"/>
        <v>1</v>
      </c>
      <c r="AD49" s="54">
        <f t="shared" ca="1" si="7"/>
        <v>2</v>
      </c>
      <c r="AE49" s="54">
        <f t="shared" ca="1" si="8"/>
        <v>3</v>
      </c>
      <c r="AF49" s="54">
        <f t="shared" ca="1" si="9"/>
        <v>4</v>
      </c>
      <c r="AG49" s="54">
        <f t="shared" ca="1" si="10"/>
        <v>1</v>
      </c>
      <c r="AH49" s="54">
        <f t="shared" ca="1" si="11"/>
        <v>1</v>
      </c>
      <c r="AI49" s="54">
        <f t="shared" ca="1" si="12"/>
        <v>1</v>
      </c>
      <c r="AJ49" s="54">
        <f t="shared" ca="1" si="13"/>
        <v>1</v>
      </c>
    </row>
    <row r="50" spans="1:36" x14ac:dyDescent="0.2">
      <c r="A50" s="54">
        <v>27</v>
      </c>
      <c r="B50" s="54">
        <f ca="1">MAX(0.02,MCDA_Prioritisation!$B$9+(RAND()-0.5)*2*$B$6)</f>
        <v>0.19865658437901779</v>
      </c>
      <c r="C50" s="54">
        <f ca="1">MAX(0.02,MCDA_Prioritisation!$B$10+(RAND()-0.5)*2*$B$6)</f>
        <v>0.26503067734282526</v>
      </c>
      <c r="D50" s="54">
        <f ca="1">MAX(0.02,MCDA_Prioritisation!$B$11+(RAND()-0.5)*2*$B$6)</f>
        <v>0.31695433876503554</v>
      </c>
      <c r="E50" s="54">
        <f ca="1">MAX(0.02,MCDA_Prioritisation!$B$12+(RAND()-0.5)*2*$B$6)</f>
        <v>0.12011909696233868</v>
      </c>
      <c r="F50" s="54">
        <f ca="1">MAX(0.02,MCDA_Prioritisation!$B$13+(RAND()-0.5)*2*$B$6)</f>
        <v>0.18644299586249219</v>
      </c>
      <c r="G50" s="54">
        <f t="shared" ca="1" si="0"/>
        <v>1.0872036933117095</v>
      </c>
      <c r="H50" s="54">
        <f t="shared" ca="1" si="1"/>
        <v>0.18272250692406491</v>
      </c>
      <c r="I50" s="54">
        <f t="shared" ca="1" si="2"/>
        <v>0.24377278974790878</v>
      </c>
      <c r="J50" s="54">
        <f t="shared" ca="1" si="3"/>
        <v>0.29153169798344525</v>
      </c>
      <c r="K50" s="54">
        <f t="shared" ca="1" si="4"/>
        <v>0.11048444528039293</v>
      </c>
      <c r="L50" s="54">
        <f t="shared" ca="1" si="5"/>
        <v>0.17148856006418806</v>
      </c>
      <c r="M50" s="54">
        <f ca="1">MIN(100,MAX(0,MCDA_Prioritisation!$F$2+(RAND()-0.5)*2*$B$7))</f>
        <v>85.28529169492424</v>
      </c>
      <c r="N50" s="54">
        <f ca="1">MIN(100,MAX(0,MCDA_Prioritisation!$F$3+(RAND()-0.5)*2*$B$7))</f>
        <v>100</v>
      </c>
      <c r="O50" s="54">
        <f ca="1">MIN(100,MAX(0,MCDA_Prioritisation!$F$4+(RAND()-0.5)*2*$B$7))</f>
        <v>93.157557287224037</v>
      </c>
      <c r="P50" s="54">
        <f ca="1">MIN(100,MAX(0,MCDA_Prioritisation!$F$5+(RAND()-0.5)*2*$B$7))</f>
        <v>79.005818688659275</v>
      </c>
      <c r="Q50" s="54">
        <f ca="1">MIN(100,MAX(0,MCDA_Prioritisation!$G$2+(RAND()-0.5)*2*$B$7))</f>
        <v>75.152317191028104</v>
      </c>
      <c r="R50" s="54">
        <f ca="1">MIN(100,MAX(0,MCDA_Prioritisation!$G$3+(RAND()-0.5)*2*$B$7))</f>
        <v>97.342315152066476</v>
      </c>
      <c r="S50" s="54">
        <f ca="1">MIN(100,MAX(0,MCDA_Prioritisation!$G$4+(RAND()-0.5)*2*$B$7))</f>
        <v>90.44208591577511</v>
      </c>
      <c r="T50" s="54">
        <f ca="1">MIN(100,MAX(0,MCDA_Prioritisation!$G$5+(RAND()-0.5)*2*$B$7))</f>
        <v>73.563483380304604</v>
      </c>
      <c r="U50" s="54">
        <f ca="1">MIN(100,MAX(0,MCDA_Prioritisation!$H$2+(RAND()-0.5)*2*$B$7))</f>
        <v>71.952725988288933</v>
      </c>
      <c r="V50" s="54">
        <f ca="1">MIN(100,MAX(0,MCDA_Prioritisation!$H$3+(RAND()-0.5)*2*$B$7))</f>
        <v>55.372149978061046</v>
      </c>
      <c r="W50" s="54">
        <f ca="1">MIN(100,MAX(0,MCDA_Prioritisation!$H$4+(RAND()-0.5)*2*$B$7))</f>
        <v>71.973557557813066</v>
      </c>
      <c r="X50" s="54">
        <f ca="1">MIN(100,MAX(0,MCDA_Prioritisation!$H$5+(RAND()-0.5)*2*$B$7))</f>
        <v>82.074031487194844</v>
      </c>
      <c r="Y50" s="54">
        <f ca="1">H50*MCDA_Prioritisation!$D$2+I50*MCDA_Prioritisation!$E$2+J50*M50+K50*Q50+L50*U50</f>
        <v>88.155127016843679</v>
      </c>
      <c r="Z50" s="54">
        <f ca="1">H50*MCDA_Prioritisation!$D$3+I50*MCDA_Prioritisation!$E$3+J50*N50+K50*R50+L50*V50</f>
        <v>83.101971487927841</v>
      </c>
      <c r="AA50" s="54">
        <f ca="1">H50*MCDA_Prioritisation!$D$4+I50*MCDA_Prioritisation!$E$4+J50*O50+K50*S50+L50*W50</f>
        <v>75.513885148791843</v>
      </c>
      <c r="AB50" s="54">
        <f ca="1">H50*MCDA_Prioritisation!$D$5+I50*MCDA_Prioritisation!$E$5+J50*P50+K50*T50+L50*X50</f>
        <v>75.432313752446433</v>
      </c>
      <c r="AC50" s="54">
        <f t="shared" ca="1" si="6"/>
        <v>1</v>
      </c>
      <c r="AD50" s="54">
        <f t="shared" ca="1" si="7"/>
        <v>2</v>
      </c>
      <c r="AE50" s="54">
        <f t="shared" ca="1" si="8"/>
        <v>3</v>
      </c>
      <c r="AF50" s="54">
        <f t="shared" ca="1" si="9"/>
        <v>4</v>
      </c>
      <c r="AG50" s="54">
        <f t="shared" ca="1" si="10"/>
        <v>1</v>
      </c>
      <c r="AH50" s="54">
        <f t="shared" ca="1" si="11"/>
        <v>1</v>
      </c>
      <c r="AI50" s="54">
        <f t="shared" ca="1" si="12"/>
        <v>1</v>
      </c>
      <c r="AJ50" s="54">
        <f t="shared" ca="1" si="13"/>
        <v>1</v>
      </c>
    </row>
    <row r="51" spans="1:36" x14ac:dyDescent="0.2">
      <c r="A51" s="54">
        <v>28</v>
      </c>
      <c r="B51" s="54">
        <f ca="1">MAX(0.02,MCDA_Prioritisation!$B$9+(RAND()-0.5)*2*$B$6)</f>
        <v>0.17598887577481645</v>
      </c>
      <c r="C51" s="54">
        <f ca="1">MAX(0.02,MCDA_Prioritisation!$B$10+(RAND()-0.5)*2*$B$6)</f>
        <v>0.28143526132020691</v>
      </c>
      <c r="D51" s="54">
        <f ca="1">MAX(0.02,MCDA_Prioritisation!$B$11+(RAND()-0.5)*2*$B$6)</f>
        <v>0.17826710749515071</v>
      </c>
      <c r="E51" s="54">
        <f ca="1">MAX(0.02,MCDA_Prioritisation!$B$12+(RAND()-0.5)*2*$B$6)</f>
        <v>0.17143381296320367</v>
      </c>
      <c r="F51" s="54">
        <f ca="1">MAX(0.02,MCDA_Prioritisation!$B$13+(RAND()-0.5)*2*$B$6)</f>
        <v>0.18539075193511281</v>
      </c>
      <c r="G51" s="54">
        <f t="shared" ca="1" si="0"/>
        <v>0.99251580948849061</v>
      </c>
      <c r="H51" s="54">
        <f t="shared" ca="1" si="1"/>
        <v>0.1773159420659659</v>
      </c>
      <c r="I51" s="54">
        <f t="shared" ca="1" si="2"/>
        <v>0.28355745936706966</v>
      </c>
      <c r="J51" s="54">
        <f t="shared" ca="1" si="3"/>
        <v>0.17961135307962864</v>
      </c>
      <c r="K51" s="54">
        <f t="shared" ca="1" si="4"/>
        <v>0.17272653122931605</v>
      </c>
      <c r="L51" s="54">
        <f t="shared" ca="1" si="5"/>
        <v>0.18678871425801971</v>
      </c>
      <c r="M51" s="54">
        <f ca="1">MIN(100,MAX(0,MCDA_Prioritisation!$F$2+(RAND()-0.5)*2*$B$7))</f>
        <v>76.692235528907091</v>
      </c>
      <c r="N51" s="54">
        <f ca="1">MIN(100,MAX(0,MCDA_Prioritisation!$F$3+(RAND()-0.5)*2*$B$7))</f>
        <v>90.566170823923542</v>
      </c>
      <c r="O51" s="54">
        <f ca="1">MIN(100,MAX(0,MCDA_Prioritisation!$F$4+(RAND()-0.5)*2*$B$7))</f>
        <v>84.034467557049339</v>
      </c>
      <c r="P51" s="54">
        <f ca="1">MIN(100,MAX(0,MCDA_Prioritisation!$F$5+(RAND()-0.5)*2*$B$7))</f>
        <v>76.493435717470206</v>
      </c>
      <c r="Q51" s="54">
        <f ca="1">MIN(100,MAX(0,MCDA_Prioritisation!$G$2+(RAND()-0.5)*2*$B$7))</f>
        <v>82.565220919118076</v>
      </c>
      <c r="R51" s="54">
        <f ca="1">MIN(100,MAX(0,MCDA_Prioritisation!$G$3+(RAND()-0.5)*2*$B$7))</f>
        <v>85.81651883899157</v>
      </c>
      <c r="S51" s="54">
        <f ca="1">MIN(100,MAX(0,MCDA_Prioritisation!$G$4+(RAND()-0.5)*2*$B$7))</f>
        <v>84.64762072518829</v>
      </c>
      <c r="T51" s="54">
        <f ca="1">MIN(100,MAX(0,MCDA_Prioritisation!$G$5+(RAND()-0.5)*2*$B$7))</f>
        <v>67.087354973024617</v>
      </c>
      <c r="U51" s="54">
        <f ca="1">MIN(100,MAX(0,MCDA_Prioritisation!$H$2+(RAND()-0.5)*2*$B$7))</f>
        <v>56.311209273154454</v>
      </c>
      <c r="V51" s="54">
        <f ca="1">MIN(100,MAX(0,MCDA_Prioritisation!$H$3+(RAND()-0.5)*2*$B$7))</f>
        <v>59.029658046977914</v>
      </c>
      <c r="W51" s="54">
        <f ca="1">MIN(100,MAX(0,MCDA_Prioritisation!$H$4+(RAND()-0.5)*2*$B$7))</f>
        <v>78.00720803332716</v>
      </c>
      <c r="X51" s="54">
        <f ca="1">MIN(100,MAX(0,MCDA_Prioritisation!$H$5+(RAND()-0.5)*2*$B$7))</f>
        <v>68.208933005819958</v>
      </c>
      <c r="Y51" s="54">
        <f ca="1">H51*MCDA_Prioritisation!$D$2+I51*MCDA_Prioritisation!$E$2+J51*M51+K51*Q51+L51*U51</f>
        <v>84.641638925340359</v>
      </c>
      <c r="Z51" s="54">
        <f ca="1">H51*MCDA_Prioritisation!$D$3+I51*MCDA_Prioritisation!$E$3+J51*N51+K51*R51+L51*V51</f>
        <v>78.234789604053006</v>
      </c>
      <c r="AA51" s="54">
        <f ca="1">H51*MCDA_Prioritisation!$D$4+I51*MCDA_Prioritisation!$E$4+J51*O51+K51*S51+L51*W51</f>
        <v>72.099310766127658</v>
      </c>
      <c r="AB51" s="54">
        <f ca="1">H51*MCDA_Prioritisation!$D$5+I51*MCDA_Prioritisation!$E$5+J51*P51+K51*T51+L51*X51</f>
        <v>71.323320444268035</v>
      </c>
      <c r="AC51" s="54">
        <f t="shared" ca="1" si="6"/>
        <v>1</v>
      </c>
      <c r="AD51" s="54">
        <f t="shared" ca="1" si="7"/>
        <v>2</v>
      </c>
      <c r="AE51" s="54">
        <f t="shared" ca="1" si="8"/>
        <v>3</v>
      </c>
      <c r="AF51" s="54">
        <f t="shared" ca="1" si="9"/>
        <v>4</v>
      </c>
      <c r="AG51" s="54">
        <f t="shared" ca="1" si="10"/>
        <v>1</v>
      </c>
      <c r="AH51" s="54">
        <f t="shared" ca="1" si="11"/>
        <v>1</v>
      </c>
      <c r="AI51" s="54">
        <f t="shared" ca="1" si="12"/>
        <v>1</v>
      </c>
      <c r="AJ51" s="54">
        <f t="shared" ca="1" si="13"/>
        <v>1</v>
      </c>
    </row>
    <row r="52" spans="1:36" x14ac:dyDescent="0.2">
      <c r="A52" s="54">
        <v>29</v>
      </c>
      <c r="B52" s="54">
        <f ca="1">MAX(0.02,MCDA_Prioritisation!$B$9+(RAND()-0.5)*2*$B$6)</f>
        <v>0.14861153731052343</v>
      </c>
      <c r="C52" s="54">
        <f ca="1">MAX(0.02,MCDA_Prioritisation!$B$10+(RAND()-0.5)*2*$B$6)</f>
        <v>0.19881682812458581</v>
      </c>
      <c r="D52" s="54">
        <f ca="1">MAX(0.02,MCDA_Prioritisation!$B$11+(RAND()-0.5)*2*$B$6)</f>
        <v>0.20513846772803584</v>
      </c>
      <c r="E52" s="54">
        <f ca="1">MAX(0.02,MCDA_Prioritisation!$B$12+(RAND()-0.5)*2*$B$6)</f>
        <v>0.14399859106464671</v>
      </c>
      <c r="F52" s="54">
        <f ca="1">MAX(0.02,MCDA_Prioritisation!$B$13+(RAND()-0.5)*2*$B$6)</f>
        <v>0.22320403148700313</v>
      </c>
      <c r="G52" s="54">
        <f t="shared" ca="1" si="0"/>
        <v>0.91976945571479485</v>
      </c>
      <c r="H52" s="54">
        <f t="shared" ca="1" si="1"/>
        <v>0.16157476896754591</v>
      </c>
      <c r="I52" s="54">
        <f t="shared" ca="1" si="2"/>
        <v>0.21615941569844388</v>
      </c>
      <c r="J52" s="54">
        <f t="shared" ca="1" si="3"/>
        <v>0.22303248542713713</v>
      </c>
      <c r="K52" s="54">
        <f t="shared" ca="1" si="4"/>
        <v>0.15655944016181625</v>
      </c>
      <c r="L52" s="54">
        <f t="shared" ca="1" si="5"/>
        <v>0.24267388974505691</v>
      </c>
      <c r="M52" s="54">
        <f ca="1">MIN(100,MAX(0,MCDA_Prioritisation!$F$2+(RAND()-0.5)*2*$B$7))</f>
        <v>80.919956587875205</v>
      </c>
      <c r="N52" s="54">
        <f ca="1">MIN(100,MAX(0,MCDA_Prioritisation!$F$3+(RAND()-0.5)*2*$B$7))</f>
        <v>86.42101517506434</v>
      </c>
      <c r="O52" s="54">
        <f ca="1">MIN(100,MAX(0,MCDA_Prioritisation!$F$4+(RAND()-0.5)*2*$B$7))</f>
        <v>91.263382389580755</v>
      </c>
      <c r="P52" s="54">
        <f ca="1">MIN(100,MAX(0,MCDA_Prioritisation!$F$5+(RAND()-0.5)*2*$B$7))</f>
        <v>77.003088972994917</v>
      </c>
      <c r="Q52" s="54">
        <f ca="1">MIN(100,MAX(0,MCDA_Prioritisation!$G$2+(RAND()-0.5)*2*$B$7))</f>
        <v>70.015313256340391</v>
      </c>
      <c r="R52" s="54">
        <f ca="1">MIN(100,MAX(0,MCDA_Prioritisation!$G$3+(RAND()-0.5)*2*$B$7))</f>
        <v>97.523962741230434</v>
      </c>
      <c r="S52" s="54">
        <f ca="1">MIN(100,MAX(0,MCDA_Prioritisation!$G$4+(RAND()-0.5)*2*$B$7))</f>
        <v>93.947126122721613</v>
      </c>
      <c r="T52" s="54">
        <f ca="1">MIN(100,MAX(0,MCDA_Prioritisation!$G$5+(RAND()-0.5)*2*$B$7))</f>
        <v>68.343788001601439</v>
      </c>
      <c r="U52" s="54">
        <f ca="1">MIN(100,MAX(0,MCDA_Prioritisation!$H$2+(RAND()-0.5)*2*$B$7))</f>
        <v>69.497111449314701</v>
      </c>
      <c r="V52" s="54">
        <f ca="1">MIN(100,MAX(0,MCDA_Prioritisation!$H$3+(RAND()-0.5)*2*$B$7))</f>
        <v>50.964214868554194</v>
      </c>
      <c r="W52" s="54">
        <f ca="1">MIN(100,MAX(0,MCDA_Prioritisation!$H$4+(RAND()-0.5)*2*$B$7))</f>
        <v>77.054965003957278</v>
      </c>
      <c r="X52" s="54">
        <f ca="1">MIN(100,MAX(0,MCDA_Prioritisation!$H$5+(RAND()-0.5)*2*$B$7))</f>
        <v>77.955129040211958</v>
      </c>
      <c r="Y52" s="54">
        <f ca="1">H52*MCDA_Prioritisation!$D$2+I52*MCDA_Prioritisation!$E$2+J52*M52+K52*Q52+L52*U52</f>
        <v>83.647890112666602</v>
      </c>
      <c r="Z52" s="54">
        <f ca="1">H52*MCDA_Prioritisation!$D$3+I52*MCDA_Prioritisation!$E$3+J52*N52+K52*R52+L52*V52</f>
        <v>76.752483966703721</v>
      </c>
      <c r="AA52" s="54">
        <f ca="1">H52*MCDA_Prioritisation!$D$4+I52*MCDA_Prioritisation!$E$4+J52*O52+K52*S52+L52*W52</f>
        <v>76.803867216016258</v>
      </c>
      <c r="AB52" s="54">
        <f ca="1">H52*MCDA_Prioritisation!$D$5+I52*MCDA_Prioritisation!$E$5+J52*P52+K52*T52+L52*X52</f>
        <v>73.54449630740163</v>
      </c>
      <c r="AC52" s="54">
        <f t="shared" ca="1" si="6"/>
        <v>1</v>
      </c>
      <c r="AD52" s="54">
        <f t="shared" ca="1" si="7"/>
        <v>3</v>
      </c>
      <c r="AE52" s="54">
        <f t="shared" ca="1" si="8"/>
        <v>2</v>
      </c>
      <c r="AF52" s="54">
        <f t="shared" ca="1" si="9"/>
        <v>4</v>
      </c>
      <c r="AG52" s="54">
        <f t="shared" ca="1" si="10"/>
        <v>1</v>
      </c>
      <c r="AH52" s="54">
        <f t="shared" ca="1" si="11"/>
        <v>0</v>
      </c>
      <c r="AI52" s="54">
        <f t="shared" ca="1" si="12"/>
        <v>0</v>
      </c>
      <c r="AJ52" s="54">
        <f t="shared" ca="1" si="13"/>
        <v>0</v>
      </c>
    </row>
    <row r="53" spans="1:36" x14ac:dyDescent="0.2">
      <c r="A53" s="54">
        <v>30</v>
      </c>
      <c r="B53" s="54">
        <f ca="1">MAX(0.02,MCDA_Prioritisation!$B$9+(RAND()-0.5)*2*$B$6)</f>
        <v>0.12514584273677121</v>
      </c>
      <c r="C53" s="54">
        <f ca="1">MAX(0.02,MCDA_Prioritisation!$B$10+(RAND()-0.5)*2*$B$6)</f>
        <v>0.2606769692438683</v>
      </c>
      <c r="D53" s="54">
        <f ca="1">MAX(0.02,MCDA_Prioritisation!$B$11+(RAND()-0.5)*2*$B$6)</f>
        <v>0.21596031930086892</v>
      </c>
      <c r="E53" s="54">
        <f ca="1">MAX(0.02,MCDA_Prioritisation!$B$12+(RAND()-0.5)*2*$B$6)</f>
        <v>7.6872455266312506E-2</v>
      </c>
      <c r="F53" s="54">
        <f ca="1">MAX(0.02,MCDA_Prioritisation!$B$13+(RAND()-0.5)*2*$B$6)</f>
        <v>0.16172056582208488</v>
      </c>
      <c r="G53" s="54">
        <f t="shared" ca="1" si="0"/>
        <v>0.84037615236990582</v>
      </c>
      <c r="H53" s="54">
        <f t="shared" ca="1" si="1"/>
        <v>0.1489164612582749</v>
      </c>
      <c r="I53" s="54">
        <f t="shared" ca="1" si="2"/>
        <v>0.31019082170376355</v>
      </c>
      <c r="J53" s="54">
        <f t="shared" ca="1" si="3"/>
        <v>0.2569805422153511</v>
      </c>
      <c r="K53" s="54">
        <f t="shared" ca="1" si="4"/>
        <v>9.1473865660666426E-2</v>
      </c>
      <c r="L53" s="54">
        <f t="shared" ca="1" si="5"/>
        <v>0.19243830916194399</v>
      </c>
      <c r="M53" s="54">
        <f ca="1">MIN(100,MAX(0,MCDA_Prioritisation!$F$2+(RAND()-0.5)*2*$B$7))</f>
        <v>91.81126543724136</v>
      </c>
      <c r="N53" s="54">
        <f ca="1">MIN(100,MAX(0,MCDA_Prioritisation!$F$3+(RAND()-0.5)*2*$B$7))</f>
        <v>99.626755803781691</v>
      </c>
      <c r="O53" s="54">
        <f ca="1">MIN(100,MAX(0,MCDA_Prioritisation!$F$4+(RAND()-0.5)*2*$B$7))</f>
        <v>80.149221536317341</v>
      </c>
      <c r="P53" s="54">
        <f ca="1">MIN(100,MAX(0,MCDA_Prioritisation!$F$5+(RAND()-0.5)*2*$B$7))</f>
        <v>82.120990514109664</v>
      </c>
      <c r="Q53" s="54">
        <f ca="1">MIN(100,MAX(0,MCDA_Prioritisation!$G$2+(RAND()-0.5)*2*$B$7))</f>
        <v>80.589896001543394</v>
      </c>
      <c r="R53" s="54">
        <f ca="1">MIN(100,MAX(0,MCDA_Prioritisation!$G$3+(RAND()-0.5)*2*$B$7))</f>
        <v>93.247965027282945</v>
      </c>
      <c r="S53" s="54">
        <f ca="1">MIN(100,MAX(0,MCDA_Prioritisation!$G$4+(RAND()-0.5)*2*$B$7))</f>
        <v>94.422831570870528</v>
      </c>
      <c r="T53" s="54">
        <f ca="1">MIN(100,MAX(0,MCDA_Prioritisation!$G$5+(RAND()-0.5)*2*$B$7))</f>
        <v>76.667446895779747</v>
      </c>
      <c r="U53" s="54">
        <f ca="1">MIN(100,MAX(0,MCDA_Prioritisation!$H$2+(RAND()-0.5)*2*$B$7))</f>
        <v>56.692372862614114</v>
      </c>
      <c r="V53" s="54">
        <f ca="1">MIN(100,MAX(0,MCDA_Prioritisation!$H$3+(RAND()-0.5)*2*$B$7))</f>
        <v>63.111332807889518</v>
      </c>
      <c r="W53" s="54">
        <f ca="1">MIN(100,MAX(0,MCDA_Prioritisation!$H$4+(RAND()-0.5)*2*$B$7))</f>
        <v>83.098190410922555</v>
      </c>
      <c r="X53" s="54">
        <f ca="1">MIN(100,MAX(0,MCDA_Prioritisation!$H$5+(RAND()-0.5)*2*$B$7))</f>
        <v>79.936647245546936</v>
      </c>
      <c r="Y53" s="54">
        <f ca="1">H53*MCDA_Prioritisation!$D$2+I53*MCDA_Prioritisation!$E$2+J53*M53+K53*Q53+L53*U53</f>
        <v>87.786090766255853</v>
      </c>
      <c r="Z53" s="54">
        <f ca="1">H53*MCDA_Prioritisation!$D$3+I53*MCDA_Prioritisation!$E$3+J53*N53+K53*R53+L53*V53</f>
        <v>81.851088241452018</v>
      </c>
      <c r="AA53" s="54">
        <f ca="1">H53*MCDA_Prioritisation!$D$4+I53*MCDA_Prioritisation!$E$4+J53*O53+K53*S53+L53*W53</f>
        <v>72.514453383336431</v>
      </c>
      <c r="AB53" s="54">
        <f ca="1">H53*MCDA_Prioritisation!$D$5+I53*MCDA_Prioritisation!$E$5+J53*P53+K53*T53+L53*X53</f>
        <v>77.487539522604663</v>
      </c>
      <c r="AC53" s="54">
        <f t="shared" ca="1" si="6"/>
        <v>1</v>
      </c>
      <c r="AD53" s="54">
        <f t="shared" ca="1" si="7"/>
        <v>2</v>
      </c>
      <c r="AE53" s="54">
        <f t="shared" ca="1" si="8"/>
        <v>4</v>
      </c>
      <c r="AF53" s="54">
        <f t="shared" ca="1" si="9"/>
        <v>3</v>
      </c>
      <c r="AG53" s="54">
        <f t="shared" ca="1" si="10"/>
        <v>1</v>
      </c>
      <c r="AH53" s="54">
        <f t="shared" ca="1" si="11"/>
        <v>1</v>
      </c>
      <c r="AI53" s="54">
        <f t="shared" ca="1" si="12"/>
        <v>0</v>
      </c>
      <c r="AJ53" s="54">
        <f t="shared" ca="1" si="13"/>
        <v>1</v>
      </c>
    </row>
    <row r="54" spans="1:36" x14ac:dyDescent="0.2">
      <c r="A54" s="54">
        <v>31</v>
      </c>
      <c r="B54" s="54">
        <f ca="1">MAX(0.02,MCDA_Prioritisation!$B$9+(RAND()-0.5)*2*$B$6)</f>
        <v>0.19554070141520971</v>
      </c>
      <c r="C54" s="54">
        <f ca="1">MAX(0.02,MCDA_Prioritisation!$B$10+(RAND()-0.5)*2*$B$6)</f>
        <v>0.255211949600128</v>
      </c>
      <c r="D54" s="54">
        <f ca="1">MAX(0.02,MCDA_Prioritisation!$B$11+(RAND()-0.5)*2*$B$6)</f>
        <v>0.24921190136261998</v>
      </c>
      <c r="E54" s="54">
        <f ca="1">MAX(0.02,MCDA_Prioritisation!$B$12+(RAND()-0.5)*2*$B$6)</f>
        <v>0.16707688206850546</v>
      </c>
      <c r="F54" s="54">
        <f ca="1">MAX(0.02,MCDA_Prioritisation!$B$13+(RAND()-0.5)*2*$B$6)</f>
        <v>0.15232995698590221</v>
      </c>
      <c r="G54" s="54">
        <f t="shared" ca="1" si="0"/>
        <v>1.0193713914323652</v>
      </c>
      <c r="H54" s="54">
        <f t="shared" ca="1" si="1"/>
        <v>0.19182478835358185</v>
      </c>
      <c r="I54" s="54">
        <f t="shared" ca="1" si="2"/>
        <v>0.25036208760137763</v>
      </c>
      <c r="J54" s="54">
        <f t="shared" ca="1" si="3"/>
        <v>0.24447605991025603</v>
      </c>
      <c r="K54" s="54">
        <f t="shared" ca="1" si="4"/>
        <v>0.16390187469724662</v>
      </c>
      <c r="L54" s="54">
        <f t="shared" ca="1" si="5"/>
        <v>0.149435189437538</v>
      </c>
      <c r="M54" s="54">
        <f ca="1">MIN(100,MAX(0,MCDA_Prioritisation!$F$2+(RAND()-0.5)*2*$B$7))</f>
        <v>84.710319607787227</v>
      </c>
      <c r="N54" s="54">
        <f ca="1">MIN(100,MAX(0,MCDA_Prioritisation!$F$3+(RAND()-0.5)*2*$B$7))</f>
        <v>95.821538316683515</v>
      </c>
      <c r="O54" s="54">
        <f ca="1">MIN(100,MAX(0,MCDA_Prioritisation!$F$4+(RAND()-0.5)*2*$B$7))</f>
        <v>99.526223731006368</v>
      </c>
      <c r="P54" s="54">
        <f ca="1">MIN(100,MAX(0,MCDA_Prioritisation!$F$5+(RAND()-0.5)*2*$B$7))</f>
        <v>75.941424398766344</v>
      </c>
      <c r="Q54" s="54">
        <f ca="1">MIN(100,MAX(0,MCDA_Prioritisation!$G$2+(RAND()-0.5)*2*$B$7))</f>
        <v>78.658316618174737</v>
      </c>
      <c r="R54" s="54">
        <f ca="1">MIN(100,MAX(0,MCDA_Prioritisation!$G$3+(RAND()-0.5)*2*$B$7))</f>
        <v>95.211751534478722</v>
      </c>
      <c r="S54" s="54">
        <f ca="1">MIN(100,MAX(0,MCDA_Prioritisation!$G$4+(RAND()-0.5)*2*$B$7))</f>
        <v>93.342296335734645</v>
      </c>
      <c r="T54" s="54">
        <f ca="1">MIN(100,MAX(0,MCDA_Prioritisation!$G$5+(RAND()-0.5)*2*$B$7))</f>
        <v>75.139131396761996</v>
      </c>
      <c r="U54" s="54">
        <f ca="1">MIN(100,MAX(0,MCDA_Prioritisation!$H$2+(RAND()-0.5)*2*$B$7))</f>
        <v>59.776516078135913</v>
      </c>
      <c r="V54" s="54">
        <f ca="1">MIN(100,MAX(0,MCDA_Prioritisation!$H$3+(RAND()-0.5)*2*$B$7))</f>
        <v>56.960595251620319</v>
      </c>
      <c r="W54" s="54">
        <f ca="1">MIN(100,MAX(0,MCDA_Prioritisation!$H$4+(RAND()-0.5)*2*$B$7))</f>
        <v>84.03086512874107</v>
      </c>
      <c r="X54" s="54">
        <f ca="1">MIN(100,MAX(0,MCDA_Prioritisation!$H$5+(RAND()-0.5)*2*$B$7))</f>
        <v>80.720913036601061</v>
      </c>
      <c r="Y54" s="54">
        <f ca="1">H54*MCDA_Prioritisation!$D$2+I54*MCDA_Prioritisation!$E$2+J54*M54+K54*Q54+L54*U54</f>
        <v>86.753293325247</v>
      </c>
      <c r="Z54" s="54">
        <f ca="1">H54*MCDA_Prioritisation!$D$3+I54*MCDA_Prioritisation!$E$3+J54*N54+K54*R54+L54*V54</f>
        <v>82.516406073179638</v>
      </c>
      <c r="AA54" s="54">
        <f ca="1">H54*MCDA_Prioritisation!$D$4+I54*MCDA_Prioritisation!$E$4+J54*O54+K54*S54+L54*W54</f>
        <v>79.201589111381779</v>
      </c>
      <c r="AB54" s="54">
        <f ca="1">H54*MCDA_Prioritisation!$D$5+I54*MCDA_Prioritisation!$E$5+J54*P54+K54*T54+L54*X54</f>
        <v>74.178296531281092</v>
      </c>
      <c r="AC54" s="54">
        <f t="shared" ca="1" si="6"/>
        <v>1</v>
      </c>
      <c r="AD54" s="54">
        <f t="shared" ca="1" si="7"/>
        <v>2</v>
      </c>
      <c r="AE54" s="54">
        <f t="shared" ca="1" si="8"/>
        <v>3</v>
      </c>
      <c r="AF54" s="54">
        <f t="shared" ca="1" si="9"/>
        <v>4</v>
      </c>
      <c r="AG54" s="54">
        <f t="shared" ca="1" si="10"/>
        <v>1</v>
      </c>
      <c r="AH54" s="54">
        <f t="shared" ca="1" si="11"/>
        <v>1</v>
      </c>
      <c r="AI54" s="54">
        <f t="shared" ca="1" si="12"/>
        <v>1</v>
      </c>
      <c r="AJ54" s="54">
        <f t="shared" ca="1" si="13"/>
        <v>1</v>
      </c>
    </row>
    <row r="55" spans="1:36" x14ac:dyDescent="0.2">
      <c r="A55" s="54">
        <v>32</v>
      </c>
      <c r="B55" s="54">
        <f ca="1">MAX(0.02,MCDA_Prioritisation!$B$9+(RAND()-0.5)*2*$B$6)</f>
        <v>0.18226385176837642</v>
      </c>
      <c r="C55" s="54">
        <f ca="1">MAX(0.02,MCDA_Prioritisation!$B$10+(RAND()-0.5)*2*$B$6)</f>
        <v>0.26612029371928408</v>
      </c>
      <c r="D55" s="54">
        <f ca="1">MAX(0.02,MCDA_Prioritisation!$B$11+(RAND()-0.5)*2*$B$6)</f>
        <v>0.17824564803823159</v>
      </c>
      <c r="E55" s="54">
        <f ca="1">MAX(0.02,MCDA_Prioritisation!$B$12+(RAND()-0.5)*2*$B$6)</f>
        <v>0.19112092012988965</v>
      </c>
      <c r="F55" s="54">
        <f ca="1">MAX(0.02,MCDA_Prioritisation!$B$13+(RAND()-0.5)*2*$B$6)</f>
        <v>0.22615662413744375</v>
      </c>
      <c r="G55" s="54">
        <f t="shared" ca="1" si="0"/>
        <v>1.0439073377932255</v>
      </c>
      <c r="H55" s="54">
        <f t="shared" ca="1" si="1"/>
        <v>0.1745977302484282</v>
      </c>
      <c r="I55" s="54">
        <f t="shared" ca="1" si="2"/>
        <v>0.25492712244158638</v>
      </c>
      <c r="J55" s="54">
        <f t="shared" ca="1" si="3"/>
        <v>0.17074853445808236</v>
      </c>
      <c r="K55" s="54">
        <f t="shared" ca="1" si="4"/>
        <v>0.18308226526495247</v>
      </c>
      <c r="L55" s="54">
        <f t="shared" ca="1" si="5"/>
        <v>0.21664434758695056</v>
      </c>
      <c r="M55" s="54">
        <f ca="1">MIN(100,MAX(0,MCDA_Prioritisation!$F$2+(RAND()-0.5)*2*$B$7))</f>
        <v>93.837311647096371</v>
      </c>
      <c r="N55" s="54">
        <f ca="1">MIN(100,MAX(0,MCDA_Prioritisation!$F$3+(RAND()-0.5)*2*$B$7))</f>
        <v>91.464064021043399</v>
      </c>
      <c r="O55" s="54">
        <f ca="1">MIN(100,MAX(0,MCDA_Prioritisation!$F$4+(RAND()-0.5)*2*$B$7))</f>
        <v>85.824455738864415</v>
      </c>
      <c r="P55" s="54">
        <f ca="1">MIN(100,MAX(0,MCDA_Prioritisation!$F$5+(RAND()-0.5)*2*$B$7))</f>
        <v>74.776849492405475</v>
      </c>
      <c r="Q55" s="54">
        <f ca="1">MIN(100,MAX(0,MCDA_Prioritisation!$G$2+(RAND()-0.5)*2*$B$7))</f>
        <v>70.93745406925872</v>
      </c>
      <c r="R55" s="54">
        <f ca="1">MIN(100,MAX(0,MCDA_Prioritisation!$G$3+(RAND()-0.5)*2*$B$7))</f>
        <v>100</v>
      </c>
      <c r="S55" s="54">
        <f ca="1">MIN(100,MAX(0,MCDA_Prioritisation!$G$4+(RAND()-0.5)*2*$B$7))</f>
        <v>77.994509042654101</v>
      </c>
      <c r="T55" s="54">
        <f ca="1">MIN(100,MAX(0,MCDA_Prioritisation!$G$5+(RAND()-0.5)*2*$B$7))</f>
        <v>71.903272196467839</v>
      </c>
      <c r="U55" s="54">
        <f ca="1">MIN(100,MAX(0,MCDA_Prioritisation!$H$2+(RAND()-0.5)*2*$B$7))</f>
        <v>57.292082635604714</v>
      </c>
      <c r="V55" s="54">
        <f ca="1">MIN(100,MAX(0,MCDA_Prioritisation!$H$3+(RAND()-0.5)*2*$B$7))</f>
        <v>57.199452530046607</v>
      </c>
      <c r="W55" s="54">
        <f ca="1">MIN(100,MAX(0,MCDA_Prioritisation!$H$4+(RAND()-0.5)*2*$B$7))</f>
        <v>74.453506032305938</v>
      </c>
      <c r="X55" s="54">
        <f ca="1">MIN(100,MAX(0,MCDA_Prioritisation!$H$5+(RAND()-0.5)*2*$B$7))</f>
        <v>69.750417727104391</v>
      </c>
      <c r="Y55" s="54">
        <f ca="1">H55*MCDA_Prioritisation!$D$2+I55*MCDA_Prioritisation!$E$2+J55*M55+K55*Q55+L55*U55</f>
        <v>84.374464357846151</v>
      </c>
      <c r="Z55" s="54">
        <f ca="1">H55*MCDA_Prioritisation!$D$3+I55*MCDA_Prioritisation!$E$3+J55*N55+K55*R55+L55*V55</f>
        <v>80.116963614433629</v>
      </c>
      <c r="AA55" s="54">
        <f ca="1">H55*MCDA_Prioritisation!$D$4+I55*MCDA_Prioritisation!$E$4+J55*O55+K55*S55+L55*W55</f>
        <v>71.126817985479192</v>
      </c>
      <c r="AB55" s="54">
        <f ca="1">H55*MCDA_Prioritisation!$D$5+I55*MCDA_Prioritisation!$E$5+J55*P55+K55*T55+L55*X55</f>
        <v>71.747268530170231</v>
      </c>
      <c r="AC55" s="54">
        <f t="shared" ca="1" si="6"/>
        <v>1</v>
      </c>
      <c r="AD55" s="54">
        <f t="shared" ca="1" si="7"/>
        <v>2</v>
      </c>
      <c r="AE55" s="54">
        <f t="shared" ca="1" si="8"/>
        <v>4</v>
      </c>
      <c r="AF55" s="54">
        <f t="shared" ca="1" si="9"/>
        <v>3</v>
      </c>
      <c r="AG55" s="54">
        <f t="shared" ca="1" si="10"/>
        <v>1</v>
      </c>
      <c r="AH55" s="54">
        <f t="shared" ca="1" si="11"/>
        <v>1</v>
      </c>
      <c r="AI55" s="54">
        <f t="shared" ca="1" si="12"/>
        <v>0</v>
      </c>
      <c r="AJ55" s="54">
        <f t="shared" ca="1" si="13"/>
        <v>1</v>
      </c>
    </row>
    <row r="56" spans="1:36" x14ac:dyDescent="0.2">
      <c r="A56" s="54">
        <v>33</v>
      </c>
      <c r="B56" s="54">
        <f ca="1">MAX(0.02,MCDA_Prioritisation!$B$9+(RAND()-0.5)*2*$B$6)</f>
        <v>0.12659269702219642</v>
      </c>
      <c r="C56" s="54">
        <f ca="1">MAX(0.02,MCDA_Prioritisation!$B$10+(RAND()-0.5)*2*$B$6)</f>
        <v>0.320071290115792</v>
      </c>
      <c r="D56" s="54">
        <f ca="1">MAX(0.02,MCDA_Prioritisation!$B$11+(RAND()-0.5)*2*$B$6)</f>
        <v>0.32225585828423797</v>
      </c>
      <c r="E56" s="54">
        <f ca="1">MAX(0.02,MCDA_Prioritisation!$B$12+(RAND()-0.5)*2*$B$6)</f>
        <v>0.14607891465446532</v>
      </c>
      <c r="F56" s="54">
        <f ca="1">MAX(0.02,MCDA_Prioritisation!$B$13+(RAND()-0.5)*2*$B$6)</f>
        <v>0.22198747099246724</v>
      </c>
      <c r="G56" s="54">
        <f t="shared" ca="1" si="0"/>
        <v>1.136986231069159</v>
      </c>
      <c r="H56" s="54">
        <f t="shared" ca="1" si="1"/>
        <v>0.11134057173511736</v>
      </c>
      <c r="I56" s="54">
        <f t="shared" ca="1" si="2"/>
        <v>0.28150850148362366</v>
      </c>
      <c r="J56" s="54">
        <f t="shared" ca="1" si="3"/>
        <v>0.28342986878671905</v>
      </c>
      <c r="K56" s="54">
        <f t="shared" ca="1" si="4"/>
        <v>0.12847905336294246</v>
      </c>
      <c r="L56" s="54">
        <f t="shared" ca="1" si="5"/>
        <v>0.19524200463159744</v>
      </c>
      <c r="M56" s="54">
        <f ca="1">MIN(100,MAX(0,MCDA_Prioritisation!$F$2+(RAND()-0.5)*2*$B$7))</f>
        <v>86.433080183566133</v>
      </c>
      <c r="N56" s="54">
        <f ca="1">MIN(100,MAX(0,MCDA_Prioritisation!$F$3+(RAND()-0.5)*2*$B$7))</f>
        <v>100</v>
      </c>
      <c r="O56" s="54">
        <f ca="1">MIN(100,MAX(0,MCDA_Prioritisation!$F$4+(RAND()-0.5)*2*$B$7))</f>
        <v>81.880231426081963</v>
      </c>
      <c r="P56" s="54">
        <f ca="1">MIN(100,MAX(0,MCDA_Prioritisation!$F$5+(RAND()-0.5)*2*$B$7))</f>
        <v>71.661116767834599</v>
      </c>
      <c r="Q56" s="54">
        <f ca="1">MIN(100,MAX(0,MCDA_Prioritisation!$G$2+(RAND()-0.5)*2*$B$7))</f>
        <v>79.234903712651445</v>
      </c>
      <c r="R56" s="54">
        <f ca="1">MIN(100,MAX(0,MCDA_Prioritisation!$G$3+(RAND()-0.5)*2*$B$7))</f>
        <v>100</v>
      </c>
      <c r="S56" s="54">
        <f ca="1">MIN(100,MAX(0,MCDA_Prioritisation!$G$4+(RAND()-0.5)*2*$B$7))</f>
        <v>89.765772588876104</v>
      </c>
      <c r="T56" s="54">
        <f ca="1">MIN(100,MAX(0,MCDA_Prioritisation!$G$5+(RAND()-0.5)*2*$B$7))</f>
        <v>72.928701116269437</v>
      </c>
      <c r="U56" s="54">
        <f ca="1">MIN(100,MAX(0,MCDA_Prioritisation!$H$2+(RAND()-0.5)*2*$B$7))</f>
        <v>62.112224556237116</v>
      </c>
      <c r="V56" s="54">
        <f ca="1">MIN(100,MAX(0,MCDA_Prioritisation!$H$3+(RAND()-0.5)*2*$B$7))</f>
        <v>64.825643945533244</v>
      </c>
      <c r="W56" s="54">
        <f ca="1">MIN(100,MAX(0,MCDA_Prioritisation!$H$4+(RAND()-0.5)*2*$B$7))</f>
        <v>75.502461234927409</v>
      </c>
      <c r="X56" s="54">
        <f ca="1">MIN(100,MAX(0,MCDA_Prioritisation!$H$5+(RAND()-0.5)*2*$B$7))</f>
        <v>71.003121844069497</v>
      </c>
      <c r="Y56" s="54">
        <f ca="1">H56*MCDA_Prioritisation!$D$2+I56*MCDA_Prioritisation!$E$2+J56*M56+K56*Q56+L56*U56</f>
        <v>86.089564553927232</v>
      </c>
      <c r="Z56" s="54">
        <f ca="1">H56*MCDA_Prioritisation!$D$3+I56*MCDA_Prioritisation!$E$3+J56*N56+K56*R56+L56*V56</f>
        <v>84.051740503916719</v>
      </c>
      <c r="AA56" s="54">
        <f ca="1">H56*MCDA_Prioritisation!$D$4+I56*MCDA_Prioritisation!$E$4+J56*O56+K56*S56+L56*W56</f>
        <v>72.58968868277428</v>
      </c>
      <c r="AB56" s="54">
        <f ca="1">H56*MCDA_Prioritisation!$D$5+I56*MCDA_Prioritisation!$E$5+J56*P56+K56*T56+L56*X56</f>
        <v>73.125308973653517</v>
      </c>
      <c r="AC56" s="54">
        <f t="shared" ca="1" si="6"/>
        <v>1</v>
      </c>
      <c r="AD56" s="54">
        <f t="shared" ca="1" si="7"/>
        <v>2</v>
      </c>
      <c r="AE56" s="54">
        <f t="shared" ca="1" si="8"/>
        <v>4</v>
      </c>
      <c r="AF56" s="54">
        <f t="shared" ca="1" si="9"/>
        <v>3</v>
      </c>
      <c r="AG56" s="54">
        <f t="shared" ca="1" si="10"/>
        <v>1</v>
      </c>
      <c r="AH56" s="54">
        <f t="shared" ca="1" si="11"/>
        <v>1</v>
      </c>
      <c r="AI56" s="54">
        <f t="shared" ca="1" si="12"/>
        <v>0</v>
      </c>
      <c r="AJ56" s="54">
        <f t="shared" ca="1" si="13"/>
        <v>1</v>
      </c>
    </row>
    <row r="57" spans="1:36" x14ac:dyDescent="0.2">
      <c r="A57" s="54">
        <v>34</v>
      </c>
      <c r="B57" s="54">
        <f ca="1">MAX(0.02,MCDA_Prioritisation!$B$9+(RAND()-0.5)*2*$B$6)</f>
        <v>0.23092804912506243</v>
      </c>
      <c r="C57" s="54">
        <f ca="1">MAX(0.02,MCDA_Prioritisation!$B$10+(RAND()-0.5)*2*$B$6)</f>
        <v>0.21874006122581824</v>
      </c>
      <c r="D57" s="54">
        <f ca="1">MAX(0.02,MCDA_Prioritisation!$B$11+(RAND()-0.5)*2*$B$6)</f>
        <v>0.30734600593325151</v>
      </c>
      <c r="E57" s="54">
        <f ca="1">MAX(0.02,MCDA_Prioritisation!$B$12+(RAND()-0.5)*2*$B$6)</f>
        <v>0.197027582999172</v>
      </c>
      <c r="F57" s="54">
        <f ca="1">MAX(0.02,MCDA_Prioritisation!$B$13+(RAND()-0.5)*2*$B$6)</f>
        <v>0.13109742235801525</v>
      </c>
      <c r="G57" s="54">
        <f t="shared" ca="1" si="0"/>
        <v>1.0851391216413195</v>
      </c>
      <c r="H57" s="54">
        <f t="shared" ca="1" si="1"/>
        <v>0.21280962460903063</v>
      </c>
      <c r="I57" s="54">
        <f t="shared" ca="1" si="2"/>
        <v>0.20157789620096314</v>
      </c>
      <c r="J57" s="54">
        <f t="shared" ca="1" si="3"/>
        <v>0.28323189147247541</v>
      </c>
      <c r="K57" s="54">
        <f t="shared" ca="1" si="4"/>
        <v>0.18156896113113988</v>
      </c>
      <c r="L57" s="54">
        <f t="shared" ca="1" si="5"/>
        <v>0.12081162658639084</v>
      </c>
      <c r="M57" s="54">
        <f ca="1">MIN(100,MAX(0,MCDA_Prioritisation!$F$2+(RAND()-0.5)*2*$B$7))</f>
        <v>92.215518220856836</v>
      </c>
      <c r="N57" s="54">
        <f ca="1">MIN(100,MAX(0,MCDA_Prioritisation!$F$3+(RAND()-0.5)*2*$B$7))</f>
        <v>92.760866805529162</v>
      </c>
      <c r="O57" s="54">
        <f ca="1">MIN(100,MAX(0,MCDA_Prioritisation!$F$4+(RAND()-0.5)*2*$B$7))</f>
        <v>89.495651806293083</v>
      </c>
      <c r="P57" s="54">
        <f ca="1">MIN(100,MAX(0,MCDA_Prioritisation!$F$5+(RAND()-0.5)*2*$B$7))</f>
        <v>81.523252530919322</v>
      </c>
      <c r="Q57" s="54">
        <f ca="1">MIN(100,MAX(0,MCDA_Prioritisation!$G$2+(RAND()-0.5)*2*$B$7))</f>
        <v>78.600183797600053</v>
      </c>
      <c r="R57" s="54">
        <f ca="1">MIN(100,MAX(0,MCDA_Prioritisation!$G$3+(RAND()-0.5)*2*$B$7))</f>
        <v>85.234576814684033</v>
      </c>
      <c r="S57" s="54">
        <f ca="1">MIN(100,MAX(0,MCDA_Prioritisation!$G$4+(RAND()-0.5)*2*$B$7))</f>
        <v>83.51904236497279</v>
      </c>
      <c r="T57" s="54">
        <f ca="1">MIN(100,MAX(0,MCDA_Prioritisation!$G$5+(RAND()-0.5)*2*$B$7))</f>
        <v>72.408536009636848</v>
      </c>
      <c r="U57" s="54">
        <f ca="1">MIN(100,MAX(0,MCDA_Prioritisation!$H$2+(RAND()-0.5)*2*$B$7))</f>
        <v>68.609062870605513</v>
      </c>
      <c r="V57" s="54">
        <f ca="1">MIN(100,MAX(0,MCDA_Prioritisation!$H$3+(RAND()-0.5)*2*$B$7))</f>
        <v>54.51975082618987</v>
      </c>
      <c r="W57" s="54">
        <f ca="1">MIN(100,MAX(0,MCDA_Prioritisation!$H$4+(RAND()-0.5)*2*$B$7))</f>
        <v>82.155715194597889</v>
      </c>
      <c r="X57" s="54">
        <f ca="1">MIN(100,MAX(0,MCDA_Prioritisation!$H$5+(RAND()-0.5)*2*$B$7))</f>
        <v>75.171472715289781</v>
      </c>
      <c r="Y57" s="54">
        <f ca="1">H57*MCDA_Prioritisation!$D$2+I57*MCDA_Prioritisation!$E$2+J57*M57+K57*Q57+L57*U57</f>
        <v>90.117253930619867</v>
      </c>
      <c r="Z57" s="54">
        <f ca="1">H57*MCDA_Prioritisation!$D$3+I57*MCDA_Prioritisation!$E$3+J57*N57+K57*R57+L57*V57</f>
        <v>81.59450829077096</v>
      </c>
      <c r="AA57" s="54">
        <f ca="1">H57*MCDA_Prioritisation!$D$4+I57*MCDA_Prioritisation!$E$4+J57*O57+K57*S57+L57*W57</f>
        <v>76.251823292144351</v>
      </c>
      <c r="AB57" s="54">
        <f ca="1">H57*MCDA_Prioritisation!$D$5+I57*MCDA_Prioritisation!$E$5+J57*P57+K57*T57+L57*X57</f>
        <v>73.564644298194096</v>
      </c>
      <c r="AC57" s="54">
        <f t="shared" ca="1" si="6"/>
        <v>1</v>
      </c>
      <c r="AD57" s="54">
        <f t="shared" ca="1" si="7"/>
        <v>2</v>
      </c>
      <c r="AE57" s="54">
        <f t="shared" ca="1" si="8"/>
        <v>3</v>
      </c>
      <c r="AF57" s="54">
        <f t="shared" ca="1" si="9"/>
        <v>4</v>
      </c>
      <c r="AG57" s="54">
        <f t="shared" ca="1" si="10"/>
        <v>1</v>
      </c>
      <c r="AH57" s="54">
        <f t="shared" ca="1" si="11"/>
        <v>1</v>
      </c>
      <c r="AI57" s="54">
        <f t="shared" ca="1" si="12"/>
        <v>1</v>
      </c>
      <c r="AJ57" s="54">
        <f t="shared" ca="1" si="13"/>
        <v>1</v>
      </c>
    </row>
    <row r="58" spans="1:36" x14ac:dyDescent="0.2">
      <c r="A58" s="54">
        <v>35</v>
      </c>
      <c r="B58" s="54">
        <f ca="1">MAX(0.02,MCDA_Prioritisation!$B$9+(RAND()-0.5)*2*$B$6)</f>
        <v>0.22937369013163253</v>
      </c>
      <c r="C58" s="54">
        <f ca="1">MAX(0.02,MCDA_Prioritisation!$B$10+(RAND()-0.5)*2*$B$6)</f>
        <v>0.17285435459275744</v>
      </c>
      <c r="D58" s="54">
        <f ca="1">MAX(0.02,MCDA_Prioritisation!$B$11+(RAND()-0.5)*2*$B$6)</f>
        <v>0.19337306042881303</v>
      </c>
      <c r="E58" s="54">
        <f ca="1">MAX(0.02,MCDA_Prioritisation!$B$12+(RAND()-0.5)*2*$B$6)</f>
        <v>0.15986938875431284</v>
      </c>
      <c r="F58" s="54">
        <f ca="1">MAX(0.02,MCDA_Prioritisation!$B$13+(RAND()-0.5)*2*$B$6)</f>
        <v>0.21339326726711824</v>
      </c>
      <c r="G58" s="54">
        <f t="shared" ca="1" si="0"/>
        <v>0.96886376117463413</v>
      </c>
      <c r="H58" s="54">
        <f t="shared" ca="1" si="1"/>
        <v>0.23674504024543525</v>
      </c>
      <c r="I58" s="54">
        <f t="shared" ca="1" si="2"/>
        <v>0.17840935074627182</v>
      </c>
      <c r="J58" s="54">
        <f t="shared" ca="1" si="3"/>
        <v>0.19958746335436345</v>
      </c>
      <c r="K58" s="54">
        <f t="shared" ca="1" si="4"/>
        <v>0.16500708888160898</v>
      </c>
      <c r="L58" s="54">
        <f t="shared" ca="1" si="5"/>
        <v>0.22025105677232043</v>
      </c>
      <c r="M58" s="54">
        <f ca="1">MIN(100,MAX(0,MCDA_Prioritisation!$F$2+(RAND()-0.5)*2*$B$7))</f>
        <v>94.916731699671487</v>
      </c>
      <c r="N58" s="54">
        <f ca="1">MIN(100,MAX(0,MCDA_Prioritisation!$F$3+(RAND()-0.5)*2*$B$7))</f>
        <v>100</v>
      </c>
      <c r="O58" s="54">
        <f ca="1">MIN(100,MAX(0,MCDA_Prioritisation!$F$4+(RAND()-0.5)*2*$B$7))</f>
        <v>92.398643104067759</v>
      </c>
      <c r="P58" s="54">
        <f ca="1">MIN(100,MAX(0,MCDA_Prioritisation!$F$5+(RAND()-0.5)*2*$B$7))</f>
        <v>70.977518562251092</v>
      </c>
      <c r="Q58" s="54">
        <f ca="1">MIN(100,MAX(0,MCDA_Prioritisation!$G$2+(RAND()-0.5)*2*$B$7))</f>
        <v>81.469914299713892</v>
      </c>
      <c r="R58" s="54">
        <f ca="1">MIN(100,MAX(0,MCDA_Prioritisation!$G$3+(RAND()-0.5)*2*$B$7))</f>
        <v>97.402825582108534</v>
      </c>
      <c r="S58" s="54">
        <f ca="1">MIN(100,MAX(0,MCDA_Prioritisation!$G$4+(RAND()-0.5)*2*$B$7))</f>
        <v>88.755868610901999</v>
      </c>
      <c r="T58" s="54">
        <f ca="1">MIN(100,MAX(0,MCDA_Prioritisation!$G$5+(RAND()-0.5)*2*$B$7))</f>
        <v>66.548292992928225</v>
      </c>
      <c r="U58" s="54">
        <f ca="1">MIN(100,MAX(0,MCDA_Prioritisation!$H$2+(RAND()-0.5)*2*$B$7))</f>
        <v>64.354871553485737</v>
      </c>
      <c r="V58" s="54">
        <f ca="1">MIN(100,MAX(0,MCDA_Prioritisation!$H$3+(RAND()-0.5)*2*$B$7))</f>
        <v>53.705984954184565</v>
      </c>
      <c r="W58" s="54">
        <f ca="1">MIN(100,MAX(0,MCDA_Prioritisation!$H$4+(RAND()-0.5)*2*$B$7))</f>
        <v>84.787229307245155</v>
      </c>
      <c r="X58" s="54">
        <f ca="1">MIN(100,MAX(0,MCDA_Prioritisation!$H$5+(RAND()-0.5)*2*$B$7))</f>
        <v>74.193332365094733</v>
      </c>
      <c r="Y58" s="54">
        <f ca="1">H58*MCDA_Prioritisation!$D$2+I58*MCDA_Prioritisation!$E$2+J58*M58+K58*Q58+L58*U58</f>
        <v>88.076970667126972</v>
      </c>
      <c r="Z58" s="54">
        <f ca="1">H58*MCDA_Prioritisation!$D$3+I58*MCDA_Prioritisation!$E$3+J58*N58+K58*R58+L58*V58</f>
        <v>81.52569671148143</v>
      </c>
      <c r="AA58" s="54">
        <f ca="1">H58*MCDA_Prioritisation!$D$4+I58*MCDA_Prioritisation!$E$4+J58*O58+K58*S58+L58*W58</f>
        <v>77.978387155657003</v>
      </c>
      <c r="AB58" s="54">
        <f ca="1">H58*MCDA_Prioritisation!$D$5+I58*MCDA_Prioritisation!$E$5+J58*P58+K58*T58+L58*X58</f>
        <v>69.056381007209694</v>
      </c>
      <c r="AC58" s="54">
        <f t="shared" ca="1" si="6"/>
        <v>1</v>
      </c>
      <c r="AD58" s="54">
        <f t="shared" ca="1" si="7"/>
        <v>2</v>
      </c>
      <c r="AE58" s="54">
        <f t="shared" ca="1" si="8"/>
        <v>3</v>
      </c>
      <c r="AF58" s="54">
        <f t="shared" ca="1" si="9"/>
        <v>4</v>
      </c>
      <c r="AG58" s="54">
        <f t="shared" ca="1" si="10"/>
        <v>1</v>
      </c>
      <c r="AH58" s="54">
        <f t="shared" ca="1" si="11"/>
        <v>1</v>
      </c>
      <c r="AI58" s="54">
        <f t="shared" ca="1" si="12"/>
        <v>1</v>
      </c>
      <c r="AJ58" s="54">
        <f t="shared" ca="1" si="13"/>
        <v>1</v>
      </c>
    </row>
    <row r="59" spans="1:36" x14ac:dyDescent="0.2">
      <c r="A59" s="54">
        <v>36</v>
      </c>
      <c r="B59" s="54">
        <f ca="1">MAX(0.02,MCDA_Prioritisation!$B$9+(RAND()-0.5)*2*$B$6)</f>
        <v>0.1760552548515936</v>
      </c>
      <c r="C59" s="54">
        <f ca="1">MAX(0.02,MCDA_Prioritisation!$B$10+(RAND()-0.5)*2*$B$6)</f>
        <v>0.21897559769266409</v>
      </c>
      <c r="D59" s="54">
        <f ca="1">MAX(0.02,MCDA_Prioritisation!$B$11+(RAND()-0.5)*2*$B$6)</f>
        <v>0.24193586546535217</v>
      </c>
      <c r="E59" s="54">
        <f ca="1">MAX(0.02,MCDA_Prioritisation!$B$12+(RAND()-0.5)*2*$B$6)</f>
        <v>0.2027444073090722</v>
      </c>
      <c r="F59" s="54">
        <f ca="1">MAX(0.02,MCDA_Prioritisation!$B$13+(RAND()-0.5)*2*$B$6)</f>
        <v>8.8622876483579818E-2</v>
      </c>
      <c r="G59" s="54">
        <f t="shared" ca="1" si="0"/>
        <v>0.92833400180226189</v>
      </c>
      <c r="H59" s="54">
        <f t="shared" ca="1" si="1"/>
        <v>0.18964645753554327</v>
      </c>
      <c r="I59" s="54">
        <f t="shared" ca="1" si="2"/>
        <v>0.23588018672971819</v>
      </c>
      <c r="J59" s="54">
        <f t="shared" ca="1" si="3"/>
        <v>0.26061295287650715</v>
      </c>
      <c r="K59" s="54">
        <f t="shared" ca="1" si="4"/>
        <v>0.2183959726945964</v>
      </c>
      <c r="L59" s="54">
        <f t="shared" ca="1" si="5"/>
        <v>9.5464430163634983E-2</v>
      </c>
      <c r="M59" s="54">
        <f ca="1">MIN(100,MAX(0,MCDA_Prioritisation!$F$2+(RAND()-0.5)*2*$B$7))</f>
        <v>79.833255855982202</v>
      </c>
      <c r="N59" s="54">
        <f ca="1">MIN(100,MAX(0,MCDA_Prioritisation!$F$3+(RAND()-0.5)*2*$B$7))</f>
        <v>99.062849996076324</v>
      </c>
      <c r="O59" s="54">
        <f ca="1">MIN(100,MAX(0,MCDA_Prioritisation!$F$4+(RAND()-0.5)*2*$B$7))</f>
        <v>82.295277600265152</v>
      </c>
      <c r="P59" s="54">
        <f ca="1">MIN(100,MAX(0,MCDA_Prioritisation!$F$5+(RAND()-0.5)*2*$B$7))</f>
        <v>76.844112375165082</v>
      </c>
      <c r="Q59" s="54">
        <f ca="1">MIN(100,MAX(0,MCDA_Prioritisation!$G$2+(RAND()-0.5)*2*$B$7))</f>
        <v>75.509679818502676</v>
      </c>
      <c r="R59" s="54">
        <f ca="1">MIN(100,MAX(0,MCDA_Prioritisation!$G$3+(RAND()-0.5)*2*$B$7))</f>
        <v>89.998282894704033</v>
      </c>
      <c r="S59" s="54">
        <f ca="1">MIN(100,MAX(0,MCDA_Prioritisation!$G$4+(RAND()-0.5)*2*$B$7))</f>
        <v>75.821400015273099</v>
      </c>
      <c r="T59" s="54">
        <f ca="1">MIN(100,MAX(0,MCDA_Prioritisation!$G$5+(RAND()-0.5)*2*$B$7))</f>
        <v>68.173086132210216</v>
      </c>
      <c r="U59" s="54">
        <f ca="1">MIN(100,MAX(0,MCDA_Prioritisation!$H$2+(RAND()-0.5)*2*$B$7))</f>
        <v>56.052684082688849</v>
      </c>
      <c r="V59" s="54">
        <f ca="1">MIN(100,MAX(0,MCDA_Prioritisation!$H$3+(RAND()-0.5)*2*$B$7))</f>
        <v>50.419283978850913</v>
      </c>
      <c r="W59" s="54">
        <f ca="1">MIN(100,MAX(0,MCDA_Prioritisation!$H$4+(RAND()-0.5)*2*$B$7))</f>
        <v>89.724329102182153</v>
      </c>
      <c r="X59" s="54">
        <f ca="1">MIN(100,MAX(0,MCDA_Prioritisation!$H$5+(RAND()-0.5)*2*$B$7))</f>
        <v>83.345815499684448</v>
      </c>
      <c r="Y59" s="54">
        <f ca="1">H59*MCDA_Prioritisation!$D$2+I59*MCDA_Prioritisation!$E$2+J59*M59+K59*Q59+L59*U59</f>
        <v>85.200292489814956</v>
      </c>
      <c r="Z59" s="54">
        <f ca="1">H59*MCDA_Prioritisation!$D$3+I59*MCDA_Prioritisation!$E$3+J59*N59+K59*R59+L59*V59</f>
        <v>84.014996242477039</v>
      </c>
      <c r="AA59" s="54">
        <f ca="1">H59*MCDA_Prioritisation!$D$4+I59*MCDA_Prioritisation!$E$4+J59*O59+K59*S59+L59*W59</f>
        <v>72.643842110586931</v>
      </c>
      <c r="AB59" s="54">
        <f ca="1">H59*MCDA_Prioritisation!$D$5+I59*MCDA_Prioritisation!$E$5+J59*P59+K59*T59+L59*X59</f>
        <v>72.772893101797848</v>
      </c>
      <c r="AC59" s="54">
        <f t="shared" ca="1" si="6"/>
        <v>1</v>
      </c>
      <c r="AD59" s="54">
        <f t="shared" ca="1" si="7"/>
        <v>2</v>
      </c>
      <c r="AE59" s="54">
        <f t="shared" ca="1" si="8"/>
        <v>4</v>
      </c>
      <c r="AF59" s="54">
        <f t="shared" ca="1" si="9"/>
        <v>3</v>
      </c>
      <c r="AG59" s="54">
        <f t="shared" ca="1" si="10"/>
        <v>1</v>
      </c>
      <c r="AH59" s="54">
        <f t="shared" ca="1" si="11"/>
        <v>1</v>
      </c>
      <c r="AI59" s="54">
        <f t="shared" ca="1" si="12"/>
        <v>0</v>
      </c>
      <c r="AJ59" s="54">
        <f t="shared" ca="1" si="13"/>
        <v>1</v>
      </c>
    </row>
    <row r="60" spans="1:36" x14ac:dyDescent="0.2">
      <c r="A60" s="54">
        <v>37</v>
      </c>
      <c r="B60" s="54">
        <f ca="1">MAX(0.02,MCDA_Prioritisation!$B$9+(RAND()-0.5)*2*$B$6)</f>
        <v>0.12056128938445683</v>
      </c>
      <c r="C60" s="54">
        <f ca="1">MAX(0.02,MCDA_Prioritisation!$B$10+(RAND()-0.5)*2*$B$6)</f>
        <v>0.28393475014418113</v>
      </c>
      <c r="D60" s="54">
        <f ca="1">MAX(0.02,MCDA_Prioritisation!$B$11+(RAND()-0.5)*2*$B$6)</f>
        <v>0.23918502413277554</v>
      </c>
      <c r="E60" s="54">
        <f ca="1">MAX(0.02,MCDA_Prioritisation!$B$12+(RAND()-0.5)*2*$B$6)</f>
        <v>0.12073759738820514</v>
      </c>
      <c r="F60" s="54">
        <f ca="1">MAX(0.02,MCDA_Prioritisation!$B$13+(RAND()-0.5)*2*$B$6)</f>
        <v>0.14398057220611943</v>
      </c>
      <c r="G60" s="54">
        <f t="shared" ca="1" si="0"/>
        <v>0.90839923325573801</v>
      </c>
      <c r="H60" s="54">
        <f t="shared" ca="1" si="1"/>
        <v>0.1327183962412215</v>
      </c>
      <c r="I60" s="54">
        <f t="shared" ca="1" si="2"/>
        <v>0.31256603897225671</v>
      </c>
      <c r="J60" s="54">
        <f t="shared" ca="1" si="3"/>
        <v>0.26330385955471047</v>
      </c>
      <c r="K60" s="54">
        <f t="shared" ca="1" si="4"/>
        <v>0.13291248271476069</v>
      </c>
      <c r="L60" s="54">
        <f t="shared" ca="1" si="5"/>
        <v>0.15849922251705068</v>
      </c>
      <c r="M60" s="54">
        <f ca="1">MIN(100,MAX(0,MCDA_Prioritisation!$F$2+(RAND()-0.5)*2*$B$7))</f>
        <v>93.666988280601458</v>
      </c>
      <c r="N60" s="54">
        <f ca="1">MIN(100,MAX(0,MCDA_Prioritisation!$F$3+(RAND()-0.5)*2*$B$7))</f>
        <v>98.839558619513809</v>
      </c>
      <c r="O60" s="54">
        <f ca="1">MIN(100,MAX(0,MCDA_Prioritisation!$F$4+(RAND()-0.5)*2*$B$7))</f>
        <v>87.905558775197747</v>
      </c>
      <c r="P60" s="54">
        <f ca="1">MIN(100,MAX(0,MCDA_Prioritisation!$F$5+(RAND()-0.5)*2*$B$7))</f>
        <v>75.0593539626216</v>
      </c>
      <c r="Q60" s="54">
        <f ca="1">MIN(100,MAX(0,MCDA_Prioritisation!$G$2+(RAND()-0.5)*2*$B$7))</f>
        <v>88.264486879971273</v>
      </c>
      <c r="R60" s="54">
        <f ca="1">MIN(100,MAX(0,MCDA_Prioritisation!$G$3+(RAND()-0.5)*2*$B$7))</f>
        <v>100</v>
      </c>
      <c r="S60" s="54">
        <f ca="1">MIN(100,MAX(0,MCDA_Prioritisation!$G$4+(RAND()-0.5)*2*$B$7))</f>
        <v>76.568975274919794</v>
      </c>
      <c r="T60" s="54">
        <f ca="1">MIN(100,MAX(0,MCDA_Prioritisation!$G$5+(RAND()-0.5)*2*$B$7))</f>
        <v>63.117676028751966</v>
      </c>
      <c r="U60" s="54">
        <f ca="1">MIN(100,MAX(0,MCDA_Prioritisation!$H$2+(RAND()-0.5)*2*$B$7))</f>
        <v>73.201316080735268</v>
      </c>
      <c r="V60" s="54">
        <f ca="1">MIN(100,MAX(0,MCDA_Prioritisation!$H$3+(RAND()-0.5)*2*$B$7))</f>
        <v>67.651247013559868</v>
      </c>
      <c r="W60" s="54">
        <f ca="1">MIN(100,MAX(0,MCDA_Prioritisation!$H$4+(RAND()-0.5)*2*$B$7))</f>
        <v>82.621937236152704</v>
      </c>
      <c r="X60" s="54">
        <f ca="1">MIN(100,MAX(0,MCDA_Prioritisation!$H$5+(RAND()-0.5)*2*$B$7))</f>
        <v>77.45109681642397</v>
      </c>
      <c r="Y60" s="54">
        <f ca="1">H60*MCDA_Prioritisation!$D$2+I60*MCDA_Prioritisation!$E$2+J60*M60+K60*Q60+L60*U60</f>
        <v>92.52512682127886</v>
      </c>
      <c r="Z60" s="54">
        <f ca="1">H60*MCDA_Prioritisation!$D$3+I60*MCDA_Prioritisation!$E$3+J60*N60+K60*R60+L60*V60</f>
        <v>84.369999491387517</v>
      </c>
      <c r="AA60" s="54">
        <f ca="1">H60*MCDA_Prioritisation!$D$4+I60*MCDA_Prioritisation!$E$4+J60*O60+K60*S60+L60*W60</f>
        <v>72.709143906328464</v>
      </c>
      <c r="AB60" s="54">
        <f ca="1">H60*MCDA_Prioritisation!$D$5+I60*MCDA_Prioritisation!$E$5+J60*P60+K60*T60+L60*X60</f>
        <v>73.756592591057057</v>
      </c>
      <c r="AC60" s="54">
        <f t="shared" ca="1" si="6"/>
        <v>1</v>
      </c>
      <c r="AD60" s="54">
        <f t="shared" ca="1" si="7"/>
        <v>2</v>
      </c>
      <c r="AE60" s="54">
        <f t="shared" ca="1" si="8"/>
        <v>4</v>
      </c>
      <c r="AF60" s="54">
        <f t="shared" ca="1" si="9"/>
        <v>3</v>
      </c>
      <c r="AG60" s="54">
        <f t="shared" ca="1" si="10"/>
        <v>1</v>
      </c>
      <c r="AH60" s="54">
        <f t="shared" ca="1" si="11"/>
        <v>1</v>
      </c>
      <c r="AI60" s="54">
        <f t="shared" ca="1" si="12"/>
        <v>0</v>
      </c>
      <c r="AJ60" s="54">
        <f t="shared" ca="1" si="13"/>
        <v>1</v>
      </c>
    </row>
    <row r="61" spans="1:36" x14ac:dyDescent="0.2">
      <c r="A61" s="54">
        <v>38</v>
      </c>
      <c r="B61" s="54">
        <f ca="1">MAX(0.02,MCDA_Prioritisation!$B$9+(RAND()-0.5)*2*$B$6)</f>
        <v>0.26589292791108876</v>
      </c>
      <c r="C61" s="54">
        <f ca="1">MAX(0.02,MCDA_Prioritisation!$B$10+(RAND()-0.5)*2*$B$6)</f>
        <v>0.19408727298392148</v>
      </c>
      <c r="D61" s="54">
        <f ca="1">MAX(0.02,MCDA_Prioritisation!$B$11+(RAND()-0.5)*2*$B$6)</f>
        <v>0.22109301652852609</v>
      </c>
      <c r="E61" s="54">
        <f ca="1">MAX(0.02,MCDA_Prioritisation!$B$12+(RAND()-0.5)*2*$B$6)</f>
        <v>0.21397686161093982</v>
      </c>
      <c r="F61" s="54">
        <f ca="1">MAX(0.02,MCDA_Prioritisation!$B$13+(RAND()-0.5)*2*$B$6)</f>
        <v>0.13190942510899178</v>
      </c>
      <c r="G61" s="54">
        <f t="shared" ca="1" si="0"/>
        <v>1.026959504143468</v>
      </c>
      <c r="H61" s="54">
        <f t="shared" ca="1" si="1"/>
        <v>0.25891276806757424</v>
      </c>
      <c r="I61" s="54">
        <f t="shared" ca="1" si="2"/>
        <v>0.1889921386391952</v>
      </c>
      <c r="J61" s="54">
        <f t="shared" ca="1" si="3"/>
        <v>0.21528893363027779</v>
      </c>
      <c r="K61" s="54">
        <f t="shared" ca="1" si="4"/>
        <v>0.20835959037100149</v>
      </c>
      <c r="L61" s="54">
        <f t="shared" ca="1" si="5"/>
        <v>0.12844656929195117</v>
      </c>
      <c r="M61" s="54">
        <f ca="1">MIN(100,MAX(0,MCDA_Prioritisation!$F$2+(RAND()-0.5)*2*$B$7))</f>
        <v>86.390944963856398</v>
      </c>
      <c r="N61" s="54">
        <f ca="1">MIN(100,MAX(0,MCDA_Prioritisation!$F$3+(RAND()-0.5)*2*$B$7))</f>
        <v>100</v>
      </c>
      <c r="O61" s="54">
        <f ca="1">MIN(100,MAX(0,MCDA_Prioritisation!$F$4+(RAND()-0.5)*2*$B$7))</f>
        <v>86.532110720417705</v>
      </c>
      <c r="P61" s="54">
        <f ca="1">MIN(100,MAX(0,MCDA_Prioritisation!$F$5+(RAND()-0.5)*2*$B$7))</f>
        <v>72.03457621148489</v>
      </c>
      <c r="Q61" s="54">
        <f ca="1">MIN(100,MAX(0,MCDA_Prioritisation!$G$2+(RAND()-0.5)*2*$B$7))</f>
        <v>72.793383715964012</v>
      </c>
      <c r="R61" s="54">
        <f ca="1">MIN(100,MAX(0,MCDA_Prioritisation!$G$3+(RAND()-0.5)*2*$B$7))</f>
        <v>90.684715550828102</v>
      </c>
      <c r="S61" s="54">
        <f ca="1">MIN(100,MAX(0,MCDA_Prioritisation!$G$4+(RAND()-0.5)*2*$B$7))</f>
        <v>75.789784236718575</v>
      </c>
      <c r="T61" s="54">
        <f ca="1">MIN(100,MAX(0,MCDA_Prioritisation!$G$5+(RAND()-0.5)*2*$B$7))</f>
        <v>63.348247366052441</v>
      </c>
      <c r="U61" s="54">
        <f ca="1">MIN(100,MAX(0,MCDA_Prioritisation!$H$2+(RAND()-0.5)*2*$B$7))</f>
        <v>67.561674309842417</v>
      </c>
      <c r="V61" s="54">
        <f ca="1">MIN(100,MAX(0,MCDA_Prioritisation!$H$3+(RAND()-0.5)*2*$B$7))</f>
        <v>50.939296672327131</v>
      </c>
      <c r="W61" s="54">
        <f ca="1">MIN(100,MAX(0,MCDA_Prioritisation!$H$4+(RAND()-0.5)*2*$B$7))</f>
        <v>85.850446266114972</v>
      </c>
      <c r="X61" s="54">
        <f ca="1">MIN(100,MAX(0,MCDA_Prioritisation!$H$5+(RAND()-0.5)*2*$B$7))</f>
        <v>65.135432737920794</v>
      </c>
      <c r="Y61" s="54">
        <f ca="1">H61*MCDA_Prioritisation!$D$2+I61*MCDA_Prioritisation!$E$2+J61*M61+K61*Q61+L61*U61</f>
        <v>87.234769980754407</v>
      </c>
      <c r="Z61" s="54">
        <f ca="1">H61*MCDA_Prioritisation!$D$3+I61*MCDA_Prioritisation!$E$3+J61*N61+K61*R61+L61*V61</f>
        <v>83.339941831088552</v>
      </c>
      <c r="AA61" s="54">
        <f ca="1">H61*MCDA_Prioritisation!$D$4+I61*MCDA_Prioritisation!$E$4+J61*O61+K61*S61+L61*W61</f>
        <v>73.785954765773425</v>
      </c>
      <c r="AB61" s="54">
        <f ca="1">H61*MCDA_Prioritisation!$D$5+I61*MCDA_Prioritisation!$E$5+J61*P61+K61*T61+L61*X61</f>
        <v>66.70843114415149</v>
      </c>
      <c r="AC61" s="54">
        <f t="shared" ca="1" si="6"/>
        <v>1</v>
      </c>
      <c r="AD61" s="54">
        <f t="shared" ca="1" si="7"/>
        <v>2</v>
      </c>
      <c r="AE61" s="54">
        <f t="shared" ca="1" si="8"/>
        <v>3</v>
      </c>
      <c r="AF61" s="54">
        <f t="shared" ca="1" si="9"/>
        <v>4</v>
      </c>
      <c r="AG61" s="54">
        <f t="shared" ca="1" si="10"/>
        <v>1</v>
      </c>
      <c r="AH61" s="54">
        <f t="shared" ca="1" si="11"/>
        <v>1</v>
      </c>
      <c r="AI61" s="54">
        <f t="shared" ca="1" si="12"/>
        <v>1</v>
      </c>
      <c r="AJ61" s="54">
        <f t="shared" ca="1" si="13"/>
        <v>1</v>
      </c>
    </row>
    <row r="62" spans="1:36" x14ac:dyDescent="0.2">
      <c r="A62" s="54">
        <v>39</v>
      </c>
      <c r="B62" s="54">
        <f ca="1">MAX(0.02,MCDA_Prioritisation!$B$9+(RAND()-0.5)*2*$B$6)</f>
        <v>0.15279753263107354</v>
      </c>
      <c r="C62" s="54">
        <f ca="1">MAX(0.02,MCDA_Prioritisation!$B$10+(RAND()-0.5)*2*$B$6)</f>
        <v>0.28924376822271025</v>
      </c>
      <c r="D62" s="54">
        <f ca="1">MAX(0.02,MCDA_Prioritisation!$B$11+(RAND()-0.5)*2*$B$6)</f>
        <v>0.27430527184707432</v>
      </c>
      <c r="E62" s="54">
        <f ca="1">MAX(0.02,MCDA_Prioritisation!$B$12+(RAND()-0.5)*2*$B$6)</f>
        <v>0.12878611708262339</v>
      </c>
      <c r="F62" s="54">
        <f ca="1">MAX(0.02,MCDA_Prioritisation!$B$13+(RAND()-0.5)*2*$B$6)</f>
        <v>0.18796911763991128</v>
      </c>
      <c r="G62" s="54">
        <f t="shared" ca="1" si="0"/>
        <v>1.0331018074233926</v>
      </c>
      <c r="H62" s="54">
        <f t="shared" ca="1" si="1"/>
        <v>0.14790171843001437</v>
      </c>
      <c r="I62" s="54">
        <f t="shared" ca="1" si="2"/>
        <v>0.27997605477440662</v>
      </c>
      <c r="J62" s="54">
        <f t="shared" ca="1" si="3"/>
        <v>0.26551620554338717</v>
      </c>
      <c r="K62" s="54">
        <f t="shared" ca="1" si="4"/>
        <v>0.12465965711919755</v>
      </c>
      <c r="L62" s="54">
        <f t="shared" ca="1" si="5"/>
        <v>0.18194636413299442</v>
      </c>
      <c r="M62" s="54">
        <f ca="1">MIN(100,MAX(0,MCDA_Prioritisation!$F$2+(RAND()-0.5)*2*$B$7))</f>
        <v>75.053064609596476</v>
      </c>
      <c r="N62" s="54">
        <f ca="1">MIN(100,MAX(0,MCDA_Prioritisation!$F$3+(RAND()-0.5)*2*$B$7))</f>
        <v>100</v>
      </c>
      <c r="O62" s="54">
        <f ca="1">MIN(100,MAX(0,MCDA_Prioritisation!$F$4+(RAND()-0.5)*2*$B$7))</f>
        <v>81.089330069609616</v>
      </c>
      <c r="P62" s="54">
        <f ca="1">MIN(100,MAX(0,MCDA_Prioritisation!$F$5+(RAND()-0.5)*2*$B$7))</f>
        <v>66.947894849806971</v>
      </c>
      <c r="Q62" s="54">
        <f ca="1">MIN(100,MAX(0,MCDA_Prioritisation!$G$2+(RAND()-0.5)*2*$B$7))</f>
        <v>77.12743936925628</v>
      </c>
      <c r="R62" s="54">
        <f ca="1">MIN(100,MAX(0,MCDA_Prioritisation!$G$3+(RAND()-0.5)*2*$B$7))</f>
        <v>100</v>
      </c>
      <c r="S62" s="54">
        <f ca="1">MIN(100,MAX(0,MCDA_Prioritisation!$G$4+(RAND()-0.5)*2*$B$7))</f>
        <v>75.536690132223882</v>
      </c>
      <c r="T62" s="54">
        <f ca="1">MIN(100,MAX(0,MCDA_Prioritisation!$G$5+(RAND()-0.5)*2*$B$7))</f>
        <v>71.049675836018793</v>
      </c>
      <c r="U62" s="54">
        <f ca="1">MIN(100,MAX(0,MCDA_Prioritisation!$H$2+(RAND()-0.5)*2*$B$7))</f>
        <v>67.420596666446272</v>
      </c>
      <c r="V62" s="54">
        <f ca="1">MIN(100,MAX(0,MCDA_Prioritisation!$H$3+(RAND()-0.5)*2*$B$7))</f>
        <v>59.742687117073032</v>
      </c>
      <c r="W62" s="54">
        <f ca="1">MIN(100,MAX(0,MCDA_Prioritisation!$H$4+(RAND()-0.5)*2*$B$7))</f>
        <v>77.458271270342479</v>
      </c>
      <c r="X62" s="54">
        <f ca="1">MIN(100,MAX(0,MCDA_Prioritisation!$H$5+(RAND()-0.5)*2*$B$7))</f>
        <v>81.453438709139732</v>
      </c>
      <c r="Y62" s="54">
        <f ca="1">H62*MCDA_Prioritisation!$D$2+I62*MCDA_Prioritisation!$E$2+J62*M62+K62*Q62+L62*U62</f>
        <v>84.597194827375006</v>
      </c>
      <c r="Z62" s="54">
        <f ca="1">H62*MCDA_Prioritisation!$D$3+I62*MCDA_Prioritisation!$E$3+J62*N62+K62*R62+L62*V62</f>
        <v>83.175588575327652</v>
      </c>
      <c r="AA62" s="54">
        <f ca="1">H62*MCDA_Prioritisation!$D$4+I62*MCDA_Prioritisation!$E$4+J62*O62+K62*S62+L62*W62</f>
        <v>70.61058733745368</v>
      </c>
      <c r="AB62" s="54">
        <f ca="1">H62*MCDA_Prioritisation!$D$5+I62*MCDA_Prioritisation!$E$5+J62*P62+K62*T62+L62*X62</f>
        <v>72.84639253856291</v>
      </c>
      <c r="AC62" s="54">
        <f t="shared" ca="1" si="6"/>
        <v>1</v>
      </c>
      <c r="AD62" s="54">
        <f t="shared" ca="1" si="7"/>
        <v>2</v>
      </c>
      <c r="AE62" s="54">
        <f t="shared" ca="1" si="8"/>
        <v>4</v>
      </c>
      <c r="AF62" s="54">
        <f t="shared" ca="1" si="9"/>
        <v>3</v>
      </c>
      <c r="AG62" s="54">
        <f t="shared" ca="1" si="10"/>
        <v>1</v>
      </c>
      <c r="AH62" s="54">
        <f t="shared" ca="1" si="11"/>
        <v>1</v>
      </c>
      <c r="AI62" s="54">
        <f t="shared" ca="1" si="12"/>
        <v>0</v>
      </c>
      <c r="AJ62" s="54">
        <f t="shared" ca="1" si="13"/>
        <v>1</v>
      </c>
    </row>
    <row r="63" spans="1:36" x14ac:dyDescent="0.2">
      <c r="A63" s="54">
        <v>40</v>
      </c>
      <c r="B63" s="54">
        <f ca="1">MAX(0.02,MCDA_Prioritisation!$B$9+(RAND()-0.5)*2*$B$6)</f>
        <v>0.13298755715845986</v>
      </c>
      <c r="C63" s="54">
        <f ca="1">MAX(0.02,MCDA_Prioritisation!$B$10+(RAND()-0.5)*2*$B$6)</f>
        <v>0.27344056024143631</v>
      </c>
      <c r="D63" s="54">
        <f ca="1">MAX(0.02,MCDA_Prioritisation!$B$11+(RAND()-0.5)*2*$B$6)</f>
        <v>0.30757496808062895</v>
      </c>
      <c r="E63" s="54">
        <f ca="1">MAX(0.02,MCDA_Prioritisation!$B$12+(RAND()-0.5)*2*$B$6)</f>
        <v>7.6741676705649006E-2</v>
      </c>
      <c r="F63" s="54">
        <f ca="1">MAX(0.02,MCDA_Prioritisation!$B$13+(RAND()-0.5)*2*$B$6)</f>
        <v>0.14823615912585561</v>
      </c>
      <c r="G63" s="54">
        <f t="shared" ca="1" si="0"/>
        <v>0.9389809213120297</v>
      </c>
      <c r="H63" s="54">
        <f t="shared" ca="1" si="1"/>
        <v>0.14162966908064281</v>
      </c>
      <c r="I63" s="54">
        <f t="shared" ca="1" si="2"/>
        <v>0.29120992134681528</v>
      </c>
      <c r="J63" s="54">
        <f t="shared" ca="1" si="3"/>
        <v>0.32756253199570573</v>
      </c>
      <c r="K63" s="54">
        <f t="shared" ca="1" si="4"/>
        <v>8.1728685816553695E-2</v>
      </c>
      <c r="L63" s="54">
        <f t="shared" ca="1" si="5"/>
        <v>0.15786919176028255</v>
      </c>
      <c r="M63" s="54">
        <f ca="1">MIN(100,MAX(0,MCDA_Prioritisation!$F$2+(RAND()-0.5)*2*$B$7))</f>
        <v>75.68123962638677</v>
      </c>
      <c r="N63" s="54">
        <f ca="1">MIN(100,MAX(0,MCDA_Prioritisation!$F$3+(RAND()-0.5)*2*$B$7))</f>
        <v>93.319854518286093</v>
      </c>
      <c r="O63" s="54">
        <f ca="1">MIN(100,MAX(0,MCDA_Prioritisation!$F$4+(RAND()-0.5)*2*$B$7))</f>
        <v>85.977021658420142</v>
      </c>
      <c r="P63" s="54">
        <f ca="1">MIN(100,MAX(0,MCDA_Prioritisation!$F$5+(RAND()-0.5)*2*$B$7))</f>
        <v>65.786775068490414</v>
      </c>
      <c r="Q63" s="54">
        <f ca="1">MIN(100,MAX(0,MCDA_Prioritisation!$G$2+(RAND()-0.5)*2*$B$7))</f>
        <v>78.03408565883818</v>
      </c>
      <c r="R63" s="54">
        <f ca="1">MIN(100,MAX(0,MCDA_Prioritisation!$G$3+(RAND()-0.5)*2*$B$7))</f>
        <v>93.497648009816146</v>
      </c>
      <c r="S63" s="54">
        <f ca="1">MIN(100,MAX(0,MCDA_Prioritisation!$G$4+(RAND()-0.5)*2*$B$7))</f>
        <v>88.639008497294142</v>
      </c>
      <c r="T63" s="54">
        <f ca="1">MIN(100,MAX(0,MCDA_Prioritisation!$G$5+(RAND()-0.5)*2*$B$7))</f>
        <v>74.109058408170696</v>
      </c>
      <c r="U63" s="54">
        <f ca="1">MIN(100,MAX(0,MCDA_Prioritisation!$H$2+(RAND()-0.5)*2*$B$7))</f>
        <v>58.389504390582132</v>
      </c>
      <c r="V63" s="54">
        <f ca="1">MIN(100,MAX(0,MCDA_Prioritisation!$H$3+(RAND()-0.5)*2*$B$7))</f>
        <v>52.519373161346607</v>
      </c>
      <c r="W63" s="54">
        <f ca="1">MIN(100,MAX(0,MCDA_Prioritisation!$H$4+(RAND()-0.5)*2*$B$7))</f>
        <v>77.964841407928731</v>
      </c>
      <c r="X63" s="54">
        <f ca="1">MIN(100,MAX(0,MCDA_Prioritisation!$H$5+(RAND()-0.5)*2*$B$7))</f>
        <v>80.200503367796045</v>
      </c>
      <c r="Y63" s="54">
        <f ca="1">H63*MCDA_Prioritisation!$D$2+I63*MCDA_Prioritisation!$E$2+J63*M63+K63*Q63+L63*U63</f>
        <v>83.669824654556692</v>
      </c>
      <c r="Z63" s="54">
        <f ca="1">H63*MCDA_Prioritisation!$D$3+I63*MCDA_Prioritisation!$E$3+J63*N63+K63*R63+L63*V63</f>
        <v>80.057607516758651</v>
      </c>
      <c r="AA63" s="54">
        <f ca="1">H63*MCDA_Prioritisation!$D$4+I63*MCDA_Prioritisation!$E$4+J63*O63+K63*S63+L63*W63</f>
        <v>73.461882181761695</v>
      </c>
      <c r="AB63" s="54">
        <f ca="1">H63*MCDA_Prioritisation!$D$5+I63*MCDA_Prioritisation!$E$5+J63*P63+K63*T63+L63*X63</f>
        <v>72.272534943484473</v>
      </c>
      <c r="AC63" s="54">
        <f t="shared" ca="1" si="6"/>
        <v>1</v>
      </c>
      <c r="AD63" s="54">
        <f t="shared" ca="1" si="7"/>
        <v>2</v>
      </c>
      <c r="AE63" s="54">
        <f t="shared" ca="1" si="8"/>
        <v>3</v>
      </c>
      <c r="AF63" s="54">
        <f t="shared" ca="1" si="9"/>
        <v>4</v>
      </c>
      <c r="AG63" s="54">
        <f t="shared" ca="1" si="10"/>
        <v>1</v>
      </c>
      <c r="AH63" s="54">
        <f t="shared" ca="1" si="11"/>
        <v>1</v>
      </c>
      <c r="AI63" s="54">
        <f t="shared" ca="1" si="12"/>
        <v>1</v>
      </c>
      <c r="AJ63" s="54">
        <f t="shared" ca="1" si="13"/>
        <v>1</v>
      </c>
    </row>
    <row r="64" spans="1:36" x14ac:dyDescent="0.2">
      <c r="A64" s="54">
        <v>41</v>
      </c>
      <c r="B64" s="54">
        <f ca="1">MAX(0.02,MCDA_Prioritisation!$B$9+(RAND()-0.5)*2*$B$6)</f>
        <v>0.17949930398563302</v>
      </c>
      <c r="C64" s="54">
        <f ca="1">MAX(0.02,MCDA_Prioritisation!$B$10+(RAND()-0.5)*2*$B$6)</f>
        <v>0.18086292394185882</v>
      </c>
      <c r="D64" s="54">
        <f ca="1">MAX(0.02,MCDA_Prioritisation!$B$11+(RAND()-0.5)*2*$B$6)</f>
        <v>0.17935249164583023</v>
      </c>
      <c r="E64" s="54">
        <f ca="1">MAX(0.02,MCDA_Prioritisation!$B$12+(RAND()-0.5)*2*$B$6)</f>
        <v>0.2087255842376205</v>
      </c>
      <c r="F64" s="54">
        <f ca="1">MAX(0.02,MCDA_Prioritisation!$B$13+(RAND()-0.5)*2*$B$6)</f>
        <v>0.15184976392855029</v>
      </c>
      <c r="G64" s="54">
        <f t="shared" ca="1" si="0"/>
        <v>0.90029006773949294</v>
      </c>
      <c r="H64" s="54">
        <f t="shared" ca="1" si="1"/>
        <v>0.19937941161156159</v>
      </c>
      <c r="I64" s="54">
        <f t="shared" ca="1" si="2"/>
        <v>0.20089405672993957</v>
      </c>
      <c r="J64" s="54">
        <f t="shared" ca="1" si="3"/>
        <v>0.19921633934733965</v>
      </c>
      <c r="K64" s="54">
        <f t="shared" ca="1" si="4"/>
        <v>0.23184259353399544</v>
      </c>
      <c r="L64" s="54">
        <f t="shared" ca="1" si="5"/>
        <v>0.16866759877716367</v>
      </c>
      <c r="M64" s="54">
        <f ca="1">MIN(100,MAX(0,MCDA_Prioritisation!$F$2+(RAND()-0.5)*2*$B$7))</f>
        <v>92.408350898224398</v>
      </c>
      <c r="N64" s="54">
        <f ca="1">MIN(100,MAX(0,MCDA_Prioritisation!$F$3+(RAND()-0.5)*2*$B$7))</f>
        <v>99.100219174229721</v>
      </c>
      <c r="O64" s="54">
        <f ca="1">MIN(100,MAX(0,MCDA_Prioritisation!$F$4+(RAND()-0.5)*2*$B$7))</f>
        <v>86.521519623604803</v>
      </c>
      <c r="P64" s="54">
        <f ca="1">MIN(100,MAX(0,MCDA_Prioritisation!$F$5+(RAND()-0.5)*2*$B$7))</f>
        <v>69.098567655861274</v>
      </c>
      <c r="Q64" s="54">
        <f ca="1">MIN(100,MAX(0,MCDA_Prioritisation!$G$2+(RAND()-0.5)*2*$B$7))</f>
        <v>87.701903523759341</v>
      </c>
      <c r="R64" s="54">
        <f ca="1">MIN(100,MAX(0,MCDA_Prioritisation!$G$3+(RAND()-0.5)*2*$B$7))</f>
        <v>97.348548619410309</v>
      </c>
      <c r="S64" s="54">
        <f ca="1">MIN(100,MAX(0,MCDA_Prioritisation!$G$4+(RAND()-0.5)*2*$B$7))</f>
        <v>90.020667690668162</v>
      </c>
      <c r="T64" s="54">
        <f ca="1">MIN(100,MAX(0,MCDA_Prioritisation!$G$5+(RAND()-0.5)*2*$B$7))</f>
        <v>69.60571728538622</v>
      </c>
      <c r="U64" s="54">
        <f ca="1">MIN(100,MAX(0,MCDA_Prioritisation!$H$2+(RAND()-0.5)*2*$B$7))</f>
        <v>68.564915206226686</v>
      </c>
      <c r="V64" s="54">
        <f ca="1">MIN(100,MAX(0,MCDA_Prioritisation!$H$3+(RAND()-0.5)*2*$B$7))</f>
        <v>53.720994734911763</v>
      </c>
      <c r="W64" s="54">
        <f ca="1">MIN(100,MAX(0,MCDA_Prioritisation!$H$4+(RAND()-0.5)*2*$B$7))</f>
        <v>82.226047814202403</v>
      </c>
      <c r="X64" s="54">
        <f ca="1">MIN(100,MAX(0,MCDA_Prioritisation!$H$5+(RAND()-0.5)*2*$B$7))</f>
        <v>75.43063920189509</v>
      </c>
      <c r="Y64" s="54">
        <f ca="1">H64*MCDA_Prioritisation!$D$2+I64*MCDA_Prioritisation!$E$2+J64*M64+K64*Q64+L64*U64</f>
        <v>90.334316604229542</v>
      </c>
      <c r="Z64" s="54">
        <f ca="1">H64*MCDA_Prioritisation!$D$3+I64*MCDA_Prioritisation!$E$3+J64*N64+K64*R64+L64*V64</f>
        <v>83.408521308407458</v>
      </c>
      <c r="AA64" s="54">
        <f ca="1">H64*MCDA_Prioritisation!$D$4+I64*MCDA_Prioritisation!$E$4+J64*O64+K64*S64+L64*W64</f>
        <v>76.8174633175217</v>
      </c>
      <c r="AB64" s="54">
        <f ca="1">H64*MCDA_Prioritisation!$D$5+I64*MCDA_Prioritisation!$E$5+J64*P64+K64*T64+L64*X64</f>
        <v>70.101442056013639</v>
      </c>
      <c r="AC64" s="54">
        <f t="shared" ca="1" si="6"/>
        <v>1</v>
      </c>
      <c r="AD64" s="54">
        <f t="shared" ca="1" si="7"/>
        <v>2</v>
      </c>
      <c r="AE64" s="54">
        <f t="shared" ca="1" si="8"/>
        <v>3</v>
      </c>
      <c r="AF64" s="54">
        <f t="shared" ca="1" si="9"/>
        <v>4</v>
      </c>
      <c r="AG64" s="54">
        <f t="shared" ca="1" si="10"/>
        <v>1</v>
      </c>
      <c r="AH64" s="54">
        <f t="shared" ca="1" si="11"/>
        <v>1</v>
      </c>
      <c r="AI64" s="54">
        <f t="shared" ca="1" si="12"/>
        <v>1</v>
      </c>
      <c r="AJ64" s="54">
        <f t="shared" ca="1" si="13"/>
        <v>1</v>
      </c>
    </row>
    <row r="65" spans="1:36" x14ac:dyDescent="0.2">
      <c r="A65" s="54">
        <v>42</v>
      </c>
      <c r="B65" s="54">
        <f ca="1">MAX(0.02,MCDA_Prioritisation!$B$9+(RAND()-0.5)*2*$B$6)</f>
        <v>0.22604222322581083</v>
      </c>
      <c r="C65" s="54">
        <f ca="1">MAX(0.02,MCDA_Prioritisation!$B$10+(RAND()-0.5)*2*$B$6)</f>
        <v>0.32337045897472561</v>
      </c>
      <c r="D65" s="54">
        <f ca="1">MAX(0.02,MCDA_Prioritisation!$B$11+(RAND()-0.5)*2*$B$6)</f>
        <v>0.27045072367561374</v>
      </c>
      <c r="E65" s="54">
        <f ca="1">MAX(0.02,MCDA_Prioritisation!$B$12+(RAND()-0.5)*2*$B$6)</f>
        <v>0.12947897245396625</v>
      </c>
      <c r="F65" s="54">
        <f ca="1">MAX(0.02,MCDA_Prioritisation!$B$13+(RAND()-0.5)*2*$B$6)</f>
        <v>0.11673402833107305</v>
      </c>
      <c r="G65" s="54">
        <f t="shared" ca="1" si="0"/>
        <v>1.0660764066611894</v>
      </c>
      <c r="H65" s="54">
        <f t="shared" ca="1" si="1"/>
        <v>0.21203191611166525</v>
      </c>
      <c r="I65" s="54">
        <f t="shared" ca="1" si="2"/>
        <v>0.30332765733694378</v>
      </c>
      <c r="J65" s="54">
        <f t="shared" ca="1" si="3"/>
        <v>0.25368793642345927</v>
      </c>
      <c r="K65" s="54">
        <f t="shared" ca="1" si="4"/>
        <v>0.12145374538348269</v>
      </c>
      <c r="L65" s="54">
        <f t="shared" ca="1" si="5"/>
        <v>0.10949874474444905</v>
      </c>
      <c r="M65" s="54">
        <f ca="1">MIN(100,MAX(0,MCDA_Prioritisation!$F$2+(RAND()-0.5)*2*$B$7))</f>
        <v>81.203787690831476</v>
      </c>
      <c r="N65" s="54">
        <f ca="1">MIN(100,MAX(0,MCDA_Prioritisation!$F$3+(RAND()-0.5)*2*$B$7))</f>
        <v>90.314676475501031</v>
      </c>
      <c r="O65" s="54">
        <f ca="1">MIN(100,MAX(0,MCDA_Prioritisation!$F$4+(RAND()-0.5)*2*$B$7))</f>
        <v>96.759419698490689</v>
      </c>
      <c r="P65" s="54">
        <f ca="1">MIN(100,MAX(0,MCDA_Prioritisation!$F$5+(RAND()-0.5)*2*$B$7))</f>
        <v>80.788167963586858</v>
      </c>
      <c r="Q65" s="54">
        <f ca="1">MIN(100,MAX(0,MCDA_Prioritisation!$G$2+(RAND()-0.5)*2*$B$7))</f>
        <v>84.279328458345177</v>
      </c>
      <c r="R65" s="54">
        <f ca="1">MIN(100,MAX(0,MCDA_Prioritisation!$G$3+(RAND()-0.5)*2*$B$7))</f>
        <v>99.843343751957974</v>
      </c>
      <c r="S65" s="54">
        <f ca="1">MIN(100,MAX(0,MCDA_Prioritisation!$G$4+(RAND()-0.5)*2*$B$7))</f>
        <v>89.885483478624948</v>
      </c>
      <c r="T65" s="54">
        <f ca="1">MIN(100,MAX(0,MCDA_Prioritisation!$G$5+(RAND()-0.5)*2*$B$7))</f>
        <v>67.763241209999961</v>
      </c>
      <c r="U65" s="54">
        <f ca="1">MIN(100,MAX(0,MCDA_Prioritisation!$H$2+(RAND()-0.5)*2*$B$7))</f>
        <v>60.083443880151854</v>
      </c>
      <c r="V65" s="54">
        <f ca="1">MIN(100,MAX(0,MCDA_Prioritisation!$H$3+(RAND()-0.5)*2*$B$7))</f>
        <v>57.074401517044556</v>
      </c>
      <c r="W65" s="54">
        <f ca="1">MIN(100,MAX(0,MCDA_Prioritisation!$H$4+(RAND()-0.5)*2*$B$7))</f>
        <v>83.122933483544585</v>
      </c>
      <c r="X65" s="54">
        <f ca="1">MIN(100,MAX(0,MCDA_Prioritisation!$H$5+(RAND()-0.5)*2*$B$7))</f>
        <v>84.830432791553676</v>
      </c>
      <c r="Y65" s="54">
        <f ca="1">H65*MCDA_Prioritisation!$D$2+I65*MCDA_Prioritisation!$E$2+J65*M65+K65*Q65+L65*U65</f>
        <v>88.951480458387593</v>
      </c>
      <c r="Z65" s="54">
        <f ca="1">H65*MCDA_Prioritisation!$D$3+I65*MCDA_Prioritisation!$E$3+J65*N65+K65*R65+L65*V65</f>
        <v>81.878779828524415</v>
      </c>
      <c r="AA65" s="54">
        <f ca="1">H65*MCDA_Prioritisation!$D$4+I65*MCDA_Prioritisation!$E$4+J65*O65+K65*S65+L65*W65</f>
        <v>75.875284145567235</v>
      </c>
      <c r="AB65" s="54">
        <f ca="1">H65*MCDA_Prioritisation!$D$5+I65*MCDA_Prioritisation!$E$5+J65*P65+K65*T65+L65*X65</f>
        <v>74.774790045332708</v>
      </c>
      <c r="AC65" s="54">
        <f t="shared" ca="1" si="6"/>
        <v>1</v>
      </c>
      <c r="AD65" s="54">
        <f t="shared" ca="1" si="7"/>
        <v>2</v>
      </c>
      <c r="AE65" s="54">
        <f t="shared" ca="1" si="8"/>
        <v>3</v>
      </c>
      <c r="AF65" s="54">
        <f t="shared" ca="1" si="9"/>
        <v>4</v>
      </c>
      <c r="AG65" s="54">
        <f t="shared" ca="1" si="10"/>
        <v>1</v>
      </c>
      <c r="AH65" s="54">
        <f t="shared" ca="1" si="11"/>
        <v>1</v>
      </c>
      <c r="AI65" s="54">
        <f t="shared" ca="1" si="12"/>
        <v>1</v>
      </c>
      <c r="AJ65" s="54">
        <f t="shared" ca="1" si="13"/>
        <v>1</v>
      </c>
    </row>
    <row r="66" spans="1:36" x14ac:dyDescent="0.2">
      <c r="A66" s="54">
        <v>43</v>
      </c>
      <c r="B66" s="54">
        <f ca="1">MAX(0.02,MCDA_Prioritisation!$B$9+(RAND()-0.5)*2*$B$6)</f>
        <v>0.20793275817770121</v>
      </c>
      <c r="C66" s="54">
        <f ca="1">MAX(0.02,MCDA_Prioritisation!$B$10+(RAND()-0.5)*2*$B$6)</f>
        <v>0.27433772235711801</v>
      </c>
      <c r="D66" s="54">
        <f ca="1">MAX(0.02,MCDA_Prioritisation!$B$11+(RAND()-0.5)*2*$B$6)</f>
        <v>0.23429204933793313</v>
      </c>
      <c r="E66" s="54">
        <f ca="1">MAX(0.02,MCDA_Prioritisation!$B$12+(RAND()-0.5)*2*$B$6)</f>
        <v>0.19782347232482494</v>
      </c>
      <c r="F66" s="54">
        <f ca="1">MAX(0.02,MCDA_Prioritisation!$B$13+(RAND()-0.5)*2*$B$6)</f>
        <v>0.10235467287300064</v>
      </c>
      <c r="G66" s="54">
        <f t="shared" ca="1" si="0"/>
        <v>1.0167406750705781</v>
      </c>
      <c r="H66" s="54">
        <f t="shared" ca="1" si="1"/>
        <v>0.20450913716348307</v>
      </c>
      <c r="I66" s="54">
        <f t="shared" ca="1" si="2"/>
        <v>0.26982074100465647</v>
      </c>
      <c r="J66" s="54">
        <f t="shared" ca="1" si="3"/>
        <v>0.23043442156149552</v>
      </c>
      <c r="K66" s="54">
        <f t="shared" ca="1" si="4"/>
        <v>0.19456630109845152</v>
      </c>
      <c r="L66" s="54">
        <f t="shared" ca="1" si="5"/>
        <v>0.10066939917191331</v>
      </c>
      <c r="M66" s="54">
        <f ca="1">MIN(100,MAX(0,MCDA_Prioritisation!$F$2+(RAND()-0.5)*2*$B$7))</f>
        <v>81.711077722256249</v>
      </c>
      <c r="N66" s="54">
        <f ca="1">MIN(100,MAX(0,MCDA_Prioritisation!$F$3+(RAND()-0.5)*2*$B$7))</f>
        <v>88.790968891894764</v>
      </c>
      <c r="O66" s="54">
        <f ca="1">MIN(100,MAX(0,MCDA_Prioritisation!$F$4+(RAND()-0.5)*2*$B$7))</f>
        <v>82.380509193828573</v>
      </c>
      <c r="P66" s="54">
        <f ca="1">MIN(100,MAX(0,MCDA_Prioritisation!$F$5+(RAND()-0.5)*2*$B$7))</f>
        <v>81.002397700676781</v>
      </c>
      <c r="Q66" s="54">
        <f ca="1">MIN(100,MAX(0,MCDA_Prioritisation!$G$2+(RAND()-0.5)*2*$B$7))</f>
        <v>80.905738591055837</v>
      </c>
      <c r="R66" s="54">
        <f ca="1">MIN(100,MAX(0,MCDA_Prioritisation!$G$3+(RAND()-0.5)*2*$B$7))</f>
        <v>90.820737421694005</v>
      </c>
      <c r="S66" s="54">
        <f ca="1">MIN(100,MAX(0,MCDA_Prioritisation!$G$4+(RAND()-0.5)*2*$B$7))</f>
        <v>77.483748125821009</v>
      </c>
      <c r="T66" s="54">
        <f ca="1">MIN(100,MAX(0,MCDA_Prioritisation!$G$5+(RAND()-0.5)*2*$B$7))</f>
        <v>77.555390562508236</v>
      </c>
      <c r="U66" s="54">
        <f ca="1">MIN(100,MAX(0,MCDA_Prioritisation!$H$2+(RAND()-0.5)*2*$B$7))</f>
        <v>63.645836744848772</v>
      </c>
      <c r="V66" s="54">
        <f ca="1">MIN(100,MAX(0,MCDA_Prioritisation!$H$3+(RAND()-0.5)*2*$B$7))</f>
        <v>65.451571148783628</v>
      </c>
      <c r="W66" s="54">
        <f ca="1">MIN(100,MAX(0,MCDA_Prioritisation!$H$4+(RAND()-0.5)*2*$B$7))</f>
        <v>89.471430671207429</v>
      </c>
      <c r="X66" s="54">
        <f ca="1">MIN(100,MAX(0,MCDA_Prioritisation!$H$5+(RAND()-0.5)*2*$B$7))</f>
        <v>68.225505799744468</v>
      </c>
      <c r="Y66" s="54">
        <f ca="1">H66*MCDA_Prioritisation!$D$2+I66*MCDA_Prioritisation!$E$2+J66*M66+K66*Q66+L66*U66</f>
        <v>88.410751187106058</v>
      </c>
      <c r="Z66" s="54">
        <f ca="1">H66*MCDA_Prioritisation!$D$3+I66*MCDA_Prioritisation!$E$3+J66*N66+K66*R66+L66*V66</f>
        <v>82.216899648455737</v>
      </c>
      <c r="AA66" s="54">
        <f ca="1">H66*MCDA_Prioritisation!$D$4+I66*MCDA_Prioritisation!$E$4+J66*O66+K66*S66+L66*W66</f>
        <v>72.024375469245825</v>
      </c>
      <c r="AB66" s="54">
        <f ca="1">H66*MCDA_Prioritisation!$D$5+I66*MCDA_Prioritisation!$E$5+J66*P66+K66*T66+L66*X66</f>
        <v>74.167602642616146</v>
      </c>
      <c r="AC66" s="54">
        <f t="shared" ca="1" si="6"/>
        <v>1</v>
      </c>
      <c r="AD66" s="54">
        <f t="shared" ca="1" si="7"/>
        <v>2</v>
      </c>
      <c r="AE66" s="54">
        <f t="shared" ca="1" si="8"/>
        <v>4</v>
      </c>
      <c r="AF66" s="54">
        <f t="shared" ca="1" si="9"/>
        <v>3</v>
      </c>
      <c r="AG66" s="54">
        <f t="shared" ca="1" si="10"/>
        <v>1</v>
      </c>
      <c r="AH66" s="54">
        <f t="shared" ca="1" si="11"/>
        <v>1</v>
      </c>
      <c r="AI66" s="54">
        <f t="shared" ca="1" si="12"/>
        <v>0</v>
      </c>
      <c r="AJ66" s="54">
        <f t="shared" ca="1" si="13"/>
        <v>1</v>
      </c>
    </row>
    <row r="67" spans="1:36" x14ac:dyDescent="0.2">
      <c r="A67" s="54">
        <v>44</v>
      </c>
      <c r="B67" s="54">
        <f ca="1">MAX(0.02,MCDA_Prioritisation!$B$9+(RAND()-0.5)*2*$B$6)</f>
        <v>0.19478208268211514</v>
      </c>
      <c r="C67" s="54">
        <f ca="1">MAX(0.02,MCDA_Prioritisation!$B$10+(RAND()-0.5)*2*$B$6)</f>
        <v>0.17979146513716621</v>
      </c>
      <c r="D67" s="54">
        <f ca="1">MAX(0.02,MCDA_Prioritisation!$B$11+(RAND()-0.5)*2*$B$6)</f>
        <v>0.29949564358801373</v>
      </c>
      <c r="E67" s="54">
        <f ca="1">MAX(0.02,MCDA_Prioritisation!$B$12+(RAND()-0.5)*2*$B$6)</f>
        <v>0.11316226583986619</v>
      </c>
      <c r="F67" s="54">
        <f ca="1">MAX(0.02,MCDA_Prioritisation!$B$13+(RAND()-0.5)*2*$B$6)</f>
        <v>8.2760322381865356E-2</v>
      </c>
      <c r="G67" s="54">
        <f t="shared" ca="1" si="0"/>
        <v>0.86999177962902663</v>
      </c>
      <c r="H67" s="54">
        <f t="shared" ca="1" si="1"/>
        <v>0.22388956682461092</v>
      </c>
      <c r="I67" s="54">
        <f t="shared" ca="1" si="2"/>
        <v>0.20665880913706003</v>
      </c>
      <c r="J67" s="54">
        <f t="shared" ca="1" si="3"/>
        <v>0.34425111891944743</v>
      </c>
      <c r="K67" s="54">
        <f t="shared" ca="1" si="4"/>
        <v>0.13007279895003115</v>
      </c>
      <c r="L67" s="54">
        <f t="shared" ca="1" si="5"/>
        <v>9.5127706168850468E-2</v>
      </c>
      <c r="M67" s="54">
        <f ca="1">MIN(100,MAX(0,MCDA_Prioritisation!$F$2+(RAND()-0.5)*2*$B$7))</f>
        <v>88.240048886270856</v>
      </c>
      <c r="N67" s="54">
        <f ca="1">MIN(100,MAX(0,MCDA_Prioritisation!$F$3+(RAND()-0.5)*2*$B$7))</f>
        <v>94.900138129632268</v>
      </c>
      <c r="O67" s="54">
        <f ca="1">MIN(100,MAX(0,MCDA_Prioritisation!$F$4+(RAND()-0.5)*2*$B$7))</f>
        <v>88.381690859191593</v>
      </c>
      <c r="P67" s="54">
        <f ca="1">MIN(100,MAX(0,MCDA_Prioritisation!$F$5+(RAND()-0.5)*2*$B$7))</f>
        <v>65.428038653299083</v>
      </c>
      <c r="Q67" s="54">
        <f ca="1">MIN(100,MAX(0,MCDA_Prioritisation!$G$2+(RAND()-0.5)*2*$B$7))</f>
        <v>74.20671346217344</v>
      </c>
      <c r="R67" s="54">
        <f ca="1">MIN(100,MAX(0,MCDA_Prioritisation!$G$3+(RAND()-0.5)*2*$B$7))</f>
        <v>92.122193177468972</v>
      </c>
      <c r="S67" s="54">
        <f ca="1">MIN(100,MAX(0,MCDA_Prioritisation!$G$4+(RAND()-0.5)*2*$B$7))</f>
        <v>94.053089036095656</v>
      </c>
      <c r="T67" s="54">
        <f ca="1">MIN(100,MAX(0,MCDA_Prioritisation!$G$5+(RAND()-0.5)*2*$B$7))</f>
        <v>67.015956182122551</v>
      </c>
      <c r="U67" s="54">
        <f ca="1">MIN(100,MAX(0,MCDA_Prioritisation!$H$2+(RAND()-0.5)*2*$B$7))</f>
        <v>68.974457603945822</v>
      </c>
      <c r="V67" s="54">
        <f ca="1">MIN(100,MAX(0,MCDA_Prioritisation!$H$3+(RAND()-0.5)*2*$B$7))</f>
        <v>63.550953909109523</v>
      </c>
      <c r="W67" s="54">
        <f ca="1">MIN(100,MAX(0,MCDA_Prioritisation!$H$4+(RAND()-0.5)*2*$B$7))</f>
        <v>76.11116972097048</v>
      </c>
      <c r="X67" s="54">
        <f ca="1">MIN(100,MAX(0,MCDA_Prioritisation!$H$5+(RAND()-0.5)*2*$B$7))</f>
        <v>76.948565841896325</v>
      </c>
      <c r="Y67" s="54">
        <f ca="1">H67*MCDA_Prioritisation!$D$2+I67*MCDA_Prioritisation!$E$2+J67*M67+K67*Q67+L67*U67</f>
        <v>89.645230015784435</v>
      </c>
      <c r="Z67" s="54">
        <f ca="1">H67*MCDA_Prioritisation!$D$3+I67*MCDA_Prioritisation!$E$3+J67*N67+K67*R67+L67*V67</f>
        <v>85.294498776315791</v>
      </c>
      <c r="AA67" s="54">
        <f ca="1">H67*MCDA_Prioritisation!$D$4+I67*MCDA_Prioritisation!$E$4+J67*O67+K67*S67+L67*W67</f>
        <v>76.762177457000604</v>
      </c>
      <c r="AB67" s="54">
        <f ca="1">H67*MCDA_Prioritisation!$D$5+I67*MCDA_Prioritisation!$E$5+J67*P67+K67*T67+L67*X67</f>
        <v>67.821834184569809</v>
      </c>
      <c r="AC67" s="54">
        <f t="shared" ca="1" si="6"/>
        <v>1</v>
      </c>
      <c r="AD67" s="54">
        <f t="shared" ca="1" si="7"/>
        <v>2</v>
      </c>
      <c r="AE67" s="54">
        <f t="shared" ca="1" si="8"/>
        <v>3</v>
      </c>
      <c r="AF67" s="54">
        <f t="shared" ca="1" si="9"/>
        <v>4</v>
      </c>
      <c r="AG67" s="54">
        <f t="shared" ca="1" si="10"/>
        <v>1</v>
      </c>
      <c r="AH67" s="54">
        <f t="shared" ca="1" si="11"/>
        <v>1</v>
      </c>
      <c r="AI67" s="54">
        <f t="shared" ca="1" si="12"/>
        <v>1</v>
      </c>
      <c r="AJ67" s="54">
        <f t="shared" ca="1" si="13"/>
        <v>1</v>
      </c>
    </row>
    <row r="68" spans="1:36" x14ac:dyDescent="0.2">
      <c r="A68" s="54">
        <v>45</v>
      </c>
      <c r="B68" s="54">
        <f ca="1">MAX(0.02,MCDA_Prioritisation!$B$9+(RAND()-0.5)*2*$B$6)</f>
        <v>0.20139841152048193</v>
      </c>
      <c r="C68" s="54">
        <f ca="1">MAX(0.02,MCDA_Prioritisation!$B$10+(RAND()-0.5)*2*$B$6)</f>
        <v>0.30292858344633977</v>
      </c>
      <c r="D68" s="54">
        <f ca="1">MAX(0.02,MCDA_Prioritisation!$B$11+(RAND()-0.5)*2*$B$6)</f>
        <v>0.26822738518126404</v>
      </c>
      <c r="E68" s="54">
        <f ca="1">MAX(0.02,MCDA_Prioritisation!$B$12+(RAND()-0.5)*2*$B$6)</f>
        <v>0.19351680302131871</v>
      </c>
      <c r="F68" s="54">
        <f ca="1">MAX(0.02,MCDA_Prioritisation!$B$13+(RAND()-0.5)*2*$B$6)</f>
        <v>0.1800314016997562</v>
      </c>
      <c r="G68" s="54">
        <f t="shared" ca="1" si="0"/>
        <v>1.1461025848691606</v>
      </c>
      <c r="H68" s="54">
        <f t="shared" ca="1" si="1"/>
        <v>0.17572459409772087</v>
      </c>
      <c r="I68" s="54">
        <f t="shared" ca="1" si="2"/>
        <v>0.26431192761067035</v>
      </c>
      <c r="J68" s="54">
        <f t="shared" ca="1" si="3"/>
        <v>0.23403436020684393</v>
      </c>
      <c r="K68" s="54">
        <f t="shared" ca="1" si="4"/>
        <v>0.16884771535822915</v>
      </c>
      <c r="L68" s="54">
        <f t="shared" ca="1" si="5"/>
        <v>0.15708140272653573</v>
      </c>
      <c r="M68" s="54">
        <f ca="1">MIN(100,MAX(0,MCDA_Prioritisation!$F$2+(RAND()-0.5)*2*$B$7))</f>
        <v>92.813372383494254</v>
      </c>
      <c r="N68" s="54">
        <f ca="1">MIN(100,MAX(0,MCDA_Prioritisation!$F$3+(RAND()-0.5)*2*$B$7))</f>
        <v>99.93286537668348</v>
      </c>
      <c r="O68" s="54">
        <f ca="1">MIN(100,MAX(0,MCDA_Prioritisation!$F$4+(RAND()-0.5)*2*$B$7))</f>
        <v>83.397224256876527</v>
      </c>
      <c r="P68" s="54">
        <f ca="1">MIN(100,MAX(0,MCDA_Prioritisation!$F$5+(RAND()-0.5)*2*$B$7))</f>
        <v>82.910191825077021</v>
      </c>
      <c r="Q68" s="54">
        <f ca="1">MIN(100,MAX(0,MCDA_Prioritisation!$G$2+(RAND()-0.5)*2*$B$7))</f>
        <v>77.200205154303916</v>
      </c>
      <c r="R68" s="54">
        <f ca="1">MIN(100,MAX(0,MCDA_Prioritisation!$G$3+(RAND()-0.5)*2*$B$7))</f>
        <v>95.897935442902636</v>
      </c>
      <c r="S68" s="54">
        <f ca="1">MIN(100,MAX(0,MCDA_Prioritisation!$G$4+(RAND()-0.5)*2*$B$7))</f>
        <v>77.392848848649592</v>
      </c>
      <c r="T68" s="54">
        <f ca="1">MIN(100,MAX(0,MCDA_Prioritisation!$G$5+(RAND()-0.5)*2*$B$7))</f>
        <v>62.427736950665945</v>
      </c>
      <c r="U68" s="54">
        <f ca="1">MIN(100,MAX(0,MCDA_Prioritisation!$H$2+(RAND()-0.5)*2*$B$7))</f>
        <v>66.579943196811044</v>
      </c>
      <c r="V68" s="54">
        <f ca="1">MIN(100,MAX(0,MCDA_Prioritisation!$H$3+(RAND()-0.5)*2*$B$7))</f>
        <v>65.63006968537772</v>
      </c>
      <c r="W68" s="54">
        <f ca="1">MIN(100,MAX(0,MCDA_Prioritisation!$H$4+(RAND()-0.5)*2*$B$7))</f>
        <v>72.452924533756757</v>
      </c>
      <c r="X68" s="54">
        <f ca="1">MIN(100,MAX(0,MCDA_Prioritisation!$H$5+(RAND()-0.5)*2*$B$7))</f>
        <v>65.829363005570926</v>
      </c>
      <c r="Y68" s="54">
        <f ca="1">H68*MCDA_Prioritisation!$D$2+I68*MCDA_Prioritisation!$E$2+J68*M68+K68*Q68+L68*U68</f>
        <v>89.2187195315487</v>
      </c>
      <c r="Z68" s="54">
        <f ca="1">H68*MCDA_Prioritisation!$D$3+I68*MCDA_Prioritisation!$E$3+J68*N68+K68*R68+L68*V68</f>
        <v>84.469594675184339</v>
      </c>
      <c r="AA68" s="54">
        <f ca="1">H68*MCDA_Prioritisation!$D$4+I68*MCDA_Prioritisation!$E$4+J68*O68+K68*S68+L68*W68</f>
        <v>70.619870704115414</v>
      </c>
      <c r="AB68" s="54">
        <f ca="1">H68*MCDA_Prioritisation!$D$5+I68*MCDA_Prioritisation!$E$5+J68*P68+K68*T68+L68*X68</f>
        <v>71.838152610692845</v>
      </c>
      <c r="AC68" s="54">
        <f t="shared" ca="1" si="6"/>
        <v>1</v>
      </c>
      <c r="AD68" s="54">
        <f t="shared" ca="1" si="7"/>
        <v>2</v>
      </c>
      <c r="AE68" s="54">
        <f t="shared" ca="1" si="8"/>
        <v>4</v>
      </c>
      <c r="AF68" s="54">
        <f t="shared" ca="1" si="9"/>
        <v>3</v>
      </c>
      <c r="AG68" s="54">
        <f t="shared" ca="1" si="10"/>
        <v>1</v>
      </c>
      <c r="AH68" s="54">
        <f t="shared" ca="1" si="11"/>
        <v>1</v>
      </c>
      <c r="AI68" s="54">
        <f t="shared" ca="1" si="12"/>
        <v>0</v>
      </c>
      <c r="AJ68" s="54">
        <f t="shared" ca="1" si="13"/>
        <v>1</v>
      </c>
    </row>
    <row r="69" spans="1:36" x14ac:dyDescent="0.2">
      <c r="A69" s="54">
        <v>46</v>
      </c>
      <c r="B69" s="54">
        <f ca="1">MAX(0.02,MCDA_Prioritisation!$B$9+(RAND()-0.5)*2*$B$6)</f>
        <v>0.16346008195019002</v>
      </c>
      <c r="C69" s="54">
        <f ca="1">MAX(0.02,MCDA_Prioritisation!$B$10+(RAND()-0.5)*2*$B$6)</f>
        <v>0.3076753454826322</v>
      </c>
      <c r="D69" s="54">
        <f ca="1">MAX(0.02,MCDA_Prioritisation!$B$11+(RAND()-0.5)*2*$B$6)</f>
        <v>0.25038085366069279</v>
      </c>
      <c r="E69" s="54">
        <f ca="1">MAX(0.02,MCDA_Prioritisation!$B$12+(RAND()-0.5)*2*$B$6)</f>
        <v>0.18057027828404981</v>
      </c>
      <c r="F69" s="54">
        <f ca="1">MAX(0.02,MCDA_Prioritisation!$B$13+(RAND()-0.5)*2*$B$6)</f>
        <v>0.20004085343880296</v>
      </c>
      <c r="G69" s="54">
        <f t="shared" ca="1" si="0"/>
        <v>1.1021274128163676</v>
      </c>
      <c r="H69" s="54">
        <f t="shared" ca="1" si="1"/>
        <v>0.14831323497569615</v>
      </c>
      <c r="I69" s="54">
        <f t="shared" ca="1" si="2"/>
        <v>0.27916495126130753</v>
      </c>
      <c r="J69" s="54">
        <f t="shared" ca="1" si="3"/>
        <v>0.22717958989956666</v>
      </c>
      <c r="K69" s="54">
        <f t="shared" ca="1" si="4"/>
        <v>0.1638379339668378</v>
      </c>
      <c r="L69" s="54">
        <f t="shared" ca="1" si="5"/>
        <v>0.18150428989659204</v>
      </c>
      <c r="M69" s="54">
        <f ca="1">MIN(100,MAX(0,MCDA_Prioritisation!$F$2+(RAND()-0.5)*2*$B$7))</f>
        <v>79.083549699646539</v>
      </c>
      <c r="N69" s="54">
        <f ca="1">MIN(100,MAX(0,MCDA_Prioritisation!$F$3+(RAND()-0.5)*2*$B$7))</f>
        <v>99.45083191577109</v>
      </c>
      <c r="O69" s="54">
        <f ca="1">MIN(100,MAX(0,MCDA_Prioritisation!$F$4+(RAND()-0.5)*2*$B$7))</f>
        <v>83.637727305139464</v>
      </c>
      <c r="P69" s="54">
        <f ca="1">MIN(100,MAX(0,MCDA_Prioritisation!$F$5+(RAND()-0.5)*2*$B$7))</f>
        <v>74.34883344684269</v>
      </c>
      <c r="Q69" s="54">
        <f ca="1">MIN(100,MAX(0,MCDA_Prioritisation!$G$2+(RAND()-0.5)*2*$B$7))</f>
        <v>76.208726013532669</v>
      </c>
      <c r="R69" s="54">
        <f ca="1">MIN(100,MAX(0,MCDA_Prioritisation!$G$3+(RAND()-0.5)*2*$B$7))</f>
        <v>86.824104044125065</v>
      </c>
      <c r="S69" s="54">
        <f ca="1">MIN(100,MAX(0,MCDA_Prioritisation!$G$4+(RAND()-0.5)*2*$B$7))</f>
        <v>75.257295143871204</v>
      </c>
      <c r="T69" s="54">
        <f ca="1">MIN(100,MAX(0,MCDA_Prioritisation!$G$5+(RAND()-0.5)*2*$B$7))</f>
        <v>78.904374419118639</v>
      </c>
      <c r="U69" s="54">
        <f ca="1">MIN(100,MAX(0,MCDA_Prioritisation!$H$2+(RAND()-0.5)*2*$B$7))</f>
        <v>55.557847259704118</v>
      </c>
      <c r="V69" s="54">
        <f ca="1">MIN(100,MAX(0,MCDA_Prioritisation!$H$3+(RAND()-0.5)*2*$B$7))</f>
        <v>64.020774766006895</v>
      </c>
      <c r="W69" s="54">
        <f ca="1">MIN(100,MAX(0,MCDA_Prioritisation!$H$4+(RAND()-0.5)*2*$B$7))</f>
        <v>86.168034443655444</v>
      </c>
      <c r="X69" s="54">
        <f ca="1">MIN(100,MAX(0,MCDA_Prioritisation!$H$5+(RAND()-0.5)*2*$B$7))</f>
        <v>67.684469061325032</v>
      </c>
      <c r="Y69" s="54">
        <f ca="1">H69*MCDA_Prioritisation!$D$2+I69*MCDA_Prioritisation!$E$2+J69*M69+K69*Q69+L69*U69</f>
        <v>83.283854847625975</v>
      </c>
      <c r="Z69" s="54">
        <f ca="1">H69*MCDA_Prioritisation!$D$3+I69*MCDA_Prioritisation!$E$3+J69*N69+K69*R69+L69*V69</f>
        <v>81.703339801011779</v>
      </c>
      <c r="AA69" s="54">
        <f ca="1">H69*MCDA_Prioritisation!$D$4+I69*MCDA_Prioritisation!$E$4+J69*O69+K69*S69+L69*W69</f>
        <v>72.525493214240555</v>
      </c>
      <c r="AB69" s="54">
        <f ca="1">H69*MCDA_Prioritisation!$D$5+I69*MCDA_Prioritisation!$E$5+J69*P69+K69*T69+L69*X69</f>
        <v>73.450180128316475</v>
      </c>
      <c r="AC69" s="54">
        <f t="shared" ca="1" si="6"/>
        <v>1</v>
      </c>
      <c r="AD69" s="54">
        <f t="shared" ca="1" si="7"/>
        <v>2</v>
      </c>
      <c r="AE69" s="54">
        <f t="shared" ca="1" si="8"/>
        <v>4</v>
      </c>
      <c r="AF69" s="54">
        <f t="shared" ca="1" si="9"/>
        <v>3</v>
      </c>
      <c r="AG69" s="54">
        <f t="shared" ca="1" si="10"/>
        <v>1</v>
      </c>
      <c r="AH69" s="54">
        <f t="shared" ca="1" si="11"/>
        <v>1</v>
      </c>
      <c r="AI69" s="54">
        <f t="shared" ca="1" si="12"/>
        <v>0</v>
      </c>
      <c r="AJ69" s="54">
        <f t="shared" ca="1" si="13"/>
        <v>1</v>
      </c>
    </row>
    <row r="70" spans="1:36" x14ac:dyDescent="0.2">
      <c r="A70" s="54">
        <v>47</v>
      </c>
      <c r="B70" s="54">
        <f ca="1">MAX(0.02,MCDA_Prioritisation!$B$9+(RAND()-0.5)*2*$B$6)</f>
        <v>0.12161506733143428</v>
      </c>
      <c r="C70" s="54">
        <f ca="1">MAX(0.02,MCDA_Prioritisation!$B$10+(RAND()-0.5)*2*$B$6)</f>
        <v>0.18745752144419792</v>
      </c>
      <c r="D70" s="54">
        <f ca="1">MAX(0.02,MCDA_Prioritisation!$B$11+(RAND()-0.5)*2*$B$6)</f>
        <v>0.19804705876959017</v>
      </c>
      <c r="E70" s="54">
        <f ca="1">MAX(0.02,MCDA_Prioritisation!$B$12+(RAND()-0.5)*2*$B$6)</f>
        <v>0.1698240018756115</v>
      </c>
      <c r="F70" s="54">
        <f ca="1">MAX(0.02,MCDA_Prioritisation!$B$13+(RAND()-0.5)*2*$B$6)</f>
        <v>8.0676072568949639E-2</v>
      </c>
      <c r="G70" s="54">
        <f t="shared" ca="1" si="0"/>
        <v>0.75761972198978356</v>
      </c>
      <c r="H70" s="54">
        <f t="shared" ca="1" si="1"/>
        <v>0.16052257326674271</v>
      </c>
      <c r="I70" s="54">
        <f t="shared" ca="1" si="2"/>
        <v>0.24742956921959031</v>
      </c>
      <c r="J70" s="54">
        <f t="shared" ca="1" si="3"/>
        <v>0.26140694733955305</v>
      </c>
      <c r="K70" s="54">
        <f t="shared" ca="1" si="4"/>
        <v>0.22415467410166173</v>
      </c>
      <c r="L70" s="54">
        <f t="shared" ca="1" si="5"/>
        <v>0.10648623607245213</v>
      </c>
      <c r="M70" s="54">
        <f ca="1">MIN(100,MAX(0,MCDA_Prioritisation!$F$2+(RAND()-0.5)*2*$B$7))</f>
        <v>83.12219790277662</v>
      </c>
      <c r="N70" s="54">
        <f ca="1">MIN(100,MAX(0,MCDA_Prioritisation!$F$3+(RAND()-0.5)*2*$B$7))</f>
        <v>98.050600260643066</v>
      </c>
      <c r="O70" s="54">
        <f ca="1">MIN(100,MAX(0,MCDA_Prioritisation!$F$4+(RAND()-0.5)*2*$B$7))</f>
        <v>88.541197415897884</v>
      </c>
      <c r="P70" s="54">
        <f ca="1">MIN(100,MAX(0,MCDA_Prioritisation!$F$5+(RAND()-0.5)*2*$B$7))</f>
        <v>80.26503474622001</v>
      </c>
      <c r="Q70" s="54">
        <f ca="1">MIN(100,MAX(0,MCDA_Prioritisation!$G$2+(RAND()-0.5)*2*$B$7))</f>
        <v>71.772056247014362</v>
      </c>
      <c r="R70" s="54">
        <f ca="1">MIN(100,MAX(0,MCDA_Prioritisation!$G$3+(RAND()-0.5)*2*$B$7))</f>
        <v>96.65280553325546</v>
      </c>
      <c r="S70" s="54">
        <f ca="1">MIN(100,MAX(0,MCDA_Prioritisation!$G$4+(RAND()-0.5)*2*$B$7))</f>
        <v>85.00220157454703</v>
      </c>
      <c r="T70" s="54">
        <f ca="1">MIN(100,MAX(0,MCDA_Prioritisation!$G$5+(RAND()-0.5)*2*$B$7))</f>
        <v>76.521758615399193</v>
      </c>
      <c r="U70" s="54">
        <f ca="1">MIN(100,MAX(0,MCDA_Prioritisation!$H$2+(RAND()-0.5)*2*$B$7))</f>
        <v>69.674694188688576</v>
      </c>
      <c r="V70" s="54">
        <f ca="1">MIN(100,MAX(0,MCDA_Prioritisation!$H$3+(RAND()-0.5)*2*$B$7))</f>
        <v>63.65692289692273</v>
      </c>
      <c r="W70" s="54">
        <f ca="1">MIN(100,MAX(0,MCDA_Prioritisation!$H$4+(RAND()-0.5)*2*$B$7))</f>
        <v>77.802589719361919</v>
      </c>
      <c r="X70" s="54">
        <f ca="1">MIN(100,MAX(0,MCDA_Prioritisation!$H$5+(RAND()-0.5)*2*$B$7))</f>
        <v>68.122617715046218</v>
      </c>
      <c r="Y70" s="54">
        <f ca="1">H70*MCDA_Prioritisation!$D$2+I70*MCDA_Prioritisation!$E$2+J70*M70+K70*Q70+L70*U70</f>
        <v>86.031372069860566</v>
      </c>
      <c r="Z70" s="54">
        <f ca="1">H70*MCDA_Prioritisation!$D$3+I70*MCDA_Prioritisation!$E$3+J70*N70+K70*R70+L70*V70</f>
        <v>86.098915638323263</v>
      </c>
      <c r="AA70" s="54">
        <f ca="1">H70*MCDA_Prioritisation!$D$4+I70*MCDA_Prioritisation!$E$4+J70*O70+K70*S70+L70*W70</f>
        <v>75.157836533316939</v>
      </c>
      <c r="AB70" s="54">
        <f ca="1">H70*MCDA_Prioritisation!$D$5+I70*MCDA_Prioritisation!$E$5+J70*P70+K70*T70+L70*X70</f>
        <v>74.715124551382786</v>
      </c>
      <c r="AC70" s="54">
        <f t="shared" ca="1" si="6"/>
        <v>2</v>
      </c>
      <c r="AD70" s="54">
        <f t="shared" ca="1" si="7"/>
        <v>1</v>
      </c>
      <c r="AE70" s="54">
        <f t="shared" ca="1" si="8"/>
        <v>3</v>
      </c>
      <c r="AF70" s="54">
        <f t="shared" ca="1" si="9"/>
        <v>4</v>
      </c>
      <c r="AG70" s="54">
        <f t="shared" ca="1" si="10"/>
        <v>0</v>
      </c>
      <c r="AH70" s="54">
        <f t="shared" ca="1" si="11"/>
        <v>0</v>
      </c>
      <c r="AI70" s="54">
        <f t="shared" ca="1" si="12"/>
        <v>0</v>
      </c>
      <c r="AJ70" s="54">
        <f t="shared" ca="1" si="13"/>
        <v>1</v>
      </c>
    </row>
    <row r="71" spans="1:36" x14ac:dyDescent="0.2">
      <c r="A71" s="54">
        <v>48</v>
      </c>
      <c r="B71" s="54">
        <f ca="1">MAX(0.02,MCDA_Prioritisation!$B$9+(RAND()-0.5)*2*$B$6)</f>
        <v>0.21917864144882718</v>
      </c>
      <c r="C71" s="54">
        <f ca="1">MAX(0.02,MCDA_Prioritisation!$B$10+(RAND()-0.5)*2*$B$6)</f>
        <v>0.19035264023964893</v>
      </c>
      <c r="D71" s="54">
        <f ca="1">MAX(0.02,MCDA_Prioritisation!$B$11+(RAND()-0.5)*2*$B$6)</f>
        <v>0.26418053647750589</v>
      </c>
      <c r="E71" s="54">
        <f ca="1">MAX(0.02,MCDA_Prioritisation!$B$12+(RAND()-0.5)*2*$B$6)</f>
        <v>0.10584831213345394</v>
      </c>
      <c r="F71" s="54">
        <f ca="1">MAX(0.02,MCDA_Prioritisation!$B$13+(RAND()-0.5)*2*$B$6)</f>
        <v>0.11810950948435781</v>
      </c>
      <c r="G71" s="54">
        <f t="shared" ca="1" si="0"/>
        <v>0.89766963978379377</v>
      </c>
      <c r="H71" s="54">
        <f t="shared" ca="1" si="1"/>
        <v>0.24416403511387214</v>
      </c>
      <c r="I71" s="54">
        <f t="shared" ca="1" si="2"/>
        <v>0.21205199753162632</v>
      </c>
      <c r="J71" s="54">
        <f t="shared" ca="1" si="3"/>
        <v>0.29429594671502368</v>
      </c>
      <c r="K71" s="54">
        <f t="shared" ca="1" si="4"/>
        <v>0.11791455056778773</v>
      </c>
      <c r="L71" s="54">
        <f t="shared" ca="1" si="5"/>
        <v>0.13157347007169007</v>
      </c>
      <c r="M71" s="54">
        <f ca="1">MIN(100,MAX(0,MCDA_Prioritisation!$F$2+(RAND()-0.5)*2*$B$7))</f>
        <v>78.169941749868201</v>
      </c>
      <c r="N71" s="54">
        <f ca="1">MIN(100,MAX(0,MCDA_Prioritisation!$F$3+(RAND()-0.5)*2*$B$7))</f>
        <v>96.543992191046598</v>
      </c>
      <c r="O71" s="54">
        <f ca="1">MIN(100,MAX(0,MCDA_Prioritisation!$F$4+(RAND()-0.5)*2*$B$7))</f>
        <v>90.424741724408889</v>
      </c>
      <c r="P71" s="54">
        <f ca="1">MIN(100,MAX(0,MCDA_Prioritisation!$F$5+(RAND()-0.5)*2*$B$7))</f>
        <v>74.875303813231582</v>
      </c>
      <c r="Q71" s="54">
        <f ca="1">MIN(100,MAX(0,MCDA_Prioritisation!$G$2+(RAND()-0.5)*2*$B$7))</f>
        <v>73.961856353175392</v>
      </c>
      <c r="R71" s="54">
        <f ca="1">MIN(100,MAX(0,MCDA_Prioritisation!$G$3+(RAND()-0.5)*2*$B$7))</f>
        <v>86.811010766471227</v>
      </c>
      <c r="S71" s="54">
        <f ca="1">MIN(100,MAX(0,MCDA_Prioritisation!$G$4+(RAND()-0.5)*2*$B$7))</f>
        <v>82.069485623595881</v>
      </c>
      <c r="T71" s="54">
        <f ca="1">MIN(100,MAX(0,MCDA_Prioritisation!$G$5+(RAND()-0.5)*2*$B$7))</f>
        <v>71.298460513533144</v>
      </c>
      <c r="U71" s="54">
        <f ca="1">MIN(100,MAX(0,MCDA_Prioritisation!$H$2+(RAND()-0.5)*2*$B$7))</f>
        <v>71.29659030980423</v>
      </c>
      <c r="V71" s="54">
        <f ca="1">MIN(100,MAX(0,MCDA_Prioritisation!$H$3+(RAND()-0.5)*2*$B$7))</f>
        <v>63.193543450932509</v>
      </c>
      <c r="W71" s="54">
        <f ca="1">MIN(100,MAX(0,MCDA_Prioritisation!$H$4+(RAND()-0.5)*2*$B$7))</f>
        <v>86.650628593253458</v>
      </c>
      <c r="X71" s="54">
        <f ca="1">MIN(100,MAX(0,MCDA_Prioritisation!$H$5+(RAND()-0.5)*2*$B$7))</f>
        <v>71.418596497426975</v>
      </c>
      <c r="Y71" s="54">
        <f ca="1">H71*MCDA_Prioritisation!$D$2+I71*MCDA_Prioritisation!$E$2+J71*M71+K71*Q71+L71*U71</f>
        <v>86.728619118870085</v>
      </c>
      <c r="Z71" s="54">
        <f ca="1">H71*MCDA_Prioritisation!$D$3+I71*MCDA_Prioritisation!$E$3+J71*N71+K71*R71+L71*V71</f>
        <v>83.72450908509478</v>
      </c>
      <c r="AA71" s="54">
        <f ca="1">H71*MCDA_Prioritisation!$D$4+I71*MCDA_Prioritisation!$E$4+J71*O71+K71*S71+L71*W71</f>
        <v>76.25836602790902</v>
      </c>
      <c r="AB71" s="54">
        <f ca="1">H71*MCDA_Prioritisation!$D$5+I71*MCDA_Prioritisation!$E$5+J71*P71+K71*T71+L71*X71</f>
        <v>70.630285590872703</v>
      </c>
      <c r="AC71" s="54">
        <f t="shared" ca="1" si="6"/>
        <v>1</v>
      </c>
      <c r="AD71" s="54">
        <f t="shared" ca="1" si="7"/>
        <v>2</v>
      </c>
      <c r="AE71" s="54">
        <f t="shared" ca="1" si="8"/>
        <v>3</v>
      </c>
      <c r="AF71" s="54">
        <f t="shared" ca="1" si="9"/>
        <v>4</v>
      </c>
      <c r="AG71" s="54">
        <f t="shared" ca="1" si="10"/>
        <v>1</v>
      </c>
      <c r="AH71" s="54">
        <f t="shared" ca="1" si="11"/>
        <v>1</v>
      </c>
      <c r="AI71" s="54">
        <f t="shared" ca="1" si="12"/>
        <v>1</v>
      </c>
      <c r="AJ71" s="54">
        <f t="shared" ca="1" si="13"/>
        <v>1</v>
      </c>
    </row>
    <row r="72" spans="1:36" x14ac:dyDescent="0.2">
      <c r="A72" s="54">
        <v>49</v>
      </c>
      <c r="B72" s="54">
        <f ca="1">MAX(0.02,MCDA_Prioritisation!$B$9+(RAND()-0.5)*2*$B$6)</f>
        <v>0.153573193483721</v>
      </c>
      <c r="C72" s="54">
        <f ca="1">MAX(0.02,MCDA_Prioritisation!$B$10+(RAND()-0.5)*2*$B$6)</f>
        <v>0.2142016787644089</v>
      </c>
      <c r="D72" s="54">
        <f ca="1">MAX(0.02,MCDA_Prioritisation!$B$11+(RAND()-0.5)*2*$B$6)</f>
        <v>0.31669135016251709</v>
      </c>
      <c r="E72" s="54">
        <f ca="1">MAX(0.02,MCDA_Prioritisation!$B$12+(RAND()-0.5)*2*$B$6)</f>
        <v>0.12302866962874716</v>
      </c>
      <c r="F72" s="54">
        <f ca="1">MAX(0.02,MCDA_Prioritisation!$B$13+(RAND()-0.5)*2*$B$6)</f>
        <v>0.19230083837898027</v>
      </c>
      <c r="G72" s="54">
        <f t="shared" ca="1" si="0"/>
        <v>0.99979573041837444</v>
      </c>
      <c r="H72" s="54">
        <f t="shared" ca="1" si="1"/>
        <v>0.15360457022501664</v>
      </c>
      <c r="I72" s="54">
        <f t="shared" ca="1" si="2"/>
        <v>0.21424544259133221</v>
      </c>
      <c r="J72" s="54">
        <f t="shared" ca="1" si="3"/>
        <v>0.31675605378910193</v>
      </c>
      <c r="K72" s="54">
        <f t="shared" ca="1" si="4"/>
        <v>0.1230538057781709</v>
      </c>
      <c r="L72" s="54">
        <f t="shared" ca="1" si="5"/>
        <v>0.19234012761637828</v>
      </c>
      <c r="M72" s="54">
        <f ca="1">MIN(100,MAX(0,MCDA_Prioritisation!$F$2+(RAND()-0.5)*2*$B$7))</f>
        <v>83.875995577410905</v>
      </c>
      <c r="N72" s="54">
        <f ca="1">MIN(100,MAX(0,MCDA_Prioritisation!$F$3+(RAND()-0.5)*2*$B$7))</f>
        <v>94.118071424095291</v>
      </c>
      <c r="O72" s="54">
        <f ca="1">MIN(100,MAX(0,MCDA_Prioritisation!$F$4+(RAND()-0.5)*2*$B$7))</f>
        <v>82.674133557737775</v>
      </c>
      <c r="P72" s="54">
        <f ca="1">MIN(100,MAX(0,MCDA_Prioritisation!$F$5+(RAND()-0.5)*2*$B$7))</f>
        <v>66.669416324624422</v>
      </c>
      <c r="Q72" s="54">
        <f ca="1">MIN(100,MAX(0,MCDA_Prioritisation!$G$2+(RAND()-0.5)*2*$B$7))</f>
        <v>86.133433917337115</v>
      </c>
      <c r="R72" s="54">
        <f ca="1">MIN(100,MAX(0,MCDA_Prioritisation!$G$3+(RAND()-0.5)*2*$B$7))</f>
        <v>92.28621518659962</v>
      </c>
      <c r="S72" s="54">
        <f ca="1">MIN(100,MAX(0,MCDA_Prioritisation!$G$4+(RAND()-0.5)*2*$B$7))</f>
        <v>87.823800250808389</v>
      </c>
      <c r="T72" s="54">
        <f ca="1">MIN(100,MAX(0,MCDA_Prioritisation!$G$5+(RAND()-0.5)*2*$B$7))</f>
        <v>71.254379626251946</v>
      </c>
      <c r="U72" s="54">
        <f ca="1">MIN(100,MAX(0,MCDA_Prioritisation!$H$2+(RAND()-0.5)*2*$B$7))</f>
        <v>72.758014177718408</v>
      </c>
      <c r="V72" s="54">
        <f ca="1">MIN(100,MAX(0,MCDA_Prioritisation!$H$3+(RAND()-0.5)*2*$B$7))</f>
        <v>57.564149523879266</v>
      </c>
      <c r="W72" s="54">
        <f ca="1">MIN(100,MAX(0,MCDA_Prioritisation!$H$4+(RAND()-0.5)*2*$B$7))</f>
        <v>71.966466825349812</v>
      </c>
      <c r="X72" s="54">
        <f ca="1">MIN(100,MAX(0,MCDA_Prioritisation!$H$5+(RAND()-0.5)*2*$B$7))</f>
        <v>80.160701636187369</v>
      </c>
      <c r="Y72" s="54">
        <f ca="1">H72*MCDA_Prioritisation!$D$2+I72*MCDA_Prioritisation!$E$2+J72*M72+K72*Q72+L72*U72</f>
        <v>87.946563228695268</v>
      </c>
      <c r="Z72" s="54">
        <f ca="1">H72*MCDA_Prioritisation!$D$3+I72*MCDA_Prioritisation!$E$3+J72*N72+K72*R72+L72*V72</f>
        <v>81.246575427127539</v>
      </c>
      <c r="AA72" s="54">
        <f ca="1">H72*MCDA_Prioritisation!$D$4+I72*MCDA_Prioritisation!$E$4+J72*O72+K72*S72+L72*W72</f>
        <v>73.218858909220387</v>
      </c>
      <c r="AB72" s="54">
        <f ca="1">H72*MCDA_Prioritisation!$D$5+I72*MCDA_Prioritisation!$E$5+J72*P72+K72*T72+L72*X72</f>
        <v>71.472976678790033</v>
      </c>
      <c r="AC72" s="54">
        <f t="shared" ca="1" si="6"/>
        <v>1</v>
      </c>
      <c r="AD72" s="54">
        <f t="shared" ca="1" si="7"/>
        <v>2</v>
      </c>
      <c r="AE72" s="54">
        <f t="shared" ca="1" si="8"/>
        <v>3</v>
      </c>
      <c r="AF72" s="54">
        <f t="shared" ca="1" si="9"/>
        <v>4</v>
      </c>
      <c r="AG72" s="54">
        <f t="shared" ca="1" si="10"/>
        <v>1</v>
      </c>
      <c r="AH72" s="54">
        <f t="shared" ca="1" si="11"/>
        <v>1</v>
      </c>
      <c r="AI72" s="54">
        <f t="shared" ca="1" si="12"/>
        <v>1</v>
      </c>
      <c r="AJ72" s="54">
        <f t="shared" ca="1" si="13"/>
        <v>1</v>
      </c>
    </row>
    <row r="73" spans="1:36" x14ac:dyDescent="0.2">
      <c r="A73" s="54">
        <v>50</v>
      </c>
      <c r="B73" s="54">
        <f ca="1">MAX(0.02,MCDA_Prioritisation!$B$9+(RAND()-0.5)*2*$B$6)</f>
        <v>0.15220688688817452</v>
      </c>
      <c r="C73" s="54">
        <f ca="1">MAX(0.02,MCDA_Prioritisation!$B$10+(RAND()-0.5)*2*$B$6)</f>
        <v>0.32345686859118983</v>
      </c>
      <c r="D73" s="54">
        <f ca="1">MAX(0.02,MCDA_Prioritisation!$B$11+(RAND()-0.5)*2*$B$6)</f>
        <v>0.18325746418974981</v>
      </c>
      <c r="E73" s="54">
        <f ca="1">MAX(0.02,MCDA_Prioritisation!$B$12+(RAND()-0.5)*2*$B$6)</f>
        <v>0.18170267085471697</v>
      </c>
      <c r="F73" s="54">
        <f ca="1">MAX(0.02,MCDA_Prioritisation!$B$13+(RAND()-0.5)*2*$B$6)</f>
        <v>0.18070834237591019</v>
      </c>
      <c r="G73" s="54">
        <f t="shared" ca="1" si="0"/>
        <v>1.0213322328997412</v>
      </c>
      <c r="H73" s="54">
        <f t="shared" ca="1" si="1"/>
        <v>0.14902779133488472</v>
      </c>
      <c r="I73" s="54">
        <f t="shared" ca="1" si="2"/>
        <v>0.31670093058048221</v>
      </c>
      <c r="J73" s="54">
        <f t="shared" ca="1" si="3"/>
        <v>0.17942982536588487</v>
      </c>
      <c r="K73" s="54">
        <f t="shared" ca="1" si="4"/>
        <v>0.1779075064916254</v>
      </c>
      <c r="L73" s="54">
        <f t="shared" ca="1" si="5"/>
        <v>0.17693394622712291</v>
      </c>
      <c r="M73" s="54">
        <f ca="1">MIN(100,MAX(0,MCDA_Prioritisation!$F$2+(RAND()-0.5)*2*$B$7))</f>
        <v>89.575098254257398</v>
      </c>
      <c r="N73" s="54">
        <f ca="1">MIN(100,MAX(0,MCDA_Prioritisation!$F$3+(RAND()-0.5)*2*$B$7))</f>
        <v>98.28595612026443</v>
      </c>
      <c r="O73" s="54">
        <f ca="1">MIN(100,MAX(0,MCDA_Prioritisation!$F$4+(RAND()-0.5)*2*$B$7))</f>
        <v>91.318455597721567</v>
      </c>
      <c r="P73" s="54">
        <f ca="1">MIN(100,MAX(0,MCDA_Prioritisation!$F$5+(RAND()-0.5)*2*$B$7))</f>
        <v>73.137679521801616</v>
      </c>
      <c r="Q73" s="54">
        <f ca="1">MIN(100,MAX(0,MCDA_Prioritisation!$G$2+(RAND()-0.5)*2*$B$7))</f>
        <v>76.454423461005803</v>
      </c>
      <c r="R73" s="54">
        <f ca="1">MIN(100,MAX(0,MCDA_Prioritisation!$G$3+(RAND()-0.5)*2*$B$7))</f>
        <v>99.366364452742602</v>
      </c>
      <c r="S73" s="54">
        <f ca="1">MIN(100,MAX(0,MCDA_Prioritisation!$G$4+(RAND()-0.5)*2*$B$7))</f>
        <v>83.756552996423835</v>
      </c>
      <c r="T73" s="54">
        <f ca="1">MIN(100,MAX(0,MCDA_Prioritisation!$G$5+(RAND()-0.5)*2*$B$7))</f>
        <v>79.884183916154257</v>
      </c>
      <c r="U73" s="54">
        <f ca="1">MIN(100,MAX(0,MCDA_Prioritisation!$H$2+(RAND()-0.5)*2*$B$7))</f>
        <v>65.548402550437132</v>
      </c>
      <c r="V73" s="54">
        <f ca="1">MIN(100,MAX(0,MCDA_Prioritisation!$H$3+(RAND()-0.5)*2*$B$7))</f>
        <v>52.395391302130705</v>
      </c>
      <c r="W73" s="54">
        <f ca="1">MIN(100,MAX(0,MCDA_Prioritisation!$H$4+(RAND()-0.5)*2*$B$7))</f>
        <v>81.464570420740785</v>
      </c>
      <c r="X73" s="54">
        <f ca="1">MIN(100,MAX(0,MCDA_Prioritisation!$H$5+(RAND()-0.5)*2*$B$7))</f>
        <v>68.153815304361316</v>
      </c>
      <c r="Y73" s="54">
        <f ca="1">H73*MCDA_Prioritisation!$D$2+I73*MCDA_Prioritisation!$E$2+J73*M73+K73*Q73+L73*U73</f>
        <v>87.844869798765288</v>
      </c>
      <c r="Z73" s="54">
        <f ca="1">H73*MCDA_Prioritisation!$D$3+I73*MCDA_Prioritisation!$E$3+J73*N73+K73*R73+L73*V73</f>
        <v>80.641330294572114</v>
      </c>
      <c r="AA73" s="54">
        <f ca="1">H73*MCDA_Prioritisation!$D$4+I73*MCDA_Prioritisation!$E$4+J73*O73+K73*S73+L73*W73</f>
        <v>73.352037485925578</v>
      </c>
      <c r="AB73" s="54">
        <f ca="1">H73*MCDA_Prioritisation!$D$5+I73*MCDA_Prioritisation!$E$5+J73*P73+K73*T73+L73*X73</f>
        <v>73.935252320871925</v>
      </c>
      <c r="AC73" s="54">
        <f t="shared" ca="1" si="6"/>
        <v>1</v>
      </c>
      <c r="AD73" s="54">
        <f t="shared" ca="1" si="7"/>
        <v>2</v>
      </c>
      <c r="AE73" s="54">
        <f t="shared" ca="1" si="8"/>
        <v>4</v>
      </c>
      <c r="AF73" s="54">
        <f t="shared" ca="1" si="9"/>
        <v>3</v>
      </c>
      <c r="AG73" s="54">
        <f t="shared" ca="1" si="10"/>
        <v>1</v>
      </c>
      <c r="AH73" s="54">
        <f t="shared" ca="1" si="11"/>
        <v>1</v>
      </c>
      <c r="AI73" s="54">
        <f t="shared" ca="1" si="12"/>
        <v>0</v>
      </c>
      <c r="AJ73" s="54">
        <f t="shared" ca="1" si="13"/>
        <v>1</v>
      </c>
    </row>
    <row r="74" spans="1:36" x14ac:dyDescent="0.2">
      <c r="A74" s="54">
        <v>51</v>
      </c>
      <c r="B74" s="54">
        <f ca="1">MAX(0.02,MCDA_Prioritisation!$B$9+(RAND()-0.5)*2*$B$6)</f>
        <v>0.25676874965865432</v>
      </c>
      <c r="C74" s="54">
        <f ca="1">MAX(0.02,MCDA_Prioritisation!$B$10+(RAND()-0.5)*2*$B$6)</f>
        <v>0.19784148192551299</v>
      </c>
      <c r="D74" s="54">
        <f ca="1">MAX(0.02,MCDA_Prioritisation!$B$11+(RAND()-0.5)*2*$B$6)</f>
        <v>0.21989303172859059</v>
      </c>
      <c r="E74" s="54">
        <f ca="1">MAX(0.02,MCDA_Prioritisation!$B$12+(RAND()-0.5)*2*$B$6)</f>
        <v>0.14589840939721002</v>
      </c>
      <c r="F74" s="54">
        <f ca="1">MAX(0.02,MCDA_Prioritisation!$B$13+(RAND()-0.5)*2*$B$6)</f>
        <v>0.21357820943767031</v>
      </c>
      <c r="G74" s="54">
        <f t="shared" ca="1" si="0"/>
        <v>1.0339798821476383</v>
      </c>
      <c r="H74" s="54">
        <f t="shared" ca="1" si="1"/>
        <v>0.2483305082545032</v>
      </c>
      <c r="I74" s="54">
        <f t="shared" ca="1" si="2"/>
        <v>0.19133977879200548</v>
      </c>
      <c r="J74" s="54">
        <f t="shared" ca="1" si="3"/>
        <v>0.21266664422121984</v>
      </c>
      <c r="K74" s="54">
        <f t="shared" ca="1" si="4"/>
        <v>0.14110372156774489</v>
      </c>
      <c r="L74" s="54">
        <f t="shared" ca="1" si="5"/>
        <v>0.20655934716452659</v>
      </c>
      <c r="M74" s="54">
        <f ca="1">MIN(100,MAX(0,MCDA_Prioritisation!$F$2+(RAND()-0.5)*2*$B$7))</f>
        <v>83.031774182373994</v>
      </c>
      <c r="N74" s="54">
        <f ca="1">MIN(100,MAX(0,MCDA_Prioritisation!$F$3+(RAND()-0.5)*2*$B$7))</f>
        <v>86.040515876888634</v>
      </c>
      <c r="O74" s="54">
        <f ca="1">MIN(100,MAX(0,MCDA_Prioritisation!$F$4+(RAND()-0.5)*2*$B$7))</f>
        <v>84.986810709283631</v>
      </c>
      <c r="P74" s="54">
        <f ca="1">MIN(100,MAX(0,MCDA_Prioritisation!$F$5+(RAND()-0.5)*2*$B$7))</f>
        <v>71.882237231463762</v>
      </c>
      <c r="Q74" s="54">
        <f ca="1">MIN(100,MAX(0,MCDA_Prioritisation!$G$2+(RAND()-0.5)*2*$B$7))</f>
        <v>81.354196835743522</v>
      </c>
      <c r="R74" s="54">
        <f ca="1">MIN(100,MAX(0,MCDA_Prioritisation!$G$3+(RAND()-0.5)*2*$B$7))</f>
        <v>100</v>
      </c>
      <c r="S74" s="54">
        <f ca="1">MIN(100,MAX(0,MCDA_Prioritisation!$G$4+(RAND()-0.5)*2*$B$7))</f>
        <v>87.407313035180891</v>
      </c>
      <c r="T74" s="54">
        <f ca="1">MIN(100,MAX(0,MCDA_Prioritisation!$G$5+(RAND()-0.5)*2*$B$7))</f>
        <v>78.637434773920319</v>
      </c>
      <c r="U74" s="54">
        <f ca="1">MIN(100,MAX(0,MCDA_Prioritisation!$H$2+(RAND()-0.5)*2*$B$7))</f>
        <v>65.775346197898187</v>
      </c>
      <c r="V74" s="54">
        <f ca="1">MIN(100,MAX(0,MCDA_Prioritisation!$H$3+(RAND()-0.5)*2*$B$7))</f>
        <v>65.447155289884279</v>
      </c>
      <c r="W74" s="54">
        <f ca="1">MIN(100,MAX(0,MCDA_Prioritisation!$H$4+(RAND()-0.5)*2*$B$7))</f>
        <v>81.315290691803327</v>
      </c>
      <c r="X74" s="54">
        <f ca="1">MIN(100,MAX(0,MCDA_Prioritisation!$H$5+(RAND()-0.5)*2*$B$7))</f>
        <v>82.063872958827503</v>
      </c>
      <c r="Y74" s="54">
        <f ca="1">H74*MCDA_Prioritisation!$D$2+I74*MCDA_Prioritisation!$E$2+J74*M74+K74*Q74+L74*U74</f>
        <v>86.691009992587311</v>
      </c>
      <c r="Z74" s="54">
        <f ca="1">H74*MCDA_Prioritisation!$D$3+I74*MCDA_Prioritisation!$E$3+J74*N74+K74*R74+L74*V74</f>
        <v>81.54596339487189</v>
      </c>
      <c r="AA74" s="54">
        <f ca="1">H74*MCDA_Prioritisation!$D$4+I74*MCDA_Prioritisation!$E$4+J74*O74+K74*S74+L74*W74</f>
        <v>74.932782323704586</v>
      </c>
      <c r="AB74" s="54">
        <f ca="1">H74*MCDA_Prioritisation!$D$5+I74*MCDA_Prioritisation!$E$5+J74*P74+K74*T74+L74*X74</f>
        <v>72.604347535829305</v>
      </c>
      <c r="AC74" s="54">
        <f t="shared" ca="1" si="6"/>
        <v>1</v>
      </c>
      <c r="AD74" s="54">
        <f t="shared" ca="1" si="7"/>
        <v>2</v>
      </c>
      <c r="AE74" s="54">
        <f t="shared" ca="1" si="8"/>
        <v>3</v>
      </c>
      <c r="AF74" s="54">
        <f t="shared" ca="1" si="9"/>
        <v>4</v>
      </c>
      <c r="AG74" s="54">
        <f t="shared" ca="1" si="10"/>
        <v>1</v>
      </c>
      <c r="AH74" s="54">
        <f t="shared" ca="1" si="11"/>
        <v>1</v>
      </c>
      <c r="AI74" s="54">
        <f t="shared" ca="1" si="12"/>
        <v>1</v>
      </c>
      <c r="AJ74" s="54">
        <f t="shared" ca="1" si="13"/>
        <v>1</v>
      </c>
    </row>
    <row r="75" spans="1:36" x14ac:dyDescent="0.2">
      <c r="A75" s="54">
        <v>52</v>
      </c>
      <c r="B75" s="54">
        <f ca="1">MAX(0.02,MCDA_Prioritisation!$B$9+(RAND()-0.5)*2*$B$6)</f>
        <v>0.16974314049602321</v>
      </c>
      <c r="C75" s="54">
        <f ca="1">MAX(0.02,MCDA_Prioritisation!$B$10+(RAND()-0.5)*2*$B$6)</f>
        <v>0.1739643676240919</v>
      </c>
      <c r="D75" s="54">
        <f ca="1">MAX(0.02,MCDA_Prioritisation!$B$11+(RAND()-0.5)*2*$B$6)</f>
        <v>0.25558446770434362</v>
      </c>
      <c r="E75" s="54">
        <f ca="1">MAX(0.02,MCDA_Prioritisation!$B$12+(RAND()-0.5)*2*$B$6)</f>
        <v>7.6855274259415143E-2</v>
      </c>
      <c r="F75" s="54">
        <f ca="1">MAX(0.02,MCDA_Prioritisation!$B$13+(RAND()-0.5)*2*$B$6)</f>
        <v>0.13737631950678225</v>
      </c>
      <c r="G75" s="54">
        <f t="shared" ca="1" si="0"/>
        <v>0.81352356959065619</v>
      </c>
      <c r="H75" s="54">
        <f t="shared" ca="1" si="1"/>
        <v>0.20865177954393321</v>
      </c>
      <c r="I75" s="54">
        <f t="shared" ca="1" si="2"/>
        <v>0.213840599248558</v>
      </c>
      <c r="J75" s="54">
        <f t="shared" ca="1" si="3"/>
        <v>0.31416971463155891</v>
      </c>
      <c r="K75" s="54">
        <f t="shared" ca="1" si="4"/>
        <v>9.4472092920536654E-2</v>
      </c>
      <c r="L75" s="54">
        <f t="shared" ca="1" si="5"/>
        <v>0.16886581365541312</v>
      </c>
      <c r="M75" s="54">
        <f ca="1">MIN(100,MAX(0,MCDA_Prioritisation!$F$2+(RAND()-0.5)*2*$B$7))</f>
        <v>84.02184194106718</v>
      </c>
      <c r="N75" s="54">
        <f ca="1">MIN(100,MAX(0,MCDA_Prioritisation!$F$3+(RAND()-0.5)*2*$B$7))</f>
        <v>98.693402928521365</v>
      </c>
      <c r="O75" s="54">
        <f ca="1">MIN(100,MAX(0,MCDA_Prioritisation!$F$4+(RAND()-0.5)*2*$B$7))</f>
        <v>86.662429096522018</v>
      </c>
      <c r="P75" s="54">
        <f ca="1">MIN(100,MAX(0,MCDA_Prioritisation!$F$5+(RAND()-0.5)*2*$B$7))</f>
        <v>65.275872745911769</v>
      </c>
      <c r="Q75" s="54">
        <f ca="1">MIN(100,MAX(0,MCDA_Prioritisation!$G$2+(RAND()-0.5)*2*$B$7))</f>
        <v>76.245378969263186</v>
      </c>
      <c r="R75" s="54">
        <f ca="1">MIN(100,MAX(0,MCDA_Prioritisation!$G$3+(RAND()-0.5)*2*$B$7))</f>
        <v>93.57324171041644</v>
      </c>
      <c r="S75" s="54">
        <f ca="1">MIN(100,MAX(0,MCDA_Prioritisation!$G$4+(RAND()-0.5)*2*$B$7))</f>
        <v>78.383945650877493</v>
      </c>
      <c r="T75" s="54">
        <f ca="1">MIN(100,MAX(0,MCDA_Prioritisation!$G$5+(RAND()-0.5)*2*$B$7))</f>
        <v>75.193391982901744</v>
      </c>
      <c r="U75" s="54">
        <f ca="1">MIN(100,MAX(0,MCDA_Prioritisation!$H$2+(RAND()-0.5)*2*$B$7))</f>
        <v>58.951595023214068</v>
      </c>
      <c r="V75" s="54">
        <f ca="1">MIN(100,MAX(0,MCDA_Prioritisation!$H$3+(RAND()-0.5)*2*$B$7))</f>
        <v>56.686354176434321</v>
      </c>
      <c r="W75" s="54">
        <f ca="1">MIN(100,MAX(0,MCDA_Prioritisation!$H$4+(RAND()-0.5)*2*$B$7))</f>
        <v>70.006137870812296</v>
      </c>
      <c r="X75" s="54">
        <f ca="1">MIN(100,MAX(0,MCDA_Prioritisation!$H$5+(RAND()-0.5)*2*$B$7))</f>
        <v>80.755095105486319</v>
      </c>
      <c r="Y75" s="54">
        <f ca="1">H75*MCDA_Prioritisation!$D$2+I75*MCDA_Prioritisation!$E$2+J75*M75+K75*Q75+L75*U75</f>
        <v>85.804325571317349</v>
      </c>
      <c r="Z75" s="54">
        <f ca="1">H75*MCDA_Prioritisation!$D$3+I75*MCDA_Prioritisation!$E$3+J75*N75+K75*R75+L75*V75</f>
        <v>83.206475160793062</v>
      </c>
      <c r="AA75" s="54">
        <f ca="1">H75*MCDA_Prioritisation!$D$4+I75*MCDA_Prioritisation!$E$4+J75*O75+K75*S75+L75*W75</f>
        <v>72.646765481214388</v>
      </c>
      <c r="AB75" s="54">
        <f ca="1">H75*MCDA_Prioritisation!$D$5+I75*MCDA_Prioritisation!$E$5+J75*P75+K75*T75+L75*X75</f>
        <v>70.304583522697413</v>
      </c>
      <c r="AC75" s="54">
        <f t="shared" ca="1" si="6"/>
        <v>1</v>
      </c>
      <c r="AD75" s="54">
        <f t="shared" ca="1" si="7"/>
        <v>2</v>
      </c>
      <c r="AE75" s="54">
        <f t="shared" ca="1" si="8"/>
        <v>3</v>
      </c>
      <c r="AF75" s="54">
        <f t="shared" ca="1" si="9"/>
        <v>4</v>
      </c>
      <c r="AG75" s="54">
        <f t="shared" ca="1" si="10"/>
        <v>1</v>
      </c>
      <c r="AH75" s="54">
        <f t="shared" ca="1" si="11"/>
        <v>1</v>
      </c>
      <c r="AI75" s="54">
        <f t="shared" ca="1" si="12"/>
        <v>1</v>
      </c>
      <c r="AJ75" s="54">
        <f t="shared" ca="1" si="13"/>
        <v>1</v>
      </c>
    </row>
    <row r="76" spans="1:36" x14ac:dyDescent="0.2">
      <c r="A76" s="54">
        <v>53</v>
      </c>
      <c r="B76" s="54">
        <f ca="1">MAX(0.02,MCDA_Prioritisation!$B$9+(RAND()-0.5)*2*$B$6)</f>
        <v>0.19309564358134895</v>
      </c>
      <c r="C76" s="54">
        <f ca="1">MAX(0.02,MCDA_Prioritisation!$B$10+(RAND()-0.5)*2*$B$6)</f>
        <v>0.19792652345162923</v>
      </c>
      <c r="D76" s="54">
        <f ca="1">MAX(0.02,MCDA_Prioritisation!$B$11+(RAND()-0.5)*2*$B$6)</f>
        <v>0.24096398181652928</v>
      </c>
      <c r="E76" s="54">
        <f ca="1">MAX(0.02,MCDA_Prioritisation!$B$12+(RAND()-0.5)*2*$B$6)</f>
        <v>0.12761596554843546</v>
      </c>
      <c r="F76" s="54">
        <f ca="1">MAX(0.02,MCDA_Prioritisation!$B$13+(RAND()-0.5)*2*$B$6)</f>
        <v>0.13423334744836685</v>
      </c>
      <c r="G76" s="54">
        <f t="shared" ca="1" si="0"/>
        <v>0.8938354618463098</v>
      </c>
      <c r="H76" s="54">
        <f t="shared" ca="1" si="1"/>
        <v>0.21603041255768693</v>
      </c>
      <c r="I76" s="54">
        <f t="shared" ca="1" si="2"/>
        <v>0.22143507602930798</v>
      </c>
      <c r="J76" s="54">
        <f t="shared" ca="1" si="3"/>
        <v>0.2695842714930925</v>
      </c>
      <c r="K76" s="54">
        <f t="shared" ca="1" si="4"/>
        <v>0.14277344208835871</v>
      </c>
      <c r="L76" s="54">
        <f t="shared" ca="1" si="5"/>
        <v>0.15017679783155385</v>
      </c>
      <c r="M76" s="54">
        <f ca="1">MIN(100,MAX(0,MCDA_Prioritisation!$F$2+(RAND()-0.5)*2*$B$7))</f>
        <v>86.327455644885447</v>
      </c>
      <c r="N76" s="54">
        <f ca="1">MIN(100,MAX(0,MCDA_Prioritisation!$F$3+(RAND()-0.5)*2*$B$7))</f>
        <v>92.520840693903168</v>
      </c>
      <c r="O76" s="54">
        <f ca="1">MIN(100,MAX(0,MCDA_Prioritisation!$F$4+(RAND()-0.5)*2*$B$7))</f>
        <v>95.9170661388724</v>
      </c>
      <c r="P76" s="54">
        <f ca="1">MIN(100,MAX(0,MCDA_Prioritisation!$F$5+(RAND()-0.5)*2*$B$7))</f>
        <v>66.768386713907276</v>
      </c>
      <c r="Q76" s="54">
        <f ca="1">MIN(100,MAX(0,MCDA_Prioritisation!$G$2+(RAND()-0.5)*2*$B$7))</f>
        <v>74.374447922168287</v>
      </c>
      <c r="R76" s="54">
        <f ca="1">MIN(100,MAX(0,MCDA_Prioritisation!$G$3+(RAND()-0.5)*2*$B$7))</f>
        <v>100</v>
      </c>
      <c r="S76" s="54">
        <f ca="1">MIN(100,MAX(0,MCDA_Prioritisation!$G$4+(RAND()-0.5)*2*$B$7))</f>
        <v>80.019211184018275</v>
      </c>
      <c r="T76" s="54">
        <f ca="1">MIN(100,MAX(0,MCDA_Prioritisation!$G$5+(RAND()-0.5)*2*$B$7))</f>
        <v>76.101785902905064</v>
      </c>
      <c r="U76" s="54">
        <f ca="1">MIN(100,MAX(0,MCDA_Prioritisation!$H$2+(RAND()-0.5)*2*$B$7))</f>
        <v>62.806983155751858</v>
      </c>
      <c r="V76" s="54">
        <f ca="1">MIN(100,MAX(0,MCDA_Prioritisation!$H$3+(RAND()-0.5)*2*$B$7))</f>
        <v>52.387303724483338</v>
      </c>
      <c r="W76" s="54">
        <f ca="1">MIN(100,MAX(0,MCDA_Prioritisation!$H$4+(RAND()-0.5)*2*$B$7))</f>
        <v>77.423422234172463</v>
      </c>
      <c r="X76" s="54">
        <f ca="1">MIN(100,MAX(0,MCDA_Prioritisation!$H$5+(RAND()-0.5)*2*$B$7))</f>
        <v>71.484399658790323</v>
      </c>
      <c r="Y76" s="54">
        <f ca="1">H76*MCDA_Prioritisation!$D$2+I76*MCDA_Prioritisation!$E$2+J76*M76+K76*Q76+L76*U76</f>
        <v>87.069920643638696</v>
      </c>
      <c r="Z76" s="54">
        <f ca="1">H76*MCDA_Prioritisation!$D$3+I76*MCDA_Prioritisation!$E$3+J76*N76+K76*R76+L76*V76</f>
        <v>82.071609572935131</v>
      </c>
      <c r="AA76" s="54">
        <f ca="1">H76*MCDA_Prioritisation!$D$4+I76*MCDA_Prioritisation!$E$4+J76*O76+K76*S76+L76*W76</f>
        <v>76.03091708935743</v>
      </c>
      <c r="AB76" s="54">
        <f ca="1">H76*MCDA_Prioritisation!$D$5+I76*MCDA_Prioritisation!$E$5+J76*P76+K76*T76+L76*X76</f>
        <v>69.687002272132986</v>
      </c>
      <c r="AC76" s="54">
        <f t="shared" ca="1" si="6"/>
        <v>1</v>
      </c>
      <c r="AD76" s="54">
        <f t="shared" ca="1" si="7"/>
        <v>2</v>
      </c>
      <c r="AE76" s="54">
        <f t="shared" ca="1" si="8"/>
        <v>3</v>
      </c>
      <c r="AF76" s="54">
        <f t="shared" ca="1" si="9"/>
        <v>4</v>
      </c>
      <c r="AG76" s="54">
        <f t="shared" ca="1" si="10"/>
        <v>1</v>
      </c>
      <c r="AH76" s="54">
        <f t="shared" ca="1" si="11"/>
        <v>1</v>
      </c>
      <c r="AI76" s="54">
        <f t="shared" ca="1" si="12"/>
        <v>1</v>
      </c>
      <c r="AJ76" s="54">
        <f t="shared" ca="1" si="13"/>
        <v>1</v>
      </c>
    </row>
    <row r="77" spans="1:36" x14ac:dyDescent="0.2">
      <c r="A77" s="54">
        <v>54</v>
      </c>
      <c r="B77" s="54">
        <f ca="1">MAX(0.02,MCDA_Prioritisation!$B$9+(RAND()-0.5)*2*$B$6)</f>
        <v>0.15323711118133126</v>
      </c>
      <c r="C77" s="54">
        <f ca="1">MAX(0.02,MCDA_Prioritisation!$B$10+(RAND()-0.5)*2*$B$6)</f>
        <v>0.21526041714409233</v>
      </c>
      <c r="D77" s="54">
        <f ca="1">MAX(0.02,MCDA_Prioritisation!$B$11+(RAND()-0.5)*2*$B$6)</f>
        <v>0.30529914975734873</v>
      </c>
      <c r="E77" s="54">
        <f ca="1">MAX(0.02,MCDA_Prioritisation!$B$12+(RAND()-0.5)*2*$B$6)</f>
        <v>0.10409397151600061</v>
      </c>
      <c r="F77" s="54">
        <f ca="1">MAX(0.02,MCDA_Prioritisation!$B$13+(RAND()-0.5)*2*$B$6)</f>
        <v>0.11647828345389005</v>
      </c>
      <c r="G77" s="54">
        <f t="shared" ca="1" si="0"/>
        <v>0.89436893305266296</v>
      </c>
      <c r="H77" s="54">
        <f t="shared" ca="1" si="1"/>
        <v>0.1713354584648886</v>
      </c>
      <c r="I77" s="54">
        <f t="shared" ca="1" si="2"/>
        <v>0.24068413960820931</v>
      </c>
      <c r="J77" s="54">
        <f t="shared" ca="1" si="3"/>
        <v>0.34135706024056611</v>
      </c>
      <c r="K77" s="54">
        <f t="shared" ca="1" si="4"/>
        <v>0.11638817904900467</v>
      </c>
      <c r="L77" s="54">
        <f t="shared" ca="1" si="5"/>
        <v>0.13023516263733131</v>
      </c>
      <c r="M77" s="54">
        <f ca="1">MIN(100,MAX(0,MCDA_Prioritisation!$F$2+(RAND()-0.5)*2*$B$7))</f>
        <v>80.221432473819689</v>
      </c>
      <c r="N77" s="54">
        <f ca="1">MIN(100,MAX(0,MCDA_Prioritisation!$F$3+(RAND()-0.5)*2*$B$7))</f>
        <v>94.062682053688746</v>
      </c>
      <c r="O77" s="54">
        <f ca="1">MIN(100,MAX(0,MCDA_Prioritisation!$F$4+(RAND()-0.5)*2*$B$7))</f>
        <v>92.502411767577414</v>
      </c>
      <c r="P77" s="54">
        <f ca="1">MIN(100,MAX(0,MCDA_Prioritisation!$F$5+(RAND()-0.5)*2*$B$7))</f>
        <v>83.414021735578245</v>
      </c>
      <c r="Q77" s="54">
        <f ca="1">MIN(100,MAX(0,MCDA_Prioritisation!$G$2+(RAND()-0.5)*2*$B$7))</f>
        <v>82.011763577512198</v>
      </c>
      <c r="R77" s="54">
        <f ca="1">MIN(100,MAX(0,MCDA_Prioritisation!$G$3+(RAND()-0.5)*2*$B$7))</f>
        <v>87.286590004249419</v>
      </c>
      <c r="S77" s="54">
        <f ca="1">MIN(100,MAX(0,MCDA_Prioritisation!$G$4+(RAND()-0.5)*2*$B$7))</f>
        <v>81.649756953047842</v>
      </c>
      <c r="T77" s="54">
        <f ca="1">MIN(100,MAX(0,MCDA_Prioritisation!$G$5+(RAND()-0.5)*2*$B$7))</f>
        <v>70.839726157037859</v>
      </c>
      <c r="U77" s="54">
        <f ca="1">MIN(100,MAX(0,MCDA_Prioritisation!$H$2+(RAND()-0.5)*2*$B$7))</f>
        <v>56.132584083032953</v>
      </c>
      <c r="V77" s="54">
        <f ca="1">MIN(100,MAX(0,MCDA_Prioritisation!$H$3+(RAND()-0.5)*2*$B$7))</f>
        <v>64.581905072058447</v>
      </c>
      <c r="W77" s="54">
        <f ca="1">MIN(100,MAX(0,MCDA_Prioritisation!$H$4+(RAND()-0.5)*2*$B$7))</f>
        <v>79.059761386274459</v>
      </c>
      <c r="X77" s="54">
        <f ca="1">MIN(100,MAX(0,MCDA_Prioritisation!$H$5+(RAND()-0.5)*2*$B$7))</f>
        <v>68.993545151459173</v>
      </c>
      <c r="Y77" s="54">
        <f ca="1">H77*MCDA_Prioritisation!$D$2+I77*MCDA_Prioritisation!$E$2+J77*M77+K77*Q77+L77*U77</f>
        <v>85.441748205551562</v>
      </c>
      <c r="Z77" s="54">
        <f ca="1">H77*MCDA_Prioritisation!$D$3+I77*MCDA_Prioritisation!$E$3+J77*N77+K77*R77+L77*V77</f>
        <v>83.157401386071257</v>
      </c>
      <c r="AA77" s="54">
        <f ca="1">H77*MCDA_Prioritisation!$D$4+I77*MCDA_Prioritisation!$E$4+J77*O77+K77*S77+L77*W77</f>
        <v>76.434798671487812</v>
      </c>
      <c r="AB77" s="54">
        <f ca="1">H77*MCDA_Prioritisation!$D$5+I77*MCDA_Prioritisation!$E$5+J77*P77+K77*T77+L77*X77</f>
        <v>75.037387567448647</v>
      </c>
      <c r="AC77" s="54">
        <f t="shared" ca="1" si="6"/>
        <v>1</v>
      </c>
      <c r="AD77" s="54">
        <f t="shared" ca="1" si="7"/>
        <v>2</v>
      </c>
      <c r="AE77" s="54">
        <f t="shared" ca="1" si="8"/>
        <v>3</v>
      </c>
      <c r="AF77" s="54">
        <f t="shared" ca="1" si="9"/>
        <v>4</v>
      </c>
      <c r="AG77" s="54">
        <f t="shared" ca="1" si="10"/>
        <v>1</v>
      </c>
      <c r="AH77" s="54">
        <f t="shared" ca="1" si="11"/>
        <v>1</v>
      </c>
      <c r="AI77" s="54">
        <f t="shared" ca="1" si="12"/>
        <v>1</v>
      </c>
      <c r="AJ77" s="54">
        <f t="shared" ca="1" si="13"/>
        <v>1</v>
      </c>
    </row>
    <row r="78" spans="1:36" x14ac:dyDescent="0.2">
      <c r="A78" s="54">
        <v>55</v>
      </c>
      <c r="B78" s="54">
        <f ca="1">MAX(0.02,MCDA_Prioritisation!$B$9+(RAND()-0.5)*2*$B$6)</f>
        <v>0.27802528697674</v>
      </c>
      <c r="C78" s="54">
        <f ca="1">MAX(0.02,MCDA_Prioritisation!$B$10+(RAND()-0.5)*2*$B$6)</f>
        <v>0.3084705285806662</v>
      </c>
      <c r="D78" s="54">
        <f ca="1">MAX(0.02,MCDA_Prioritisation!$B$11+(RAND()-0.5)*2*$B$6)</f>
        <v>0.32213532891099034</v>
      </c>
      <c r="E78" s="54">
        <f ca="1">MAX(0.02,MCDA_Prioritisation!$B$12+(RAND()-0.5)*2*$B$6)</f>
        <v>0.20416710184017195</v>
      </c>
      <c r="F78" s="54">
        <f ca="1">MAX(0.02,MCDA_Prioritisation!$B$13+(RAND()-0.5)*2*$B$6)</f>
        <v>9.2571071153262061E-2</v>
      </c>
      <c r="G78" s="54">
        <f t="shared" ca="1" si="0"/>
        <v>1.2053693174618305</v>
      </c>
      <c r="H78" s="54">
        <f t="shared" ca="1" si="1"/>
        <v>0.23065568614454468</v>
      </c>
      <c r="I78" s="54">
        <f t="shared" ca="1" si="2"/>
        <v>0.25591370554397269</v>
      </c>
      <c r="J78" s="54">
        <f t="shared" ca="1" si="3"/>
        <v>0.2672503142765546</v>
      </c>
      <c r="K78" s="54">
        <f t="shared" ca="1" si="4"/>
        <v>0.1693813662605006</v>
      </c>
      <c r="L78" s="54">
        <f t="shared" ca="1" si="5"/>
        <v>7.679892777442747E-2</v>
      </c>
      <c r="M78" s="54">
        <f ca="1">MIN(100,MAX(0,MCDA_Prioritisation!$F$2+(RAND()-0.5)*2*$B$7))</f>
        <v>84.451672126425876</v>
      </c>
      <c r="N78" s="54">
        <f ca="1">MIN(100,MAX(0,MCDA_Prioritisation!$F$3+(RAND()-0.5)*2*$B$7))</f>
        <v>100</v>
      </c>
      <c r="O78" s="54">
        <f ca="1">MIN(100,MAX(0,MCDA_Prioritisation!$F$4+(RAND()-0.5)*2*$B$7))</f>
        <v>95.371699796209924</v>
      </c>
      <c r="P78" s="54">
        <f ca="1">MIN(100,MAX(0,MCDA_Prioritisation!$F$5+(RAND()-0.5)*2*$B$7))</f>
        <v>77.014781209372273</v>
      </c>
      <c r="Q78" s="54">
        <f ca="1">MIN(100,MAX(0,MCDA_Prioritisation!$G$2+(RAND()-0.5)*2*$B$7))</f>
        <v>88.809310740046541</v>
      </c>
      <c r="R78" s="54">
        <f ca="1">MIN(100,MAX(0,MCDA_Prioritisation!$G$3+(RAND()-0.5)*2*$B$7))</f>
        <v>94.000608578459008</v>
      </c>
      <c r="S78" s="54">
        <f ca="1">MIN(100,MAX(0,MCDA_Prioritisation!$G$4+(RAND()-0.5)*2*$B$7))</f>
        <v>84.823033480732889</v>
      </c>
      <c r="T78" s="54">
        <f ca="1">MIN(100,MAX(0,MCDA_Prioritisation!$G$5+(RAND()-0.5)*2*$B$7))</f>
        <v>65.171905651865472</v>
      </c>
      <c r="U78" s="54">
        <f ca="1">MIN(100,MAX(0,MCDA_Prioritisation!$H$2+(RAND()-0.5)*2*$B$7))</f>
        <v>63.748943949876903</v>
      </c>
      <c r="V78" s="54">
        <f ca="1">MIN(100,MAX(0,MCDA_Prioritisation!$H$3+(RAND()-0.5)*2*$B$7))</f>
        <v>69.374992485841176</v>
      </c>
      <c r="W78" s="54">
        <f ca="1">MIN(100,MAX(0,MCDA_Prioritisation!$H$4+(RAND()-0.5)*2*$B$7))</f>
        <v>78.439873407330111</v>
      </c>
      <c r="X78" s="54">
        <f ca="1">MIN(100,MAX(0,MCDA_Prioritisation!$H$5+(RAND()-0.5)*2*$B$7))</f>
        <v>78.992784647910611</v>
      </c>
      <c r="Y78" s="54">
        <f ca="1">H78*MCDA_Prioritisation!$D$2+I78*MCDA_Prioritisation!$E$2+J78*M78+K78*Q78+L78*U78</f>
        <v>91.165168017724653</v>
      </c>
      <c r="Z78" s="54">
        <f ca="1">H78*MCDA_Prioritisation!$D$3+I78*MCDA_Prioritisation!$E$3+J78*N78+K78*R78+L78*V78</f>
        <v>86.745391759376957</v>
      </c>
      <c r="AA78" s="54">
        <f ca="1">H78*MCDA_Prioritisation!$D$4+I78*MCDA_Prioritisation!$E$4+J78*O78+K78*S78+L78*W78</f>
        <v>75.900091661154946</v>
      </c>
      <c r="AB78" s="54">
        <f ca="1">H78*MCDA_Prioritisation!$D$5+I78*MCDA_Prioritisation!$E$5+J78*P78+K78*T78+L78*X78</f>
        <v>71.449963998739179</v>
      </c>
      <c r="AC78" s="54">
        <f t="shared" ca="1" si="6"/>
        <v>1</v>
      </c>
      <c r="AD78" s="54">
        <f t="shared" ca="1" si="7"/>
        <v>2</v>
      </c>
      <c r="AE78" s="54">
        <f t="shared" ca="1" si="8"/>
        <v>3</v>
      </c>
      <c r="AF78" s="54">
        <f t="shared" ca="1" si="9"/>
        <v>4</v>
      </c>
      <c r="AG78" s="54">
        <f t="shared" ca="1" si="10"/>
        <v>1</v>
      </c>
      <c r="AH78" s="54">
        <f t="shared" ca="1" si="11"/>
        <v>1</v>
      </c>
      <c r="AI78" s="54">
        <f t="shared" ca="1" si="12"/>
        <v>1</v>
      </c>
      <c r="AJ78" s="54">
        <f t="shared" ca="1" si="13"/>
        <v>1</v>
      </c>
    </row>
    <row r="79" spans="1:36" x14ac:dyDescent="0.2">
      <c r="A79" s="54">
        <v>56</v>
      </c>
      <c r="B79" s="54">
        <f ca="1">MAX(0.02,MCDA_Prioritisation!$B$9+(RAND()-0.5)*2*$B$6)</f>
        <v>0.13549764941352327</v>
      </c>
      <c r="C79" s="54">
        <f ca="1">MAX(0.02,MCDA_Prioritisation!$B$10+(RAND()-0.5)*2*$B$6)</f>
        <v>0.20658982501212597</v>
      </c>
      <c r="D79" s="54">
        <f ca="1">MAX(0.02,MCDA_Prioritisation!$B$11+(RAND()-0.5)*2*$B$6)</f>
        <v>0.30096059785487655</v>
      </c>
      <c r="E79" s="54">
        <f ca="1">MAX(0.02,MCDA_Prioritisation!$B$12+(RAND()-0.5)*2*$B$6)</f>
        <v>0.15334705248074193</v>
      </c>
      <c r="F79" s="54">
        <f ca="1">MAX(0.02,MCDA_Prioritisation!$B$13+(RAND()-0.5)*2*$B$6)</f>
        <v>0.22332748163045057</v>
      </c>
      <c r="G79" s="54">
        <f t="shared" ca="1" si="0"/>
        <v>1.0197226063917184</v>
      </c>
      <c r="H79" s="54">
        <f t="shared" ca="1" si="1"/>
        <v>0.13287696925047174</v>
      </c>
      <c r="I79" s="54">
        <f t="shared" ca="1" si="2"/>
        <v>0.2025941405213548</v>
      </c>
      <c r="J79" s="54">
        <f t="shared" ca="1" si="3"/>
        <v>0.29513967422946874</v>
      </c>
      <c r="K79" s="54">
        <f t="shared" ca="1" si="4"/>
        <v>0.15038114436175878</v>
      </c>
      <c r="L79" s="54">
        <f t="shared" ca="1" si="5"/>
        <v>0.21900807163694583</v>
      </c>
      <c r="M79" s="54">
        <f ca="1">MIN(100,MAX(0,MCDA_Prioritisation!$F$2+(RAND()-0.5)*2*$B$7))</f>
        <v>92.000472095799111</v>
      </c>
      <c r="N79" s="54">
        <f ca="1">MIN(100,MAX(0,MCDA_Prioritisation!$F$3+(RAND()-0.5)*2*$B$7))</f>
        <v>87.626836601003106</v>
      </c>
      <c r="O79" s="54">
        <f ca="1">MIN(100,MAX(0,MCDA_Prioritisation!$F$4+(RAND()-0.5)*2*$B$7))</f>
        <v>91.782834638393638</v>
      </c>
      <c r="P79" s="54">
        <f ca="1">MIN(100,MAX(0,MCDA_Prioritisation!$F$5+(RAND()-0.5)*2*$B$7))</f>
        <v>82.366631125401284</v>
      </c>
      <c r="Q79" s="54">
        <f ca="1">MIN(100,MAX(0,MCDA_Prioritisation!$G$2+(RAND()-0.5)*2*$B$7))</f>
        <v>83.65369990746936</v>
      </c>
      <c r="R79" s="54">
        <f ca="1">MIN(100,MAX(0,MCDA_Prioritisation!$G$3+(RAND()-0.5)*2*$B$7))</f>
        <v>100</v>
      </c>
      <c r="S79" s="54">
        <f ca="1">MIN(100,MAX(0,MCDA_Prioritisation!$G$4+(RAND()-0.5)*2*$B$7))</f>
        <v>91.483014128916224</v>
      </c>
      <c r="T79" s="54">
        <f ca="1">MIN(100,MAX(0,MCDA_Prioritisation!$G$5+(RAND()-0.5)*2*$B$7))</f>
        <v>67.474410893350878</v>
      </c>
      <c r="U79" s="54">
        <f ca="1">MIN(100,MAX(0,MCDA_Prioritisation!$H$2+(RAND()-0.5)*2*$B$7))</f>
        <v>63.330304913466648</v>
      </c>
      <c r="V79" s="54">
        <f ca="1">MIN(100,MAX(0,MCDA_Prioritisation!$H$3+(RAND()-0.5)*2*$B$7))</f>
        <v>65.246078427451977</v>
      </c>
      <c r="W79" s="54">
        <f ca="1">MIN(100,MAX(0,MCDA_Prioritisation!$H$4+(RAND()-0.5)*2*$B$7))</f>
        <v>83.282726698498664</v>
      </c>
      <c r="X79" s="54">
        <f ca="1">MIN(100,MAX(0,MCDA_Prioritisation!$H$5+(RAND()-0.5)*2*$B$7))</f>
        <v>77.537757984765946</v>
      </c>
      <c r="Y79" s="54">
        <f ca="1">H79*MCDA_Prioritisation!$D$2+I79*MCDA_Prioritisation!$E$2+J79*M79+K79*Q79+L79*U79</f>
        <v>87.149887417952655</v>
      </c>
      <c r="Z79" s="54">
        <f ca="1">H79*MCDA_Prioritisation!$D$3+I79*MCDA_Prioritisation!$E$3+J79*N79+K79*R79+L79*V79</f>
        <v>81.536834696200955</v>
      </c>
      <c r="AA79" s="54">
        <f ca="1">H79*MCDA_Prioritisation!$D$4+I79*MCDA_Prioritisation!$E$4+J79*O79+K79*S79+L79*W79</f>
        <v>79.389026135260806</v>
      </c>
      <c r="AB79" s="54">
        <f ca="1">H79*MCDA_Prioritisation!$D$5+I79*MCDA_Prioritisation!$E$5+J79*P79+K79*T79+L79*X79</f>
        <v>75.526823491033639</v>
      </c>
      <c r="AC79" s="54">
        <f t="shared" ca="1" si="6"/>
        <v>1</v>
      </c>
      <c r="AD79" s="54">
        <f t="shared" ca="1" si="7"/>
        <v>2</v>
      </c>
      <c r="AE79" s="54">
        <f t="shared" ca="1" si="8"/>
        <v>3</v>
      </c>
      <c r="AF79" s="54">
        <f t="shared" ca="1" si="9"/>
        <v>4</v>
      </c>
      <c r="AG79" s="54">
        <f t="shared" ca="1" si="10"/>
        <v>1</v>
      </c>
      <c r="AH79" s="54">
        <f t="shared" ca="1" si="11"/>
        <v>1</v>
      </c>
      <c r="AI79" s="54">
        <f t="shared" ca="1" si="12"/>
        <v>1</v>
      </c>
      <c r="AJ79" s="54">
        <f t="shared" ca="1" si="13"/>
        <v>1</v>
      </c>
    </row>
    <row r="80" spans="1:36" x14ac:dyDescent="0.2">
      <c r="A80" s="54">
        <v>57</v>
      </c>
      <c r="B80" s="54">
        <f ca="1">MAX(0.02,MCDA_Prioritisation!$B$9+(RAND()-0.5)*2*$B$6)</f>
        <v>0.15684222857005031</v>
      </c>
      <c r="C80" s="54">
        <f ca="1">MAX(0.02,MCDA_Prioritisation!$B$10+(RAND()-0.5)*2*$B$6)</f>
        <v>0.26396354042938092</v>
      </c>
      <c r="D80" s="54">
        <f ca="1">MAX(0.02,MCDA_Prioritisation!$B$11+(RAND()-0.5)*2*$B$6)</f>
        <v>0.17360118570872346</v>
      </c>
      <c r="E80" s="54">
        <f ca="1">MAX(0.02,MCDA_Prioritisation!$B$12+(RAND()-0.5)*2*$B$6)</f>
        <v>0.10384474357258736</v>
      </c>
      <c r="F80" s="54">
        <f ca="1">MAX(0.02,MCDA_Prioritisation!$B$13+(RAND()-0.5)*2*$B$6)</f>
        <v>0.12714053526231825</v>
      </c>
      <c r="G80" s="54">
        <f t="shared" ca="1" si="0"/>
        <v>0.82539223354306035</v>
      </c>
      <c r="H80" s="54">
        <f t="shared" ca="1" si="1"/>
        <v>0.1900214494347649</v>
      </c>
      <c r="I80" s="54">
        <f t="shared" ca="1" si="2"/>
        <v>0.31980376080872108</v>
      </c>
      <c r="J80" s="54">
        <f t="shared" ca="1" si="3"/>
        <v>0.21032568354020836</v>
      </c>
      <c r="K80" s="54">
        <f t="shared" ca="1" si="4"/>
        <v>0.12581260078838605</v>
      </c>
      <c r="L80" s="54">
        <f t="shared" ca="1" si="5"/>
        <v>0.15403650542791955</v>
      </c>
      <c r="M80" s="54">
        <f ca="1">MIN(100,MAX(0,MCDA_Prioritisation!$F$2+(RAND()-0.5)*2*$B$7))</f>
        <v>78.213029440863153</v>
      </c>
      <c r="N80" s="54">
        <f ca="1">MIN(100,MAX(0,MCDA_Prioritisation!$F$3+(RAND()-0.5)*2*$B$7))</f>
        <v>100</v>
      </c>
      <c r="O80" s="54">
        <f ca="1">MIN(100,MAX(0,MCDA_Prioritisation!$F$4+(RAND()-0.5)*2*$B$7))</f>
        <v>99.735279632829332</v>
      </c>
      <c r="P80" s="54">
        <f ca="1">MIN(100,MAX(0,MCDA_Prioritisation!$F$5+(RAND()-0.5)*2*$B$7))</f>
        <v>65.337514757578163</v>
      </c>
      <c r="Q80" s="54">
        <f ca="1">MIN(100,MAX(0,MCDA_Prioritisation!$G$2+(RAND()-0.5)*2*$B$7))</f>
        <v>80.408740009374426</v>
      </c>
      <c r="R80" s="54">
        <f ca="1">MIN(100,MAX(0,MCDA_Prioritisation!$G$3+(RAND()-0.5)*2*$B$7))</f>
        <v>88.965750886824409</v>
      </c>
      <c r="S80" s="54">
        <f ca="1">MIN(100,MAX(0,MCDA_Prioritisation!$G$4+(RAND()-0.5)*2*$B$7))</f>
        <v>79.296431251305876</v>
      </c>
      <c r="T80" s="54">
        <f ca="1">MIN(100,MAX(0,MCDA_Prioritisation!$G$5+(RAND()-0.5)*2*$B$7))</f>
        <v>73.351174230704373</v>
      </c>
      <c r="U80" s="54">
        <f ca="1">MIN(100,MAX(0,MCDA_Prioritisation!$H$2+(RAND()-0.5)*2*$B$7))</f>
        <v>61.931457269932203</v>
      </c>
      <c r="V80" s="54">
        <f ca="1">MIN(100,MAX(0,MCDA_Prioritisation!$H$3+(RAND()-0.5)*2*$B$7))</f>
        <v>61.159067569204339</v>
      </c>
      <c r="W80" s="54">
        <f ca="1">MIN(100,MAX(0,MCDA_Prioritisation!$H$4+(RAND()-0.5)*2*$B$7))</f>
        <v>78.314501773030628</v>
      </c>
      <c r="X80" s="54">
        <f ca="1">MIN(100,MAX(0,MCDA_Prioritisation!$H$5+(RAND()-0.5)*2*$B$7))</f>
        <v>65.173370595907897</v>
      </c>
      <c r="Y80" s="54">
        <f ca="1">H80*MCDA_Prioritisation!$D$2+I80*MCDA_Prioritisation!$E$2+J80*M80+K80*Q80+L80*U80</f>
        <v>87.088867863864024</v>
      </c>
      <c r="Z80" s="54">
        <f ca="1">H80*MCDA_Prioritisation!$D$3+I80*MCDA_Prioritisation!$E$3+J80*N80+K80*R80+L80*V80</f>
        <v>81.512039301510569</v>
      </c>
      <c r="AA80" s="54">
        <f ca="1">H80*MCDA_Prioritisation!$D$4+I80*MCDA_Prioritisation!$E$4+J80*O80+K80*S80+L80*W80</f>
        <v>73.692491465345711</v>
      </c>
      <c r="AB80" s="54">
        <f ca="1">H80*MCDA_Prioritisation!$D$5+I80*MCDA_Prioritisation!$E$5+J80*P80+K80*T80+L80*X80</f>
        <v>69.987884197688757</v>
      </c>
      <c r="AC80" s="54">
        <f t="shared" ca="1" si="6"/>
        <v>1</v>
      </c>
      <c r="AD80" s="54">
        <f t="shared" ca="1" si="7"/>
        <v>2</v>
      </c>
      <c r="AE80" s="54">
        <f t="shared" ca="1" si="8"/>
        <v>3</v>
      </c>
      <c r="AF80" s="54">
        <f t="shared" ca="1" si="9"/>
        <v>4</v>
      </c>
      <c r="AG80" s="54">
        <f t="shared" ca="1" si="10"/>
        <v>1</v>
      </c>
      <c r="AH80" s="54">
        <f t="shared" ca="1" si="11"/>
        <v>1</v>
      </c>
      <c r="AI80" s="54">
        <f t="shared" ca="1" si="12"/>
        <v>1</v>
      </c>
      <c r="AJ80" s="54">
        <f t="shared" ca="1" si="13"/>
        <v>1</v>
      </c>
    </row>
    <row r="81" spans="1:36" x14ac:dyDescent="0.2">
      <c r="A81" s="54">
        <v>58</v>
      </c>
      <c r="B81" s="54">
        <f ca="1">MAX(0.02,MCDA_Prioritisation!$B$9+(RAND()-0.5)*2*$B$6)</f>
        <v>0.24779291440092271</v>
      </c>
      <c r="C81" s="54">
        <f ca="1">MAX(0.02,MCDA_Prioritisation!$B$10+(RAND()-0.5)*2*$B$6)</f>
        <v>0.24154032585305343</v>
      </c>
      <c r="D81" s="54">
        <f ca="1">MAX(0.02,MCDA_Prioritisation!$B$11+(RAND()-0.5)*2*$B$6)</f>
        <v>0.32677984662345327</v>
      </c>
      <c r="E81" s="54">
        <f ca="1">MAX(0.02,MCDA_Prioritisation!$B$12+(RAND()-0.5)*2*$B$6)</f>
        <v>0.12227252254337531</v>
      </c>
      <c r="F81" s="54">
        <f ca="1">MAX(0.02,MCDA_Prioritisation!$B$13+(RAND()-0.5)*2*$B$6)</f>
        <v>9.4475407371202608E-2</v>
      </c>
      <c r="G81" s="54">
        <f t="shared" ca="1" si="0"/>
        <v>1.0328610167920074</v>
      </c>
      <c r="H81" s="54">
        <f t="shared" ca="1" si="1"/>
        <v>0.23990925242831782</v>
      </c>
      <c r="I81" s="54">
        <f t="shared" ca="1" si="2"/>
        <v>0.23385559327552166</v>
      </c>
      <c r="J81" s="54">
        <f t="shared" ca="1" si="3"/>
        <v>0.31638317383534154</v>
      </c>
      <c r="K81" s="54">
        <f t="shared" ca="1" si="4"/>
        <v>0.11838235789278313</v>
      </c>
      <c r="L81" s="54">
        <f t="shared" ca="1" si="5"/>
        <v>9.1469622568035813E-2</v>
      </c>
      <c r="M81" s="54">
        <f ca="1">MIN(100,MAX(0,MCDA_Prioritisation!$F$2+(RAND()-0.5)*2*$B$7))</f>
        <v>79.744411497760041</v>
      </c>
      <c r="N81" s="54">
        <f ca="1">MIN(100,MAX(0,MCDA_Prioritisation!$F$3+(RAND()-0.5)*2*$B$7))</f>
        <v>86.388879788781765</v>
      </c>
      <c r="O81" s="54">
        <f ca="1">MIN(100,MAX(0,MCDA_Prioritisation!$F$4+(RAND()-0.5)*2*$B$7))</f>
        <v>85.352796776773317</v>
      </c>
      <c r="P81" s="54">
        <f ca="1">MIN(100,MAX(0,MCDA_Prioritisation!$F$5+(RAND()-0.5)*2*$B$7))</f>
        <v>69.80715984689364</v>
      </c>
      <c r="Q81" s="54">
        <f ca="1">MIN(100,MAX(0,MCDA_Prioritisation!$G$2+(RAND()-0.5)*2*$B$7))</f>
        <v>88.760580074730498</v>
      </c>
      <c r="R81" s="54">
        <f ca="1">MIN(100,MAX(0,MCDA_Prioritisation!$G$3+(RAND()-0.5)*2*$B$7))</f>
        <v>100</v>
      </c>
      <c r="S81" s="54">
        <f ca="1">MIN(100,MAX(0,MCDA_Prioritisation!$G$4+(RAND()-0.5)*2*$B$7))</f>
        <v>77.961965637819361</v>
      </c>
      <c r="T81" s="54">
        <f ca="1">MIN(100,MAX(0,MCDA_Prioritisation!$G$5+(RAND()-0.5)*2*$B$7))</f>
        <v>64.110554192130365</v>
      </c>
      <c r="U81" s="54">
        <f ca="1">MIN(100,MAX(0,MCDA_Prioritisation!$H$2+(RAND()-0.5)*2*$B$7))</f>
        <v>66.840399706810331</v>
      </c>
      <c r="V81" s="54">
        <f ca="1">MIN(100,MAX(0,MCDA_Prioritisation!$H$3+(RAND()-0.5)*2*$B$7))</f>
        <v>55.541715183628739</v>
      </c>
      <c r="W81" s="54">
        <f ca="1">MIN(100,MAX(0,MCDA_Prioritisation!$H$4+(RAND()-0.5)*2*$B$7))</f>
        <v>76.80352211036103</v>
      </c>
      <c r="X81" s="54">
        <f ca="1">MIN(100,MAX(0,MCDA_Prioritisation!$H$5+(RAND()-0.5)*2*$B$7))</f>
        <v>75.016539328042583</v>
      </c>
      <c r="Y81" s="54">
        <f ca="1">H81*MCDA_Prioritisation!$D$2+I81*MCDA_Prioritisation!$E$2+J81*M81+K81*Q81+L81*U81</f>
        <v>89.227827466333153</v>
      </c>
      <c r="Z81" s="54">
        <f ca="1">H81*MCDA_Prioritisation!$D$3+I81*MCDA_Prioritisation!$E$3+J81*N81+K81*R81+L81*V81</f>
        <v>82.225593367960528</v>
      </c>
      <c r="AA81" s="54">
        <f ca="1">H81*MCDA_Prioritisation!$D$4+I81*MCDA_Prioritisation!$E$4+J81*O81+K81*S81+L81*W81</f>
        <v>72.720328879091539</v>
      </c>
      <c r="AB81" s="54">
        <f ca="1">H81*MCDA_Prioritisation!$D$5+I81*MCDA_Prioritisation!$E$5+J81*P81+K81*T81+L81*X81</f>
        <v>68.935630382223351</v>
      </c>
      <c r="AC81" s="54">
        <f t="shared" ca="1" si="6"/>
        <v>1</v>
      </c>
      <c r="AD81" s="54">
        <f t="shared" ca="1" si="7"/>
        <v>2</v>
      </c>
      <c r="AE81" s="54">
        <f t="shared" ca="1" si="8"/>
        <v>3</v>
      </c>
      <c r="AF81" s="54">
        <f t="shared" ca="1" si="9"/>
        <v>4</v>
      </c>
      <c r="AG81" s="54">
        <f t="shared" ca="1" si="10"/>
        <v>1</v>
      </c>
      <c r="AH81" s="54">
        <f t="shared" ca="1" si="11"/>
        <v>1</v>
      </c>
      <c r="AI81" s="54">
        <f t="shared" ca="1" si="12"/>
        <v>1</v>
      </c>
      <c r="AJ81" s="54">
        <f t="shared" ca="1" si="13"/>
        <v>1</v>
      </c>
    </row>
    <row r="82" spans="1:36" x14ac:dyDescent="0.2">
      <c r="A82" s="54">
        <v>59</v>
      </c>
      <c r="B82" s="54">
        <f ca="1">MAX(0.02,MCDA_Prioritisation!$B$9+(RAND()-0.5)*2*$B$6)</f>
        <v>0.1740447729930393</v>
      </c>
      <c r="C82" s="54">
        <f ca="1">MAX(0.02,MCDA_Prioritisation!$B$10+(RAND()-0.5)*2*$B$6)</f>
        <v>0.24818063089490272</v>
      </c>
      <c r="D82" s="54">
        <f ca="1">MAX(0.02,MCDA_Prioritisation!$B$11+(RAND()-0.5)*2*$B$6)</f>
        <v>0.20573536735026929</v>
      </c>
      <c r="E82" s="54">
        <f ca="1">MAX(0.02,MCDA_Prioritisation!$B$12+(RAND()-0.5)*2*$B$6)</f>
        <v>0.15769333400789909</v>
      </c>
      <c r="F82" s="54">
        <f ca="1">MAX(0.02,MCDA_Prioritisation!$B$13+(RAND()-0.5)*2*$B$6)</f>
        <v>8.0106904530918496E-2</v>
      </c>
      <c r="G82" s="54">
        <f t="shared" ca="1" si="0"/>
        <v>0.86576100977702897</v>
      </c>
      <c r="H82" s="54">
        <f t="shared" ca="1" si="1"/>
        <v>0.2010309670077004</v>
      </c>
      <c r="I82" s="54">
        <f t="shared" ca="1" si="2"/>
        <v>0.28666182479021551</v>
      </c>
      <c r="J82" s="54">
        <f t="shared" ca="1" si="3"/>
        <v>0.23763528852293206</v>
      </c>
      <c r="K82" s="54">
        <f t="shared" ca="1" si="4"/>
        <v>0.18214418555128969</v>
      </c>
      <c r="L82" s="54">
        <f t="shared" ca="1" si="5"/>
        <v>9.2527734127862263E-2</v>
      </c>
      <c r="M82" s="54">
        <f ca="1">MIN(100,MAX(0,MCDA_Prioritisation!$F$2+(RAND()-0.5)*2*$B$7))</f>
        <v>91.160397710799657</v>
      </c>
      <c r="N82" s="54">
        <f ca="1">MIN(100,MAX(0,MCDA_Prioritisation!$F$3+(RAND()-0.5)*2*$B$7))</f>
        <v>98.468882667776072</v>
      </c>
      <c r="O82" s="54">
        <f ca="1">MIN(100,MAX(0,MCDA_Prioritisation!$F$4+(RAND()-0.5)*2*$B$7))</f>
        <v>88.878744279305039</v>
      </c>
      <c r="P82" s="54">
        <f ca="1">MIN(100,MAX(0,MCDA_Prioritisation!$F$5+(RAND()-0.5)*2*$B$7))</f>
        <v>75.416954182949425</v>
      </c>
      <c r="Q82" s="54">
        <f ca="1">MIN(100,MAX(0,MCDA_Prioritisation!$G$2+(RAND()-0.5)*2*$B$7))</f>
        <v>77.034353849847435</v>
      </c>
      <c r="R82" s="54">
        <f ca="1">MIN(100,MAX(0,MCDA_Prioritisation!$G$3+(RAND()-0.5)*2*$B$7))</f>
        <v>87.52110801149928</v>
      </c>
      <c r="S82" s="54">
        <f ca="1">MIN(100,MAX(0,MCDA_Prioritisation!$G$4+(RAND()-0.5)*2*$B$7))</f>
        <v>94.35357658484115</v>
      </c>
      <c r="T82" s="54">
        <f ca="1">MIN(100,MAX(0,MCDA_Prioritisation!$G$5+(RAND()-0.5)*2*$B$7))</f>
        <v>75.564591971108172</v>
      </c>
      <c r="U82" s="54">
        <f ca="1">MIN(100,MAX(0,MCDA_Prioritisation!$H$2+(RAND()-0.5)*2*$B$7))</f>
        <v>56.558060597198612</v>
      </c>
      <c r="V82" s="54">
        <f ca="1">MIN(100,MAX(0,MCDA_Prioritisation!$H$3+(RAND()-0.5)*2*$B$7))</f>
        <v>54.796685756618004</v>
      </c>
      <c r="W82" s="54">
        <f ca="1">MIN(100,MAX(0,MCDA_Prioritisation!$H$4+(RAND()-0.5)*2*$B$7))</f>
        <v>88.122930059087693</v>
      </c>
      <c r="X82" s="54">
        <f ca="1">MIN(100,MAX(0,MCDA_Prioritisation!$H$5+(RAND()-0.5)*2*$B$7))</f>
        <v>68.243706542357771</v>
      </c>
      <c r="Y82" s="54">
        <f ca="1">H82*MCDA_Prioritisation!$D$2+I82*MCDA_Prioritisation!$E$2+J82*M82+K82*Q82+L82*U82</f>
        <v>89.696755426838138</v>
      </c>
      <c r="Z82" s="54">
        <f ca="1">H82*MCDA_Prioritisation!$D$3+I82*MCDA_Prioritisation!$E$3+J82*N82+K82*R82+L82*V82</f>
        <v>82.828959273225294</v>
      </c>
      <c r="AA82" s="54">
        <f ca="1">H82*MCDA_Prioritisation!$D$4+I82*MCDA_Prioritisation!$E$4+J82*O82+K82*S82+L82*W82</f>
        <v>76.095210740004489</v>
      </c>
      <c r="AB82" s="54">
        <f ca="1">H82*MCDA_Prioritisation!$D$5+I82*MCDA_Prioritisation!$E$5+J82*P82+K82*T82+L82*X82</f>
        <v>72.775367166677313</v>
      </c>
      <c r="AC82" s="54">
        <f t="shared" ca="1" si="6"/>
        <v>1</v>
      </c>
      <c r="AD82" s="54">
        <f t="shared" ca="1" si="7"/>
        <v>2</v>
      </c>
      <c r="AE82" s="54">
        <f t="shared" ca="1" si="8"/>
        <v>3</v>
      </c>
      <c r="AF82" s="54">
        <f t="shared" ca="1" si="9"/>
        <v>4</v>
      </c>
      <c r="AG82" s="54">
        <f t="shared" ca="1" si="10"/>
        <v>1</v>
      </c>
      <c r="AH82" s="54">
        <f t="shared" ca="1" si="11"/>
        <v>1</v>
      </c>
      <c r="AI82" s="54">
        <f t="shared" ca="1" si="12"/>
        <v>1</v>
      </c>
      <c r="AJ82" s="54">
        <f t="shared" ca="1" si="13"/>
        <v>1</v>
      </c>
    </row>
    <row r="83" spans="1:36" x14ac:dyDescent="0.2">
      <c r="A83" s="54">
        <v>60</v>
      </c>
      <c r="B83" s="54">
        <f ca="1">MAX(0.02,MCDA_Prioritisation!$B$9+(RAND()-0.5)*2*$B$6)</f>
        <v>0.18393690748809605</v>
      </c>
      <c r="C83" s="54">
        <f ca="1">MAX(0.02,MCDA_Prioritisation!$B$10+(RAND()-0.5)*2*$B$6)</f>
        <v>0.24515118598147295</v>
      </c>
      <c r="D83" s="54">
        <f ca="1">MAX(0.02,MCDA_Prioritisation!$B$11+(RAND()-0.5)*2*$B$6)</f>
        <v>0.2554153994791038</v>
      </c>
      <c r="E83" s="54">
        <f ca="1">MAX(0.02,MCDA_Prioritisation!$B$12+(RAND()-0.5)*2*$B$6)</f>
        <v>0.20423205603825953</v>
      </c>
      <c r="F83" s="54">
        <f ca="1">MAX(0.02,MCDA_Prioritisation!$B$13+(RAND()-0.5)*2*$B$6)</f>
        <v>0.11034808408096414</v>
      </c>
      <c r="G83" s="54">
        <f t="shared" ca="1" si="0"/>
        <v>0.99908363306789649</v>
      </c>
      <c r="H83" s="54">
        <f t="shared" ca="1" si="1"/>
        <v>0.18410561578641726</v>
      </c>
      <c r="I83" s="54">
        <f t="shared" ca="1" si="2"/>
        <v>0.24537604047089095</v>
      </c>
      <c r="J83" s="54">
        <f t="shared" ca="1" si="3"/>
        <v>0.25564966838141173</v>
      </c>
      <c r="K83" s="54">
        <f t="shared" ca="1" si="4"/>
        <v>0.20441937919763736</v>
      </c>
      <c r="L83" s="54">
        <f t="shared" ca="1" si="5"/>
        <v>0.1104492961636426</v>
      </c>
      <c r="M83" s="54">
        <f ca="1">MIN(100,MAX(0,MCDA_Prioritisation!$F$2+(RAND()-0.5)*2*$B$7))</f>
        <v>90.959367774354362</v>
      </c>
      <c r="N83" s="54">
        <f ca="1">MIN(100,MAX(0,MCDA_Prioritisation!$F$3+(RAND()-0.5)*2*$B$7))</f>
        <v>94.320409878819603</v>
      </c>
      <c r="O83" s="54">
        <f ca="1">MIN(100,MAX(0,MCDA_Prioritisation!$F$4+(RAND()-0.5)*2*$B$7))</f>
        <v>81.028601995436532</v>
      </c>
      <c r="P83" s="54">
        <f ca="1">MIN(100,MAX(0,MCDA_Prioritisation!$F$5+(RAND()-0.5)*2*$B$7))</f>
        <v>81.89103057804293</v>
      </c>
      <c r="Q83" s="54">
        <f ca="1">MIN(100,MAX(0,MCDA_Prioritisation!$G$2+(RAND()-0.5)*2*$B$7))</f>
        <v>85.484832478147482</v>
      </c>
      <c r="R83" s="54">
        <f ca="1">MIN(100,MAX(0,MCDA_Prioritisation!$G$3+(RAND()-0.5)*2*$B$7))</f>
        <v>93.217676271775929</v>
      </c>
      <c r="S83" s="54">
        <f ca="1">MIN(100,MAX(0,MCDA_Prioritisation!$G$4+(RAND()-0.5)*2*$B$7))</f>
        <v>81.695490184167141</v>
      </c>
      <c r="T83" s="54">
        <f ca="1">MIN(100,MAX(0,MCDA_Prioritisation!$G$5+(RAND()-0.5)*2*$B$7))</f>
        <v>77.065257908896271</v>
      </c>
      <c r="U83" s="54">
        <f ca="1">MIN(100,MAX(0,MCDA_Prioritisation!$H$2+(RAND()-0.5)*2*$B$7))</f>
        <v>65.818866646683446</v>
      </c>
      <c r="V83" s="54">
        <f ca="1">MIN(100,MAX(0,MCDA_Prioritisation!$H$3+(RAND()-0.5)*2*$B$7))</f>
        <v>51.7500129895501</v>
      </c>
      <c r="W83" s="54">
        <f ca="1">MIN(100,MAX(0,MCDA_Prioritisation!$H$4+(RAND()-0.5)*2*$B$7))</f>
        <v>70.827362233654242</v>
      </c>
      <c r="X83" s="54">
        <f ca="1">MIN(100,MAX(0,MCDA_Prioritisation!$H$5+(RAND()-0.5)*2*$B$7))</f>
        <v>73.580419363552721</v>
      </c>
      <c r="Y83" s="54">
        <f ca="1">H83*MCDA_Prioritisation!$D$2+I83*MCDA_Prioritisation!$E$2+J83*M83+K83*Q83+L83*U83</f>
        <v>90.946301714839166</v>
      </c>
      <c r="Z83" s="54">
        <f ca="1">H83*MCDA_Prioritisation!$D$3+I83*MCDA_Prioritisation!$E$3+J83*N83+K83*R83+L83*V83</f>
        <v>82.820012657801641</v>
      </c>
      <c r="AA83" s="54">
        <f ca="1">H83*MCDA_Prioritisation!$D$4+I83*MCDA_Prioritisation!$E$4+J83*O83+K83*S83+L83*W83</f>
        <v>71.44208938610133</v>
      </c>
      <c r="AB83" s="54">
        <f ca="1">H83*MCDA_Prioritisation!$D$5+I83*MCDA_Prioritisation!$E$5+J83*P83+K83*T83+L83*X83</f>
        <v>75.221416211648389</v>
      </c>
      <c r="AC83" s="54">
        <f t="shared" ca="1" si="6"/>
        <v>1</v>
      </c>
      <c r="AD83" s="54">
        <f t="shared" ca="1" si="7"/>
        <v>2</v>
      </c>
      <c r="AE83" s="54">
        <f t="shared" ca="1" si="8"/>
        <v>4</v>
      </c>
      <c r="AF83" s="54">
        <f t="shared" ca="1" si="9"/>
        <v>3</v>
      </c>
      <c r="AG83" s="54">
        <f t="shared" ca="1" si="10"/>
        <v>1</v>
      </c>
      <c r="AH83" s="54">
        <f t="shared" ca="1" si="11"/>
        <v>1</v>
      </c>
      <c r="AI83" s="54">
        <f t="shared" ca="1" si="12"/>
        <v>0</v>
      </c>
      <c r="AJ83" s="54">
        <f t="shared" ca="1" si="13"/>
        <v>1</v>
      </c>
    </row>
    <row r="84" spans="1:36" x14ac:dyDescent="0.2">
      <c r="A84" s="54">
        <v>61</v>
      </c>
      <c r="B84" s="54">
        <f ca="1">MAX(0.02,MCDA_Prioritisation!$B$9+(RAND()-0.5)*2*$B$6)</f>
        <v>0.12520101910463205</v>
      </c>
      <c r="C84" s="54">
        <f ca="1">MAX(0.02,MCDA_Prioritisation!$B$10+(RAND()-0.5)*2*$B$6)</f>
        <v>0.22715664847952297</v>
      </c>
      <c r="D84" s="54">
        <f ca="1">MAX(0.02,MCDA_Prioritisation!$B$11+(RAND()-0.5)*2*$B$6)</f>
        <v>0.22823386853034708</v>
      </c>
      <c r="E84" s="54">
        <f ca="1">MAX(0.02,MCDA_Prioritisation!$B$12+(RAND()-0.5)*2*$B$6)</f>
        <v>7.2665237888787176E-2</v>
      </c>
      <c r="F84" s="54">
        <f ca="1">MAX(0.02,MCDA_Prioritisation!$B$13+(RAND()-0.5)*2*$B$6)</f>
        <v>8.0595595855740373E-2</v>
      </c>
      <c r="G84" s="54">
        <f t="shared" ca="1" si="0"/>
        <v>0.73385236985902969</v>
      </c>
      <c r="H84" s="54">
        <f t="shared" ca="1" si="1"/>
        <v>0.17060791004692497</v>
      </c>
      <c r="I84" s="54">
        <f t="shared" ca="1" si="2"/>
        <v>0.3095399808045301</v>
      </c>
      <c r="J84" s="54">
        <f t="shared" ca="1" si="3"/>
        <v>0.31100787829327303</v>
      </c>
      <c r="K84" s="54">
        <f t="shared" ca="1" si="4"/>
        <v>9.9018877465430685E-2</v>
      </c>
      <c r="L84" s="54">
        <f t="shared" ca="1" si="5"/>
        <v>0.10982535338984119</v>
      </c>
      <c r="M84" s="54">
        <f ca="1">MIN(100,MAX(0,MCDA_Prioritisation!$F$2+(RAND()-0.5)*2*$B$7))</f>
        <v>88.080998471593347</v>
      </c>
      <c r="N84" s="54">
        <f ca="1">MIN(100,MAX(0,MCDA_Prioritisation!$F$3+(RAND()-0.5)*2*$B$7))</f>
        <v>86.447960944696092</v>
      </c>
      <c r="O84" s="54">
        <f ca="1">MIN(100,MAX(0,MCDA_Prioritisation!$F$4+(RAND()-0.5)*2*$B$7))</f>
        <v>99.895670673610695</v>
      </c>
      <c r="P84" s="54">
        <f ca="1">MIN(100,MAX(0,MCDA_Prioritisation!$F$5+(RAND()-0.5)*2*$B$7))</f>
        <v>81.451465402337433</v>
      </c>
      <c r="Q84" s="54">
        <f ca="1">MIN(100,MAX(0,MCDA_Prioritisation!$G$2+(RAND()-0.5)*2*$B$7))</f>
        <v>76.002792286524425</v>
      </c>
      <c r="R84" s="54">
        <f ca="1">MIN(100,MAX(0,MCDA_Prioritisation!$G$3+(RAND()-0.5)*2*$B$7))</f>
        <v>100</v>
      </c>
      <c r="S84" s="54">
        <f ca="1">MIN(100,MAX(0,MCDA_Prioritisation!$G$4+(RAND()-0.5)*2*$B$7))</f>
        <v>86.415799995605482</v>
      </c>
      <c r="T84" s="54">
        <f ca="1">MIN(100,MAX(0,MCDA_Prioritisation!$G$5+(RAND()-0.5)*2*$B$7))</f>
        <v>69.260898488302587</v>
      </c>
      <c r="U84" s="54">
        <f ca="1">MIN(100,MAX(0,MCDA_Prioritisation!$H$2+(RAND()-0.5)*2*$B$7))</f>
        <v>60.454244705139331</v>
      </c>
      <c r="V84" s="54">
        <f ca="1">MIN(100,MAX(0,MCDA_Prioritisation!$H$3+(RAND()-0.5)*2*$B$7))</f>
        <v>64.254708475054557</v>
      </c>
      <c r="W84" s="54">
        <f ca="1">MIN(100,MAX(0,MCDA_Prioritisation!$H$4+(RAND()-0.5)*2*$B$7))</f>
        <v>85.270874898155228</v>
      </c>
      <c r="X84" s="54">
        <f ca="1">MIN(100,MAX(0,MCDA_Prioritisation!$H$5+(RAND()-0.5)*2*$B$7))</f>
        <v>65.870034872863016</v>
      </c>
      <c r="Y84" s="54">
        <f ca="1">H84*MCDA_Prioritisation!$D$2+I84*MCDA_Prioritisation!$E$2+J84*M84+K84*Q84+L84*U84</f>
        <v>89.573793502856589</v>
      </c>
      <c r="Z84" s="54">
        <f ca="1">H84*MCDA_Prioritisation!$D$3+I84*MCDA_Prioritisation!$E$3+J84*N84+K84*R84+L84*V84</f>
        <v>81.267271422779984</v>
      </c>
      <c r="AA84" s="54">
        <f ca="1">H84*MCDA_Prioritisation!$D$4+I84*MCDA_Prioritisation!$E$4+J84*O84+K84*S84+L84*W84</f>
        <v>77.754170940154722</v>
      </c>
      <c r="AB84" s="54">
        <f ca="1">H84*MCDA_Prioritisation!$D$5+I84*MCDA_Prioritisation!$E$5+J84*P84+K84*T84+L84*X84</f>
        <v>74.50904873915195</v>
      </c>
      <c r="AC84" s="54">
        <f t="shared" ca="1" si="6"/>
        <v>1</v>
      </c>
      <c r="AD84" s="54">
        <f t="shared" ca="1" si="7"/>
        <v>2</v>
      </c>
      <c r="AE84" s="54">
        <f t="shared" ca="1" si="8"/>
        <v>3</v>
      </c>
      <c r="AF84" s="54">
        <f t="shared" ca="1" si="9"/>
        <v>4</v>
      </c>
      <c r="AG84" s="54">
        <f t="shared" ca="1" si="10"/>
        <v>1</v>
      </c>
      <c r="AH84" s="54">
        <f t="shared" ca="1" si="11"/>
        <v>1</v>
      </c>
      <c r="AI84" s="54">
        <f t="shared" ca="1" si="12"/>
        <v>1</v>
      </c>
      <c r="AJ84" s="54">
        <f t="shared" ca="1" si="13"/>
        <v>1</v>
      </c>
    </row>
    <row r="85" spans="1:36" x14ac:dyDescent="0.2">
      <c r="A85" s="54">
        <v>62</v>
      </c>
      <c r="B85" s="54">
        <f ca="1">MAX(0.02,MCDA_Prioritisation!$B$9+(RAND()-0.5)*2*$B$6)</f>
        <v>0.13459181031026318</v>
      </c>
      <c r="C85" s="54">
        <f ca="1">MAX(0.02,MCDA_Prioritisation!$B$10+(RAND()-0.5)*2*$B$6)</f>
        <v>0.26234817949929928</v>
      </c>
      <c r="D85" s="54">
        <f ca="1">MAX(0.02,MCDA_Prioritisation!$B$11+(RAND()-0.5)*2*$B$6)</f>
        <v>0.23237665994226156</v>
      </c>
      <c r="E85" s="54">
        <f ca="1">MAX(0.02,MCDA_Prioritisation!$B$12+(RAND()-0.5)*2*$B$6)</f>
        <v>0.19306489599974788</v>
      </c>
      <c r="F85" s="54">
        <f ca="1">MAX(0.02,MCDA_Prioritisation!$B$13+(RAND()-0.5)*2*$B$6)</f>
        <v>0.15050500246974094</v>
      </c>
      <c r="G85" s="54">
        <f t="shared" ca="1" si="0"/>
        <v>0.97288654822131282</v>
      </c>
      <c r="H85" s="54">
        <f t="shared" ca="1" si="1"/>
        <v>0.13834276006419421</v>
      </c>
      <c r="I85" s="54">
        <f t="shared" ca="1" si="2"/>
        <v>0.26965958156060366</v>
      </c>
      <c r="J85" s="54">
        <f t="shared" ca="1" si="3"/>
        <v>0.23885278336626808</v>
      </c>
      <c r="K85" s="54">
        <f t="shared" ca="1" si="4"/>
        <v>0.19844543678059917</v>
      </c>
      <c r="L85" s="54">
        <f t="shared" ca="1" si="5"/>
        <v>0.1546994382283349</v>
      </c>
      <c r="M85" s="54">
        <f ca="1">MIN(100,MAX(0,MCDA_Prioritisation!$F$2+(RAND()-0.5)*2*$B$7))</f>
        <v>78.10732076932365</v>
      </c>
      <c r="N85" s="54">
        <f ca="1">MIN(100,MAX(0,MCDA_Prioritisation!$F$3+(RAND()-0.5)*2*$B$7))</f>
        <v>94.276120735801484</v>
      </c>
      <c r="O85" s="54">
        <f ca="1">MIN(100,MAX(0,MCDA_Prioritisation!$F$4+(RAND()-0.5)*2*$B$7))</f>
        <v>93.044151601720671</v>
      </c>
      <c r="P85" s="54">
        <f ca="1">MIN(100,MAX(0,MCDA_Prioritisation!$F$5+(RAND()-0.5)*2*$B$7))</f>
        <v>82.203922417636704</v>
      </c>
      <c r="Q85" s="54">
        <f ca="1">MIN(100,MAX(0,MCDA_Prioritisation!$G$2+(RAND()-0.5)*2*$B$7))</f>
        <v>72.042709706731074</v>
      </c>
      <c r="R85" s="54">
        <f ca="1">MIN(100,MAX(0,MCDA_Prioritisation!$G$3+(RAND()-0.5)*2*$B$7))</f>
        <v>98.850553412453323</v>
      </c>
      <c r="S85" s="54">
        <f ca="1">MIN(100,MAX(0,MCDA_Prioritisation!$G$4+(RAND()-0.5)*2*$B$7))</f>
        <v>82.369704829540936</v>
      </c>
      <c r="T85" s="54">
        <f ca="1">MIN(100,MAX(0,MCDA_Prioritisation!$G$5+(RAND()-0.5)*2*$B$7))</f>
        <v>71.566834382441883</v>
      </c>
      <c r="U85" s="54">
        <f ca="1">MIN(100,MAX(0,MCDA_Prioritisation!$H$2+(RAND()-0.5)*2*$B$7))</f>
        <v>72.477315501773461</v>
      </c>
      <c r="V85" s="54">
        <f ca="1">MIN(100,MAX(0,MCDA_Prioritisation!$H$3+(RAND()-0.5)*2*$B$7))</f>
        <v>58.715242561053913</v>
      </c>
      <c r="W85" s="54">
        <f ca="1">MIN(100,MAX(0,MCDA_Prioritisation!$H$4+(RAND()-0.5)*2*$B$7))</f>
        <v>84.182089676647237</v>
      </c>
      <c r="X85" s="54">
        <f ca="1">MIN(100,MAX(0,MCDA_Prioritisation!$H$5+(RAND()-0.5)*2*$B$7))</f>
        <v>79.037673921436351</v>
      </c>
      <c r="Y85" s="54">
        <f ca="1">H85*MCDA_Prioritisation!$D$2+I85*MCDA_Prioritisation!$E$2+J85*M85+K85*Q85+L85*U85</f>
        <v>84.965132116546954</v>
      </c>
      <c r="Z85" s="54">
        <f ca="1">H85*MCDA_Prioritisation!$D$3+I85*MCDA_Prioritisation!$E$3+J85*N85+K85*R85+L85*V85</f>
        <v>82.920096026082888</v>
      </c>
      <c r="AA85" s="54">
        <f ca="1">H85*MCDA_Prioritisation!$D$4+I85*MCDA_Prioritisation!$E$4+J85*O85+K85*S85+L85*W85</f>
        <v>75.934749618073326</v>
      </c>
      <c r="AB85" s="54">
        <f ca="1">H85*MCDA_Prioritisation!$D$5+I85*MCDA_Prioritisation!$E$5+J85*P85+K85*T85+L85*X85</f>
        <v>76.082415584948322</v>
      </c>
      <c r="AC85" s="54">
        <f t="shared" ca="1" si="6"/>
        <v>1</v>
      </c>
      <c r="AD85" s="54">
        <f t="shared" ca="1" si="7"/>
        <v>2</v>
      </c>
      <c r="AE85" s="54">
        <f t="shared" ca="1" si="8"/>
        <v>4</v>
      </c>
      <c r="AF85" s="54">
        <f t="shared" ca="1" si="9"/>
        <v>3</v>
      </c>
      <c r="AG85" s="54">
        <f t="shared" ca="1" si="10"/>
        <v>1</v>
      </c>
      <c r="AH85" s="54">
        <f t="shared" ca="1" si="11"/>
        <v>1</v>
      </c>
      <c r="AI85" s="54">
        <f t="shared" ca="1" si="12"/>
        <v>0</v>
      </c>
      <c r="AJ85" s="54">
        <f t="shared" ca="1" si="13"/>
        <v>1</v>
      </c>
    </row>
    <row r="86" spans="1:36" x14ac:dyDescent="0.2">
      <c r="A86" s="54">
        <v>63</v>
      </c>
      <c r="B86" s="54">
        <f ca="1">MAX(0.02,MCDA_Prioritisation!$B$9+(RAND()-0.5)*2*$B$6)</f>
        <v>0.27283711621114637</v>
      </c>
      <c r="C86" s="54">
        <f ca="1">MAX(0.02,MCDA_Prioritisation!$B$10+(RAND()-0.5)*2*$B$6)</f>
        <v>0.24947439651442152</v>
      </c>
      <c r="D86" s="54">
        <f ca="1">MAX(0.02,MCDA_Prioritisation!$B$11+(RAND()-0.5)*2*$B$6)</f>
        <v>0.29612388149077362</v>
      </c>
      <c r="E86" s="54">
        <f ca="1">MAX(0.02,MCDA_Prioritisation!$B$12+(RAND()-0.5)*2*$B$6)</f>
        <v>0.11503117776524749</v>
      </c>
      <c r="F86" s="54">
        <f ca="1">MAX(0.02,MCDA_Prioritisation!$B$13+(RAND()-0.5)*2*$B$6)</f>
        <v>0.17651153987394513</v>
      </c>
      <c r="G86" s="54">
        <f t="shared" ca="1" si="0"/>
        <v>1.1099781118555341</v>
      </c>
      <c r="H86" s="54">
        <f t="shared" ca="1" si="1"/>
        <v>0.24580405081596482</v>
      </c>
      <c r="I86" s="54">
        <f t="shared" ca="1" si="2"/>
        <v>0.22475614054891482</v>
      </c>
      <c r="J86" s="54">
        <f t="shared" ca="1" si="3"/>
        <v>0.26678353233087426</v>
      </c>
      <c r="K86" s="54">
        <f t="shared" ca="1" si="4"/>
        <v>0.10363373523911347</v>
      </c>
      <c r="L86" s="54">
        <f t="shared" ca="1" si="5"/>
        <v>0.15902254106513269</v>
      </c>
      <c r="M86" s="54">
        <f ca="1">MIN(100,MAX(0,MCDA_Prioritisation!$F$2+(RAND()-0.5)*2*$B$7))</f>
        <v>87.154571809826749</v>
      </c>
      <c r="N86" s="54">
        <f ca="1">MIN(100,MAX(0,MCDA_Prioritisation!$F$3+(RAND()-0.5)*2*$B$7))</f>
        <v>97.24193984309953</v>
      </c>
      <c r="O86" s="54">
        <f ca="1">MIN(100,MAX(0,MCDA_Prioritisation!$F$4+(RAND()-0.5)*2*$B$7))</f>
        <v>86.771616817141066</v>
      </c>
      <c r="P86" s="54">
        <f ca="1">MIN(100,MAX(0,MCDA_Prioritisation!$F$5+(RAND()-0.5)*2*$B$7))</f>
        <v>65.258499583941614</v>
      </c>
      <c r="Q86" s="54">
        <f ca="1">MIN(100,MAX(0,MCDA_Prioritisation!$G$2+(RAND()-0.5)*2*$B$7))</f>
        <v>80.335330828719805</v>
      </c>
      <c r="R86" s="54">
        <f ca="1">MIN(100,MAX(0,MCDA_Prioritisation!$G$3+(RAND()-0.5)*2*$B$7))</f>
        <v>97.186194920629134</v>
      </c>
      <c r="S86" s="54">
        <f ca="1">MIN(100,MAX(0,MCDA_Prioritisation!$G$4+(RAND()-0.5)*2*$B$7))</f>
        <v>92.602012901793785</v>
      </c>
      <c r="T86" s="54">
        <f ca="1">MIN(100,MAX(0,MCDA_Prioritisation!$G$5+(RAND()-0.5)*2*$B$7))</f>
        <v>68.621807533283402</v>
      </c>
      <c r="U86" s="54">
        <f ca="1">MIN(100,MAX(0,MCDA_Prioritisation!$H$2+(RAND()-0.5)*2*$B$7))</f>
        <v>71.982726301396667</v>
      </c>
      <c r="V86" s="54">
        <f ca="1">MIN(100,MAX(0,MCDA_Prioritisation!$H$3+(RAND()-0.5)*2*$B$7))</f>
        <v>50.102326334104376</v>
      </c>
      <c r="W86" s="54">
        <f ca="1">MIN(100,MAX(0,MCDA_Prioritisation!$H$4+(RAND()-0.5)*2*$B$7))</f>
        <v>77.444454738102237</v>
      </c>
      <c r="X86" s="54">
        <f ca="1">MIN(100,MAX(0,MCDA_Prioritisation!$H$5+(RAND()-0.5)*2*$B$7))</f>
        <v>74.287522467948264</v>
      </c>
      <c r="Y86" s="54">
        <f ca="1">H86*MCDA_Prioritisation!$D$2+I86*MCDA_Prioritisation!$E$2+J86*M86+K86*Q86+L86*U86</f>
        <v>90.079750117392578</v>
      </c>
      <c r="Z86" s="54">
        <f ca="1">H86*MCDA_Prioritisation!$D$3+I86*MCDA_Prioritisation!$E$3+J86*N86+K86*R86+L86*V86</f>
        <v>81.810114091711554</v>
      </c>
      <c r="AA86" s="54">
        <f ca="1">H86*MCDA_Prioritisation!$D$4+I86*MCDA_Prioritisation!$E$4+J86*O86+K86*S86+L86*W86</f>
        <v>74.437119875172229</v>
      </c>
      <c r="AB86" s="54">
        <f ca="1">H86*MCDA_Prioritisation!$D$5+I86*MCDA_Prioritisation!$E$5+J86*P86+K86*T86+L86*X86</f>
        <v>68.281034760829826</v>
      </c>
      <c r="AC86" s="54">
        <f t="shared" ca="1" si="6"/>
        <v>1</v>
      </c>
      <c r="AD86" s="54">
        <f t="shared" ca="1" si="7"/>
        <v>2</v>
      </c>
      <c r="AE86" s="54">
        <f t="shared" ca="1" si="8"/>
        <v>3</v>
      </c>
      <c r="AF86" s="54">
        <f t="shared" ca="1" si="9"/>
        <v>4</v>
      </c>
      <c r="AG86" s="54">
        <f t="shared" ca="1" si="10"/>
        <v>1</v>
      </c>
      <c r="AH86" s="54">
        <f t="shared" ca="1" si="11"/>
        <v>1</v>
      </c>
      <c r="AI86" s="54">
        <f t="shared" ca="1" si="12"/>
        <v>1</v>
      </c>
      <c r="AJ86" s="54">
        <f t="shared" ca="1" si="13"/>
        <v>1</v>
      </c>
    </row>
    <row r="87" spans="1:36" x14ac:dyDescent="0.2">
      <c r="A87" s="54">
        <v>64</v>
      </c>
      <c r="B87" s="54">
        <f ca="1">MAX(0.02,MCDA_Prioritisation!$B$9+(RAND()-0.5)*2*$B$6)</f>
        <v>0.24397874781237527</v>
      </c>
      <c r="C87" s="54">
        <f ca="1">MAX(0.02,MCDA_Prioritisation!$B$10+(RAND()-0.5)*2*$B$6)</f>
        <v>0.21780386289751952</v>
      </c>
      <c r="D87" s="54">
        <f ca="1">MAX(0.02,MCDA_Prioritisation!$B$11+(RAND()-0.5)*2*$B$6)</f>
        <v>0.25756671695062133</v>
      </c>
      <c r="E87" s="54">
        <f ca="1">MAX(0.02,MCDA_Prioritisation!$B$12+(RAND()-0.5)*2*$B$6)</f>
        <v>0.17103563550858081</v>
      </c>
      <c r="F87" s="54">
        <f ca="1">MAX(0.02,MCDA_Prioritisation!$B$13+(RAND()-0.5)*2*$B$6)</f>
        <v>8.2034870429152099E-2</v>
      </c>
      <c r="G87" s="54">
        <f t="shared" ca="1" si="0"/>
        <v>0.97241983359824902</v>
      </c>
      <c r="H87" s="54">
        <f t="shared" ca="1" si="1"/>
        <v>0.25089857218314821</v>
      </c>
      <c r="I87" s="54">
        <f t="shared" ca="1" si="2"/>
        <v>0.22398130454782994</v>
      </c>
      <c r="J87" s="54">
        <f t="shared" ca="1" si="3"/>
        <v>0.26487192882270427</v>
      </c>
      <c r="K87" s="54">
        <f t="shared" ca="1" si="4"/>
        <v>0.17588661769237773</v>
      </c>
      <c r="L87" s="54">
        <f t="shared" ca="1" si="5"/>
        <v>8.4361576753939849E-2</v>
      </c>
      <c r="M87" s="54">
        <f ca="1">MIN(100,MAX(0,MCDA_Prioritisation!$F$2+(RAND()-0.5)*2*$B$7))</f>
        <v>84.979606853773447</v>
      </c>
      <c r="N87" s="54">
        <f ca="1">MIN(100,MAX(0,MCDA_Prioritisation!$F$3+(RAND()-0.5)*2*$B$7))</f>
        <v>85.097658517194958</v>
      </c>
      <c r="O87" s="54">
        <f ca="1">MIN(100,MAX(0,MCDA_Prioritisation!$F$4+(RAND()-0.5)*2*$B$7))</f>
        <v>88.455527559784898</v>
      </c>
      <c r="P87" s="54">
        <f ca="1">MIN(100,MAX(0,MCDA_Prioritisation!$F$5+(RAND()-0.5)*2*$B$7))</f>
        <v>73.923113546923787</v>
      </c>
      <c r="Q87" s="54">
        <f ca="1">MIN(100,MAX(0,MCDA_Prioritisation!$G$2+(RAND()-0.5)*2*$B$7))</f>
        <v>74.239784322246393</v>
      </c>
      <c r="R87" s="54">
        <f ca="1">MIN(100,MAX(0,MCDA_Prioritisation!$G$3+(RAND()-0.5)*2*$B$7))</f>
        <v>100</v>
      </c>
      <c r="S87" s="54">
        <f ca="1">MIN(100,MAX(0,MCDA_Prioritisation!$G$4+(RAND()-0.5)*2*$B$7))</f>
        <v>75.321091938668076</v>
      </c>
      <c r="T87" s="54">
        <f ca="1">MIN(100,MAX(0,MCDA_Prioritisation!$G$5+(RAND()-0.5)*2*$B$7))</f>
        <v>64.974459103544049</v>
      </c>
      <c r="U87" s="54">
        <f ca="1">MIN(100,MAX(0,MCDA_Prioritisation!$H$2+(RAND()-0.5)*2*$B$7))</f>
        <v>66.283206923555881</v>
      </c>
      <c r="V87" s="54">
        <f ca="1">MIN(100,MAX(0,MCDA_Prioritisation!$H$3+(RAND()-0.5)*2*$B$7))</f>
        <v>50.632090133069276</v>
      </c>
      <c r="W87" s="54">
        <f ca="1">MIN(100,MAX(0,MCDA_Prioritisation!$H$4+(RAND()-0.5)*2*$B$7))</f>
        <v>74.453890918751739</v>
      </c>
      <c r="X87" s="54">
        <f ca="1">MIN(100,MAX(0,MCDA_Prioritisation!$H$5+(RAND()-0.5)*2*$B$7))</f>
        <v>70.412515611989321</v>
      </c>
      <c r="Y87" s="54">
        <f ca="1">H87*MCDA_Prioritisation!$D$2+I87*MCDA_Prioritisation!$E$2+J87*M87+K87*Q87+L87*U87</f>
        <v>88.646240462082261</v>
      </c>
      <c r="Z87" s="54">
        <f ca="1">H87*MCDA_Prioritisation!$D$3+I87*MCDA_Prioritisation!$E$3+J87*N87+K87*R87+L87*V87</f>
        <v>82.617337282258589</v>
      </c>
      <c r="AA87" s="54">
        <f ca="1">H87*MCDA_Prioritisation!$D$4+I87*MCDA_Prioritisation!$E$4+J87*O87+K87*S87+L87*W87</f>
        <v>72.646669635731783</v>
      </c>
      <c r="AB87" s="54">
        <f ca="1">H87*MCDA_Prioritisation!$D$5+I87*MCDA_Prioritisation!$E$5+J87*P87+K87*T87+L87*X87</f>
        <v>69.099862850551474</v>
      </c>
      <c r="AC87" s="54">
        <f t="shared" ca="1" si="6"/>
        <v>1</v>
      </c>
      <c r="AD87" s="54">
        <f t="shared" ca="1" si="7"/>
        <v>2</v>
      </c>
      <c r="AE87" s="54">
        <f t="shared" ca="1" si="8"/>
        <v>3</v>
      </c>
      <c r="AF87" s="54">
        <f t="shared" ca="1" si="9"/>
        <v>4</v>
      </c>
      <c r="AG87" s="54">
        <f t="shared" ca="1" si="10"/>
        <v>1</v>
      </c>
      <c r="AH87" s="54">
        <f t="shared" ca="1" si="11"/>
        <v>1</v>
      </c>
      <c r="AI87" s="54">
        <f t="shared" ca="1" si="12"/>
        <v>1</v>
      </c>
      <c r="AJ87" s="54">
        <f t="shared" ca="1" si="13"/>
        <v>1</v>
      </c>
    </row>
    <row r="88" spans="1:36" x14ac:dyDescent="0.2">
      <c r="A88" s="54">
        <v>65</v>
      </c>
      <c r="B88" s="54">
        <f ca="1">MAX(0.02,MCDA_Prioritisation!$B$9+(RAND()-0.5)*2*$B$6)</f>
        <v>0.18790958904539518</v>
      </c>
      <c r="C88" s="54">
        <f ca="1">MAX(0.02,MCDA_Prioritisation!$B$10+(RAND()-0.5)*2*$B$6)</f>
        <v>0.26741084405902116</v>
      </c>
      <c r="D88" s="54">
        <f ca="1">MAX(0.02,MCDA_Prioritisation!$B$11+(RAND()-0.5)*2*$B$6)</f>
        <v>0.23559152031973896</v>
      </c>
      <c r="E88" s="54">
        <f ca="1">MAX(0.02,MCDA_Prioritisation!$B$12+(RAND()-0.5)*2*$B$6)</f>
        <v>0.16047075957747106</v>
      </c>
      <c r="F88" s="54">
        <f ca="1">MAX(0.02,MCDA_Prioritisation!$B$13+(RAND()-0.5)*2*$B$6)</f>
        <v>0.20688347279542502</v>
      </c>
      <c r="G88" s="54">
        <f t="shared" ref="G88:G151" ca="1" si="14">SUM(B88:F88)</f>
        <v>1.0582661857970512</v>
      </c>
      <c r="H88" s="54">
        <f t="shared" ref="H88:H151" ca="1" si="15">B88/$G88</f>
        <v>0.17756363339141168</v>
      </c>
      <c r="I88" s="54">
        <f t="shared" ref="I88:I151" ca="1" si="16">C88/$G88</f>
        <v>0.25268769582542799</v>
      </c>
      <c r="J88" s="54">
        <f t="shared" ref="J88:J151" ca="1" si="17">D88/$G88</f>
        <v>0.22262028540796586</v>
      </c>
      <c r="K88" s="54">
        <f t="shared" ref="K88:K151" ca="1" si="18">E88/$G88</f>
        <v>0.15163553530401216</v>
      </c>
      <c r="L88" s="54">
        <f t="shared" ref="L88:L151" ca="1" si="19">F88/$G88</f>
        <v>0.19549285007118242</v>
      </c>
      <c r="M88" s="54">
        <f ca="1">MIN(100,MAX(0,MCDA_Prioritisation!$F$2+(RAND()-0.5)*2*$B$7))</f>
        <v>77.841286975995757</v>
      </c>
      <c r="N88" s="54">
        <f ca="1">MIN(100,MAX(0,MCDA_Prioritisation!$F$3+(RAND()-0.5)*2*$B$7))</f>
        <v>93.149973723648742</v>
      </c>
      <c r="O88" s="54">
        <f ca="1">MIN(100,MAX(0,MCDA_Prioritisation!$F$4+(RAND()-0.5)*2*$B$7))</f>
        <v>87.064001926543455</v>
      </c>
      <c r="P88" s="54">
        <f ca="1">MIN(100,MAX(0,MCDA_Prioritisation!$F$5+(RAND()-0.5)*2*$B$7))</f>
        <v>79.10459957456267</v>
      </c>
      <c r="Q88" s="54">
        <f ca="1">MIN(100,MAX(0,MCDA_Prioritisation!$G$2+(RAND()-0.5)*2*$B$7))</f>
        <v>76.036658548164098</v>
      </c>
      <c r="R88" s="54">
        <f ca="1">MIN(100,MAX(0,MCDA_Prioritisation!$G$3+(RAND()-0.5)*2*$B$7))</f>
        <v>85.577924493917266</v>
      </c>
      <c r="S88" s="54">
        <f ca="1">MIN(100,MAX(0,MCDA_Prioritisation!$G$4+(RAND()-0.5)*2*$B$7))</f>
        <v>75.224322438255797</v>
      </c>
      <c r="T88" s="54">
        <f ca="1">MIN(100,MAX(0,MCDA_Prioritisation!$G$5+(RAND()-0.5)*2*$B$7))</f>
        <v>75.307792556650412</v>
      </c>
      <c r="U88" s="54">
        <f ca="1">MIN(100,MAX(0,MCDA_Prioritisation!$H$2+(RAND()-0.5)*2*$B$7))</f>
        <v>60.198343138284557</v>
      </c>
      <c r="V88" s="54">
        <f ca="1">MIN(100,MAX(0,MCDA_Prioritisation!$H$3+(RAND()-0.5)*2*$B$7))</f>
        <v>50.38003962031474</v>
      </c>
      <c r="W88" s="54">
        <f ca="1">MIN(100,MAX(0,MCDA_Prioritisation!$H$4+(RAND()-0.5)*2*$B$7))</f>
        <v>70.158058719736744</v>
      </c>
      <c r="X88" s="54">
        <f ca="1">MIN(100,MAX(0,MCDA_Prioritisation!$H$5+(RAND()-0.5)*2*$B$7))</f>
        <v>70.026534391120904</v>
      </c>
      <c r="Y88" s="54">
        <f ca="1">H88*MCDA_Prioritisation!$D$2+I88*MCDA_Prioritisation!$E$2+J88*M88+K88*Q88+L88*U88</f>
        <v>83.652387536149021</v>
      </c>
      <c r="Z88" s="54">
        <f ca="1">H88*MCDA_Prioritisation!$D$3+I88*MCDA_Prioritisation!$E$3+J88*N88+K88*R88+L88*V88</f>
        <v>77.458452954063247</v>
      </c>
      <c r="AA88" s="54">
        <f ca="1">H88*MCDA_Prioritisation!$D$4+I88*MCDA_Prioritisation!$E$4+J88*O88+K88*S88+L88*W88</f>
        <v>70.651745043572433</v>
      </c>
      <c r="AB88" s="54">
        <f ca="1">H88*MCDA_Prioritisation!$D$5+I88*MCDA_Prioritisation!$E$5+J88*P88+K88*T88+L88*X88</f>
        <v>73.392398660286986</v>
      </c>
      <c r="AC88" s="54">
        <f t="shared" ref="AC88:AC151" ca="1" si="20">SUMPRODUCT(--($Y88:$AB88&gt;Y88))+1</f>
        <v>1</v>
      </c>
      <c r="AD88" s="54">
        <f t="shared" ref="AD88:AD151" ca="1" si="21">SUMPRODUCT(--($Y88:$AB88&gt;Z88))+1</f>
        <v>2</v>
      </c>
      <c r="AE88" s="54">
        <f t="shared" ref="AE88:AE151" ca="1" si="22">SUMPRODUCT(--($Y88:$AB88&gt;AA88))+1</f>
        <v>4</v>
      </c>
      <c r="AF88" s="54">
        <f t="shared" ref="AF88:AF151" ca="1" si="23">SUMPRODUCT(--($Y88:$AB88&gt;AB88))+1</f>
        <v>3</v>
      </c>
      <c r="AG88" s="54">
        <f t="shared" ref="AG88:AG151" ca="1" si="24">IF(AC88=1,1,0)</f>
        <v>1</v>
      </c>
      <c r="AH88" s="54">
        <f t="shared" ref="AH88:AH151" ca="1" si="25">IF(AD88=2,1,0)</f>
        <v>1</v>
      </c>
      <c r="AI88" s="54">
        <f t="shared" ref="AI88:AI151" ca="1" si="26">IF(AND(AC88=1,AD88=2,AE88=3,AF88=4),1,0)</f>
        <v>0</v>
      </c>
      <c r="AJ88" s="54">
        <f t="shared" ref="AJ88:AJ151" ca="1" si="27">IF(AND(AC88&lt;=2,AD88&lt;=2),1,0)</f>
        <v>1</v>
      </c>
    </row>
    <row r="89" spans="1:36" x14ac:dyDescent="0.2">
      <c r="A89" s="54">
        <v>66</v>
      </c>
      <c r="B89" s="54">
        <f ca="1">MAX(0.02,MCDA_Prioritisation!$B$9+(RAND()-0.5)*2*$B$6)</f>
        <v>0.13397219190754361</v>
      </c>
      <c r="C89" s="54">
        <f ca="1">MAX(0.02,MCDA_Prioritisation!$B$10+(RAND()-0.5)*2*$B$6)</f>
        <v>0.30548999278638883</v>
      </c>
      <c r="D89" s="54">
        <f ca="1">MAX(0.02,MCDA_Prioritisation!$B$11+(RAND()-0.5)*2*$B$6)</f>
        <v>0.20591122211038126</v>
      </c>
      <c r="E89" s="54">
        <f ca="1">MAX(0.02,MCDA_Prioritisation!$B$12+(RAND()-0.5)*2*$B$6)</f>
        <v>0.11863937840836911</v>
      </c>
      <c r="F89" s="54">
        <f ca="1">MAX(0.02,MCDA_Prioritisation!$B$13+(RAND()-0.5)*2*$B$6)</f>
        <v>0.1246687345553629</v>
      </c>
      <c r="G89" s="54">
        <f t="shared" ca="1" si="14"/>
        <v>0.88868151976804577</v>
      </c>
      <c r="H89" s="54">
        <f t="shared" ca="1" si="15"/>
        <v>0.15075388530922937</v>
      </c>
      <c r="I89" s="54">
        <f t="shared" ca="1" si="16"/>
        <v>0.34375643691355773</v>
      </c>
      <c r="J89" s="54">
        <f t="shared" ca="1" si="17"/>
        <v>0.23170417920260797</v>
      </c>
      <c r="K89" s="54">
        <f t="shared" ca="1" si="18"/>
        <v>0.13350044506308076</v>
      </c>
      <c r="L89" s="54">
        <f t="shared" ca="1" si="19"/>
        <v>0.14028505351152415</v>
      </c>
      <c r="M89" s="54">
        <f ca="1">MIN(100,MAX(0,MCDA_Prioritisation!$F$2+(RAND()-0.5)*2*$B$7))</f>
        <v>76.339480157303797</v>
      </c>
      <c r="N89" s="54">
        <f ca="1">MIN(100,MAX(0,MCDA_Prioritisation!$F$3+(RAND()-0.5)*2*$B$7))</f>
        <v>98.140378347512879</v>
      </c>
      <c r="O89" s="54">
        <f ca="1">MIN(100,MAX(0,MCDA_Prioritisation!$F$4+(RAND()-0.5)*2*$B$7))</f>
        <v>94.301095725229587</v>
      </c>
      <c r="P89" s="54">
        <f ca="1">MIN(100,MAX(0,MCDA_Prioritisation!$F$5+(RAND()-0.5)*2*$B$7))</f>
        <v>75.493656920573713</v>
      </c>
      <c r="Q89" s="54">
        <f ca="1">MIN(100,MAX(0,MCDA_Prioritisation!$G$2+(RAND()-0.5)*2*$B$7))</f>
        <v>82.118490063457884</v>
      </c>
      <c r="R89" s="54">
        <f ca="1">MIN(100,MAX(0,MCDA_Prioritisation!$G$3+(RAND()-0.5)*2*$B$7))</f>
        <v>93.195717123301421</v>
      </c>
      <c r="S89" s="54">
        <f ca="1">MIN(100,MAX(0,MCDA_Prioritisation!$G$4+(RAND()-0.5)*2*$B$7))</f>
        <v>77.63678072099917</v>
      </c>
      <c r="T89" s="54">
        <f ca="1">MIN(100,MAX(0,MCDA_Prioritisation!$G$5+(RAND()-0.5)*2*$B$7))</f>
        <v>69.572878916323219</v>
      </c>
      <c r="U89" s="54">
        <f ca="1">MIN(100,MAX(0,MCDA_Prioritisation!$H$2+(RAND()-0.5)*2*$B$7))</f>
        <v>73.897737556994045</v>
      </c>
      <c r="V89" s="54">
        <f ca="1">MIN(100,MAX(0,MCDA_Prioritisation!$H$3+(RAND()-0.5)*2*$B$7))</f>
        <v>61.851031708658908</v>
      </c>
      <c r="W89" s="54">
        <f ca="1">MIN(100,MAX(0,MCDA_Prioritisation!$H$4+(RAND()-0.5)*2*$B$7))</f>
        <v>89.832394795507753</v>
      </c>
      <c r="X89" s="54">
        <f ca="1">MIN(100,MAX(0,MCDA_Prioritisation!$H$5+(RAND()-0.5)*2*$B$7))</f>
        <v>79.772566467609892</v>
      </c>
      <c r="Y89" s="54">
        <f ca="1">H89*MCDA_Prioritisation!$D$2+I89*MCDA_Prioritisation!$E$2+J89*M89+K89*Q89+L89*U89</f>
        <v>88.468811851823844</v>
      </c>
      <c r="Z89" s="54">
        <f ca="1">H89*MCDA_Prioritisation!$D$3+I89*MCDA_Prioritisation!$E$3+J89*N89+K89*R89+L89*V89</f>
        <v>82.033862039921459</v>
      </c>
      <c r="AA89" s="54">
        <f ca="1">H89*MCDA_Prioritisation!$D$4+I89*MCDA_Prioritisation!$E$4+J89*O89+K89*S89+L89*W89</f>
        <v>74.064610528824176</v>
      </c>
      <c r="AB89" s="54">
        <f ca="1">H89*MCDA_Prioritisation!$D$5+I89*MCDA_Prioritisation!$E$5+J89*P89+K89*T89+L89*X89</f>
        <v>74.87929275989417</v>
      </c>
      <c r="AC89" s="54">
        <f t="shared" ca="1" si="20"/>
        <v>1</v>
      </c>
      <c r="AD89" s="54">
        <f t="shared" ca="1" si="21"/>
        <v>2</v>
      </c>
      <c r="AE89" s="54">
        <f t="shared" ca="1" si="22"/>
        <v>4</v>
      </c>
      <c r="AF89" s="54">
        <f t="shared" ca="1" si="23"/>
        <v>3</v>
      </c>
      <c r="AG89" s="54">
        <f t="shared" ca="1" si="24"/>
        <v>1</v>
      </c>
      <c r="AH89" s="54">
        <f t="shared" ca="1" si="25"/>
        <v>1</v>
      </c>
      <c r="AI89" s="54">
        <f t="shared" ca="1" si="26"/>
        <v>0</v>
      </c>
      <c r="AJ89" s="54">
        <f t="shared" ca="1" si="27"/>
        <v>1</v>
      </c>
    </row>
    <row r="90" spans="1:36" x14ac:dyDescent="0.2">
      <c r="A90" s="54">
        <v>67</v>
      </c>
      <c r="B90" s="54">
        <f ca="1">MAX(0.02,MCDA_Prioritisation!$B$9+(RAND()-0.5)*2*$B$6)</f>
        <v>0.17228554553816378</v>
      </c>
      <c r="C90" s="54">
        <f ca="1">MAX(0.02,MCDA_Prioritisation!$B$10+(RAND()-0.5)*2*$B$6)</f>
        <v>0.18268167867931906</v>
      </c>
      <c r="D90" s="54">
        <f ca="1">MAX(0.02,MCDA_Prioritisation!$B$11+(RAND()-0.5)*2*$B$6)</f>
        <v>0.20168159067658642</v>
      </c>
      <c r="E90" s="54">
        <f ca="1">MAX(0.02,MCDA_Prioritisation!$B$12+(RAND()-0.5)*2*$B$6)</f>
        <v>0.10152421563835706</v>
      </c>
      <c r="F90" s="54">
        <f ca="1">MAX(0.02,MCDA_Prioritisation!$B$13+(RAND()-0.5)*2*$B$6)</f>
        <v>7.445288817420391E-2</v>
      </c>
      <c r="G90" s="54">
        <f t="shared" ca="1" si="14"/>
        <v>0.73262591870663019</v>
      </c>
      <c r="H90" s="54">
        <f t="shared" ca="1" si="15"/>
        <v>0.23516168502789911</v>
      </c>
      <c r="I90" s="54">
        <f t="shared" ca="1" si="16"/>
        <v>0.24935191891903483</v>
      </c>
      <c r="J90" s="54">
        <f t="shared" ca="1" si="17"/>
        <v>0.27528590720982532</v>
      </c>
      <c r="K90" s="54">
        <f t="shared" ca="1" si="18"/>
        <v>0.13857579024447675</v>
      </c>
      <c r="L90" s="54">
        <f t="shared" ca="1" si="19"/>
        <v>0.10162469859876405</v>
      </c>
      <c r="M90" s="54">
        <f ca="1">MIN(100,MAX(0,MCDA_Prioritisation!$F$2+(RAND()-0.5)*2*$B$7))</f>
        <v>92.526418448400705</v>
      </c>
      <c r="N90" s="54">
        <f ca="1">MIN(100,MAX(0,MCDA_Prioritisation!$F$3+(RAND()-0.5)*2*$B$7))</f>
        <v>100</v>
      </c>
      <c r="O90" s="54">
        <f ca="1">MIN(100,MAX(0,MCDA_Prioritisation!$F$4+(RAND()-0.5)*2*$B$7))</f>
        <v>91.262062287095716</v>
      </c>
      <c r="P90" s="54">
        <f ca="1">MIN(100,MAX(0,MCDA_Prioritisation!$F$5+(RAND()-0.5)*2*$B$7))</f>
        <v>72.932580186554333</v>
      </c>
      <c r="Q90" s="54">
        <f ca="1">MIN(100,MAX(0,MCDA_Prioritisation!$G$2+(RAND()-0.5)*2*$B$7))</f>
        <v>88.90289572356437</v>
      </c>
      <c r="R90" s="54">
        <f ca="1">MIN(100,MAX(0,MCDA_Prioritisation!$G$3+(RAND()-0.5)*2*$B$7))</f>
        <v>93.58571937774569</v>
      </c>
      <c r="S90" s="54">
        <f ca="1">MIN(100,MAX(0,MCDA_Prioritisation!$G$4+(RAND()-0.5)*2*$B$7))</f>
        <v>91.466687783385368</v>
      </c>
      <c r="T90" s="54">
        <f ca="1">MIN(100,MAX(0,MCDA_Prioritisation!$G$5+(RAND()-0.5)*2*$B$7))</f>
        <v>72.640979404049673</v>
      </c>
      <c r="U90" s="54">
        <f ca="1">MIN(100,MAX(0,MCDA_Prioritisation!$H$2+(RAND()-0.5)*2*$B$7))</f>
        <v>74.211168258627367</v>
      </c>
      <c r="V90" s="54">
        <f ca="1">MIN(100,MAX(0,MCDA_Prioritisation!$H$3+(RAND()-0.5)*2*$B$7))</f>
        <v>57.462251229487464</v>
      </c>
      <c r="W90" s="54">
        <f ca="1">MIN(100,MAX(0,MCDA_Prioritisation!$H$4+(RAND()-0.5)*2*$B$7))</f>
        <v>75.010999088278965</v>
      </c>
      <c r="X90" s="54">
        <f ca="1">MIN(100,MAX(0,MCDA_Prioritisation!$H$5+(RAND()-0.5)*2*$B$7))</f>
        <v>83.864976253743365</v>
      </c>
      <c r="Y90" s="54">
        <f ca="1">H90*MCDA_Prioritisation!$D$2+I90*MCDA_Prioritisation!$E$2+J90*M90+K90*Q90+L90*U90</f>
        <v>93.784056074997721</v>
      </c>
      <c r="Z90" s="54">
        <f ca="1">H90*MCDA_Prioritisation!$D$3+I90*MCDA_Prioritisation!$E$3+J90*N90+K90*R90+L90*V90</f>
        <v>85.023962700130625</v>
      </c>
      <c r="AA90" s="54">
        <f ca="1">H90*MCDA_Prioritisation!$D$4+I90*MCDA_Prioritisation!$E$4+J90*O90+K90*S90+L90*W90</f>
        <v>75.397489408047335</v>
      </c>
      <c r="AB90" s="54">
        <f ca="1">H90*MCDA_Prioritisation!$D$5+I90*MCDA_Prioritisation!$E$5+J90*P90+K90*T90+L90*X90</f>
        <v>72.115990791960883</v>
      </c>
      <c r="AC90" s="54">
        <f t="shared" ca="1" si="20"/>
        <v>1</v>
      </c>
      <c r="AD90" s="54">
        <f t="shared" ca="1" si="21"/>
        <v>2</v>
      </c>
      <c r="AE90" s="54">
        <f t="shared" ca="1" si="22"/>
        <v>3</v>
      </c>
      <c r="AF90" s="54">
        <f t="shared" ca="1" si="23"/>
        <v>4</v>
      </c>
      <c r="AG90" s="54">
        <f t="shared" ca="1" si="24"/>
        <v>1</v>
      </c>
      <c r="AH90" s="54">
        <f t="shared" ca="1" si="25"/>
        <v>1</v>
      </c>
      <c r="AI90" s="54">
        <f t="shared" ca="1" si="26"/>
        <v>1</v>
      </c>
      <c r="AJ90" s="54">
        <f t="shared" ca="1" si="27"/>
        <v>1</v>
      </c>
    </row>
    <row r="91" spans="1:36" x14ac:dyDescent="0.2">
      <c r="A91" s="54">
        <v>68</v>
      </c>
      <c r="B91" s="54">
        <f ca="1">MAX(0.02,MCDA_Prioritisation!$B$9+(RAND()-0.5)*2*$B$6)</f>
        <v>0.24876520250735176</v>
      </c>
      <c r="C91" s="54">
        <f ca="1">MAX(0.02,MCDA_Prioritisation!$B$10+(RAND()-0.5)*2*$B$6)</f>
        <v>0.21968330301358663</v>
      </c>
      <c r="D91" s="54">
        <f ca="1">MAX(0.02,MCDA_Prioritisation!$B$11+(RAND()-0.5)*2*$B$6)</f>
        <v>0.20316385994401245</v>
      </c>
      <c r="E91" s="54">
        <f ca="1">MAX(0.02,MCDA_Prioritisation!$B$12+(RAND()-0.5)*2*$B$6)</f>
        <v>0.11820567393609746</v>
      </c>
      <c r="F91" s="54">
        <f ca="1">MAX(0.02,MCDA_Prioritisation!$B$13+(RAND()-0.5)*2*$B$6)</f>
        <v>0.22130425293702194</v>
      </c>
      <c r="G91" s="54">
        <f t="shared" ca="1" si="14"/>
        <v>1.0111222923380703</v>
      </c>
      <c r="H91" s="54">
        <f t="shared" ca="1" si="15"/>
        <v>0.24602879828919522</v>
      </c>
      <c r="I91" s="54">
        <f t="shared" ca="1" si="16"/>
        <v>0.21726679816899455</v>
      </c>
      <c r="J91" s="54">
        <f t="shared" ca="1" si="17"/>
        <v>0.20092906810928496</v>
      </c>
      <c r="K91" s="54">
        <f t="shared" ca="1" si="18"/>
        <v>0.11690541770448397</v>
      </c>
      <c r="L91" s="54">
        <f t="shared" ca="1" si="19"/>
        <v>0.21886991772804126</v>
      </c>
      <c r="M91" s="54">
        <f ca="1">MIN(100,MAX(0,MCDA_Prioritisation!$F$2+(RAND()-0.5)*2*$B$7))</f>
        <v>83.188048007679384</v>
      </c>
      <c r="N91" s="54">
        <f ca="1">MIN(100,MAX(0,MCDA_Prioritisation!$F$3+(RAND()-0.5)*2*$B$7))</f>
        <v>96.436984782413802</v>
      </c>
      <c r="O91" s="54">
        <f ca="1">MIN(100,MAX(0,MCDA_Prioritisation!$F$4+(RAND()-0.5)*2*$B$7))</f>
        <v>93.207354077272299</v>
      </c>
      <c r="P91" s="54">
        <f ca="1">MIN(100,MAX(0,MCDA_Prioritisation!$F$5+(RAND()-0.5)*2*$B$7))</f>
        <v>66.195447457828976</v>
      </c>
      <c r="Q91" s="54">
        <f ca="1">MIN(100,MAX(0,MCDA_Prioritisation!$G$2+(RAND()-0.5)*2*$B$7))</f>
        <v>73.215318472890033</v>
      </c>
      <c r="R91" s="54">
        <f ca="1">MIN(100,MAX(0,MCDA_Prioritisation!$G$3+(RAND()-0.5)*2*$B$7))</f>
        <v>87.854061763673798</v>
      </c>
      <c r="S91" s="54">
        <f ca="1">MIN(100,MAX(0,MCDA_Prioritisation!$G$4+(RAND()-0.5)*2*$B$7))</f>
        <v>87.3367495669916</v>
      </c>
      <c r="T91" s="54">
        <f ca="1">MIN(100,MAX(0,MCDA_Prioritisation!$G$5+(RAND()-0.5)*2*$B$7))</f>
        <v>62.796161781533698</v>
      </c>
      <c r="U91" s="54">
        <f ca="1">MIN(100,MAX(0,MCDA_Prioritisation!$H$2+(RAND()-0.5)*2*$B$7))</f>
        <v>61.843015153968516</v>
      </c>
      <c r="V91" s="54">
        <f ca="1">MIN(100,MAX(0,MCDA_Prioritisation!$H$3+(RAND()-0.5)*2*$B$7))</f>
        <v>66.183908770476833</v>
      </c>
      <c r="W91" s="54">
        <f ca="1">MIN(100,MAX(0,MCDA_Prioritisation!$H$4+(RAND()-0.5)*2*$B$7))</f>
        <v>84.588197336139459</v>
      </c>
      <c r="X91" s="54">
        <f ca="1">MIN(100,MAX(0,MCDA_Prioritisation!$H$5+(RAND()-0.5)*2*$B$7))</f>
        <v>81.474970494569646</v>
      </c>
      <c r="Y91" s="54">
        <f ca="1">H91*MCDA_Prioritisation!$D$2+I91*MCDA_Prioritisation!$E$2+J91*M91+K91*Q91+L91*U91</f>
        <v>85.139299637075581</v>
      </c>
      <c r="Z91" s="54">
        <f ca="1">H91*MCDA_Prioritisation!$D$3+I91*MCDA_Prioritisation!$E$3+J91*N91+K91*R91+L91*V91</f>
        <v>81.43663696104953</v>
      </c>
      <c r="AA91" s="54">
        <f ca="1">H91*MCDA_Prioritisation!$D$4+I91*MCDA_Prioritisation!$E$4+J91*O91+K91*S91+L91*W91</f>
        <v>76.434933248063658</v>
      </c>
      <c r="AB91" s="54">
        <f ca="1">H91*MCDA_Prioritisation!$D$5+I91*MCDA_Prioritisation!$E$5+J91*P91+K91*T91+L91*X91</f>
        <v>69.802581147427674</v>
      </c>
      <c r="AC91" s="54">
        <f t="shared" ca="1" si="20"/>
        <v>1</v>
      </c>
      <c r="AD91" s="54">
        <f t="shared" ca="1" si="21"/>
        <v>2</v>
      </c>
      <c r="AE91" s="54">
        <f t="shared" ca="1" si="22"/>
        <v>3</v>
      </c>
      <c r="AF91" s="54">
        <f t="shared" ca="1" si="23"/>
        <v>4</v>
      </c>
      <c r="AG91" s="54">
        <f t="shared" ca="1" si="24"/>
        <v>1</v>
      </c>
      <c r="AH91" s="54">
        <f t="shared" ca="1" si="25"/>
        <v>1</v>
      </c>
      <c r="AI91" s="54">
        <f t="shared" ca="1" si="26"/>
        <v>1</v>
      </c>
      <c r="AJ91" s="54">
        <f t="shared" ca="1" si="27"/>
        <v>1</v>
      </c>
    </row>
    <row r="92" spans="1:36" x14ac:dyDescent="0.2">
      <c r="A92" s="54">
        <v>69</v>
      </c>
      <c r="B92" s="54">
        <f ca="1">MAX(0.02,MCDA_Prioritisation!$B$9+(RAND()-0.5)*2*$B$6)</f>
        <v>0.22697137412594792</v>
      </c>
      <c r="C92" s="54">
        <f ca="1">MAX(0.02,MCDA_Prioritisation!$B$10+(RAND()-0.5)*2*$B$6)</f>
        <v>0.2302947313666609</v>
      </c>
      <c r="D92" s="54">
        <f ca="1">MAX(0.02,MCDA_Prioritisation!$B$11+(RAND()-0.5)*2*$B$6)</f>
        <v>0.2543915688356605</v>
      </c>
      <c r="E92" s="54">
        <f ca="1">MAX(0.02,MCDA_Prioritisation!$B$12+(RAND()-0.5)*2*$B$6)</f>
        <v>0.11704165762559904</v>
      </c>
      <c r="F92" s="54">
        <f ca="1">MAX(0.02,MCDA_Prioritisation!$B$13+(RAND()-0.5)*2*$B$6)</f>
        <v>0.19356752027729265</v>
      </c>
      <c r="G92" s="54">
        <f t="shared" ca="1" si="14"/>
        <v>1.0222668522311611</v>
      </c>
      <c r="H92" s="54">
        <f t="shared" ca="1" si="15"/>
        <v>0.22202752014365795</v>
      </c>
      <c r="I92" s="54">
        <f t="shared" ca="1" si="16"/>
        <v>0.22527848855123131</v>
      </c>
      <c r="J92" s="54">
        <f t="shared" ca="1" si="17"/>
        <v>0.24885045258039529</v>
      </c>
      <c r="K92" s="54">
        <f t="shared" ca="1" si="18"/>
        <v>0.11449227505533249</v>
      </c>
      <c r="L92" s="54">
        <f t="shared" ca="1" si="19"/>
        <v>0.18935126366938287</v>
      </c>
      <c r="M92" s="54">
        <f ca="1">MIN(100,MAX(0,MCDA_Prioritisation!$F$2+(RAND()-0.5)*2*$B$7))</f>
        <v>79.932187003405218</v>
      </c>
      <c r="N92" s="54">
        <f ca="1">MIN(100,MAX(0,MCDA_Prioritisation!$F$3+(RAND()-0.5)*2*$B$7))</f>
        <v>89.23038662727997</v>
      </c>
      <c r="O92" s="54">
        <f ca="1">MIN(100,MAX(0,MCDA_Prioritisation!$F$4+(RAND()-0.5)*2*$B$7))</f>
        <v>88.580107797070127</v>
      </c>
      <c r="P92" s="54">
        <f ca="1">MIN(100,MAX(0,MCDA_Prioritisation!$F$5+(RAND()-0.5)*2*$B$7))</f>
        <v>81.891544867116593</v>
      </c>
      <c r="Q92" s="54">
        <f ca="1">MIN(100,MAX(0,MCDA_Prioritisation!$G$2+(RAND()-0.5)*2*$B$7))</f>
        <v>71.742915480008065</v>
      </c>
      <c r="R92" s="54">
        <f ca="1">MIN(100,MAX(0,MCDA_Prioritisation!$G$3+(RAND()-0.5)*2*$B$7))</f>
        <v>95.603648933906342</v>
      </c>
      <c r="S92" s="54">
        <f ca="1">MIN(100,MAX(0,MCDA_Prioritisation!$G$4+(RAND()-0.5)*2*$B$7))</f>
        <v>85.10566037427995</v>
      </c>
      <c r="T92" s="54">
        <f ca="1">MIN(100,MAX(0,MCDA_Prioritisation!$G$5+(RAND()-0.5)*2*$B$7))</f>
        <v>66.01078725561355</v>
      </c>
      <c r="U92" s="54">
        <f ca="1">MIN(100,MAX(0,MCDA_Prioritisation!$H$2+(RAND()-0.5)*2*$B$7))</f>
        <v>56.978966473809251</v>
      </c>
      <c r="V92" s="54">
        <f ca="1">MIN(100,MAX(0,MCDA_Prioritisation!$H$3+(RAND()-0.5)*2*$B$7))</f>
        <v>65.259379626714008</v>
      </c>
      <c r="W92" s="54">
        <f ca="1">MIN(100,MAX(0,MCDA_Prioritisation!$H$4+(RAND()-0.5)*2*$B$7))</f>
        <v>73.928763284116215</v>
      </c>
      <c r="X92" s="54">
        <f ca="1">MIN(100,MAX(0,MCDA_Prioritisation!$H$5+(RAND()-0.5)*2*$B$7))</f>
        <v>66.887198400093851</v>
      </c>
      <c r="Y92" s="54">
        <f ca="1">H92*MCDA_Prioritisation!$D$2+I92*MCDA_Prioritisation!$E$2+J92*M92+K92*Q92+L92*U92</f>
        <v>83.624810697826845</v>
      </c>
      <c r="Z92" s="54">
        <f ca="1">H92*MCDA_Prioritisation!$D$3+I92*MCDA_Prioritisation!$E$3+J92*N92+K92*R92+L92*V92</f>
        <v>81.29624093048885</v>
      </c>
      <c r="AA92" s="54">
        <f ca="1">H92*MCDA_Prioritisation!$D$4+I92*MCDA_Prioritisation!$E$4+J92*O92+K92*S92+L92*W92</f>
        <v>73.534254189650511</v>
      </c>
      <c r="AB92" s="54">
        <f ca="1">H92*MCDA_Prioritisation!$D$5+I92*MCDA_Prioritisation!$E$5+J92*P92+K92*T92+L92*X92</f>
        <v>71.329829851601573</v>
      </c>
      <c r="AC92" s="54">
        <f t="shared" ca="1" si="20"/>
        <v>1</v>
      </c>
      <c r="AD92" s="54">
        <f t="shared" ca="1" si="21"/>
        <v>2</v>
      </c>
      <c r="AE92" s="54">
        <f t="shared" ca="1" si="22"/>
        <v>3</v>
      </c>
      <c r="AF92" s="54">
        <f t="shared" ca="1" si="23"/>
        <v>4</v>
      </c>
      <c r="AG92" s="54">
        <f t="shared" ca="1" si="24"/>
        <v>1</v>
      </c>
      <c r="AH92" s="54">
        <f t="shared" ca="1" si="25"/>
        <v>1</v>
      </c>
      <c r="AI92" s="54">
        <f t="shared" ca="1" si="26"/>
        <v>1</v>
      </c>
      <c r="AJ92" s="54">
        <f t="shared" ca="1" si="27"/>
        <v>1</v>
      </c>
    </row>
    <row r="93" spans="1:36" x14ac:dyDescent="0.2">
      <c r="A93" s="54">
        <v>70</v>
      </c>
      <c r="B93" s="54">
        <f ca="1">MAX(0.02,MCDA_Prioritisation!$B$9+(RAND()-0.5)*2*$B$6)</f>
        <v>0.20810596856437147</v>
      </c>
      <c r="C93" s="54">
        <f ca="1">MAX(0.02,MCDA_Prioritisation!$B$10+(RAND()-0.5)*2*$B$6)</f>
        <v>0.20290947083263564</v>
      </c>
      <c r="D93" s="54">
        <f ca="1">MAX(0.02,MCDA_Prioritisation!$B$11+(RAND()-0.5)*2*$B$6)</f>
        <v>0.2798539633543255</v>
      </c>
      <c r="E93" s="54">
        <f ca="1">MAX(0.02,MCDA_Prioritisation!$B$12+(RAND()-0.5)*2*$B$6)</f>
        <v>0.13435387378028182</v>
      </c>
      <c r="F93" s="54">
        <f ca="1">MAX(0.02,MCDA_Prioritisation!$B$13+(RAND()-0.5)*2*$B$6)</f>
        <v>7.5295841633226931E-2</v>
      </c>
      <c r="G93" s="54">
        <f t="shared" ca="1" si="14"/>
        <v>0.90051911816484143</v>
      </c>
      <c r="H93" s="54">
        <f t="shared" ca="1" si="15"/>
        <v>0.23109555851348104</v>
      </c>
      <c r="I93" s="54">
        <f t="shared" ca="1" si="16"/>
        <v>0.22532500059092886</v>
      </c>
      <c r="J93" s="54">
        <f t="shared" ca="1" si="17"/>
        <v>0.31076959690165934</v>
      </c>
      <c r="K93" s="54">
        <f t="shared" ca="1" si="18"/>
        <v>0.14919602601450616</v>
      </c>
      <c r="L93" s="54">
        <f t="shared" ca="1" si="19"/>
        <v>8.3613817979424521E-2</v>
      </c>
      <c r="M93" s="54">
        <f ca="1">MIN(100,MAX(0,MCDA_Prioritisation!$F$2+(RAND()-0.5)*2*$B$7))</f>
        <v>94.535953468720308</v>
      </c>
      <c r="N93" s="54">
        <f ca="1">MIN(100,MAX(0,MCDA_Prioritisation!$F$3+(RAND()-0.5)*2*$B$7))</f>
        <v>96.605565165095527</v>
      </c>
      <c r="O93" s="54">
        <f ca="1">MIN(100,MAX(0,MCDA_Prioritisation!$F$4+(RAND()-0.5)*2*$B$7))</f>
        <v>87.921019049754861</v>
      </c>
      <c r="P93" s="54">
        <f ca="1">MIN(100,MAX(0,MCDA_Prioritisation!$F$5+(RAND()-0.5)*2*$B$7))</f>
        <v>69.691370667938429</v>
      </c>
      <c r="Q93" s="54">
        <f ca="1">MIN(100,MAX(0,MCDA_Prioritisation!$G$2+(RAND()-0.5)*2*$B$7))</f>
        <v>89.999286152561524</v>
      </c>
      <c r="R93" s="54">
        <f ca="1">MIN(100,MAX(0,MCDA_Prioritisation!$G$3+(RAND()-0.5)*2*$B$7))</f>
        <v>92.79686940421638</v>
      </c>
      <c r="S93" s="54">
        <f ca="1">MIN(100,MAX(0,MCDA_Prioritisation!$G$4+(RAND()-0.5)*2*$B$7))</f>
        <v>89.884942453629421</v>
      </c>
      <c r="T93" s="54">
        <f ca="1">MIN(100,MAX(0,MCDA_Prioritisation!$G$5+(RAND()-0.5)*2*$B$7))</f>
        <v>71.276459880807067</v>
      </c>
      <c r="U93" s="54">
        <f ca="1">MIN(100,MAX(0,MCDA_Prioritisation!$H$2+(RAND()-0.5)*2*$B$7))</f>
        <v>61.464201186542738</v>
      </c>
      <c r="V93" s="54">
        <f ca="1">MIN(100,MAX(0,MCDA_Prioritisation!$H$3+(RAND()-0.5)*2*$B$7))</f>
        <v>63.084535816557405</v>
      </c>
      <c r="W93" s="54">
        <f ca="1">MIN(100,MAX(0,MCDA_Prioritisation!$H$4+(RAND()-0.5)*2*$B$7))</f>
        <v>85.807853226431973</v>
      </c>
      <c r="X93" s="54">
        <f ca="1">MIN(100,MAX(0,MCDA_Prioritisation!$H$5+(RAND()-0.5)*2*$B$7))</f>
        <v>77.593898885553628</v>
      </c>
      <c r="Y93" s="54">
        <f ca="1">H93*MCDA_Prioritisation!$D$2+I93*MCDA_Prioritisation!$E$2+J93*M93+K93*Q93+L93*U93</f>
        <v>93.587748430996101</v>
      </c>
      <c r="Z93" s="54">
        <f ca="1">H93*MCDA_Prioritisation!$D$3+I93*MCDA_Prioritisation!$E$3+J93*N93+K93*R93+L93*V93</f>
        <v>85.726029732932773</v>
      </c>
      <c r="AA93" s="54">
        <f ca="1">H93*MCDA_Prioritisation!$D$4+I93*MCDA_Prioritisation!$E$4+J93*O93+K93*S93+L93*W93</f>
        <v>76.290968836854887</v>
      </c>
      <c r="AB93" s="54">
        <f ca="1">H93*MCDA_Prioritisation!$D$5+I93*MCDA_Prioritisation!$E$5+J93*P93+K93*T93+L93*X93</f>
        <v>69.993432412908135</v>
      </c>
      <c r="AC93" s="54">
        <f t="shared" ca="1" si="20"/>
        <v>1</v>
      </c>
      <c r="AD93" s="54">
        <f t="shared" ca="1" si="21"/>
        <v>2</v>
      </c>
      <c r="AE93" s="54">
        <f t="shared" ca="1" si="22"/>
        <v>3</v>
      </c>
      <c r="AF93" s="54">
        <f t="shared" ca="1" si="23"/>
        <v>4</v>
      </c>
      <c r="AG93" s="54">
        <f t="shared" ca="1" si="24"/>
        <v>1</v>
      </c>
      <c r="AH93" s="54">
        <f t="shared" ca="1" si="25"/>
        <v>1</v>
      </c>
      <c r="AI93" s="54">
        <f t="shared" ca="1" si="26"/>
        <v>1</v>
      </c>
      <c r="AJ93" s="54">
        <f t="shared" ca="1" si="27"/>
        <v>1</v>
      </c>
    </row>
    <row r="94" spans="1:36" x14ac:dyDescent="0.2">
      <c r="A94" s="54">
        <v>71</v>
      </c>
      <c r="B94" s="54">
        <f ca="1">MAX(0.02,MCDA_Prioritisation!$B$9+(RAND()-0.5)*2*$B$6)</f>
        <v>0.21657592920655538</v>
      </c>
      <c r="C94" s="54">
        <f ca="1">MAX(0.02,MCDA_Prioritisation!$B$10+(RAND()-0.5)*2*$B$6)</f>
        <v>0.31106599527621337</v>
      </c>
      <c r="D94" s="54">
        <f ca="1">MAX(0.02,MCDA_Prioritisation!$B$11+(RAND()-0.5)*2*$B$6)</f>
        <v>0.20968237647783786</v>
      </c>
      <c r="E94" s="54">
        <f ca="1">MAX(0.02,MCDA_Prioritisation!$B$12+(RAND()-0.5)*2*$B$6)</f>
        <v>0.1010372872141429</v>
      </c>
      <c r="F94" s="54">
        <f ca="1">MAX(0.02,MCDA_Prioritisation!$B$13+(RAND()-0.5)*2*$B$6)</f>
        <v>0.18693856761185448</v>
      </c>
      <c r="G94" s="54">
        <f t="shared" ca="1" si="14"/>
        <v>1.0253001557866039</v>
      </c>
      <c r="H94" s="54">
        <f t="shared" ca="1" si="15"/>
        <v>0.21123173344336388</v>
      </c>
      <c r="I94" s="54">
        <f t="shared" ca="1" si="16"/>
        <v>0.30339017654548728</v>
      </c>
      <c r="J94" s="54">
        <f t="shared" ca="1" si="17"/>
        <v>0.20450828500749699</v>
      </c>
      <c r="K94" s="54">
        <f t="shared" ca="1" si="18"/>
        <v>9.8544105980972685E-2</v>
      </c>
      <c r="L94" s="54">
        <f t="shared" ca="1" si="19"/>
        <v>0.18232569902267923</v>
      </c>
      <c r="M94" s="54">
        <f ca="1">MIN(100,MAX(0,MCDA_Prioritisation!$F$2+(RAND()-0.5)*2*$B$7))</f>
        <v>84.122289351249535</v>
      </c>
      <c r="N94" s="54">
        <f ca="1">MIN(100,MAX(0,MCDA_Prioritisation!$F$3+(RAND()-0.5)*2*$B$7))</f>
        <v>98.498081954973728</v>
      </c>
      <c r="O94" s="54">
        <f ca="1">MIN(100,MAX(0,MCDA_Prioritisation!$F$4+(RAND()-0.5)*2*$B$7))</f>
        <v>94.193063002455517</v>
      </c>
      <c r="P94" s="54">
        <f ca="1">MIN(100,MAX(0,MCDA_Prioritisation!$F$5+(RAND()-0.5)*2*$B$7))</f>
        <v>76.347249562128027</v>
      </c>
      <c r="Q94" s="54">
        <f ca="1">MIN(100,MAX(0,MCDA_Prioritisation!$G$2+(RAND()-0.5)*2*$B$7))</f>
        <v>73.486873954323556</v>
      </c>
      <c r="R94" s="54">
        <f ca="1">MIN(100,MAX(0,MCDA_Prioritisation!$G$3+(RAND()-0.5)*2*$B$7))</f>
        <v>89.340988596505568</v>
      </c>
      <c r="S94" s="54">
        <f ca="1">MIN(100,MAX(0,MCDA_Prioritisation!$G$4+(RAND()-0.5)*2*$B$7))</f>
        <v>85.649256557402637</v>
      </c>
      <c r="T94" s="54">
        <f ca="1">MIN(100,MAX(0,MCDA_Prioritisation!$G$5+(RAND()-0.5)*2*$B$7))</f>
        <v>70.341057757244258</v>
      </c>
      <c r="U94" s="54">
        <f ca="1">MIN(100,MAX(0,MCDA_Prioritisation!$H$2+(RAND()-0.5)*2*$B$7))</f>
        <v>69.534624575197256</v>
      </c>
      <c r="V94" s="54">
        <f ca="1">MIN(100,MAX(0,MCDA_Prioritisation!$H$3+(RAND()-0.5)*2*$B$7))</f>
        <v>57.773970641849651</v>
      </c>
      <c r="W94" s="54">
        <f ca="1">MIN(100,MAX(0,MCDA_Prioritisation!$H$4+(RAND()-0.5)*2*$B$7))</f>
        <v>87.277280564258561</v>
      </c>
      <c r="X94" s="54">
        <f ca="1">MIN(100,MAX(0,MCDA_Prioritisation!$H$5+(RAND()-0.5)*2*$B$7))</f>
        <v>80.852449579417922</v>
      </c>
      <c r="Y94" s="54">
        <f ca="1">H94*MCDA_Prioritisation!$D$2+I94*MCDA_Prioritisation!$E$2+J94*M94+K94*Q94+L94*U94</f>
        <v>88.585543452131219</v>
      </c>
      <c r="Z94" s="54">
        <f ca="1">H94*MCDA_Prioritisation!$D$3+I94*MCDA_Prioritisation!$E$3+J94*N94+K94*R94+L94*V94</f>
        <v>80.007107215179076</v>
      </c>
      <c r="AA94" s="54">
        <f ca="1">H94*MCDA_Prioritisation!$D$4+I94*MCDA_Prioritisation!$E$4+J94*O94+K94*S94+L94*W94</f>
        <v>74.873873631595174</v>
      </c>
      <c r="AB94" s="54">
        <f ca="1">H94*MCDA_Prioritisation!$D$5+I94*MCDA_Prioritisation!$E$5+J94*P94+K94*T94+L94*X94</f>
        <v>74.010489076775215</v>
      </c>
      <c r="AC94" s="54">
        <f t="shared" ca="1" si="20"/>
        <v>1</v>
      </c>
      <c r="AD94" s="54">
        <f t="shared" ca="1" si="21"/>
        <v>2</v>
      </c>
      <c r="AE94" s="54">
        <f t="shared" ca="1" si="22"/>
        <v>3</v>
      </c>
      <c r="AF94" s="54">
        <f t="shared" ca="1" si="23"/>
        <v>4</v>
      </c>
      <c r="AG94" s="54">
        <f t="shared" ca="1" si="24"/>
        <v>1</v>
      </c>
      <c r="AH94" s="54">
        <f t="shared" ca="1" si="25"/>
        <v>1</v>
      </c>
      <c r="AI94" s="54">
        <f t="shared" ca="1" si="26"/>
        <v>1</v>
      </c>
      <c r="AJ94" s="54">
        <f t="shared" ca="1" si="27"/>
        <v>1</v>
      </c>
    </row>
    <row r="95" spans="1:36" x14ac:dyDescent="0.2">
      <c r="A95" s="54">
        <v>72</v>
      </c>
      <c r="B95" s="54">
        <f ca="1">MAX(0.02,MCDA_Prioritisation!$B$9+(RAND()-0.5)*2*$B$6)</f>
        <v>0.1617613833169157</v>
      </c>
      <c r="C95" s="54">
        <f ca="1">MAX(0.02,MCDA_Prioritisation!$B$10+(RAND()-0.5)*2*$B$6)</f>
        <v>0.24218183118064013</v>
      </c>
      <c r="D95" s="54">
        <f ca="1">MAX(0.02,MCDA_Prioritisation!$B$11+(RAND()-0.5)*2*$B$6)</f>
        <v>0.18842577926586879</v>
      </c>
      <c r="E95" s="54">
        <f ca="1">MAX(0.02,MCDA_Prioritisation!$B$12+(RAND()-0.5)*2*$B$6)</f>
        <v>0.11038773019008206</v>
      </c>
      <c r="F95" s="54">
        <f ca="1">MAX(0.02,MCDA_Prioritisation!$B$13+(RAND()-0.5)*2*$B$6)</f>
        <v>0.15503739711508305</v>
      </c>
      <c r="G95" s="54">
        <f t="shared" ca="1" si="14"/>
        <v>0.85779412106858977</v>
      </c>
      <c r="H95" s="54">
        <f t="shared" ca="1" si="15"/>
        <v>0.18857833056188683</v>
      </c>
      <c r="I95" s="54">
        <f t="shared" ca="1" si="16"/>
        <v>0.28233095241891393</v>
      </c>
      <c r="J95" s="54">
        <f t="shared" ca="1" si="17"/>
        <v>0.21966317399230828</v>
      </c>
      <c r="K95" s="54">
        <f t="shared" ca="1" si="18"/>
        <v>0.12868790713157077</v>
      </c>
      <c r="L95" s="54">
        <f t="shared" ca="1" si="19"/>
        <v>0.18073963589532011</v>
      </c>
      <c r="M95" s="54">
        <f ca="1">MIN(100,MAX(0,MCDA_Prioritisation!$F$2+(RAND()-0.5)*2*$B$7))</f>
        <v>81.370026538037024</v>
      </c>
      <c r="N95" s="54">
        <f ca="1">MIN(100,MAX(0,MCDA_Prioritisation!$F$3+(RAND()-0.5)*2*$B$7))</f>
        <v>99.171061151169027</v>
      </c>
      <c r="O95" s="54">
        <f ca="1">MIN(100,MAX(0,MCDA_Prioritisation!$F$4+(RAND()-0.5)*2*$B$7))</f>
        <v>89.120449528910854</v>
      </c>
      <c r="P95" s="54">
        <f ca="1">MIN(100,MAX(0,MCDA_Prioritisation!$F$5+(RAND()-0.5)*2*$B$7))</f>
        <v>66.833422787798654</v>
      </c>
      <c r="Q95" s="54">
        <f ca="1">MIN(100,MAX(0,MCDA_Prioritisation!$G$2+(RAND()-0.5)*2*$B$7))</f>
        <v>78.973258803983384</v>
      </c>
      <c r="R95" s="54">
        <f ca="1">MIN(100,MAX(0,MCDA_Prioritisation!$G$3+(RAND()-0.5)*2*$B$7))</f>
        <v>100</v>
      </c>
      <c r="S95" s="54">
        <f ca="1">MIN(100,MAX(0,MCDA_Prioritisation!$G$4+(RAND()-0.5)*2*$B$7))</f>
        <v>94.747094955044815</v>
      </c>
      <c r="T95" s="54">
        <f ca="1">MIN(100,MAX(0,MCDA_Prioritisation!$G$5+(RAND()-0.5)*2*$B$7))</f>
        <v>75.981729496916486</v>
      </c>
      <c r="U95" s="54">
        <f ca="1">MIN(100,MAX(0,MCDA_Prioritisation!$H$2+(RAND()-0.5)*2*$B$7))</f>
        <v>69.770465315371894</v>
      </c>
      <c r="V95" s="54">
        <f ca="1">MIN(100,MAX(0,MCDA_Prioritisation!$H$3+(RAND()-0.5)*2*$B$7))</f>
        <v>69.692146813851679</v>
      </c>
      <c r="W95" s="54">
        <f ca="1">MIN(100,MAX(0,MCDA_Prioritisation!$H$4+(RAND()-0.5)*2*$B$7))</f>
        <v>89.249559541530289</v>
      </c>
      <c r="X95" s="54">
        <f ca="1">MIN(100,MAX(0,MCDA_Prioritisation!$H$5+(RAND()-0.5)*2*$B$7))</f>
        <v>70.96898352376239</v>
      </c>
      <c r="Y95" s="54">
        <f ca="1">H95*MCDA_Prioritisation!$D$2+I95*MCDA_Prioritisation!$E$2+J95*M95+K95*Q95+L95*U95</f>
        <v>87.738118487455552</v>
      </c>
      <c r="Z95" s="54">
        <f ca="1">H95*MCDA_Prioritisation!$D$3+I95*MCDA_Prioritisation!$E$3+J95*N95+K95*R95+L95*V95</f>
        <v>84.2634642336551</v>
      </c>
      <c r="AA95" s="54">
        <f ca="1">H95*MCDA_Prioritisation!$D$4+I95*MCDA_Prioritisation!$E$4+J95*O95+K95*S95+L95*W95</f>
        <v>76.431575558638741</v>
      </c>
      <c r="AB95" s="54">
        <f ca="1">H95*MCDA_Prioritisation!$D$5+I95*MCDA_Prioritisation!$E$5+J95*P95+K95*T95+L95*X95</f>
        <v>71.036108918577128</v>
      </c>
      <c r="AC95" s="54">
        <f t="shared" ca="1" si="20"/>
        <v>1</v>
      </c>
      <c r="AD95" s="54">
        <f t="shared" ca="1" si="21"/>
        <v>2</v>
      </c>
      <c r="AE95" s="54">
        <f t="shared" ca="1" si="22"/>
        <v>3</v>
      </c>
      <c r="AF95" s="54">
        <f t="shared" ca="1" si="23"/>
        <v>4</v>
      </c>
      <c r="AG95" s="54">
        <f t="shared" ca="1" si="24"/>
        <v>1</v>
      </c>
      <c r="AH95" s="54">
        <f t="shared" ca="1" si="25"/>
        <v>1</v>
      </c>
      <c r="AI95" s="54">
        <f t="shared" ca="1" si="26"/>
        <v>1</v>
      </c>
      <c r="AJ95" s="54">
        <f t="shared" ca="1" si="27"/>
        <v>1</v>
      </c>
    </row>
    <row r="96" spans="1:36" x14ac:dyDescent="0.2">
      <c r="A96" s="54">
        <v>73</v>
      </c>
      <c r="B96" s="54">
        <f ca="1">MAX(0.02,MCDA_Prioritisation!$B$9+(RAND()-0.5)*2*$B$6)</f>
        <v>0.26792029478644386</v>
      </c>
      <c r="C96" s="54">
        <f ca="1">MAX(0.02,MCDA_Prioritisation!$B$10+(RAND()-0.5)*2*$B$6)</f>
        <v>0.17079123785256478</v>
      </c>
      <c r="D96" s="54">
        <f ca="1">MAX(0.02,MCDA_Prioritisation!$B$11+(RAND()-0.5)*2*$B$6)</f>
        <v>0.21535902049513964</v>
      </c>
      <c r="E96" s="54">
        <f ca="1">MAX(0.02,MCDA_Prioritisation!$B$12+(RAND()-0.5)*2*$B$6)</f>
        <v>0.18409302348819259</v>
      </c>
      <c r="F96" s="54">
        <f ca="1">MAX(0.02,MCDA_Prioritisation!$B$13+(RAND()-0.5)*2*$B$6)</f>
        <v>0.18489098945779675</v>
      </c>
      <c r="G96" s="54">
        <f t="shared" ca="1" si="14"/>
        <v>1.0230545660801376</v>
      </c>
      <c r="H96" s="54">
        <f t="shared" ca="1" si="15"/>
        <v>0.26188270271153574</v>
      </c>
      <c r="I96" s="54">
        <f t="shared" ca="1" si="16"/>
        <v>0.16694245205996805</v>
      </c>
      <c r="J96" s="54">
        <f t="shared" ca="1" si="17"/>
        <v>0.21050589835133995</v>
      </c>
      <c r="K96" s="54">
        <f t="shared" ca="1" si="18"/>
        <v>0.1799444815475974</v>
      </c>
      <c r="L96" s="54">
        <f t="shared" ca="1" si="19"/>
        <v>0.18072446532955891</v>
      </c>
      <c r="M96" s="54">
        <f ca="1">MIN(100,MAX(0,MCDA_Prioritisation!$F$2+(RAND()-0.5)*2*$B$7))</f>
        <v>92.822893336691394</v>
      </c>
      <c r="N96" s="54">
        <f ca="1">MIN(100,MAX(0,MCDA_Prioritisation!$F$3+(RAND()-0.5)*2*$B$7))</f>
        <v>85.304149202001042</v>
      </c>
      <c r="O96" s="54">
        <f ca="1">MIN(100,MAX(0,MCDA_Prioritisation!$F$4+(RAND()-0.5)*2*$B$7))</f>
        <v>85.059443851113031</v>
      </c>
      <c r="P96" s="54">
        <f ca="1">MIN(100,MAX(0,MCDA_Prioritisation!$F$5+(RAND()-0.5)*2*$B$7))</f>
        <v>69.072222214783906</v>
      </c>
      <c r="Q96" s="54">
        <f ca="1">MIN(100,MAX(0,MCDA_Prioritisation!$G$2+(RAND()-0.5)*2*$B$7))</f>
        <v>78.881984271706017</v>
      </c>
      <c r="R96" s="54">
        <f ca="1">MIN(100,MAX(0,MCDA_Prioritisation!$G$3+(RAND()-0.5)*2*$B$7))</f>
        <v>89.55921720911725</v>
      </c>
      <c r="S96" s="54">
        <f ca="1">MIN(100,MAX(0,MCDA_Prioritisation!$G$4+(RAND()-0.5)*2*$B$7))</f>
        <v>87.025027392056373</v>
      </c>
      <c r="T96" s="54">
        <f ca="1">MIN(100,MAX(0,MCDA_Prioritisation!$G$5+(RAND()-0.5)*2*$B$7))</f>
        <v>78.352761759652722</v>
      </c>
      <c r="U96" s="54">
        <f ca="1">MIN(100,MAX(0,MCDA_Prioritisation!$H$2+(RAND()-0.5)*2*$B$7))</f>
        <v>73.148152300768416</v>
      </c>
      <c r="V96" s="54">
        <f ca="1">MIN(100,MAX(0,MCDA_Prioritisation!$H$3+(RAND()-0.5)*2*$B$7))</f>
        <v>64.108654816789056</v>
      </c>
      <c r="W96" s="54">
        <f ca="1">MIN(100,MAX(0,MCDA_Prioritisation!$H$4+(RAND()-0.5)*2*$B$7))</f>
        <v>76.668918885290964</v>
      </c>
      <c r="X96" s="54">
        <f ca="1">MIN(100,MAX(0,MCDA_Prioritisation!$H$5+(RAND()-0.5)*2*$B$7))</f>
        <v>83.248939862002814</v>
      </c>
      <c r="Y96" s="54">
        <f ca="1">H96*MCDA_Prioritisation!$D$2+I96*MCDA_Prioritisation!$E$2+J96*M96+K96*Q96+L96*U96</f>
        <v>89.836320504180591</v>
      </c>
      <c r="Z96" s="54">
        <f ca="1">H96*MCDA_Prioritisation!$D$3+I96*MCDA_Prioritisation!$E$3+J96*N96+K96*R96+L96*V96</f>
        <v>80.68770554869532</v>
      </c>
      <c r="AA96" s="54">
        <f ca="1">H96*MCDA_Prioritisation!$D$4+I96*MCDA_Prioritisation!$E$4+J96*O96+K96*S96+L96*W96</f>
        <v>74.763061293372445</v>
      </c>
      <c r="AB96" s="54">
        <f ca="1">H96*MCDA_Prioritisation!$D$5+I96*MCDA_Prioritisation!$E$5+J96*P96+K96*T96+L96*X96</f>
        <v>71.622377461874592</v>
      </c>
      <c r="AC96" s="54">
        <f t="shared" ca="1" si="20"/>
        <v>1</v>
      </c>
      <c r="AD96" s="54">
        <f t="shared" ca="1" si="21"/>
        <v>2</v>
      </c>
      <c r="AE96" s="54">
        <f t="shared" ca="1" si="22"/>
        <v>3</v>
      </c>
      <c r="AF96" s="54">
        <f t="shared" ca="1" si="23"/>
        <v>4</v>
      </c>
      <c r="AG96" s="54">
        <f t="shared" ca="1" si="24"/>
        <v>1</v>
      </c>
      <c r="AH96" s="54">
        <f t="shared" ca="1" si="25"/>
        <v>1</v>
      </c>
      <c r="AI96" s="54">
        <f t="shared" ca="1" si="26"/>
        <v>1</v>
      </c>
      <c r="AJ96" s="54">
        <f t="shared" ca="1" si="27"/>
        <v>1</v>
      </c>
    </row>
    <row r="97" spans="1:36" x14ac:dyDescent="0.2">
      <c r="A97" s="54">
        <v>74</v>
      </c>
      <c r="B97" s="54">
        <f ca="1">MAX(0.02,MCDA_Prioritisation!$B$9+(RAND()-0.5)*2*$B$6)</f>
        <v>0.25086621455219521</v>
      </c>
      <c r="C97" s="54">
        <f ca="1">MAX(0.02,MCDA_Prioritisation!$B$10+(RAND()-0.5)*2*$B$6)</f>
        <v>0.18503231374862045</v>
      </c>
      <c r="D97" s="54">
        <f ca="1">MAX(0.02,MCDA_Prioritisation!$B$11+(RAND()-0.5)*2*$B$6)</f>
        <v>0.26171712080522236</v>
      </c>
      <c r="E97" s="54">
        <f ca="1">MAX(0.02,MCDA_Prioritisation!$B$12+(RAND()-0.5)*2*$B$6)</f>
        <v>0.14741522290987569</v>
      </c>
      <c r="F97" s="54">
        <f ca="1">MAX(0.02,MCDA_Prioritisation!$B$13+(RAND()-0.5)*2*$B$6)</f>
        <v>0.15851491961900752</v>
      </c>
      <c r="G97" s="54">
        <f t="shared" ca="1" si="14"/>
        <v>1.0035457916349211</v>
      </c>
      <c r="H97" s="54">
        <f t="shared" ca="1" si="15"/>
        <v>0.24997983813324343</v>
      </c>
      <c r="I97" s="54">
        <f t="shared" ca="1" si="16"/>
        <v>0.18437854584311103</v>
      </c>
      <c r="J97" s="54">
        <f t="shared" ca="1" si="17"/>
        <v>0.26079240527614328</v>
      </c>
      <c r="K97" s="54">
        <f t="shared" ca="1" si="18"/>
        <v>0.14689436609535772</v>
      </c>
      <c r="L97" s="54">
        <f t="shared" ca="1" si="19"/>
        <v>0.15795484465214468</v>
      </c>
      <c r="M97" s="54">
        <f ca="1">MIN(100,MAX(0,MCDA_Prioritisation!$F$2+(RAND()-0.5)*2*$B$7))</f>
        <v>83.294798896951221</v>
      </c>
      <c r="N97" s="54">
        <f ca="1">MIN(100,MAX(0,MCDA_Prioritisation!$F$3+(RAND()-0.5)*2*$B$7))</f>
        <v>85.380914397941112</v>
      </c>
      <c r="O97" s="54">
        <f ca="1">MIN(100,MAX(0,MCDA_Prioritisation!$F$4+(RAND()-0.5)*2*$B$7))</f>
        <v>85.154194688644566</v>
      </c>
      <c r="P97" s="54">
        <f ca="1">MIN(100,MAX(0,MCDA_Prioritisation!$F$5+(RAND()-0.5)*2*$B$7))</f>
        <v>66.395814549491547</v>
      </c>
      <c r="Q97" s="54">
        <f ca="1">MIN(100,MAX(0,MCDA_Prioritisation!$G$2+(RAND()-0.5)*2*$B$7))</f>
        <v>75.152120718471394</v>
      </c>
      <c r="R97" s="54">
        <f ca="1">MIN(100,MAX(0,MCDA_Prioritisation!$G$3+(RAND()-0.5)*2*$B$7))</f>
        <v>88.618241781681093</v>
      </c>
      <c r="S97" s="54">
        <f ca="1">MIN(100,MAX(0,MCDA_Prioritisation!$G$4+(RAND()-0.5)*2*$B$7))</f>
        <v>87.59353625036961</v>
      </c>
      <c r="T97" s="54">
        <f ca="1">MIN(100,MAX(0,MCDA_Prioritisation!$G$5+(RAND()-0.5)*2*$B$7))</f>
        <v>70.872397762846646</v>
      </c>
      <c r="U97" s="54">
        <f ca="1">MIN(100,MAX(0,MCDA_Prioritisation!$H$2+(RAND()-0.5)*2*$B$7))</f>
        <v>57.219351937175482</v>
      </c>
      <c r="V97" s="54">
        <f ca="1">MIN(100,MAX(0,MCDA_Prioritisation!$H$3+(RAND()-0.5)*2*$B$7))</f>
        <v>60.709988152629855</v>
      </c>
      <c r="W97" s="54">
        <f ca="1">MIN(100,MAX(0,MCDA_Prioritisation!$H$4+(RAND()-0.5)*2*$B$7))</f>
        <v>78.769052347327175</v>
      </c>
      <c r="X97" s="54">
        <f ca="1">MIN(100,MAX(0,MCDA_Prioritisation!$H$5+(RAND()-0.5)*2*$B$7))</f>
        <v>71.345353909159087</v>
      </c>
      <c r="Y97" s="54">
        <f ca="1">H97*MCDA_Prioritisation!$D$2+I97*MCDA_Prioritisation!$E$2+J97*M97+K97*Q97+L97*U97</f>
        <v>85.235986328958603</v>
      </c>
      <c r="Z97" s="54">
        <f ca="1">H97*MCDA_Prioritisation!$D$3+I97*MCDA_Prioritisation!$E$3+J97*N97+K97*R97+L97*V97</f>
        <v>80.130447749152538</v>
      </c>
      <c r="AA97" s="54">
        <f ca="1">H97*MCDA_Prioritisation!$D$4+I97*MCDA_Prioritisation!$E$4+J97*O97+K97*S97+L97*W97</f>
        <v>74.980655648085417</v>
      </c>
      <c r="AB97" s="54">
        <f ca="1">H97*MCDA_Prioritisation!$D$5+I97*MCDA_Prioritisation!$E$5+J97*P97+K97*T97+L97*X97</f>
        <v>67.768086296284594</v>
      </c>
      <c r="AC97" s="54">
        <f t="shared" ca="1" si="20"/>
        <v>1</v>
      </c>
      <c r="AD97" s="54">
        <f t="shared" ca="1" si="21"/>
        <v>2</v>
      </c>
      <c r="AE97" s="54">
        <f t="shared" ca="1" si="22"/>
        <v>3</v>
      </c>
      <c r="AF97" s="54">
        <f t="shared" ca="1" si="23"/>
        <v>4</v>
      </c>
      <c r="AG97" s="54">
        <f t="shared" ca="1" si="24"/>
        <v>1</v>
      </c>
      <c r="AH97" s="54">
        <f t="shared" ca="1" si="25"/>
        <v>1</v>
      </c>
      <c r="AI97" s="54">
        <f t="shared" ca="1" si="26"/>
        <v>1</v>
      </c>
      <c r="AJ97" s="54">
        <f t="shared" ca="1" si="27"/>
        <v>1</v>
      </c>
    </row>
    <row r="98" spans="1:36" x14ac:dyDescent="0.2">
      <c r="A98" s="54">
        <v>75</v>
      </c>
      <c r="B98" s="54">
        <f ca="1">MAX(0.02,MCDA_Prioritisation!$B$9+(RAND()-0.5)*2*$B$6)</f>
        <v>0.20466845342774967</v>
      </c>
      <c r="C98" s="54">
        <f ca="1">MAX(0.02,MCDA_Prioritisation!$B$10+(RAND()-0.5)*2*$B$6)</f>
        <v>0.22650118874575209</v>
      </c>
      <c r="D98" s="54">
        <f ca="1">MAX(0.02,MCDA_Prioritisation!$B$11+(RAND()-0.5)*2*$B$6)</f>
        <v>0.25836952246790168</v>
      </c>
      <c r="E98" s="54">
        <f ca="1">MAX(0.02,MCDA_Prioritisation!$B$12+(RAND()-0.5)*2*$B$6)</f>
        <v>0.1860620496558478</v>
      </c>
      <c r="F98" s="54">
        <f ca="1">MAX(0.02,MCDA_Prioritisation!$B$13+(RAND()-0.5)*2*$B$6)</f>
        <v>0.22178151181179073</v>
      </c>
      <c r="G98" s="54">
        <f t="shared" ca="1" si="14"/>
        <v>1.0973827261090419</v>
      </c>
      <c r="H98" s="54">
        <f t="shared" ca="1" si="15"/>
        <v>0.18650599153627712</v>
      </c>
      <c r="I98" s="54">
        <f t="shared" ca="1" si="16"/>
        <v>0.2064012703652178</v>
      </c>
      <c r="J98" s="54">
        <f t="shared" ca="1" si="17"/>
        <v>0.23544157960641043</v>
      </c>
      <c r="K98" s="54">
        <f t="shared" ca="1" si="18"/>
        <v>0.16955073670200971</v>
      </c>
      <c r="L98" s="54">
        <f t="shared" ca="1" si="19"/>
        <v>0.20210042179008506</v>
      </c>
      <c r="M98" s="54">
        <f ca="1">MIN(100,MAX(0,MCDA_Prioritisation!$F$2+(RAND()-0.5)*2*$B$7))</f>
        <v>83.958398766371374</v>
      </c>
      <c r="N98" s="54">
        <f ca="1">MIN(100,MAX(0,MCDA_Prioritisation!$F$3+(RAND()-0.5)*2*$B$7))</f>
        <v>96.421621419489483</v>
      </c>
      <c r="O98" s="54">
        <f ca="1">MIN(100,MAX(0,MCDA_Prioritisation!$F$4+(RAND()-0.5)*2*$B$7))</f>
        <v>95.056522453122014</v>
      </c>
      <c r="P98" s="54">
        <f ca="1">MIN(100,MAX(0,MCDA_Prioritisation!$F$5+(RAND()-0.5)*2*$B$7))</f>
        <v>74.754898964623408</v>
      </c>
      <c r="Q98" s="54">
        <f ca="1">MIN(100,MAX(0,MCDA_Prioritisation!$G$2+(RAND()-0.5)*2*$B$7))</f>
        <v>74.43169591070783</v>
      </c>
      <c r="R98" s="54">
        <f ca="1">MIN(100,MAX(0,MCDA_Prioritisation!$G$3+(RAND()-0.5)*2*$B$7))</f>
        <v>88.097854399951856</v>
      </c>
      <c r="S98" s="54">
        <f ca="1">MIN(100,MAX(0,MCDA_Prioritisation!$G$4+(RAND()-0.5)*2*$B$7))</f>
        <v>85.478553826491449</v>
      </c>
      <c r="T98" s="54">
        <f ca="1">MIN(100,MAX(0,MCDA_Prioritisation!$G$5+(RAND()-0.5)*2*$B$7))</f>
        <v>72.940651320718075</v>
      </c>
      <c r="U98" s="54">
        <f ca="1">MIN(100,MAX(0,MCDA_Prioritisation!$H$2+(RAND()-0.5)*2*$B$7))</f>
        <v>59.471409588460673</v>
      </c>
      <c r="V98" s="54">
        <f ca="1">MIN(100,MAX(0,MCDA_Prioritisation!$H$3+(RAND()-0.5)*2*$B$7))</f>
        <v>65.937704361091392</v>
      </c>
      <c r="W98" s="54">
        <f ca="1">MIN(100,MAX(0,MCDA_Prioritisation!$H$4+(RAND()-0.5)*2*$B$7))</f>
        <v>73.544486518887823</v>
      </c>
      <c r="X98" s="54">
        <f ca="1">MIN(100,MAX(0,MCDA_Prioritisation!$H$5+(RAND()-0.5)*2*$B$7))</f>
        <v>84.592086934532631</v>
      </c>
      <c r="Y98" s="54">
        <f ca="1">H98*MCDA_Prioritisation!$D$2+I98*MCDA_Prioritisation!$E$2+J98*M98+K98*Q98+L98*U98</f>
        <v>83.697170054848158</v>
      </c>
      <c r="Z98" s="54">
        <f ca="1">H98*MCDA_Prioritisation!$D$3+I98*MCDA_Prioritisation!$E$3+J98*N98+K98*R98+L98*V98</f>
        <v>82.275788478261205</v>
      </c>
      <c r="AA98" s="54">
        <f ca="1">H98*MCDA_Prioritisation!$D$4+I98*MCDA_Prioritisation!$E$4+J98*O98+K98*S98+L98*W98</f>
        <v>75.98201328474309</v>
      </c>
      <c r="AB98" s="54">
        <f ca="1">H98*MCDA_Prioritisation!$D$5+I98*MCDA_Prioritisation!$E$5+J98*P98+K98*T98+L98*X98</f>
        <v>74.319091032495848</v>
      </c>
      <c r="AC98" s="54">
        <f t="shared" ca="1" si="20"/>
        <v>1</v>
      </c>
      <c r="AD98" s="54">
        <f t="shared" ca="1" si="21"/>
        <v>2</v>
      </c>
      <c r="AE98" s="54">
        <f t="shared" ca="1" si="22"/>
        <v>3</v>
      </c>
      <c r="AF98" s="54">
        <f t="shared" ca="1" si="23"/>
        <v>4</v>
      </c>
      <c r="AG98" s="54">
        <f t="shared" ca="1" si="24"/>
        <v>1</v>
      </c>
      <c r="AH98" s="54">
        <f t="shared" ca="1" si="25"/>
        <v>1</v>
      </c>
      <c r="AI98" s="54">
        <f t="shared" ca="1" si="26"/>
        <v>1</v>
      </c>
      <c r="AJ98" s="54">
        <f t="shared" ca="1" si="27"/>
        <v>1</v>
      </c>
    </row>
    <row r="99" spans="1:36" x14ac:dyDescent="0.2">
      <c r="A99" s="54">
        <v>76</v>
      </c>
      <c r="B99" s="54">
        <f ca="1">MAX(0.02,MCDA_Prioritisation!$B$9+(RAND()-0.5)*2*$B$6)</f>
        <v>0.13335800600623521</v>
      </c>
      <c r="C99" s="54">
        <f ca="1">MAX(0.02,MCDA_Prioritisation!$B$10+(RAND()-0.5)*2*$B$6)</f>
        <v>0.2530912462688687</v>
      </c>
      <c r="D99" s="54">
        <f ca="1">MAX(0.02,MCDA_Prioritisation!$B$11+(RAND()-0.5)*2*$B$6)</f>
        <v>0.32933006404757403</v>
      </c>
      <c r="E99" s="54">
        <f ca="1">MAX(0.02,MCDA_Prioritisation!$B$12+(RAND()-0.5)*2*$B$6)</f>
        <v>0.15771619952229193</v>
      </c>
      <c r="F99" s="54">
        <f ca="1">MAX(0.02,MCDA_Prioritisation!$B$13+(RAND()-0.5)*2*$B$6)</f>
        <v>0.18765139263224179</v>
      </c>
      <c r="G99" s="54">
        <f t="shared" ca="1" si="14"/>
        <v>1.0611469084772118</v>
      </c>
      <c r="H99" s="54">
        <f t="shared" ca="1" si="15"/>
        <v>0.12567346230844631</v>
      </c>
      <c r="I99" s="54">
        <f t="shared" ca="1" si="16"/>
        <v>0.23850726440136807</v>
      </c>
      <c r="J99" s="54">
        <f t="shared" ca="1" si="17"/>
        <v>0.31035294115889744</v>
      </c>
      <c r="K99" s="54">
        <f t="shared" ca="1" si="18"/>
        <v>0.14862805353560421</v>
      </c>
      <c r="L99" s="54">
        <f t="shared" ca="1" si="19"/>
        <v>0.17683827859568382</v>
      </c>
      <c r="M99" s="54">
        <f ca="1">MIN(100,MAX(0,MCDA_Prioritisation!$F$2+(RAND()-0.5)*2*$B$7))</f>
        <v>94.062465394121475</v>
      </c>
      <c r="N99" s="54">
        <f ca="1">MIN(100,MAX(0,MCDA_Prioritisation!$F$3+(RAND()-0.5)*2*$B$7))</f>
        <v>100</v>
      </c>
      <c r="O99" s="54">
        <f ca="1">MIN(100,MAX(0,MCDA_Prioritisation!$F$4+(RAND()-0.5)*2*$B$7))</f>
        <v>84.052091194684024</v>
      </c>
      <c r="P99" s="54">
        <f ca="1">MIN(100,MAX(0,MCDA_Prioritisation!$F$5+(RAND()-0.5)*2*$B$7))</f>
        <v>82.45011624345959</v>
      </c>
      <c r="Q99" s="54">
        <f ca="1">MIN(100,MAX(0,MCDA_Prioritisation!$G$2+(RAND()-0.5)*2*$B$7))</f>
        <v>76.117720247396349</v>
      </c>
      <c r="R99" s="54">
        <f ca="1">MIN(100,MAX(0,MCDA_Prioritisation!$G$3+(RAND()-0.5)*2*$B$7))</f>
        <v>88.153001042304439</v>
      </c>
      <c r="S99" s="54">
        <f ca="1">MIN(100,MAX(0,MCDA_Prioritisation!$G$4+(RAND()-0.5)*2*$B$7))</f>
        <v>75.542918344886957</v>
      </c>
      <c r="T99" s="54">
        <f ca="1">MIN(100,MAX(0,MCDA_Prioritisation!$G$5+(RAND()-0.5)*2*$B$7))</f>
        <v>64.200581182972314</v>
      </c>
      <c r="U99" s="54">
        <f ca="1">MIN(100,MAX(0,MCDA_Prioritisation!$H$2+(RAND()-0.5)*2*$B$7))</f>
        <v>66.864699878200369</v>
      </c>
      <c r="V99" s="54">
        <f ca="1">MIN(100,MAX(0,MCDA_Prioritisation!$H$3+(RAND()-0.5)*2*$B$7))</f>
        <v>64.034501629458831</v>
      </c>
      <c r="W99" s="54">
        <f ca="1">MIN(100,MAX(0,MCDA_Prioritisation!$H$4+(RAND()-0.5)*2*$B$7))</f>
        <v>83.105988724775642</v>
      </c>
      <c r="X99" s="54">
        <f ca="1">MIN(100,MAX(0,MCDA_Prioritisation!$H$5+(RAND()-0.5)*2*$B$7))</f>
        <v>83.05687684325531</v>
      </c>
      <c r="Y99" s="54">
        <f ca="1">H99*MCDA_Prioritisation!$D$2+I99*MCDA_Prioritisation!$E$2+J99*M99+K99*Q99+L99*U99</f>
        <v>88.748102483920206</v>
      </c>
      <c r="Z99" s="54">
        <f ca="1">H99*MCDA_Prioritisation!$D$3+I99*MCDA_Prioritisation!$E$3+J99*N99+K99*R99+L99*V99</f>
        <v>83.790500363182417</v>
      </c>
      <c r="AA99" s="54">
        <f ca="1">H99*MCDA_Prioritisation!$D$4+I99*MCDA_Prioritisation!$E$4+J99*O99+K99*S99+L99*W99</f>
        <v>73.770578892141245</v>
      </c>
      <c r="AB99" s="54">
        <f ca="1">H99*MCDA_Prioritisation!$D$5+I99*MCDA_Prioritisation!$E$5+J99*P99+K99*T99+L99*X99</f>
        <v>76.544802145934753</v>
      </c>
      <c r="AC99" s="54">
        <f t="shared" ca="1" si="20"/>
        <v>1</v>
      </c>
      <c r="AD99" s="54">
        <f t="shared" ca="1" si="21"/>
        <v>2</v>
      </c>
      <c r="AE99" s="54">
        <f t="shared" ca="1" si="22"/>
        <v>4</v>
      </c>
      <c r="AF99" s="54">
        <f t="shared" ca="1" si="23"/>
        <v>3</v>
      </c>
      <c r="AG99" s="54">
        <f t="shared" ca="1" si="24"/>
        <v>1</v>
      </c>
      <c r="AH99" s="54">
        <f t="shared" ca="1" si="25"/>
        <v>1</v>
      </c>
      <c r="AI99" s="54">
        <f t="shared" ca="1" si="26"/>
        <v>0</v>
      </c>
      <c r="AJ99" s="54">
        <f t="shared" ca="1" si="27"/>
        <v>1</v>
      </c>
    </row>
    <row r="100" spans="1:36" x14ac:dyDescent="0.2">
      <c r="A100" s="54">
        <v>77</v>
      </c>
      <c r="B100" s="54">
        <f ca="1">MAX(0.02,MCDA_Prioritisation!$B$9+(RAND()-0.5)*2*$B$6)</f>
        <v>0.17272765910116666</v>
      </c>
      <c r="C100" s="54">
        <f ca="1">MAX(0.02,MCDA_Prioritisation!$B$10+(RAND()-0.5)*2*$B$6)</f>
        <v>0.26602656280143833</v>
      </c>
      <c r="D100" s="54">
        <f ca="1">MAX(0.02,MCDA_Prioritisation!$B$11+(RAND()-0.5)*2*$B$6)</f>
        <v>0.28428824249703771</v>
      </c>
      <c r="E100" s="54">
        <f ca="1">MAX(0.02,MCDA_Prioritisation!$B$12+(RAND()-0.5)*2*$B$6)</f>
        <v>0.15576127973266479</v>
      </c>
      <c r="F100" s="54">
        <f ca="1">MAX(0.02,MCDA_Prioritisation!$B$13+(RAND()-0.5)*2*$B$6)</f>
        <v>0.1846034062247196</v>
      </c>
      <c r="G100" s="54">
        <f t="shared" ca="1" si="14"/>
        <v>1.063407150357027</v>
      </c>
      <c r="H100" s="54">
        <f t="shared" ca="1" si="15"/>
        <v>0.16242852894413518</v>
      </c>
      <c r="I100" s="54">
        <f t="shared" ca="1" si="16"/>
        <v>0.25016435399378584</v>
      </c>
      <c r="J100" s="54">
        <f t="shared" ca="1" si="17"/>
        <v>0.26733715529521418</v>
      </c>
      <c r="K100" s="54">
        <f t="shared" ca="1" si="18"/>
        <v>0.14647379386189915</v>
      </c>
      <c r="L100" s="54">
        <f t="shared" ca="1" si="19"/>
        <v>0.17359616790496574</v>
      </c>
      <c r="M100" s="54">
        <f ca="1">MIN(100,MAX(0,MCDA_Prioritisation!$F$2+(RAND()-0.5)*2*$B$7))</f>
        <v>81.657771002671055</v>
      </c>
      <c r="N100" s="54">
        <f ca="1">MIN(100,MAX(0,MCDA_Prioritisation!$F$3+(RAND()-0.5)*2*$B$7))</f>
        <v>89.151856499466959</v>
      </c>
      <c r="O100" s="54">
        <f ca="1">MIN(100,MAX(0,MCDA_Prioritisation!$F$4+(RAND()-0.5)*2*$B$7))</f>
        <v>89.469365501784807</v>
      </c>
      <c r="P100" s="54">
        <f ca="1">MIN(100,MAX(0,MCDA_Prioritisation!$F$5+(RAND()-0.5)*2*$B$7))</f>
        <v>71.153195319923555</v>
      </c>
      <c r="Q100" s="54">
        <f ca="1">MIN(100,MAX(0,MCDA_Prioritisation!$G$2+(RAND()-0.5)*2*$B$7))</f>
        <v>78.556302585159557</v>
      </c>
      <c r="R100" s="54">
        <f ca="1">MIN(100,MAX(0,MCDA_Prioritisation!$G$3+(RAND()-0.5)*2*$B$7))</f>
        <v>96.041023126523498</v>
      </c>
      <c r="S100" s="54">
        <f ca="1">MIN(100,MAX(0,MCDA_Prioritisation!$G$4+(RAND()-0.5)*2*$B$7))</f>
        <v>78.667996120905315</v>
      </c>
      <c r="T100" s="54">
        <f ca="1">MIN(100,MAX(0,MCDA_Prioritisation!$G$5+(RAND()-0.5)*2*$B$7))</f>
        <v>64.853707682210029</v>
      </c>
      <c r="U100" s="54">
        <f ca="1">MIN(100,MAX(0,MCDA_Prioritisation!$H$2+(RAND()-0.5)*2*$B$7))</f>
        <v>63.202494325280462</v>
      </c>
      <c r="V100" s="54">
        <f ca="1">MIN(100,MAX(0,MCDA_Prioritisation!$H$3+(RAND()-0.5)*2*$B$7))</f>
        <v>67.702024644018223</v>
      </c>
      <c r="W100" s="54">
        <f ca="1">MIN(100,MAX(0,MCDA_Prioritisation!$H$4+(RAND()-0.5)*2*$B$7))</f>
        <v>73.866907287173362</v>
      </c>
      <c r="X100" s="54">
        <f ca="1">MIN(100,MAX(0,MCDA_Prioritisation!$H$5+(RAND()-0.5)*2*$B$7))</f>
        <v>75.014193276638693</v>
      </c>
      <c r="Y100" s="54">
        <f ca="1">H100*MCDA_Prioritisation!$D$2+I100*MCDA_Prioritisation!$E$2+J100*M100+K100*Q100+L100*U100</f>
        <v>85.567594989709875</v>
      </c>
      <c r="Z100" s="54">
        <f ca="1">H100*MCDA_Prioritisation!$D$3+I100*MCDA_Prioritisation!$E$3+J100*N100+K100*R100+L100*V100</f>
        <v>82.043420002093043</v>
      </c>
      <c r="AA100" s="54">
        <f ca="1">H100*MCDA_Prioritisation!$D$4+I100*MCDA_Prioritisation!$E$4+J100*O100+K100*S100+L100*W100</f>
        <v>73.220193849583566</v>
      </c>
      <c r="AB100" s="54">
        <f ca="1">H100*MCDA_Prioritisation!$D$5+I100*MCDA_Prioritisation!$E$5+J100*P100+K100*T100+L100*X100</f>
        <v>71.201024584164202</v>
      </c>
      <c r="AC100" s="54">
        <f t="shared" ca="1" si="20"/>
        <v>1</v>
      </c>
      <c r="AD100" s="54">
        <f t="shared" ca="1" si="21"/>
        <v>2</v>
      </c>
      <c r="AE100" s="54">
        <f t="shared" ca="1" si="22"/>
        <v>3</v>
      </c>
      <c r="AF100" s="54">
        <f t="shared" ca="1" si="23"/>
        <v>4</v>
      </c>
      <c r="AG100" s="54">
        <f t="shared" ca="1" si="24"/>
        <v>1</v>
      </c>
      <c r="AH100" s="54">
        <f t="shared" ca="1" si="25"/>
        <v>1</v>
      </c>
      <c r="AI100" s="54">
        <f t="shared" ca="1" si="26"/>
        <v>1</v>
      </c>
      <c r="AJ100" s="54">
        <f t="shared" ca="1" si="27"/>
        <v>1</v>
      </c>
    </row>
    <row r="101" spans="1:36" x14ac:dyDescent="0.2">
      <c r="A101" s="54">
        <v>78</v>
      </c>
      <c r="B101" s="54">
        <f ca="1">MAX(0.02,MCDA_Prioritisation!$B$9+(RAND()-0.5)*2*$B$6)</f>
        <v>0.19577851397815105</v>
      </c>
      <c r="C101" s="54">
        <f ca="1">MAX(0.02,MCDA_Prioritisation!$B$10+(RAND()-0.5)*2*$B$6)</f>
        <v>0.19661166759489557</v>
      </c>
      <c r="D101" s="54">
        <f ca="1">MAX(0.02,MCDA_Prioritisation!$B$11+(RAND()-0.5)*2*$B$6)</f>
        <v>0.20381922922434456</v>
      </c>
      <c r="E101" s="54">
        <f ca="1">MAX(0.02,MCDA_Prioritisation!$B$12+(RAND()-0.5)*2*$B$6)</f>
        <v>0.10937217939718998</v>
      </c>
      <c r="F101" s="54">
        <f ca="1">MAX(0.02,MCDA_Prioritisation!$B$13+(RAND()-0.5)*2*$B$6)</f>
        <v>0.22830349927688853</v>
      </c>
      <c r="G101" s="54">
        <f t="shared" ca="1" si="14"/>
        <v>0.93388508947146975</v>
      </c>
      <c r="H101" s="54">
        <f t="shared" ca="1" si="15"/>
        <v>0.20963876196904641</v>
      </c>
      <c r="I101" s="54">
        <f t="shared" ca="1" si="16"/>
        <v>0.21053089915609158</v>
      </c>
      <c r="J101" s="54">
        <f t="shared" ca="1" si="17"/>
        <v>0.21824872409055768</v>
      </c>
      <c r="K101" s="54">
        <f t="shared" ca="1" si="18"/>
        <v>0.1171152432245052</v>
      </c>
      <c r="L101" s="54">
        <f t="shared" ca="1" si="19"/>
        <v>0.24446637155979908</v>
      </c>
      <c r="M101" s="54">
        <f ca="1">MIN(100,MAX(0,MCDA_Prioritisation!$F$2+(RAND()-0.5)*2*$B$7))</f>
        <v>83.527002427883815</v>
      </c>
      <c r="N101" s="54">
        <f ca="1">MIN(100,MAX(0,MCDA_Prioritisation!$F$3+(RAND()-0.5)*2*$B$7))</f>
        <v>93.509143769402499</v>
      </c>
      <c r="O101" s="54">
        <f ca="1">MIN(100,MAX(0,MCDA_Prioritisation!$F$4+(RAND()-0.5)*2*$B$7))</f>
        <v>97.801796147955713</v>
      </c>
      <c r="P101" s="54">
        <f ca="1">MIN(100,MAX(0,MCDA_Prioritisation!$F$5+(RAND()-0.5)*2*$B$7))</f>
        <v>70.529041138674103</v>
      </c>
      <c r="Q101" s="54">
        <f ca="1">MIN(100,MAX(0,MCDA_Prioritisation!$G$2+(RAND()-0.5)*2*$B$7))</f>
        <v>73.216574307452746</v>
      </c>
      <c r="R101" s="54">
        <f ca="1">MIN(100,MAX(0,MCDA_Prioritisation!$G$3+(RAND()-0.5)*2*$B$7))</f>
        <v>100</v>
      </c>
      <c r="S101" s="54">
        <f ca="1">MIN(100,MAX(0,MCDA_Prioritisation!$G$4+(RAND()-0.5)*2*$B$7))</f>
        <v>88.898246976919125</v>
      </c>
      <c r="T101" s="54">
        <f ca="1">MIN(100,MAX(0,MCDA_Prioritisation!$G$5+(RAND()-0.5)*2*$B$7))</f>
        <v>71.769198854544641</v>
      </c>
      <c r="U101" s="54">
        <f ca="1">MIN(100,MAX(0,MCDA_Prioritisation!$H$2+(RAND()-0.5)*2*$B$7))</f>
        <v>61.461920117306612</v>
      </c>
      <c r="V101" s="54">
        <f ca="1">MIN(100,MAX(0,MCDA_Prioritisation!$H$3+(RAND()-0.5)*2*$B$7))</f>
        <v>50.654603010051197</v>
      </c>
      <c r="W101" s="54">
        <f ca="1">MIN(100,MAX(0,MCDA_Prioritisation!$H$4+(RAND()-0.5)*2*$B$7))</f>
        <v>88.954722763736868</v>
      </c>
      <c r="X101" s="54">
        <f ca="1">MIN(100,MAX(0,MCDA_Prioritisation!$H$5+(RAND()-0.5)*2*$B$7))</f>
        <v>75.624544773179551</v>
      </c>
      <c r="Y101" s="54">
        <f ca="1">H101*MCDA_Prioritisation!$D$2+I101*MCDA_Prioritisation!$E$2+J101*M101+K101*Q101+L101*U101</f>
        <v>83.846777327766915</v>
      </c>
      <c r="Z101" s="54">
        <f ca="1">H101*MCDA_Prioritisation!$D$3+I101*MCDA_Prioritisation!$E$3+J101*N101+K101*R101+L101*V101</f>
        <v>78.136225944499373</v>
      </c>
      <c r="AA101" s="54">
        <f ca="1">H101*MCDA_Prioritisation!$D$4+I101*MCDA_Prioritisation!$E$4+J101*O101+K101*S101+L101*W101</f>
        <v>79.584409938452097</v>
      </c>
      <c r="AB101" s="54">
        <f ca="1">H101*MCDA_Prioritisation!$D$5+I101*MCDA_Prioritisation!$E$5+J101*P101+K101*T101+L101*X101</f>
        <v>71.116297015703481</v>
      </c>
      <c r="AC101" s="54">
        <f t="shared" ca="1" si="20"/>
        <v>1</v>
      </c>
      <c r="AD101" s="54">
        <f t="shared" ca="1" si="21"/>
        <v>3</v>
      </c>
      <c r="AE101" s="54">
        <f t="shared" ca="1" si="22"/>
        <v>2</v>
      </c>
      <c r="AF101" s="54">
        <f t="shared" ca="1" si="23"/>
        <v>4</v>
      </c>
      <c r="AG101" s="54">
        <f t="shared" ca="1" si="24"/>
        <v>1</v>
      </c>
      <c r="AH101" s="54">
        <f t="shared" ca="1" si="25"/>
        <v>0</v>
      </c>
      <c r="AI101" s="54">
        <f t="shared" ca="1" si="26"/>
        <v>0</v>
      </c>
      <c r="AJ101" s="54">
        <f t="shared" ca="1" si="27"/>
        <v>0</v>
      </c>
    </row>
    <row r="102" spans="1:36" x14ac:dyDescent="0.2">
      <c r="A102" s="54">
        <v>79</v>
      </c>
      <c r="B102" s="54">
        <f ca="1">MAX(0.02,MCDA_Prioritisation!$B$9+(RAND()-0.5)*2*$B$6)</f>
        <v>0.17223582112561547</v>
      </c>
      <c r="C102" s="54">
        <f ca="1">MAX(0.02,MCDA_Prioritisation!$B$10+(RAND()-0.5)*2*$B$6)</f>
        <v>0.23704765342530951</v>
      </c>
      <c r="D102" s="54">
        <f ca="1">MAX(0.02,MCDA_Prioritisation!$B$11+(RAND()-0.5)*2*$B$6)</f>
        <v>0.20169169452859001</v>
      </c>
      <c r="E102" s="54">
        <f ca="1">MAX(0.02,MCDA_Prioritisation!$B$12+(RAND()-0.5)*2*$B$6)</f>
        <v>9.5333744919796973E-2</v>
      </c>
      <c r="F102" s="54">
        <f ca="1">MAX(0.02,MCDA_Prioritisation!$B$13+(RAND()-0.5)*2*$B$6)</f>
        <v>0.15577285923848302</v>
      </c>
      <c r="G102" s="54">
        <f t="shared" ca="1" si="14"/>
        <v>0.862081773237795</v>
      </c>
      <c r="H102" s="54">
        <f t="shared" ca="1" si="15"/>
        <v>0.19979058422582641</v>
      </c>
      <c r="I102" s="54">
        <f t="shared" ca="1" si="16"/>
        <v>0.27497119273849063</v>
      </c>
      <c r="J102" s="54">
        <f t="shared" ca="1" si="17"/>
        <v>0.23395888973627071</v>
      </c>
      <c r="K102" s="54">
        <f t="shared" ca="1" si="18"/>
        <v>0.11058550114305722</v>
      </c>
      <c r="L102" s="54">
        <f t="shared" ca="1" si="19"/>
        <v>0.18069383215635501</v>
      </c>
      <c r="M102" s="54">
        <f ca="1">MIN(100,MAX(0,MCDA_Prioritisation!$F$2+(RAND()-0.5)*2*$B$7))</f>
        <v>91.404850082692491</v>
      </c>
      <c r="N102" s="54">
        <f ca="1">MIN(100,MAX(0,MCDA_Prioritisation!$F$3+(RAND()-0.5)*2*$B$7))</f>
        <v>100</v>
      </c>
      <c r="O102" s="54">
        <f ca="1">MIN(100,MAX(0,MCDA_Prioritisation!$F$4+(RAND()-0.5)*2*$B$7))</f>
        <v>81.69098284996457</v>
      </c>
      <c r="P102" s="54">
        <f ca="1">MIN(100,MAX(0,MCDA_Prioritisation!$F$5+(RAND()-0.5)*2*$B$7))</f>
        <v>79.290968058156537</v>
      </c>
      <c r="Q102" s="54">
        <f ca="1">MIN(100,MAX(0,MCDA_Prioritisation!$G$2+(RAND()-0.5)*2*$B$7))</f>
        <v>70.783952951094506</v>
      </c>
      <c r="R102" s="54">
        <f ca="1">MIN(100,MAX(0,MCDA_Prioritisation!$G$3+(RAND()-0.5)*2*$B$7))</f>
        <v>95.177314407586707</v>
      </c>
      <c r="S102" s="54">
        <f ca="1">MIN(100,MAX(0,MCDA_Prioritisation!$G$4+(RAND()-0.5)*2*$B$7))</f>
        <v>87.915078513200712</v>
      </c>
      <c r="T102" s="54">
        <f ca="1">MIN(100,MAX(0,MCDA_Prioritisation!$G$5+(RAND()-0.5)*2*$B$7))</f>
        <v>76.173305417889708</v>
      </c>
      <c r="U102" s="54">
        <f ca="1">MIN(100,MAX(0,MCDA_Prioritisation!$H$2+(RAND()-0.5)*2*$B$7))</f>
        <v>67.464675650759091</v>
      </c>
      <c r="V102" s="54">
        <f ca="1">MIN(100,MAX(0,MCDA_Prioritisation!$H$3+(RAND()-0.5)*2*$B$7))</f>
        <v>52.0555531207998</v>
      </c>
      <c r="W102" s="54">
        <f ca="1">MIN(100,MAX(0,MCDA_Prioritisation!$H$4+(RAND()-0.5)*2*$B$7))</f>
        <v>83.79960169482564</v>
      </c>
      <c r="X102" s="54">
        <f ca="1">MIN(100,MAX(0,MCDA_Prioritisation!$H$5+(RAND()-0.5)*2*$B$7))</f>
        <v>73.726031638353248</v>
      </c>
      <c r="Y102" s="54">
        <f ca="1">H102*MCDA_Prioritisation!$D$2+I102*MCDA_Prioritisation!$E$2+J102*M102+K102*Q102+L102*U102</f>
        <v>88.879284626793279</v>
      </c>
      <c r="Z102" s="54">
        <f ca="1">H102*MCDA_Prioritisation!$D$3+I102*MCDA_Prioritisation!$E$3+J102*N102+K102*R102+L102*V102</f>
        <v>80.786207864928372</v>
      </c>
      <c r="AA102" s="54">
        <f ca="1">H102*MCDA_Prioritisation!$D$4+I102*MCDA_Prioritisation!$E$4+J102*O102+K102*S102+L102*W102</f>
        <v>72.88720631913381</v>
      </c>
      <c r="AB102" s="54">
        <f ca="1">H102*MCDA_Prioritisation!$D$5+I102*MCDA_Prioritisation!$E$5+J102*P102+K102*T102+L102*X102</f>
        <v>74.022969799778309</v>
      </c>
      <c r="AC102" s="54">
        <f t="shared" ca="1" si="20"/>
        <v>1</v>
      </c>
      <c r="AD102" s="54">
        <f t="shared" ca="1" si="21"/>
        <v>2</v>
      </c>
      <c r="AE102" s="54">
        <f t="shared" ca="1" si="22"/>
        <v>4</v>
      </c>
      <c r="AF102" s="54">
        <f t="shared" ca="1" si="23"/>
        <v>3</v>
      </c>
      <c r="AG102" s="54">
        <f t="shared" ca="1" si="24"/>
        <v>1</v>
      </c>
      <c r="AH102" s="54">
        <f t="shared" ca="1" si="25"/>
        <v>1</v>
      </c>
      <c r="AI102" s="54">
        <f t="shared" ca="1" si="26"/>
        <v>0</v>
      </c>
      <c r="AJ102" s="54">
        <f t="shared" ca="1" si="27"/>
        <v>1</v>
      </c>
    </row>
    <row r="103" spans="1:36" x14ac:dyDescent="0.2">
      <c r="A103" s="54">
        <v>80</v>
      </c>
      <c r="B103" s="54">
        <f ca="1">MAX(0.02,MCDA_Prioritisation!$B$9+(RAND()-0.5)*2*$B$6)</f>
        <v>0.17908886372840174</v>
      </c>
      <c r="C103" s="54">
        <f ca="1">MAX(0.02,MCDA_Prioritisation!$B$10+(RAND()-0.5)*2*$B$6)</f>
        <v>0.19659459330865528</v>
      </c>
      <c r="D103" s="54">
        <f ca="1">MAX(0.02,MCDA_Prioritisation!$B$11+(RAND()-0.5)*2*$B$6)</f>
        <v>0.26406841617842125</v>
      </c>
      <c r="E103" s="54">
        <f ca="1">MAX(0.02,MCDA_Prioritisation!$B$12+(RAND()-0.5)*2*$B$6)</f>
        <v>0.171113210942859</v>
      </c>
      <c r="F103" s="54">
        <f ca="1">MAX(0.02,MCDA_Prioritisation!$B$13+(RAND()-0.5)*2*$B$6)</f>
        <v>0.16918855615500053</v>
      </c>
      <c r="G103" s="54">
        <f t="shared" ca="1" si="14"/>
        <v>0.98005364031333786</v>
      </c>
      <c r="H103" s="54">
        <f t="shared" ca="1" si="15"/>
        <v>0.18273373656481123</v>
      </c>
      <c r="I103" s="54">
        <f t="shared" ca="1" si="16"/>
        <v>0.20059574825496393</v>
      </c>
      <c r="J103" s="54">
        <f t="shared" ca="1" si="17"/>
        <v>0.26944281957260485</v>
      </c>
      <c r="K103" s="54">
        <f t="shared" ca="1" si="18"/>
        <v>0.1745957607872887</v>
      </c>
      <c r="L103" s="54">
        <f t="shared" ca="1" si="19"/>
        <v>0.17263193482033126</v>
      </c>
      <c r="M103" s="54">
        <f ca="1">MIN(100,MAX(0,MCDA_Prioritisation!$F$2+(RAND()-0.5)*2*$B$7))</f>
        <v>92.310902792382393</v>
      </c>
      <c r="N103" s="54">
        <f ca="1">MIN(100,MAX(0,MCDA_Prioritisation!$F$3+(RAND()-0.5)*2*$B$7))</f>
        <v>96.866402908793276</v>
      </c>
      <c r="O103" s="54">
        <f ca="1">MIN(100,MAX(0,MCDA_Prioritisation!$F$4+(RAND()-0.5)*2*$B$7))</f>
        <v>81.14347767513199</v>
      </c>
      <c r="P103" s="54">
        <f ca="1">MIN(100,MAX(0,MCDA_Prioritisation!$F$5+(RAND()-0.5)*2*$B$7))</f>
        <v>78.684596355557915</v>
      </c>
      <c r="Q103" s="54">
        <f ca="1">MIN(100,MAX(0,MCDA_Prioritisation!$G$2+(RAND()-0.5)*2*$B$7))</f>
        <v>83.509074173117924</v>
      </c>
      <c r="R103" s="54">
        <f ca="1">MIN(100,MAX(0,MCDA_Prioritisation!$G$3+(RAND()-0.5)*2*$B$7))</f>
        <v>100</v>
      </c>
      <c r="S103" s="54">
        <f ca="1">MIN(100,MAX(0,MCDA_Prioritisation!$G$4+(RAND()-0.5)*2*$B$7))</f>
        <v>88.425505946600765</v>
      </c>
      <c r="T103" s="54">
        <f ca="1">MIN(100,MAX(0,MCDA_Prioritisation!$G$5+(RAND()-0.5)*2*$B$7))</f>
        <v>73.67821629837556</v>
      </c>
      <c r="U103" s="54">
        <f ca="1">MIN(100,MAX(0,MCDA_Prioritisation!$H$2+(RAND()-0.5)*2*$B$7))</f>
        <v>61.775887560707474</v>
      </c>
      <c r="V103" s="54">
        <f ca="1">MIN(100,MAX(0,MCDA_Prioritisation!$H$3+(RAND()-0.5)*2*$B$7))</f>
        <v>62.409314606317643</v>
      </c>
      <c r="W103" s="54">
        <f ca="1">MIN(100,MAX(0,MCDA_Prioritisation!$H$4+(RAND()-0.5)*2*$B$7))</f>
        <v>86.35848080180044</v>
      </c>
      <c r="X103" s="54">
        <f ca="1">MIN(100,MAX(0,MCDA_Prioritisation!$H$5+(RAND()-0.5)*2*$B$7))</f>
        <v>70.447785242031415</v>
      </c>
      <c r="Y103" s="54">
        <f ca="1">H103*MCDA_Prioritisation!$D$2+I103*MCDA_Prioritisation!$E$2+J103*M103+K103*Q103+L103*U103</f>
        <v>88.450279740395487</v>
      </c>
      <c r="Z103" s="54">
        <f ca="1">H103*MCDA_Prioritisation!$D$3+I103*MCDA_Prioritisation!$E$3+J103*N103+K103*R103+L103*V103</f>
        <v>84.892506224824658</v>
      </c>
      <c r="AA103" s="54">
        <f ca="1">H103*MCDA_Prioritisation!$D$4+I103*MCDA_Prioritisation!$E$4+J103*O103+K103*S103+L103*W103</f>
        <v>75.876566991592554</v>
      </c>
      <c r="AB103" s="54">
        <f ca="1">H103*MCDA_Prioritisation!$D$5+I103*MCDA_Prioritisation!$E$5+J103*P103+K103*T103+L103*X103</f>
        <v>72.793475696356694</v>
      </c>
      <c r="AC103" s="54">
        <f t="shared" ca="1" si="20"/>
        <v>1</v>
      </c>
      <c r="AD103" s="54">
        <f t="shared" ca="1" si="21"/>
        <v>2</v>
      </c>
      <c r="AE103" s="54">
        <f t="shared" ca="1" si="22"/>
        <v>3</v>
      </c>
      <c r="AF103" s="54">
        <f t="shared" ca="1" si="23"/>
        <v>4</v>
      </c>
      <c r="AG103" s="54">
        <f t="shared" ca="1" si="24"/>
        <v>1</v>
      </c>
      <c r="AH103" s="54">
        <f t="shared" ca="1" si="25"/>
        <v>1</v>
      </c>
      <c r="AI103" s="54">
        <f t="shared" ca="1" si="26"/>
        <v>1</v>
      </c>
      <c r="AJ103" s="54">
        <f t="shared" ca="1" si="27"/>
        <v>1</v>
      </c>
    </row>
    <row r="104" spans="1:36" x14ac:dyDescent="0.2">
      <c r="A104" s="54">
        <v>81</v>
      </c>
      <c r="B104" s="54">
        <f ca="1">MAX(0.02,MCDA_Prioritisation!$B$9+(RAND()-0.5)*2*$B$6)</f>
        <v>0.26258847022668175</v>
      </c>
      <c r="C104" s="54">
        <f ca="1">MAX(0.02,MCDA_Prioritisation!$B$10+(RAND()-0.5)*2*$B$6)</f>
        <v>0.27811037825149537</v>
      </c>
      <c r="D104" s="54">
        <f ca="1">MAX(0.02,MCDA_Prioritisation!$B$11+(RAND()-0.5)*2*$B$6)</f>
        <v>0.21223937555324981</v>
      </c>
      <c r="E104" s="54">
        <f ca="1">MAX(0.02,MCDA_Prioritisation!$B$12+(RAND()-0.5)*2*$B$6)</f>
        <v>0.14051918648983872</v>
      </c>
      <c r="F104" s="54">
        <f ca="1">MAX(0.02,MCDA_Prioritisation!$B$13+(RAND()-0.5)*2*$B$6)</f>
        <v>0.2014732014683171</v>
      </c>
      <c r="G104" s="54">
        <f t="shared" ca="1" si="14"/>
        <v>1.0949306119895827</v>
      </c>
      <c r="H104" s="54">
        <f t="shared" ca="1" si="15"/>
        <v>0.23982201917757692</v>
      </c>
      <c r="I104" s="54">
        <f t="shared" ca="1" si="16"/>
        <v>0.25399817596308227</v>
      </c>
      <c r="J104" s="54">
        <f t="shared" ca="1" si="17"/>
        <v>0.19383819689504586</v>
      </c>
      <c r="K104" s="54">
        <f t="shared" ca="1" si="18"/>
        <v>0.12833615660311415</v>
      </c>
      <c r="L104" s="54">
        <f t="shared" ca="1" si="19"/>
        <v>0.18400545136118079</v>
      </c>
      <c r="M104" s="54">
        <f ca="1">MIN(100,MAX(0,MCDA_Prioritisation!$F$2+(RAND()-0.5)*2*$B$7))</f>
        <v>94.980526974496286</v>
      </c>
      <c r="N104" s="54">
        <f ca="1">MIN(100,MAX(0,MCDA_Prioritisation!$F$3+(RAND()-0.5)*2*$B$7))</f>
        <v>100</v>
      </c>
      <c r="O104" s="54">
        <f ca="1">MIN(100,MAX(0,MCDA_Prioritisation!$F$4+(RAND()-0.5)*2*$B$7))</f>
        <v>97.530819446777684</v>
      </c>
      <c r="P104" s="54">
        <f ca="1">MIN(100,MAX(0,MCDA_Prioritisation!$F$5+(RAND()-0.5)*2*$B$7))</f>
        <v>75.439750338123815</v>
      </c>
      <c r="Q104" s="54">
        <f ca="1">MIN(100,MAX(0,MCDA_Prioritisation!$G$2+(RAND()-0.5)*2*$B$7))</f>
        <v>81.736809062620381</v>
      </c>
      <c r="R104" s="54">
        <f ca="1">MIN(100,MAX(0,MCDA_Prioritisation!$G$3+(RAND()-0.5)*2*$B$7))</f>
        <v>86.401527488287769</v>
      </c>
      <c r="S104" s="54">
        <f ca="1">MIN(100,MAX(0,MCDA_Prioritisation!$G$4+(RAND()-0.5)*2*$B$7))</f>
        <v>79.127363863702797</v>
      </c>
      <c r="T104" s="54">
        <f ca="1">MIN(100,MAX(0,MCDA_Prioritisation!$G$5+(RAND()-0.5)*2*$B$7))</f>
        <v>70.080406631197192</v>
      </c>
      <c r="U104" s="54">
        <f ca="1">MIN(100,MAX(0,MCDA_Prioritisation!$H$2+(RAND()-0.5)*2*$B$7))</f>
        <v>73.283359196750283</v>
      </c>
      <c r="V104" s="54">
        <f ca="1">MIN(100,MAX(0,MCDA_Prioritisation!$H$3+(RAND()-0.5)*2*$B$7))</f>
        <v>58.880058549954128</v>
      </c>
      <c r="W104" s="54">
        <f ca="1">MIN(100,MAX(0,MCDA_Prioritisation!$H$4+(RAND()-0.5)*2*$B$7))</f>
        <v>78.796474627662448</v>
      </c>
      <c r="X104" s="54">
        <f ca="1">MIN(100,MAX(0,MCDA_Prioritisation!$H$5+(RAND()-0.5)*2*$B$7))</f>
        <v>67.3565095226365</v>
      </c>
      <c r="Y104" s="54">
        <f ca="1">H104*MCDA_Prioritisation!$D$2+I104*MCDA_Prioritisation!$E$2+J104*M104+K104*Q104+L104*U104</f>
        <v>91.767199117304415</v>
      </c>
      <c r="Z104" s="54">
        <f ca="1">H104*MCDA_Prioritisation!$D$3+I104*MCDA_Prioritisation!$E$3+J104*N104+K104*R104+L104*V104</f>
        <v>80.738792478203337</v>
      </c>
      <c r="AA104" s="54">
        <f ca="1">H104*MCDA_Prioritisation!$D$4+I104*MCDA_Prioritisation!$E$4+J104*O104+K104*S104+L104*W104</f>
        <v>74.113322382477918</v>
      </c>
      <c r="AB104" s="54">
        <f ca="1">H104*MCDA_Prioritisation!$D$5+I104*MCDA_Prioritisation!$E$5+J104*P104+K104*T104+L104*X104</f>
        <v>70.098624747701066</v>
      </c>
      <c r="AC104" s="54">
        <f t="shared" ca="1" si="20"/>
        <v>1</v>
      </c>
      <c r="AD104" s="54">
        <f t="shared" ca="1" si="21"/>
        <v>2</v>
      </c>
      <c r="AE104" s="54">
        <f t="shared" ca="1" si="22"/>
        <v>3</v>
      </c>
      <c r="AF104" s="54">
        <f t="shared" ca="1" si="23"/>
        <v>4</v>
      </c>
      <c r="AG104" s="54">
        <f t="shared" ca="1" si="24"/>
        <v>1</v>
      </c>
      <c r="AH104" s="54">
        <f t="shared" ca="1" si="25"/>
        <v>1</v>
      </c>
      <c r="AI104" s="54">
        <f t="shared" ca="1" si="26"/>
        <v>1</v>
      </c>
      <c r="AJ104" s="54">
        <f t="shared" ca="1" si="27"/>
        <v>1</v>
      </c>
    </row>
    <row r="105" spans="1:36" x14ac:dyDescent="0.2">
      <c r="A105" s="54">
        <v>82</v>
      </c>
      <c r="B105" s="54">
        <f ca="1">MAX(0.02,MCDA_Prioritisation!$B$9+(RAND()-0.5)*2*$B$6)</f>
        <v>0.17056718146985492</v>
      </c>
      <c r="C105" s="54">
        <f ca="1">MAX(0.02,MCDA_Prioritisation!$B$10+(RAND()-0.5)*2*$B$6)</f>
        <v>0.28123353113478988</v>
      </c>
      <c r="D105" s="54">
        <f ca="1">MAX(0.02,MCDA_Prioritisation!$B$11+(RAND()-0.5)*2*$B$6)</f>
        <v>0.30494093427423552</v>
      </c>
      <c r="E105" s="54">
        <f ca="1">MAX(0.02,MCDA_Prioritisation!$B$12+(RAND()-0.5)*2*$B$6)</f>
        <v>0.21877629252585779</v>
      </c>
      <c r="F105" s="54">
        <f ca="1">MAX(0.02,MCDA_Prioritisation!$B$13+(RAND()-0.5)*2*$B$6)</f>
        <v>0.18847907765587485</v>
      </c>
      <c r="G105" s="54">
        <f t="shared" ca="1" si="14"/>
        <v>1.1639970170606131</v>
      </c>
      <c r="H105" s="54">
        <f t="shared" ca="1" si="15"/>
        <v>0.14653575479134834</v>
      </c>
      <c r="I105" s="54">
        <f t="shared" ca="1" si="16"/>
        <v>0.2416101819959777</v>
      </c>
      <c r="J105" s="54">
        <f t="shared" ca="1" si="17"/>
        <v>0.26197741901803884</v>
      </c>
      <c r="K105" s="54">
        <f t="shared" ca="1" si="18"/>
        <v>0.18795262300441565</v>
      </c>
      <c r="L105" s="54">
        <f t="shared" ca="1" si="19"/>
        <v>0.16192402119021937</v>
      </c>
      <c r="M105" s="54">
        <f ca="1">MIN(100,MAX(0,MCDA_Prioritisation!$F$2+(RAND()-0.5)*2*$B$7))</f>
        <v>81.875798146163632</v>
      </c>
      <c r="N105" s="54">
        <f ca="1">MIN(100,MAX(0,MCDA_Prioritisation!$F$3+(RAND()-0.5)*2*$B$7))</f>
        <v>88.941860210669731</v>
      </c>
      <c r="O105" s="54">
        <f ca="1">MIN(100,MAX(0,MCDA_Prioritisation!$F$4+(RAND()-0.5)*2*$B$7))</f>
        <v>91.106294533866901</v>
      </c>
      <c r="P105" s="54">
        <f ca="1">MIN(100,MAX(0,MCDA_Prioritisation!$F$5+(RAND()-0.5)*2*$B$7))</f>
        <v>82.955670520078513</v>
      </c>
      <c r="Q105" s="54">
        <f ca="1">MIN(100,MAX(0,MCDA_Prioritisation!$G$2+(RAND()-0.5)*2*$B$7))</f>
        <v>83.932095914283224</v>
      </c>
      <c r="R105" s="54">
        <f ca="1">MIN(100,MAX(0,MCDA_Prioritisation!$G$3+(RAND()-0.5)*2*$B$7))</f>
        <v>89.558539976565555</v>
      </c>
      <c r="S105" s="54">
        <f ca="1">MIN(100,MAX(0,MCDA_Prioritisation!$G$4+(RAND()-0.5)*2*$B$7))</f>
        <v>76.136377038358717</v>
      </c>
      <c r="T105" s="54">
        <f ca="1">MIN(100,MAX(0,MCDA_Prioritisation!$G$5+(RAND()-0.5)*2*$B$7))</f>
        <v>66.287680352622388</v>
      </c>
      <c r="U105" s="54">
        <f ca="1">MIN(100,MAX(0,MCDA_Prioritisation!$H$2+(RAND()-0.5)*2*$B$7))</f>
        <v>63.575419232416188</v>
      </c>
      <c r="V105" s="54">
        <f ca="1">MIN(100,MAX(0,MCDA_Prioritisation!$H$3+(RAND()-0.5)*2*$B$7))</f>
        <v>51.051328117555641</v>
      </c>
      <c r="W105" s="54">
        <f ca="1">MIN(100,MAX(0,MCDA_Prioritisation!$H$4+(RAND()-0.5)*2*$B$7))</f>
        <v>86.357230400014657</v>
      </c>
      <c r="X105" s="54">
        <f ca="1">MIN(100,MAX(0,MCDA_Prioritisation!$H$5+(RAND()-0.5)*2*$B$7))</f>
        <v>72.333830900864456</v>
      </c>
      <c r="Y105" s="54">
        <f ca="1">H105*MCDA_Prioritisation!$D$2+I105*MCDA_Prioritisation!$E$2+J105*M105+K105*Q105+L105*U105</f>
        <v>86.333849069421063</v>
      </c>
      <c r="Z105" s="54">
        <f ca="1">H105*MCDA_Prioritisation!$D$3+I105*MCDA_Prioritisation!$E$3+J105*N105+K105*R105+L105*V105</f>
        <v>78.778369224634261</v>
      </c>
      <c r="AA105" s="54">
        <f ca="1">H105*MCDA_Prioritisation!$D$4+I105*MCDA_Prioritisation!$E$4+J105*O105+K105*S105+L105*W105</f>
        <v>75.543759412186063</v>
      </c>
      <c r="AB105" s="54">
        <f ca="1">H105*MCDA_Prioritisation!$D$5+I105*MCDA_Prioritisation!$E$5+J105*P105+K105*T105+L105*X105</f>
        <v>73.998776044403783</v>
      </c>
      <c r="AC105" s="54">
        <f t="shared" ca="1" si="20"/>
        <v>1</v>
      </c>
      <c r="AD105" s="54">
        <f t="shared" ca="1" si="21"/>
        <v>2</v>
      </c>
      <c r="AE105" s="54">
        <f t="shared" ca="1" si="22"/>
        <v>3</v>
      </c>
      <c r="AF105" s="54">
        <f t="shared" ca="1" si="23"/>
        <v>4</v>
      </c>
      <c r="AG105" s="54">
        <f t="shared" ca="1" si="24"/>
        <v>1</v>
      </c>
      <c r="AH105" s="54">
        <f t="shared" ca="1" si="25"/>
        <v>1</v>
      </c>
      <c r="AI105" s="54">
        <f t="shared" ca="1" si="26"/>
        <v>1</v>
      </c>
      <c r="AJ105" s="54">
        <f t="shared" ca="1" si="27"/>
        <v>1</v>
      </c>
    </row>
    <row r="106" spans="1:36" x14ac:dyDescent="0.2">
      <c r="A106" s="54">
        <v>83</v>
      </c>
      <c r="B106" s="54">
        <f ca="1">MAX(0.02,MCDA_Prioritisation!$B$9+(RAND()-0.5)*2*$B$6)</f>
        <v>0.24858808586831116</v>
      </c>
      <c r="C106" s="54">
        <f ca="1">MAX(0.02,MCDA_Prioritisation!$B$10+(RAND()-0.5)*2*$B$6)</f>
        <v>0.24246264273201842</v>
      </c>
      <c r="D106" s="54">
        <f ca="1">MAX(0.02,MCDA_Prioritisation!$B$11+(RAND()-0.5)*2*$B$6)</f>
        <v>0.32384527471283148</v>
      </c>
      <c r="E106" s="54">
        <f ca="1">MAX(0.02,MCDA_Prioritisation!$B$12+(RAND()-0.5)*2*$B$6)</f>
        <v>0.18312970991952526</v>
      </c>
      <c r="F106" s="54">
        <f ca="1">MAX(0.02,MCDA_Prioritisation!$B$13+(RAND()-0.5)*2*$B$6)</f>
        <v>0.19135051384131771</v>
      </c>
      <c r="G106" s="54">
        <f t="shared" ca="1" si="14"/>
        <v>1.189376227074004</v>
      </c>
      <c r="H106" s="54">
        <f t="shared" ca="1" si="15"/>
        <v>0.20900710827209412</v>
      </c>
      <c r="I106" s="54">
        <f t="shared" ca="1" si="16"/>
        <v>0.20385697747507794</v>
      </c>
      <c r="J106" s="54">
        <f t="shared" ca="1" si="17"/>
        <v>0.27228161059644379</v>
      </c>
      <c r="K106" s="54">
        <f t="shared" ca="1" si="18"/>
        <v>0.15397122100720345</v>
      </c>
      <c r="L106" s="54">
        <f t="shared" ca="1" si="19"/>
        <v>0.16088308264918072</v>
      </c>
      <c r="M106" s="54">
        <f ca="1">MIN(100,MAX(0,MCDA_Prioritisation!$F$2+(RAND()-0.5)*2*$B$7))</f>
        <v>77.47704854661221</v>
      </c>
      <c r="N106" s="54">
        <f ca="1">MIN(100,MAX(0,MCDA_Prioritisation!$F$3+(RAND()-0.5)*2*$B$7))</f>
        <v>86.599065813660729</v>
      </c>
      <c r="O106" s="54">
        <f ca="1">MIN(100,MAX(0,MCDA_Prioritisation!$F$4+(RAND()-0.5)*2*$B$7))</f>
        <v>91.902203185932692</v>
      </c>
      <c r="P106" s="54">
        <f ca="1">MIN(100,MAX(0,MCDA_Prioritisation!$F$5+(RAND()-0.5)*2*$B$7))</f>
        <v>67.311162043319527</v>
      </c>
      <c r="Q106" s="54">
        <f ca="1">MIN(100,MAX(0,MCDA_Prioritisation!$G$2+(RAND()-0.5)*2*$B$7))</f>
        <v>71.106051476970194</v>
      </c>
      <c r="R106" s="54">
        <f ca="1">MIN(100,MAX(0,MCDA_Prioritisation!$G$3+(RAND()-0.5)*2*$B$7))</f>
        <v>87.633335738067913</v>
      </c>
      <c r="S106" s="54">
        <f ca="1">MIN(100,MAX(0,MCDA_Prioritisation!$G$4+(RAND()-0.5)*2*$B$7))</f>
        <v>91.206978091656282</v>
      </c>
      <c r="T106" s="54">
        <f ca="1">MIN(100,MAX(0,MCDA_Prioritisation!$G$5+(RAND()-0.5)*2*$B$7))</f>
        <v>73.998778713561165</v>
      </c>
      <c r="U106" s="54">
        <f ca="1">MIN(100,MAX(0,MCDA_Prioritisation!$H$2+(RAND()-0.5)*2*$B$7))</f>
        <v>71.578513218450993</v>
      </c>
      <c r="V106" s="54">
        <f ca="1">MIN(100,MAX(0,MCDA_Prioritisation!$H$3+(RAND()-0.5)*2*$B$7))</f>
        <v>66.709729569246122</v>
      </c>
      <c r="W106" s="54">
        <f ca="1">MIN(100,MAX(0,MCDA_Prioritisation!$H$4+(RAND()-0.5)*2*$B$7))</f>
        <v>79.632073446311907</v>
      </c>
      <c r="X106" s="54">
        <f ca="1">MIN(100,MAX(0,MCDA_Prioritisation!$H$5+(RAND()-0.5)*2*$B$7))</f>
        <v>71.965441114249785</v>
      </c>
      <c r="Y106" s="54">
        <f ca="1">H106*MCDA_Prioritisation!$D$2+I106*MCDA_Prioritisation!$E$2+J106*M106+K106*Q106+L106*U106</f>
        <v>84.846041562187324</v>
      </c>
      <c r="Z106" s="54">
        <f ca="1">H106*MCDA_Prioritisation!$D$3+I106*MCDA_Prioritisation!$E$3+J106*N106+K106*R106+L106*V106</f>
        <v>80.897334400239941</v>
      </c>
      <c r="AA106" s="54">
        <f ca="1">H106*MCDA_Prioritisation!$D$4+I106*MCDA_Prioritisation!$E$4+J106*O106+K106*S106+L106*W106</f>
        <v>77.551480985161277</v>
      </c>
      <c r="AB106" s="54">
        <f ca="1">H106*MCDA_Prioritisation!$D$5+I106*MCDA_Prioritisation!$E$5+J106*P106+K106*T106+L106*X106</f>
        <v>69.535052745546494</v>
      </c>
      <c r="AC106" s="54">
        <f t="shared" ca="1" si="20"/>
        <v>1</v>
      </c>
      <c r="AD106" s="54">
        <f t="shared" ca="1" si="21"/>
        <v>2</v>
      </c>
      <c r="AE106" s="54">
        <f t="shared" ca="1" si="22"/>
        <v>3</v>
      </c>
      <c r="AF106" s="54">
        <f t="shared" ca="1" si="23"/>
        <v>4</v>
      </c>
      <c r="AG106" s="54">
        <f t="shared" ca="1" si="24"/>
        <v>1</v>
      </c>
      <c r="AH106" s="54">
        <f t="shared" ca="1" si="25"/>
        <v>1</v>
      </c>
      <c r="AI106" s="54">
        <f t="shared" ca="1" si="26"/>
        <v>1</v>
      </c>
      <c r="AJ106" s="54">
        <f t="shared" ca="1" si="27"/>
        <v>1</v>
      </c>
    </row>
    <row r="107" spans="1:36" x14ac:dyDescent="0.2">
      <c r="A107" s="54">
        <v>84</v>
      </c>
      <c r="B107" s="54">
        <f ca="1">MAX(0.02,MCDA_Prioritisation!$B$9+(RAND()-0.5)*2*$B$6)</f>
        <v>0.22886606781248439</v>
      </c>
      <c r="C107" s="54">
        <f ca="1">MAX(0.02,MCDA_Prioritisation!$B$10+(RAND()-0.5)*2*$B$6)</f>
        <v>0.20432450576010042</v>
      </c>
      <c r="D107" s="54">
        <f ca="1">MAX(0.02,MCDA_Prioritisation!$B$11+(RAND()-0.5)*2*$B$6)</f>
        <v>0.23352714795879362</v>
      </c>
      <c r="E107" s="54">
        <f ca="1">MAX(0.02,MCDA_Prioritisation!$B$12+(RAND()-0.5)*2*$B$6)</f>
        <v>0.1609542917455796</v>
      </c>
      <c r="F107" s="54">
        <f ca="1">MAX(0.02,MCDA_Prioritisation!$B$13+(RAND()-0.5)*2*$B$6)</f>
        <v>0.17282424130978033</v>
      </c>
      <c r="G107" s="54">
        <f t="shared" ca="1" si="14"/>
        <v>1.0004962545867384</v>
      </c>
      <c r="H107" s="54">
        <f t="shared" ca="1" si="15"/>
        <v>0.22875254831115688</v>
      </c>
      <c r="I107" s="54">
        <f t="shared" ca="1" si="16"/>
        <v>0.20422315908068842</v>
      </c>
      <c r="J107" s="54">
        <f t="shared" ca="1" si="17"/>
        <v>0.23341131652237274</v>
      </c>
      <c r="K107" s="54">
        <f t="shared" ca="1" si="18"/>
        <v>0.16087445705837533</v>
      </c>
      <c r="L107" s="54">
        <f t="shared" ca="1" si="19"/>
        <v>0.17273851902740658</v>
      </c>
      <c r="M107" s="54">
        <f ca="1">MIN(100,MAX(0,MCDA_Prioritisation!$F$2+(RAND()-0.5)*2*$B$7))</f>
        <v>80.997410062117666</v>
      </c>
      <c r="N107" s="54">
        <f ca="1">MIN(100,MAX(0,MCDA_Prioritisation!$F$3+(RAND()-0.5)*2*$B$7))</f>
        <v>89.347211999813055</v>
      </c>
      <c r="O107" s="54">
        <f ca="1">MIN(100,MAX(0,MCDA_Prioritisation!$F$4+(RAND()-0.5)*2*$B$7))</f>
        <v>97.598423171390976</v>
      </c>
      <c r="P107" s="54">
        <f ca="1">MIN(100,MAX(0,MCDA_Prioritisation!$F$5+(RAND()-0.5)*2*$B$7))</f>
        <v>80.394900946275328</v>
      </c>
      <c r="Q107" s="54">
        <f ca="1">MIN(100,MAX(0,MCDA_Prioritisation!$G$2+(RAND()-0.5)*2*$B$7))</f>
        <v>84.811224210532188</v>
      </c>
      <c r="R107" s="54">
        <f ca="1">MIN(100,MAX(0,MCDA_Prioritisation!$G$3+(RAND()-0.5)*2*$B$7))</f>
        <v>100</v>
      </c>
      <c r="S107" s="54">
        <f ca="1">MIN(100,MAX(0,MCDA_Prioritisation!$G$4+(RAND()-0.5)*2*$B$7))</f>
        <v>77.509372530854307</v>
      </c>
      <c r="T107" s="54">
        <f ca="1">MIN(100,MAX(0,MCDA_Prioritisation!$G$5+(RAND()-0.5)*2*$B$7))</f>
        <v>67.698411940430475</v>
      </c>
      <c r="U107" s="54">
        <f ca="1">MIN(100,MAX(0,MCDA_Prioritisation!$H$2+(RAND()-0.5)*2*$B$7))</f>
        <v>67.078823224615149</v>
      </c>
      <c r="V107" s="54">
        <f ca="1">MIN(100,MAX(0,MCDA_Prioritisation!$H$3+(RAND()-0.5)*2*$B$7))</f>
        <v>58.17952211527453</v>
      </c>
      <c r="W107" s="54">
        <f ca="1">MIN(100,MAX(0,MCDA_Prioritisation!$H$4+(RAND()-0.5)*2*$B$7))</f>
        <v>81.695627021438696</v>
      </c>
      <c r="X107" s="54">
        <f ca="1">MIN(100,MAX(0,MCDA_Prioritisation!$H$5+(RAND()-0.5)*2*$B$7))</f>
        <v>78.719138147907557</v>
      </c>
      <c r="Y107" s="54">
        <f ca="1">H107*MCDA_Prioritisation!$D$2+I107*MCDA_Prioritisation!$E$2+J107*M107+K107*Q107+L107*U107</f>
        <v>87.434339085932635</v>
      </c>
      <c r="Z107" s="54">
        <f ca="1">H107*MCDA_Prioritisation!$D$3+I107*MCDA_Prioritisation!$E$3+J107*N107+K107*R107+L107*V107</f>
        <v>81.83678365697304</v>
      </c>
      <c r="AA107" s="54">
        <f ca="1">H107*MCDA_Prioritisation!$D$4+I107*MCDA_Prioritisation!$E$4+J107*O107+K107*S107+L107*W107</f>
        <v>76.4302640487617</v>
      </c>
      <c r="AB107" s="54">
        <f ca="1">H107*MCDA_Prioritisation!$D$5+I107*MCDA_Prioritisation!$E$5+J107*P107+K107*T107+L107*X107</f>
        <v>72.568408434111262</v>
      </c>
      <c r="AC107" s="54">
        <f t="shared" ca="1" si="20"/>
        <v>1</v>
      </c>
      <c r="AD107" s="54">
        <f t="shared" ca="1" si="21"/>
        <v>2</v>
      </c>
      <c r="AE107" s="54">
        <f t="shared" ca="1" si="22"/>
        <v>3</v>
      </c>
      <c r="AF107" s="54">
        <f t="shared" ca="1" si="23"/>
        <v>4</v>
      </c>
      <c r="AG107" s="54">
        <f t="shared" ca="1" si="24"/>
        <v>1</v>
      </c>
      <c r="AH107" s="54">
        <f t="shared" ca="1" si="25"/>
        <v>1</v>
      </c>
      <c r="AI107" s="54">
        <f t="shared" ca="1" si="26"/>
        <v>1</v>
      </c>
      <c r="AJ107" s="54">
        <f t="shared" ca="1" si="27"/>
        <v>1</v>
      </c>
    </row>
    <row r="108" spans="1:36" x14ac:dyDescent="0.2">
      <c r="A108" s="54">
        <v>85</v>
      </c>
      <c r="B108" s="54">
        <f ca="1">MAX(0.02,MCDA_Prioritisation!$B$9+(RAND()-0.5)*2*$B$6)</f>
        <v>0.21985370993906961</v>
      </c>
      <c r="C108" s="54">
        <f ca="1">MAX(0.02,MCDA_Prioritisation!$B$10+(RAND()-0.5)*2*$B$6)</f>
        <v>0.31278948689330666</v>
      </c>
      <c r="D108" s="54">
        <f ca="1">MAX(0.02,MCDA_Prioritisation!$B$11+(RAND()-0.5)*2*$B$6)</f>
        <v>0.26954293720997052</v>
      </c>
      <c r="E108" s="54">
        <f ca="1">MAX(0.02,MCDA_Prioritisation!$B$12+(RAND()-0.5)*2*$B$6)</f>
        <v>0.18893862216456858</v>
      </c>
      <c r="F108" s="54">
        <f ca="1">MAX(0.02,MCDA_Prioritisation!$B$13+(RAND()-0.5)*2*$B$6)</f>
        <v>0.22514444605957618</v>
      </c>
      <c r="G108" s="54">
        <f t="shared" ca="1" si="14"/>
        <v>1.2162692022664916</v>
      </c>
      <c r="H108" s="54">
        <f t="shared" ca="1" si="15"/>
        <v>0.18076073087222544</v>
      </c>
      <c r="I108" s="54">
        <f t="shared" ca="1" si="16"/>
        <v>0.25717126299870963</v>
      </c>
      <c r="J108" s="54">
        <f t="shared" ca="1" si="17"/>
        <v>0.22161453788987096</v>
      </c>
      <c r="K108" s="54">
        <f t="shared" ca="1" si="18"/>
        <v>0.15534276606896361</v>
      </c>
      <c r="L108" s="54">
        <f t="shared" ca="1" si="19"/>
        <v>0.18511070217023035</v>
      </c>
      <c r="M108" s="54">
        <f ca="1">MIN(100,MAX(0,MCDA_Prioritisation!$F$2+(RAND()-0.5)*2*$B$7))</f>
        <v>87.709386843132734</v>
      </c>
      <c r="N108" s="54">
        <f ca="1">MIN(100,MAX(0,MCDA_Prioritisation!$F$3+(RAND()-0.5)*2*$B$7))</f>
        <v>86.423177079607626</v>
      </c>
      <c r="O108" s="54">
        <f ca="1">MIN(100,MAX(0,MCDA_Prioritisation!$F$4+(RAND()-0.5)*2*$B$7))</f>
        <v>84.141761047949842</v>
      </c>
      <c r="P108" s="54">
        <f ca="1">MIN(100,MAX(0,MCDA_Prioritisation!$F$5+(RAND()-0.5)*2*$B$7))</f>
        <v>71.153659239442973</v>
      </c>
      <c r="Q108" s="54">
        <f ca="1">MIN(100,MAX(0,MCDA_Prioritisation!$G$2+(RAND()-0.5)*2*$B$7))</f>
        <v>76.23050380472128</v>
      </c>
      <c r="R108" s="54">
        <f ca="1">MIN(100,MAX(0,MCDA_Prioritisation!$G$3+(RAND()-0.5)*2*$B$7))</f>
        <v>89.60122303589543</v>
      </c>
      <c r="S108" s="54">
        <f ca="1">MIN(100,MAX(0,MCDA_Prioritisation!$G$4+(RAND()-0.5)*2*$B$7))</f>
        <v>93.257525007885818</v>
      </c>
      <c r="T108" s="54">
        <f ca="1">MIN(100,MAX(0,MCDA_Prioritisation!$G$5+(RAND()-0.5)*2*$B$7))</f>
        <v>66.256051554326902</v>
      </c>
      <c r="U108" s="54">
        <f ca="1">MIN(100,MAX(0,MCDA_Prioritisation!$H$2+(RAND()-0.5)*2*$B$7))</f>
        <v>72.9069618892119</v>
      </c>
      <c r="V108" s="54">
        <f ca="1">MIN(100,MAX(0,MCDA_Prioritisation!$H$3+(RAND()-0.5)*2*$B$7))</f>
        <v>55.145472878099</v>
      </c>
      <c r="W108" s="54">
        <f ca="1">MIN(100,MAX(0,MCDA_Prioritisation!$H$4+(RAND()-0.5)*2*$B$7))</f>
        <v>86.386254449676485</v>
      </c>
      <c r="X108" s="54">
        <f ca="1">MIN(100,MAX(0,MCDA_Prioritisation!$H$5+(RAND()-0.5)*2*$B$7))</f>
        <v>66.949479362182899</v>
      </c>
      <c r="Y108" s="54">
        <f ca="1">H108*MCDA_Prioritisation!$D$2+I108*MCDA_Prioritisation!$E$2+J108*M108+K108*Q108+L108*U108</f>
        <v>88.568590849204597</v>
      </c>
      <c r="Z108" s="54">
        <f ca="1">H108*MCDA_Prioritisation!$D$3+I108*MCDA_Prioritisation!$E$3+J108*N108+K108*R108+L108*V108</f>
        <v>77.780832609279699</v>
      </c>
      <c r="AA108" s="54">
        <f ca="1">H108*MCDA_Prioritisation!$D$4+I108*MCDA_Prioritisation!$E$4+J108*O108+K108*S108+L108*W108</f>
        <v>75.739577716480497</v>
      </c>
      <c r="AB108" s="54">
        <f ca="1">H108*MCDA_Prioritisation!$D$5+I108*MCDA_Prioritisation!$E$5+J108*P108+K108*T108+L108*X108</f>
        <v>69.673950696953185</v>
      </c>
      <c r="AC108" s="54">
        <f t="shared" ca="1" si="20"/>
        <v>1</v>
      </c>
      <c r="AD108" s="54">
        <f t="shared" ca="1" si="21"/>
        <v>2</v>
      </c>
      <c r="AE108" s="54">
        <f t="shared" ca="1" si="22"/>
        <v>3</v>
      </c>
      <c r="AF108" s="54">
        <f t="shared" ca="1" si="23"/>
        <v>4</v>
      </c>
      <c r="AG108" s="54">
        <f t="shared" ca="1" si="24"/>
        <v>1</v>
      </c>
      <c r="AH108" s="54">
        <f t="shared" ca="1" si="25"/>
        <v>1</v>
      </c>
      <c r="AI108" s="54">
        <f t="shared" ca="1" si="26"/>
        <v>1</v>
      </c>
      <c r="AJ108" s="54">
        <f t="shared" ca="1" si="27"/>
        <v>1</v>
      </c>
    </row>
    <row r="109" spans="1:36" x14ac:dyDescent="0.2">
      <c r="A109" s="54">
        <v>86</v>
      </c>
      <c r="B109" s="54">
        <f ca="1">MAX(0.02,MCDA_Prioritisation!$B$9+(RAND()-0.5)*2*$B$6)</f>
        <v>0.22716943275297433</v>
      </c>
      <c r="C109" s="54">
        <f ca="1">MAX(0.02,MCDA_Prioritisation!$B$10+(RAND()-0.5)*2*$B$6)</f>
        <v>0.24319779007146378</v>
      </c>
      <c r="D109" s="54">
        <f ca="1">MAX(0.02,MCDA_Prioritisation!$B$11+(RAND()-0.5)*2*$B$6)</f>
        <v>0.27207615202420515</v>
      </c>
      <c r="E109" s="54">
        <f ca="1">MAX(0.02,MCDA_Prioritisation!$B$12+(RAND()-0.5)*2*$B$6)</f>
        <v>9.1602540166557805E-2</v>
      </c>
      <c r="F109" s="54">
        <f ca="1">MAX(0.02,MCDA_Prioritisation!$B$13+(RAND()-0.5)*2*$B$6)</f>
        <v>8.2693572452429531E-2</v>
      </c>
      <c r="G109" s="54">
        <f t="shared" ca="1" si="14"/>
        <v>0.91673948746763045</v>
      </c>
      <c r="H109" s="54">
        <f t="shared" ca="1" si="15"/>
        <v>0.24780151379810128</v>
      </c>
      <c r="I109" s="54">
        <f t="shared" ca="1" si="16"/>
        <v>0.26528560555765407</v>
      </c>
      <c r="J109" s="54">
        <f t="shared" ca="1" si="17"/>
        <v>0.2967867706623819</v>
      </c>
      <c r="K109" s="54">
        <f t="shared" ca="1" si="18"/>
        <v>9.9922105918659077E-2</v>
      </c>
      <c r="L109" s="54">
        <f t="shared" ca="1" si="19"/>
        <v>9.0204004063203821E-2</v>
      </c>
      <c r="M109" s="54">
        <f ca="1">MIN(100,MAX(0,MCDA_Prioritisation!$F$2+(RAND()-0.5)*2*$B$7))</f>
        <v>89.493423845367928</v>
      </c>
      <c r="N109" s="54">
        <f ca="1">MIN(100,MAX(0,MCDA_Prioritisation!$F$3+(RAND()-0.5)*2*$B$7))</f>
        <v>98.908757147750919</v>
      </c>
      <c r="O109" s="54">
        <f ca="1">MIN(100,MAX(0,MCDA_Prioritisation!$F$4+(RAND()-0.5)*2*$B$7))</f>
        <v>97.719345734474999</v>
      </c>
      <c r="P109" s="54">
        <f ca="1">MIN(100,MAX(0,MCDA_Prioritisation!$F$5+(RAND()-0.5)*2*$B$7))</f>
        <v>80.863086955255852</v>
      </c>
      <c r="Q109" s="54">
        <f ca="1">MIN(100,MAX(0,MCDA_Prioritisation!$G$2+(RAND()-0.5)*2*$B$7))</f>
        <v>85.540643787289255</v>
      </c>
      <c r="R109" s="54">
        <f ca="1">MIN(100,MAX(0,MCDA_Prioritisation!$G$3+(RAND()-0.5)*2*$B$7))</f>
        <v>100</v>
      </c>
      <c r="S109" s="54">
        <f ca="1">MIN(100,MAX(0,MCDA_Prioritisation!$G$4+(RAND()-0.5)*2*$B$7))</f>
        <v>80.638926270278262</v>
      </c>
      <c r="T109" s="54">
        <f ca="1">MIN(100,MAX(0,MCDA_Prioritisation!$G$5+(RAND()-0.5)*2*$B$7))</f>
        <v>68.139900600980098</v>
      </c>
      <c r="U109" s="54">
        <f ca="1">MIN(100,MAX(0,MCDA_Prioritisation!$H$2+(RAND()-0.5)*2*$B$7))</f>
        <v>74.446415368992774</v>
      </c>
      <c r="V109" s="54">
        <f ca="1">MIN(100,MAX(0,MCDA_Prioritisation!$H$3+(RAND()-0.5)*2*$B$7))</f>
        <v>61.735714429222689</v>
      </c>
      <c r="W109" s="54">
        <f ca="1">MIN(100,MAX(0,MCDA_Prioritisation!$H$4+(RAND()-0.5)*2*$B$7))</f>
        <v>80.898604499884712</v>
      </c>
      <c r="X109" s="54">
        <f ca="1">MIN(100,MAX(0,MCDA_Prioritisation!$H$5+(RAND()-0.5)*2*$B$7))</f>
        <v>72.945970042383365</v>
      </c>
      <c r="Y109" s="54">
        <f ca="1">H109*MCDA_Prioritisation!$D$2+I109*MCDA_Prioritisation!$E$2+J109*M109+K109*Q109+L109*U109</f>
        <v>93.131942217461472</v>
      </c>
      <c r="Z109" s="54">
        <f ca="1">H109*MCDA_Prioritisation!$D$3+I109*MCDA_Prioritisation!$E$3+J109*N109+K109*R109+L109*V109</f>
        <v>85.866397506991532</v>
      </c>
      <c r="AA109" s="54">
        <f ca="1">H109*MCDA_Prioritisation!$D$4+I109*MCDA_Prioritisation!$E$4+J109*O109+K109*S109+L109*W109</f>
        <v>76.082363067015208</v>
      </c>
      <c r="AB109" s="54">
        <f ca="1">H109*MCDA_Prioritisation!$D$5+I109*MCDA_Prioritisation!$E$5+J109*P109+K109*T109+L109*X109</f>
        <v>72.848188970586477</v>
      </c>
      <c r="AC109" s="54">
        <f t="shared" ca="1" si="20"/>
        <v>1</v>
      </c>
      <c r="AD109" s="54">
        <f t="shared" ca="1" si="21"/>
        <v>2</v>
      </c>
      <c r="AE109" s="54">
        <f t="shared" ca="1" si="22"/>
        <v>3</v>
      </c>
      <c r="AF109" s="54">
        <f t="shared" ca="1" si="23"/>
        <v>4</v>
      </c>
      <c r="AG109" s="54">
        <f t="shared" ca="1" si="24"/>
        <v>1</v>
      </c>
      <c r="AH109" s="54">
        <f t="shared" ca="1" si="25"/>
        <v>1</v>
      </c>
      <c r="AI109" s="54">
        <f t="shared" ca="1" si="26"/>
        <v>1</v>
      </c>
      <c r="AJ109" s="54">
        <f t="shared" ca="1" si="27"/>
        <v>1</v>
      </c>
    </row>
    <row r="110" spans="1:36" x14ac:dyDescent="0.2">
      <c r="A110" s="54">
        <v>87</v>
      </c>
      <c r="B110" s="54">
        <f ca="1">MAX(0.02,MCDA_Prioritisation!$B$9+(RAND()-0.5)*2*$B$6)</f>
        <v>0.14695436957421851</v>
      </c>
      <c r="C110" s="54">
        <f ca="1">MAX(0.02,MCDA_Prioritisation!$B$10+(RAND()-0.5)*2*$B$6)</f>
        <v>0.30286039584527985</v>
      </c>
      <c r="D110" s="54">
        <f ca="1">MAX(0.02,MCDA_Prioritisation!$B$11+(RAND()-0.5)*2*$B$6)</f>
        <v>0.25533822559968949</v>
      </c>
      <c r="E110" s="54">
        <f ca="1">MAX(0.02,MCDA_Prioritisation!$B$12+(RAND()-0.5)*2*$B$6)</f>
        <v>0.22369128519480214</v>
      </c>
      <c r="F110" s="54">
        <f ca="1">MAX(0.02,MCDA_Prioritisation!$B$13+(RAND()-0.5)*2*$B$6)</f>
        <v>0.2085093147263348</v>
      </c>
      <c r="G110" s="54">
        <f t="shared" ca="1" si="14"/>
        <v>1.1373535909403247</v>
      </c>
      <c r="H110" s="54">
        <f t="shared" ca="1" si="15"/>
        <v>0.1292072850033574</v>
      </c>
      <c r="I110" s="54">
        <f t="shared" ca="1" si="16"/>
        <v>0.26628517134665686</v>
      </c>
      <c r="J110" s="54">
        <f t="shared" ca="1" si="17"/>
        <v>0.22450206130582895</v>
      </c>
      <c r="K110" s="54">
        <f t="shared" ca="1" si="18"/>
        <v>0.19667699383606982</v>
      </c>
      <c r="L110" s="54">
        <f t="shared" ca="1" si="19"/>
        <v>0.183328488508087</v>
      </c>
      <c r="M110" s="54">
        <f ca="1">MIN(100,MAX(0,MCDA_Prioritisation!$F$2+(RAND()-0.5)*2*$B$7))</f>
        <v>75.438279757564274</v>
      </c>
      <c r="N110" s="54">
        <f ca="1">MIN(100,MAX(0,MCDA_Prioritisation!$F$3+(RAND()-0.5)*2*$B$7))</f>
        <v>100</v>
      </c>
      <c r="O110" s="54">
        <f ca="1">MIN(100,MAX(0,MCDA_Prioritisation!$F$4+(RAND()-0.5)*2*$B$7))</f>
        <v>92.758742396722397</v>
      </c>
      <c r="P110" s="54">
        <f ca="1">MIN(100,MAX(0,MCDA_Prioritisation!$F$5+(RAND()-0.5)*2*$B$7))</f>
        <v>69.924076898071405</v>
      </c>
      <c r="Q110" s="54">
        <f ca="1">MIN(100,MAX(0,MCDA_Prioritisation!$G$2+(RAND()-0.5)*2*$B$7))</f>
        <v>85.283432726924786</v>
      </c>
      <c r="R110" s="54">
        <f ca="1">MIN(100,MAX(0,MCDA_Prioritisation!$G$3+(RAND()-0.5)*2*$B$7))</f>
        <v>97.317410107302294</v>
      </c>
      <c r="S110" s="54">
        <f ca="1">MIN(100,MAX(0,MCDA_Prioritisation!$G$4+(RAND()-0.5)*2*$B$7))</f>
        <v>80.206689646039536</v>
      </c>
      <c r="T110" s="54">
        <f ca="1">MIN(100,MAX(0,MCDA_Prioritisation!$G$5+(RAND()-0.5)*2*$B$7))</f>
        <v>68.313057435135022</v>
      </c>
      <c r="U110" s="54">
        <f ca="1">MIN(100,MAX(0,MCDA_Prioritisation!$H$2+(RAND()-0.5)*2*$B$7))</f>
        <v>74.708924333927087</v>
      </c>
      <c r="V110" s="54">
        <f ca="1">MIN(100,MAX(0,MCDA_Prioritisation!$H$3+(RAND()-0.5)*2*$B$7))</f>
        <v>67.40237317500592</v>
      </c>
      <c r="W110" s="54">
        <f ca="1">MIN(100,MAX(0,MCDA_Prioritisation!$H$4+(RAND()-0.5)*2*$B$7))</f>
        <v>73.243217760814872</v>
      </c>
      <c r="X110" s="54">
        <f ca="1">MIN(100,MAX(0,MCDA_Prioritisation!$H$5+(RAND()-0.5)*2*$B$7))</f>
        <v>79.061224876585428</v>
      </c>
      <c r="Y110" s="54">
        <f ca="1">H110*MCDA_Prioritisation!$D$2+I110*MCDA_Prioritisation!$E$2+J110*M110+K110*Q110+L110*U110</f>
        <v>86.954858290896539</v>
      </c>
      <c r="Z110" s="54">
        <f ca="1">H110*MCDA_Prioritisation!$D$3+I110*MCDA_Prioritisation!$E$3+J110*N110+K110*R110+L110*V110</f>
        <v>84.605579592840925</v>
      </c>
      <c r="AA110" s="54">
        <f ca="1">H110*MCDA_Prioritisation!$D$4+I110*MCDA_Prioritisation!$E$4+J110*O110+K110*S110+L110*W110</f>
        <v>73.548789362312519</v>
      </c>
      <c r="AB110" s="54">
        <f ca="1">H110*MCDA_Prioritisation!$D$5+I110*MCDA_Prioritisation!$E$5+J110*P110+K110*T110+L110*X110</f>
        <v>72.877834789826267</v>
      </c>
      <c r="AC110" s="54">
        <f t="shared" ca="1" si="20"/>
        <v>1</v>
      </c>
      <c r="AD110" s="54">
        <f t="shared" ca="1" si="21"/>
        <v>2</v>
      </c>
      <c r="AE110" s="54">
        <f t="shared" ca="1" si="22"/>
        <v>3</v>
      </c>
      <c r="AF110" s="54">
        <f t="shared" ca="1" si="23"/>
        <v>4</v>
      </c>
      <c r="AG110" s="54">
        <f t="shared" ca="1" si="24"/>
        <v>1</v>
      </c>
      <c r="AH110" s="54">
        <f t="shared" ca="1" si="25"/>
        <v>1</v>
      </c>
      <c r="AI110" s="54">
        <f t="shared" ca="1" si="26"/>
        <v>1</v>
      </c>
      <c r="AJ110" s="54">
        <f t="shared" ca="1" si="27"/>
        <v>1</v>
      </c>
    </row>
    <row r="111" spans="1:36" x14ac:dyDescent="0.2">
      <c r="A111" s="54">
        <v>88</v>
      </c>
      <c r="B111" s="54">
        <f ca="1">MAX(0.02,MCDA_Prioritisation!$B$9+(RAND()-0.5)*2*$B$6)</f>
        <v>0.23988902876458712</v>
      </c>
      <c r="C111" s="54">
        <f ca="1">MAX(0.02,MCDA_Prioritisation!$B$10+(RAND()-0.5)*2*$B$6)</f>
        <v>0.30784270328078667</v>
      </c>
      <c r="D111" s="54">
        <f ca="1">MAX(0.02,MCDA_Prioritisation!$B$11+(RAND()-0.5)*2*$B$6)</f>
        <v>0.29401414195790343</v>
      </c>
      <c r="E111" s="54">
        <f ca="1">MAX(0.02,MCDA_Prioritisation!$B$12+(RAND()-0.5)*2*$B$6)</f>
        <v>0.16015472641073186</v>
      </c>
      <c r="F111" s="54">
        <f ca="1">MAX(0.02,MCDA_Prioritisation!$B$13+(RAND()-0.5)*2*$B$6)</f>
        <v>0.14019535813219108</v>
      </c>
      <c r="G111" s="54">
        <f t="shared" ca="1" si="14"/>
        <v>1.1420959585462003</v>
      </c>
      <c r="H111" s="54">
        <f t="shared" ca="1" si="15"/>
        <v>0.21004279629003089</v>
      </c>
      <c r="I111" s="54">
        <f t="shared" ca="1" si="16"/>
        <v>0.26954189004630275</v>
      </c>
      <c r="J111" s="54">
        <f t="shared" ca="1" si="17"/>
        <v>0.25743383448459151</v>
      </c>
      <c r="K111" s="54">
        <f t="shared" ca="1" si="18"/>
        <v>0.14022878306530076</v>
      </c>
      <c r="L111" s="54">
        <f t="shared" ca="1" si="19"/>
        <v>0.12275269611377394</v>
      </c>
      <c r="M111" s="54">
        <f ca="1">MIN(100,MAX(0,MCDA_Prioritisation!$F$2+(RAND()-0.5)*2*$B$7))</f>
        <v>79.449568037264839</v>
      </c>
      <c r="N111" s="54">
        <f ca="1">MIN(100,MAX(0,MCDA_Prioritisation!$F$3+(RAND()-0.5)*2*$B$7))</f>
        <v>93.208913318010815</v>
      </c>
      <c r="O111" s="54">
        <f ca="1">MIN(100,MAX(0,MCDA_Prioritisation!$F$4+(RAND()-0.5)*2*$B$7))</f>
        <v>95.140124912239372</v>
      </c>
      <c r="P111" s="54">
        <f ca="1">MIN(100,MAX(0,MCDA_Prioritisation!$F$5+(RAND()-0.5)*2*$B$7))</f>
        <v>81.771472163207136</v>
      </c>
      <c r="Q111" s="54">
        <f ca="1">MIN(100,MAX(0,MCDA_Prioritisation!$G$2+(RAND()-0.5)*2*$B$7))</f>
        <v>83.309901995182557</v>
      </c>
      <c r="R111" s="54">
        <f ca="1">MIN(100,MAX(0,MCDA_Prioritisation!$G$3+(RAND()-0.5)*2*$B$7))</f>
        <v>100</v>
      </c>
      <c r="S111" s="54">
        <f ca="1">MIN(100,MAX(0,MCDA_Prioritisation!$G$4+(RAND()-0.5)*2*$B$7))</f>
        <v>79.51075905857256</v>
      </c>
      <c r="T111" s="54">
        <f ca="1">MIN(100,MAX(0,MCDA_Prioritisation!$G$5+(RAND()-0.5)*2*$B$7))</f>
        <v>72.61142806824337</v>
      </c>
      <c r="U111" s="54">
        <f ca="1">MIN(100,MAX(0,MCDA_Prioritisation!$H$2+(RAND()-0.5)*2*$B$7))</f>
        <v>58.552146394358076</v>
      </c>
      <c r="V111" s="54">
        <f ca="1">MIN(100,MAX(0,MCDA_Prioritisation!$H$3+(RAND()-0.5)*2*$B$7))</f>
        <v>65.647154833110591</v>
      </c>
      <c r="W111" s="54">
        <f ca="1">MIN(100,MAX(0,MCDA_Prioritisation!$H$4+(RAND()-0.5)*2*$B$7))</f>
        <v>71.57738040747526</v>
      </c>
      <c r="X111" s="54">
        <f ca="1">MIN(100,MAX(0,MCDA_Prioritisation!$H$5+(RAND()-0.5)*2*$B$7))</f>
        <v>75.159419044878021</v>
      </c>
      <c r="Y111" s="54">
        <f ca="1">H111*MCDA_Prioritisation!$D$2+I111*MCDA_Prioritisation!$E$2+J111*M111+K111*Q111+L111*U111</f>
        <v>87.28135558884064</v>
      </c>
      <c r="Z111" s="54">
        <f ca="1">H111*MCDA_Prioritisation!$D$3+I111*MCDA_Prioritisation!$E$3+J111*N111+K111*R111+L111*V111</f>
        <v>84.036494571982729</v>
      </c>
      <c r="AA111" s="54">
        <f ca="1">H111*MCDA_Prioritisation!$D$4+I111*MCDA_Prioritisation!$E$4+J111*O111+K111*S111+L111*W111</f>
        <v>73.756731066206072</v>
      </c>
      <c r="AB111" s="54">
        <f ca="1">H111*MCDA_Prioritisation!$D$5+I111*MCDA_Prioritisation!$E$5+J111*P111+K111*T111+L111*X111</f>
        <v>74.273208037008317</v>
      </c>
      <c r="AC111" s="54">
        <f t="shared" ca="1" si="20"/>
        <v>1</v>
      </c>
      <c r="AD111" s="54">
        <f t="shared" ca="1" si="21"/>
        <v>2</v>
      </c>
      <c r="AE111" s="54">
        <f t="shared" ca="1" si="22"/>
        <v>4</v>
      </c>
      <c r="AF111" s="54">
        <f t="shared" ca="1" si="23"/>
        <v>3</v>
      </c>
      <c r="AG111" s="54">
        <f t="shared" ca="1" si="24"/>
        <v>1</v>
      </c>
      <c r="AH111" s="54">
        <f t="shared" ca="1" si="25"/>
        <v>1</v>
      </c>
      <c r="AI111" s="54">
        <f t="shared" ca="1" si="26"/>
        <v>0</v>
      </c>
      <c r="AJ111" s="54">
        <f t="shared" ca="1" si="27"/>
        <v>1</v>
      </c>
    </row>
    <row r="112" spans="1:36" x14ac:dyDescent="0.2">
      <c r="A112" s="54">
        <v>89</v>
      </c>
      <c r="B112" s="54">
        <f ca="1">MAX(0.02,MCDA_Prioritisation!$B$9+(RAND()-0.5)*2*$B$6)</f>
        <v>0.23076721812761561</v>
      </c>
      <c r="C112" s="54">
        <f ca="1">MAX(0.02,MCDA_Prioritisation!$B$10+(RAND()-0.5)*2*$B$6)</f>
        <v>0.22930836957355571</v>
      </c>
      <c r="D112" s="54">
        <f ca="1">MAX(0.02,MCDA_Prioritisation!$B$11+(RAND()-0.5)*2*$B$6)</f>
        <v>0.23815294809223889</v>
      </c>
      <c r="E112" s="54">
        <f ca="1">MAX(0.02,MCDA_Prioritisation!$B$12+(RAND()-0.5)*2*$B$6)</f>
        <v>0.16220651309770839</v>
      </c>
      <c r="F112" s="54">
        <f ca="1">MAX(0.02,MCDA_Prioritisation!$B$13+(RAND()-0.5)*2*$B$6)</f>
        <v>0.15253666256002926</v>
      </c>
      <c r="G112" s="54">
        <f t="shared" ca="1" si="14"/>
        <v>1.0129717114511478</v>
      </c>
      <c r="H112" s="54">
        <f t="shared" ca="1" si="15"/>
        <v>0.22781210523344878</v>
      </c>
      <c r="I112" s="54">
        <f t="shared" ca="1" si="16"/>
        <v>0.22637193811173323</v>
      </c>
      <c r="J112" s="54">
        <f t="shared" ca="1" si="17"/>
        <v>0.23510325648785324</v>
      </c>
      <c r="K112" s="54">
        <f t="shared" ca="1" si="18"/>
        <v>0.16012936122898933</v>
      </c>
      <c r="L112" s="54">
        <f t="shared" ca="1" si="19"/>
        <v>0.15058333893797546</v>
      </c>
      <c r="M112" s="54">
        <f ca="1">MIN(100,MAX(0,MCDA_Prioritisation!$F$2+(RAND()-0.5)*2*$B$7))</f>
        <v>92.588203010578511</v>
      </c>
      <c r="N112" s="54">
        <f ca="1">MIN(100,MAX(0,MCDA_Prioritisation!$F$3+(RAND()-0.5)*2*$B$7))</f>
        <v>99.633435688523747</v>
      </c>
      <c r="O112" s="54">
        <f ca="1">MIN(100,MAX(0,MCDA_Prioritisation!$F$4+(RAND()-0.5)*2*$B$7))</f>
        <v>94.687976938469063</v>
      </c>
      <c r="P112" s="54">
        <f ca="1">MIN(100,MAX(0,MCDA_Prioritisation!$F$5+(RAND()-0.5)*2*$B$7))</f>
        <v>65.76986789276522</v>
      </c>
      <c r="Q112" s="54">
        <f ca="1">MIN(100,MAX(0,MCDA_Prioritisation!$G$2+(RAND()-0.5)*2*$B$7))</f>
        <v>73.752561133298357</v>
      </c>
      <c r="R112" s="54">
        <f ca="1">MIN(100,MAX(0,MCDA_Prioritisation!$G$3+(RAND()-0.5)*2*$B$7))</f>
        <v>100</v>
      </c>
      <c r="S112" s="54">
        <f ca="1">MIN(100,MAX(0,MCDA_Prioritisation!$G$4+(RAND()-0.5)*2*$B$7))</f>
        <v>91.677160426587307</v>
      </c>
      <c r="T112" s="54">
        <f ca="1">MIN(100,MAX(0,MCDA_Prioritisation!$G$5+(RAND()-0.5)*2*$B$7))</f>
        <v>67.905426681771843</v>
      </c>
      <c r="U112" s="54">
        <f ca="1">MIN(100,MAX(0,MCDA_Prioritisation!$H$2+(RAND()-0.5)*2*$B$7))</f>
        <v>69.988559746556462</v>
      </c>
      <c r="V112" s="54">
        <f ca="1">MIN(100,MAX(0,MCDA_Prioritisation!$H$3+(RAND()-0.5)*2*$B$7))</f>
        <v>54.534742966893255</v>
      </c>
      <c r="W112" s="54">
        <f ca="1">MIN(100,MAX(0,MCDA_Prioritisation!$H$4+(RAND()-0.5)*2*$B$7))</f>
        <v>71.297729641617352</v>
      </c>
      <c r="X112" s="54">
        <f ca="1">MIN(100,MAX(0,MCDA_Prioritisation!$H$5+(RAND()-0.5)*2*$B$7))</f>
        <v>81.909804015199498</v>
      </c>
      <c r="Y112" s="54">
        <f ca="1">H112*MCDA_Prioritisation!$D$2+I112*MCDA_Prioritisation!$E$2+J112*M112+K112*Q112+L112*U112</f>
        <v>89.535253892037176</v>
      </c>
      <c r="Z112" s="54">
        <f ca="1">H112*MCDA_Prioritisation!$D$3+I112*MCDA_Prioritisation!$E$3+J112*N112+K112*R112+L112*V112</f>
        <v>84.022576615835163</v>
      </c>
      <c r="AA112" s="54">
        <f ca="1">H112*MCDA_Prioritisation!$D$4+I112*MCDA_Prioritisation!$E$4+J112*O112+K112*S112+L112*W112</f>
        <v>75.888963107726894</v>
      </c>
      <c r="AB112" s="54">
        <f ca="1">H112*MCDA_Prioritisation!$D$5+I112*MCDA_Prioritisation!$E$5+J112*P112+K112*T112+L112*X112</f>
        <v>69.797766765202127</v>
      </c>
      <c r="AC112" s="54">
        <f t="shared" ca="1" si="20"/>
        <v>1</v>
      </c>
      <c r="AD112" s="54">
        <f t="shared" ca="1" si="21"/>
        <v>2</v>
      </c>
      <c r="AE112" s="54">
        <f t="shared" ca="1" si="22"/>
        <v>3</v>
      </c>
      <c r="AF112" s="54">
        <f t="shared" ca="1" si="23"/>
        <v>4</v>
      </c>
      <c r="AG112" s="54">
        <f t="shared" ca="1" si="24"/>
        <v>1</v>
      </c>
      <c r="AH112" s="54">
        <f t="shared" ca="1" si="25"/>
        <v>1</v>
      </c>
      <c r="AI112" s="54">
        <f t="shared" ca="1" si="26"/>
        <v>1</v>
      </c>
      <c r="AJ112" s="54">
        <f t="shared" ca="1" si="27"/>
        <v>1</v>
      </c>
    </row>
    <row r="113" spans="1:36" x14ac:dyDescent="0.2">
      <c r="A113" s="54">
        <v>90</v>
      </c>
      <c r="B113" s="54">
        <f ca="1">MAX(0.02,MCDA_Prioritisation!$B$9+(RAND()-0.5)*2*$B$6)</f>
        <v>0.21865961773403358</v>
      </c>
      <c r="C113" s="54">
        <f ca="1">MAX(0.02,MCDA_Prioritisation!$B$10+(RAND()-0.5)*2*$B$6)</f>
        <v>0.30186101658269715</v>
      </c>
      <c r="D113" s="54">
        <f ca="1">MAX(0.02,MCDA_Prioritisation!$B$11+(RAND()-0.5)*2*$B$6)</f>
        <v>0.17116543866780617</v>
      </c>
      <c r="E113" s="54">
        <f ca="1">MAX(0.02,MCDA_Prioritisation!$B$12+(RAND()-0.5)*2*$B$6)</f>
        <v>0.19873826534676539</v>
      </c>
      <c r="F113" s="54">
        <f ca="1">MAX(0.02,MCDA_Prioritisation!$B$13+(RAND()-0.5)*2*$B$6)</f>
        <v>0.14892911307316545</v>
      </c>
      <c r="G113" s="54">
        <f t="shared" ca="1" si="14"/>
        <v>1.0393534514044678</v>
      </c>
      <c r="H113" s="54">
        <f t="shared" ca="1" si="15"/>
        <v>0.21038042201963256</v>
      </c>
      <c r="I113" s="54">
        <f t="shared" ca="1" si="16"/>
        <v>0.29043153334873273</v>
      </c>
      <c r="J113" s="54">
        <f t="shared" ca="1" si="17"/>
        <v>0.16468453386719606</v>
      </c>
      <c r="K113" s="54">
        <f t="shared" ca="1" si="18"/>
        <v>0.19121335968838357</v>
      </c>
      <c r="L113" s="54">
        <f t="shared" ca="1" si="19"/>
        <v>0.14329015107605506</v>
      </c>
      <c r="M113" s="54">
        <f ca="1">MIN(100,MAX(0,MCDA_Prioritisation!$F$2+(RAND()-0.5)*2*$B$7))</f>
        <v>86.607593748768409</v>
      </c>
      <c r="N113" s="54">
        <f ca="1">MIN(100,MAX(0,MCDA_Prioritisation!$F$3+(RAND()-0.5)*2*$B$7))</f>
        <v>90.911093759962768</v>
      </c>
      <c r="O113" s="54">
        <f ca="1">MIN(100,MAX(0,MCDA_Prioritisation!$F$4+(RAND()-0.5)*2*$B$7))</f>
        <v>99.499190500340063</v>
      </c>
      <c r="P113" s="54">
        <f ca="1">MIN(100,MAX(0,MCDA_Prioritisation!$F$5+(RAND()-0.5)*2*$B$7))</f>
        <v>79.957158615330613</v>
      </c>
      <c r="Q113" s="54">
        <f ca="1">MIN(100,MAX(0,MCDA_Prioritisation!$G$2+(RAND()-0.5)*2*$B$7))</f>
        <v>81.086317866110505</v>
      </c>
      <c r="R113" s="54">
        <f ca="1">MIN(100,MAX(0,MCDA_Prioritisation!$G$3+(RAND()-0.5)*2*$B$7))</f>
        <v>100</v>
      </c>
      <c r="S113" s="54">
        <f ca="1">MIN(100,MAX(0,MCDA_Prioritisation!$G$4+(RAND()-0.5)*2*$B$7))</f>
        <v>75.113478178763927</v>
      </c>
      <c r="T113" s="54">
        <f ca="1">MIN(100,MAX(0,MCDA_Prioritisation!$G$5+(RAND()-0.5)*2*$B$7))</f>
        <v>63.223194338661287</v>
      </c>
      <c r="U113" s="54">
        <f ca="1">MIN(100,MAX(0,MCDA_Prioritisation!$H$2+(RAND()-0.5)*2*$B$7))</f>
        <v>68.838812940210715</v>
      </c>
      <c r="V113" s="54">
        <f ca="1">MIN(100,MAX(0,MCDA_Prioritisation!$H$3+(RAND()-0.5)*2*$B$7))</f>
        <v>58.314701772928224</v>
      </c>
      <c r="W113" s="54">
        <f ca="1">MIN(100,MAX(0,MCDA_Prioritisation!$H$4+(RAND()-0.5)*2*$B$7))</f>
        <v>78.913182287880289</v>
      </c>
      <c r="X113" s="54">
        <f ca="1">MIN(100,MAX(0,MCDA_Prioritisation!$H$5+(RAND()-0.5)*2*$B$7))</f>
        <v>78.547274974140279</v>
      </c>
      <c r="Y113" s="54">
        <f ca="1">H113*MCDA_Prioritisation!$D$2+I113*MCDA_Prioritisation!$E$2+J113*M113+K113*Q113+L113*U113</f>
        <v>89.712837912750217</v>
      </c>
      <c r="Z113" s="54">
        <f ca="1">H113*MCDA_Prioritisation!$D$3+I113*MCDA_Prioritisation!$E$3+J113*N113+K113*R113+L113*V113</f>
        <v>81.957786756196583</v>
      </c>
      <c r="AA113" s="54">
        <f ca="1">H113*MCDA_Prioritisation!$D$4+I113*MCDA_Prioritisation!$E$4+J113*O113+K113*S113+L113*W113</f>
        <v>72.547535987886619</v>
      </c>
      <c r="AB113" s="54">
        <f ca="1">H113*MCDA_Prioritisation!$D$5+I113*MCDA_Prioritisation!$E$5+J113*P113+K113*T113+L113*X113</f>
        <v>72.100657461043482</v>
      </c>
      <c r="AC113" s="54">
        <f t="shared" ca="1" si="20"/>
        <v>1</v>
      </c>
      <c r="AD113" s="54">
        <f t="shared" ca="1" si="21"/>
        <v>2</v>
      </c>
      <c r="AE113" s="54">
        <f t="shared" ca="1" si="22"/>
        <v>3</v>
      </c>
      <c r="AF113" s="54">
        <f t="shared" ca="1" si="23"/>
        <v>4</v>
      </c>
      <c r="AG113" s="54">
        <f t="shared" ca="1" si="24"/>
        <v>1</v>
      </c>
      <c r="AH113" s="54">
        <f t="shared" ca="1" si="25"/>
        <v>1</v>
      </c>
      <c r="AI113" s="54">
        <f t="shared" ca="1" si="26"/>
        <v>1</v>
      </c>
      <c r="AJ113" s="54">
        <f t="shared" ca="1" si="27"/>
        <v>1</v>
      </c>
    </row>
    <row r="114" spans="1:36" x14ac:dyDescent="0.2">
      <c r="A114" s="54">
        <v>91</v>
      </c>
      <c r="B114" s="54">
        <f ca="1">MAX(0.02,MCDA_Prioritisation!$B$9+(RAND()-0.5)*2*$B$6)</f>
        <v>0.16959652343877388</v>
      </c>
      <c r="C114" s="54">
        <f ca="1">MAX(0.02,MCDA_Prioritisation!$B$10+(RAND()-0.5)*2*$B$6)</f>
        <v>0.22031465871907829</v>
      </c>
      <c r="D114" s="54">
        <f ca="1">MAX(0.02,MCDA_Prioritisation!$B$11+(RAND()-0.5)*2*$B$6)</f>
        <v>0.25960655468707949</v>
      </c>
      <c r="E114" s="54">
        <f ca="1">MAX(0.02,MCDA_Prioritisation!$B$12+(RAND()-0.5)*2*$B$6)</f>
        <v>8.3809779610427237E-2</v>
      </c>
      <c r="F114" s="54">
        <f ca="1">MAX(0.02,MCDA_Prioritisation!$B$13+(RAND()-0.5)*2*$B$6)</f>
        <v>0.10755962636321195</v>
      </c>
      <c r="G114" s="54">
        <f t="shared" ca="1" si="14"/>
        <v>0.8408871428185708</v>
      </c>
      <c r="H114" s="54">
        <f t="shared" ca="1" si="15"/>
        <v>0.20168761633137006</v>
      </c>
      <c r="I114" s="54">
        <f t="shared" ca="1" si="16"/>
        <v>0.26200264875094331</v>
      </c>
      <c r="J114" s="54">
        <f t="shared" ca="1" si="17"/>
        <v>0.30872936624634778</v>
      </c>
      <c r="K114" s="54">
        <f t="shared" ca="1" si="18"/>
        <v>9.966828524634723E-2</v>
      </c>
      <c r="L114" s="54">
        <f t="shared" ca="1" si="19"/>
        <v>0.12791208342499172</v>
      </c>
      <c r="M114" s="54">
        <f ca="1">MIN(100,MAX(0,MCDA_Prioritisation!$F$2+(RAND()-0.5)*2*$B$7))</f>
        <v>81.334832061282839</v>
      </c>
      <c r="N114" s="54">
        <f ca="1">MIN(100,MAX(0,MCDA_Prioritisation!$F$3+(RAND()-0.5)*2*$B$7))</f>
        <v>100</v>
      </c>
      <c r="O114" s="54">
        <f ca="1">MIN(100,MAX(0,MCDA_Prioritisation!$F$4+(RAND()-0.5)*2*$B$7))</f>
        <v>87.965623074418545</v>
      </c>
      <c r="P114" s="54">
        <f ca="1">MIN(100,MAX(0,MCDA_Prioritisation!$F$5+(RAND()-0.5)*2*$B$7))</f>
        <v>69.529690420419314</v>
      </c>
      <c r="Q114" s="54">
        <f ca="1">MIN(100,MAX(0,MCDA_Prioritisation!$G$2+(RAND()-0.5)*2*$B$7))</f>
        <v>80.308252746354498</v>
      </c>
      <c r="R114" s="54">
        <f ca="1">MIN(100,MAX(0,MCDA_Prioritisation!$G$3+(RAND()-0.5)*2*$B$7))</f>
        <v>88.461551316455768</v>
      </c>
      <c r="S114" s="54">
        <f ca="1">MIN(100,MAX(0,MCDA_Prioritisation!$G$4+(RAND()-0.5)*2*$B$7))</f>
        <v>85.112111259725353</v>
      </c>
      <c r="T114" s="54">
        <f ca="1">MIN(100,MAX(0,MCDA_Prioritisation!$G$5+(RAND()-0.5)*2*$B$7))</f>
        <v>69.553435506442895</v>
      </c>
      <c r="U114" s="54">
        <f ca="1">MIN(100,MAX(0,MCDA_Prioritisation!$H$2+(RAND()-0.5)*2*$B$7))</f>
        <v>72.402147310853437</v>
      </c>
      <c r="V114" s="54">
        <f ca="1">MIN(100,MAX(0,MCDA_Prioritisation!$H$3+(RAND()-0.5)*2*$B$7))</f>
        <v>59.245096711710246</v>
      </c>
      <c r="W114" s="54">
        <f ca="1">MIN(100,MAX(0,MCDA_Prioritisation!$H$4+(RAND()-0.5)*2*$B$7))</f>
        <v>88.846437618147363</v>
      </c>
      <c r="X114" s="54">
        <f ca="1">MIN(100,MAX(0,MCDA_Prioritisation!$H$5+(RAND()-0.5)*2*$B$7))</f>
        <v>70.973021670479881</v>
      </c>
      <c r="Y114" s="54">
        <f ca="1">H114*MCDA_Prioritisation!$D$2+I114*MCDA_Prioritisation!$E$2+J114*M114+K114*Q114+L114*U114</f>
        <v>88.744773013598149</v>
      </c>
      <c r="Z114" s="54">
        <f ca="1">H114*MCDA_Prioritisation!$D$3+I114*MCDA_Prioritisation!$E$3+J114*N114+K114*R114+L114*V114</f>
        <v>83.949509783900822</v>
      </c>
      <c r="AA114" s="54">
        <f ca="1">H114*MCDA_Prioritisation!$D$4+I114*MCDA_Prioritisation!$E$4+J114*O114+K114*S114+L114*W114</f>
        <v>75.34047571541538</v>
      </c>
      <c r="AB114" s="54">
        <f ca="1">H114*MCDA_Prioritisation!$D$5+I114*MCDA_Prioritisation!$E$5+J114*P114+K114*T114+L114*X114</f>
        <v>70.213226598085271</v>
      </c>
      <c r="AC114" s="54">
        <f t="shared" ca="1" si="20"/>
        <v>1</v>
      </c>
      <c r="AD114" s="54">
        <f t="shared" ca="1" si="21"/>
        <v>2</v>
      </c>
      <c r="AE114" s="54">
        <f t="shared" ca="1" si="22"/>
        <v>3</v>
      </c>
      <c r="AF114" s="54">
        <f t="shared" ca="1" si="23"/>
        <v>4</v>
      </c>
      <c r="AG114" s="54">
        <f t="shared" ca="1" si="24"/>
        <v>1</v>
      </c>
      <c r="AH114" s="54">
        <f t="shared" ca="1" si="25"/>
        <v>1</v>
      </c>
      <c r="AI114" s="54">
        <f t="shared" ca="1" si="26"/>
        <v>1</v>
      </c>
      <c r="AJ114" s="54">
        <f t="shared" ca="1" si="27"/>
        <v>1</v>
      </c>
    </row>
    <row r="115" spans="1:36" x14ac:dyDescent="0.2">
      <c r="A115" s="54">
        <v>92</v>
      </c>
      <c r="B115" s="54">
        <f ca="1">MAX(0.02,MCDA_Prioritisation!$B$9+(RAND()-0.5)*2*$B$6)</f>
        <v>0.17180693837467431</v>
      </c>
      <c r="C115" s="54">
        <f ca="1">MAX(0.02,MCDA_Prioritisation!$B$10+(RAND()-0.5)*2*$B$6)</f>
        <v>0.24201094904840179</v>
      </c>
      <c r="D115" s="54">
        <f ca="1">MAX(0.02,MCDA_Prioritisation!$B$11+(RAND()-0.5)*2*$B$6)</f>
        <v>0.21834670184845065</v>
      </c>
      <c r="E115" s="54">
        <f ca="1">MAX(0.02,MCDA_Prioritisation!$B$12+(RAND()-0.5)*2*$B$6)</f>
        <v>0.21516068434190949</v>
      </c>
      <c r="F115" s="54">
        <f ca="1">MAX(0.02,MCDA_Prioritisation!$B$13+(RAND()-0.5)*2*$B$6)</f>
        <v>0.10886064899859058</v>
      </c>
      <c r="G115" s="54">
        <f t="shared" ca="1" si="14"/>
        <v>0.95618592261202684</v>
      </c>
      <c r="H115" s="54">
        <f t="shared" ca="1" si="15"/>
        <v>0.17967942668027032</v>
      </c>
      <c r="I115" s="54">
        <f t="shared" ca="1" si="16"/>
        <v>0.25310030541685552</v>
      </c>
      <c r="J115" s="54">
        <f t="shared" ca="1" si="17"/>
        <v>0.22835172186177957</v>
      </c>
      <c r="K115" s="54">
        <f t="shared" ca="1" si="18"/>
        <v>0.22501971557388334</v>
      </c>
      <c r="L115" s="54">
        <f t="shared" ca="1" si="19"/>
        <v>0.1138488304672112</v>
      </c>
      <c r="M115" s="54">
        <f ca="1">MIN(100,MAX(0,MCDA_Prioritisation!$F$2+(RAND()-0.5)*2*$B$7))</f>
        <v>85.454861120714682</v>
      </c>
      <c r="N115" s="54">
        <f ca="1">MIN(100,MAX(0,MCDA_Prioritisation!$F$3+(RAND()-0.5)*2*$B$7))</f>
        <v>85.361193481425474</v>
      </c>
      <c r="O115" s="54">
        <f ca="1">MIN(100,MAX(0,MCDA_Prioritisation!$F$4+(RAND()-0.5)*2*$B$7))</f>
        <v>80.127597936062628</v>
      </c>
      <c r="P115" s="54">
        <f ca="1">MIN(100,MAX(0,MCDA_Prioritisation!$F$5+(RAND()-0.5)*2*$B$7))</f>
        <v>73.746568065039625</v>
      </c>
      <c r="Q115" s="54">
        <f ca="1">MIN(100,MAX(0,MCDA_Prioritisation!$G$2+(RAND()-0.5)*2*$B$7))</f>
        <v>87.318747510052589</v>
      </c>
      <c r="R115" s="54">
        <f ca="1">MIN(100,MAX(0,MCDA_Prioritisation!$G$3+(RAND()-0.5)*2*$B$7))</f>
        <v>99.210670526186234</v>
      </c>
      <c r="S115" s="54">
        <f ca="1">MIN(100,MAX(0,MCDA_Prioritisation!$G$4+(RAND()-0.5)*2*$B$7))</f>
        <v>94.527302760248844</v>
      </c>
      <c r="T115" s="54">
        <f ca="1">MIN(100,MAX(0,MCDA_Prioritisation!$G$5+(RAND()-0.5)*2*$B$7))</f>
        <v>73.550487800408206</v>
      </c>
      <c r="U115" s="54">
        <f ca="1">MIN(100,MAX(0,MCDA_Prioritisation!$H$2+(RAND()-0.5)*2*$B$7))</f>
        <v>72.638035254663762</v>
      </c>
      <c r="V115" s="54">
        <f ca="1">MIN(100,MAX(0,MCDA_Prioritisation!$H$3+(RAND()-0.5)*2*$B$7))</f>
        <v>57.600022549134209</v>
      </c>
      <c r="W115" s="54">
        <f ca="1">MIN(100,MAX(0,MCDA_Prioritisation!$H$4+(RAND()-0.5)*2*$B$7))</f>
        <v>87.763326132357562</v>
      </c>
      <c r="X115" s="54">
        <f ca="1">MIN(100,MAX(0,MCDA_Prioritisation!$H$5+(RAND()-0.5)*2*$B$7))</f>
        <v>71.026291466999282</v>
      </c>
      <c r="Y115" s="54">
        <f ca="1">H115*MCDA_Prioritisation!$D$2+I115*MCDA_Prioritisation!$E$2+J115*M115+K115*Q115+L115*U115</f>
        <v>90.709932978246314</v>
      </c>
      <c r="Z115" s="54">
        <f ca="1">H115*MCDA_Prioritisation!$D$3+I115*MCDA_Prioritisation!$E$3+J115*N115+K115*R115+L115*V115</f>
        <v>82.485136488764084</v>
      </c>
      <c r="AA115" s="54">
        <f ca="1">H115*MCDA_Prioritisation!$D$4+I115*MCDA_Prioritisation!$E$4+J115*O115+K115*S115+L115*W115</f>
        <v>75.876823991490213</v>
      </c>
      <c r="AB115" s="54">
        <f ca="1">H115*MCDA_Prioritisation!$D$5+I115*MCDA_Prioritisation!$E$5+J115*P115+K115*T115+L115*X115</f>
        <v>72.296806087582013</v>
      </c>
      <c r="AC115" s="54">
        <f t="shared" ca="1" si="20"/>
        <v>1</v>
      </c>
      <c r="AD115" s="54">
        <f t="shared" ca="1" si="21"/>
        <v>2</v>
      </c>
      <c r="AE115" s="54">
        <f t="shared" ca="1" si="22"/>
        <v>3</v>
      </c>
      <c r="AF115" s="54">
        <f t="shared" ca="1" si="23"/>
        <v>4</v>
      </c>
      <c r="AG115" s="54">
        <f t="shared" ca="1" si="24"/>
        <v>1</v>
      </c>
      <c r="AH115" s="54">
        <f t="shared" ca="1" si="25"/>
        <v>1</v>
      </c>
      <c r="AI115" s="54">
        <f t="shared" ca="1" si="26"/>
        <v>1</v>
      </c>
      <c r="AJ115" s="54">
        <f t="shared" ca="1" si="27"/>
        <v>1</v>
      </c>
    </row>
    <row r="116" spans="1:36" x14ac:dyDescent="0.2">
      <c r="A116" s="54">
        <v>93</v>
      </c>
      <c r="B116" s="54">
        <f ca="1">MAX(0.02,MCDA_Prioritisation!$B$9+(RAND()-0.5)*2*$B$6)</f>
        <v>0.20213170839378256</v>
      </c>
      <c r="C116" s="54">
        <f ca="1">MAX(0.02,MCDA_Prioritisation!$B$10+(RAND()-0.5)*2*$B$6)</f>
        <v>0.2634394508866566</v>
      </c>
      <c r="D116" s="54">
        <f ca="1">MAX(0.02,MCDA_Prioritisation!$B$11+(RAND()-0.5)*2*$B$6)</f>
        <v>0.22553358653386069</v>
      </c>
      <c r="E116" s="54">
        <f ca="1">MAX(0.02,MCDA_Prioritisation!$B$12+(RAND()-0.5)*2*$B$6)</f>
        <v>0.19479283177230758</v>
      </c>
      <c r="F116" s="54">
        <f ca="1">MAX(0.02,MCDA_Prioritisation!$B$13+(RAND()-0.5)*2*$B$6)</f>
        <v>0.14581395309246997</v>
      </c>
      <c r="G116" s="54">
        <f t="shared" ca="1" si="14"/>
        <v>1.0317115306790774</v>
      </c>
      <c r="H116" s="54">
        <f t="shared" ca="1" si="15"/>
        <v>0.19591882263905544</v>
      </c>
      <c r="I116" s="54">
        <f t="shared" ca="1" si="16"/>
        <v>0.25534216014166239</v>
      </c>
      <c r="J116" s="54">
        <f t="shared" ca="1" si="17"/>
        <v>0.21860140148420501</v>
      </c>
      <c r="K116" s="54">
        <f t="shared" ca="1" si="18"/>
        <v>0.18880551974067211</v>
      </c>
      <c r="L116" s="54">
        <f t="shared" ca="1" si="19"/>
        <v>0.14133209599440508</v>
      </c>
      <c r="M116" s="54">
        <f ca="1">MIN(100,MAX(0,MCDA_Prioritisation!$F$2+(RAND()-0.5)*2*$B$7))</f>
        <v>84.336055368727287</v>
      </c>
      <c r="N116" s="54">
        <f ca="1">MIN(100,MAX(0,MCDA_Prioritisation!$F$3+(RAND()-0.5)*2*$B$7))</f>
        <v>95.871289827159686</v>
      </c>
      <c r="O116" s="54">
        <f ca="1">MIN(100,MAX(0,MCDA_Prioritisation!$F$4+(RAND()-0.5)*2*$B$7))</f>
        <v>80.814833695680093</v>
      </c>
      <c r="P116" s="54">
        <f ca="1">MIN(100,MAX(0,MCDA_Prioritisation!$F$5+(RAND()-0.5)*2*$B$7))</f>
        <v>69.233702526291509</v>
      </c>
      <c r="Q116" s="54">
        <f ca="1">MIN(100,MAX(0,MCDA_Prioritisation!$G$2+(RAND()-0.5)*2*$B$7))</f>
        <v>82.226660755670366</v>
      </c>
      <c r="R116" s="54">
        <f ca="1">MIN(100,MAX(0,MCDA_Prioritisation!$G$3+(RAND()-0.5)*2*$B$7))</f>
        <v>90.691071079905072</v>
      </c>
      <c r="S116" s="54">
        <f ca="1">MIN(100,MAX(0,MCDA_Prioritisation!$G$4+(RAND()-0.5)*2*$B$7))</f>
        <v>93.567537220197977</v>
      </c>
      <c r="T116" s="54">
        <f ca="1">MIN(100,MAX(0,MCDA_Prioritisation!$G$5+(RAND()-0.5)*2*$B$7))</f>
        <v>60.55293142920145</v>
      </c>
      <c r="U116" s="54">
        <f ca="1">MIN(100,MAX(0,MCDA_Prioritisation!$H$2+(RAND()-0.5)*2*$B$7))</f>
        <v>67.526989624429888</v>
      </c>
      <c r="V116" s="54">
        <f ca="1">MIN(100,MAX(0,MCDA_Prioritisation!$H$3+(RAND()-0.5)*2*$B$7))</f>
        <v>62.021734462776628</v>
      </c>
      <c r="W116" s="54">
        <f ca="1">MIN(100,MAX(0,MCDA_Prioritisation!$H$4+(RAND()-0.5)*2*$B$7))</f>
        <v>81.978870199233114</v>
      </c>
      <c r="X116" s="54">
        <f ca="1">MIN(100,MAX(0,MCDA_Prioritisation!$H$5+(RAND()-0.5)*2*$B$7))</f>
        <v>74.239694675024651</v>
      </c>
      <c r="Y116" s="54">
        <f ca="1">H116*MCDA_Prioritisation!$D$2+I116*MCDA_Prioritisation!$E$2+J116*M116+K116*Q116+L116*U116</f>
        <v>88.630656577652474</v>
      </c>
      <c r="Z116" s="54">
        <f ca="1">H116*MCDA_Prioritisation!$D$3+I116*MCDA_Prioritisation!$E$3+J116*N116+K116*R116+L116*V116</f>
        <v>82.539259627805933</v>
      </c>
      <c r="AA116" s="54">
        <f ca="1">H116*MCDA_Prioritisation!$D$4+I116*MCDA_Prioritisation!$E$4+J116*O116+K116*S116+L116*W116</f>
        <v>74.488938224433042</v>
      </c>
      <c r="AB116" s="54">
        <f ca="1">H116*MCDA_Prioritisation!$D$5+I116*MCDA_Prioritisation!$E$5+J116*P116+K116*T116+L116*X116</f>
        <v>68.930283966869865</v>
      </c>
      <c r="AC116" s="54">
        <f t="shared" ca="1" si="20"/>
        <v>1</v>
      </c>
      <c r="AD116" s="54">
        <f t="shared" ca="1" si="21"/>
        <v>2</v>
      </c>
      <c r="AE116" s="54">
        <f t="shared" ca="1" si="22"/>
        <v>3</v>
      </c>
      <c r="AF116" s="54">
        <f t="shared" ca="1" si="23"/>
        <v>4</v>
      </c>
      <c r="AG116" s="54">
        <f t="shared" ca="1" si="24"/>
        <v>1</v>
      </c>
      <c r="AH116" s="54">
        <f t="shared" ca="1" si="25"/>
        <v>1</v>
      </c>
      <c r="AI116" s="54">
        <f t="shared" ca="1" si="26"/>
        <v>1</v>
      </c>
      <c r="AJ116" s="54">
        <f t="shared" ca="1" si="27"/>
        <v>1</v>
      </c>
    </row>
    <row r="117" spans="1:36" x14ac:dyDescent="0.2">
      <c r="A117" s="54">
        <v>94</v>
      </c>
      <c r="B117" s="54">
        <f ca="1">MAX(0.02,MCDA_Prioritisation!$B$9+(RAND()-0.5)*2*$B$6)</f>
        <v>0.21539238148742346</v>
      </c>
      <c r="C117" s="54">
        <f ca="1">MAX(0.02,MCDA_Prioritisation!$B$10+(RAND()-0.5)*2*$B$6)</f>
        <v>0.21178162350746671</v>
      </c>
      <c r="D117" s="54">
        <f ca="1">MAX(0.02,MCDA_Prioritisation!$B$11+(RAND()-0.5)*2*$B$6)</f>
        <v>0.19538275101885644</v>
      </c>
      <c r="E117" s="54">
        <f ca="1">MAX(0.02,MCDA_Prioritisation!$B$12+(RAND()-0.5)*2*$B$6)</f>
        <v>0.20879008106343666</v>
      </c>
      <c r="F117" s="54">
        <f ca="1">MAX(0.02,MCDA_Prioritisation!$B$13+(RAND()-0.5)*2*$B$6)</f>
        <v>8.5722340075241252E-2</v>
      </c>
      <c r="G117" s="54">
        <f t="shared" ca="1" si="14"/>
        <v>0.91706917715242453</v>
      </c>
      <c r="H117" s="54">
        <f t="shared" ca="1" si="15"/>
        <v>0.23487037494405227</v>
      </c>
      <c r="I117" s="54">
        <f t="shared" ca="1" si="16"/>
        <v>0.23093309510746629</v>
      </c>
      <c r="J117" s="54">
        <f t="shared" ca="1" si="17"/>
        <v>0.21305126798126178</v>
      </c>
      <c r="K117" s="54">
        <f t="shared" ca="1" si="18"/>
        <v>0.22767102664135663</v>
      </c>
      <c r="L117" s="54">
        <f t="shared" ca="1" si="19"/>
        <v>9.3474235325862978E-2</v>
      </c>
      <c r="M117" s="54">
        <f ca="1">MIN(100,MAX(0,MCDA_Prioritisation!$F$2+(RAND()-0.5)*2*$B$7))</f>
        <v>87.829087482715465</v>
      </c>
      <c r="N117" s="54">
        <f ca="1">MIN(100,MAX(0,MCDA_Prioritisation!$F$3+(RAND()-0.5)*2*$B$7))</f>
        <v>100</v>
      </c>
      <c r="O117" s="54">
        <f ca="1">MIN(100,MAX(0,MCDA_Prioritisation!$F$4+(RAND()-0.5)*2*$B$7))</f>
        <v>80.817093888164067</v>
      </c>
      <c r="P117" s="54">
        <f ca="1">MIN(100,MAX(0,MCDA_Prioritisation!$F$5+(RAND()-0.5)*2*$B$7))</f>
        <v>68.818808927199285</v>
      </c>
      <c r="Q117" s="54">
        <f ca="1">MIN(100,MAX(0,MCDA_Prioritisation!$G$2+(RAND()-0.5)*2*$B$7))</f>
        <v>82.440523739312326</v>
      </c>
      <c r="R117" s="54">
        <f ca="1">MIN(100,MAX(0,MCDA_Prioritisation!$G$3+(RAND()-0.5)*2*$B$7))</f>
        <v>85.47347581702158</v>
      </c>
      <c r="S117" s="54">
        <f ca="1">MIN(100,MAX(0,MCDA_Prioritisation!$G$4+(RAND()-0.5)*2*$B$7))</f>
        <v>77.230081943766422</v>
      </c>
      <c r="T117" s="54">
        <f ca="1">MIN(100,MAX(0,MCDA_Prioritisation!$G$5+(RAND()-0.5)*2*$B$7))</f>
        <v>76.245780246054267</v>
      </c>
      <c r="U117" s="54">
        <f ca="1">MIN(100,MAX(0,MCDA_Prioritisation!$H$2+(RAND()-0.5)*2*$B$7))</f>
        <v>74.158293947255459</v>
      </c>
      <c r="V117" s="54">
        <f ca="1">MIN(100,MAX(0,MCDA_Prioritisation!$H$3+(RAND()-0.5)*2*$B$7))</f>
        <v>53.259181552618095</v>
      </c>
      <c r="W117" s="54">
        <f ca="1">MIN(100,MAX(0,MCDA_Prioritisation!$H$4+(RAND()-0.5)*2*$B$7))</f>
        <v>87.163724474764862</v>
      </c>
      <c r="X117" s="54">
        <f ca="1">MIN(100,MAX(0,MCDA_Prioritisation!$H$5+(RAND()-0.5)*2*$B$7))</f>
        <v>78.739288040017385</v>
      </c>
      <c r="Y117" s="54">
        <f ca="1">H117*MCDA_Prioritisation!$D$2+I117*MCDA_Prioritisation!$E$2+J117*M117+K117*Q117+L117*U117</f>
        <v>90.993653955352187</v>
      </c>
      <c r="Z117" s="54">
        <f ca="1">H117*MCDA_Prioritisation!$D$3+I117*MCDA_Prioritisation!$E$3+J117*N117+K117*R117+L117*V117</f>
        <v>83.065384653248657</v>
      </c>
      <c r="AA117" s="54">
        <f ca="1">H117*MCDA_Prioritisation!$D$4+I117*MCDA_Prioritisation!$E$4+J117*O117+K117*S117+L117*W117</f>
        <v>71.900141708800831</v>
      </c>
      <c r="AB117" s="54">
        <f ca="1">H117*MCDA_Prioritisation!$D$5+I117*MCDA_Prioritisation!$E$5+J117*P117+K117*T117+L117*X117</f>
        <v>71.266312357943406</v>
      </c>
      <c r="AC117" s="54">
        <f t="shared" ca="1" si="20"/>
        <v>1</v>
      </c>
      <c r="AD117" s="54">
        <f t="shared" ca="1" si="21"/>
        <v>2</v>
      </c>
      <c r="AE117" s="54">
        <f t="shared" ca="1" si="22"/>
        <v>3</v>
      </c>
      <c r="AF117" s="54">
        <f t="shared" ca="1" si="23"/>
        <v>4</v>
      </c>
      <c r="AG117" s="54">
        <f t="shared" ca="1" si="24"/>
        <v>1</v>
      </c>
      <c r="AH117" s="54">
        <f t="shared" ca="1" si="25"/>
        <v>1</v>
      </c>
      <c r="AI117" s="54">
        <f t="shared" ca="1" si="26"/>
        <v>1</v>
      </c>
      <c r="AJ117" s="54">
        <f t="shared" ca="1" si="27"/>
        <v>1</v>
      </c>
    </row>
    <row r="118" spans="1:36" x14ac:dyDescent="0.2">
      <c r="A118" s="54">
        <v>95</v>
      </c>
      <c r="B118" s="54">
        <f ca="1">MAX(0.02,MCDA_Prioritisation!$B$9+(RAND()-0.5)*2*$B$6)</f>
        <v>0.18855002138805163</v>
      </c>
      <c r="C118" s="54">
        <f ca="1">MAX(0.02,MCDA_Prioritisation!$B$10+(RAND()-0.5)*2*$B$6)</f>
        <v>0.18306811156367098</v>
      </c>
      <c r="D118" s="54">
        <f ca="1">MAX(0.02,MCDA_Prioritisation!$B$11+(RAND()-0.5)*2*$B$6)</f>
        <v>0.24981309777252025</v>
      </c>
      <c r="E118" s="54">
        <f ca="1">MAX(0.02,MCDA_Prioritisation!$B$12+(RAND()-0.5)*2*$B$6)</f>
        <v>0.14357001448933113</v>
      </c>
      <c r="F118" s="54">
        <f ca="1">MAX(0.02,MCDA_Prioritisation!$B$13+(RAND()-0.5)*2*$B$6)</f>
        <v>0.10247438263672562</v>
      </c>
      <c r="G118" s="54">
        <f t="shared" ca="1" si="14"/>
        <v>0.86747562785029964</v>
      </c>
      <c r="H118" s="54">
        <f t="shared" ca="1" si="15"/>
        <v>0.21735483434306899</v>
      </c>
      <c r="I118" s="54">
        <f t="shared" ca="1" si="16"/>
        <v>0.21103545239343954</v>
      </c>
      <c r="J118" s="54">
        <f t="shared" ca="1" si="17"/>
        <v>0.28797707941557354</v>
      </c>
      <c r="K118" s="54">
        <f t="shared" ca="1" si="18"/>
        <v>0.16550322554319305</v>
      </c>
      <c r="L118" s="54">
        <f t="shared" ca="1" si="19"/>
        <v>0.11812940830472489</v>
      </c>
      <c r="M118" s="54">
        <f ca="1">MIN(100,MAX(0,MCDA_Prioritisation!$F$2+(RAND()-0.5)*2*$B$7))</f>
        <v>86.26603861950035</v>
      </c>
      <c r="N118" s="54">
        <f ca="1">MIN(100,MAX(0,MCDA_Prioritisation!$F$3+(RAND()-0.5)*2*$B$7))</f>
        <v>86.070330123730741</v>
      </c>
      <c r="O118" s="54">
        <f ca="1">MIN(100,MAX(0,MCDA_Prioritisation!$F$4+(RAND()-0.5)*2*$B$7))</f>
        <v>94.446182604912465</v>
      </c>
      <c r="P118" s="54">
        <f ca="1">MIN(100,MAX(0,MCDA_Prioritisation!$F$5+(RAND()-0.5)*2*$B$7))</f>
        <v>75.156707073142186</v>
      </c>
      <c r="Q118" s="54">
        <f ca="1">MIN(100,MAX(0,MCDA_Prioritisation!$G$2+(RAND()-0.5)*2*$B$7))</f>
        <v>80.093255750893405</v>
      </c>
      <c r="R118" s="54">
        <f ca="1">MIN(100,MAX(0,MCDA_Prioritisation!$G$3+(RAND()-0.5)*2*$B$7))</f>
        <v>100</v>
      </c>
      <c r="S118" s="54">
        <f ca="1">MIN(100,MAX(0,MCDA_Prioritisation!$G$4+(RAND()-0.5)*2*$B$7))</f>
        <v>82.725164101369359</v>
      </c>
      <c r="T118" s="54">
        <f ca="1">MIN(100,MAX(0,MCDA_Prioritisation!$G$5+(RAND()-0.5)*2*$B$7))</f>
        <v>68.454747379581192</v>
      </c>
      <c r="U118" s="54">
        <f ca="1">MIN(100,MAX(0,MCDA_Prioritisation!$H$2+(RAND()-0.5)*2*$B$7))</f>
        <v>64.375222777460451</v>
      </c>
      <c r="V118" s="54">
        <f ca="1">MIN(100,MAX(0,MCDA_Prioritisation!$H$3+(RAND()-0.5)*2*$B$7))</f>
        <v>55.445826332829014</v>
      </c>
      <c r="W118" s="54">
        <f ca="1">MIN(100,MAX(0,MCDA_Prioritisation!$H$4+(RAND()-0.5)*2*$B$7))</f>
        <v>71.499969517149665</v>
      </c>
      <c r="X118" s="54">
        <f ca="1">MIN(100,MAX(0,MCDA_Prioritisation!$H$5+(RAND()-0.5)*2*$B$7))</f>
        <v>74.753103469711888</v>
      </c>
      <c r="Y118" s="54">
        <f ca="1">H118*MCDA_Prioritisation!$D$2+I118*MCDA_Prioritisation!$E$2+J118*M118+K118*Q118+L118*U118</f>
        <v>88.541969675260646</v>
      </c>
      <c r="Z118" s="54">
        <f ca="1">H118*MCDA_Prioritisation!$D$3+I118*MCDA_Prioritisation!$E$3+J118*N118+K118*R118+L118*V118</f>
        <v>82.230545926144757</v>
      </c>
      <c r="AA118" s="54">
        <f ca="1">H118*MCDA_Prioritisation!$D$4+I118*MCDA_Prioritisation!$E$4+J118*O118+K118*S118+L118*W118</f>
        <v>75.982204011142002</v>
      </c>
      <c r="AB118" s="54">
        <f ca="1">H118*MCDA_Prioritisation!$D$5+I118*MCDA_Prioritisation!$E$5+J118*P118+K118*T118+L118*X118</f>
        <v>71.08589466031242</v>
      </c>
      <c r="AC118" s="54">
        <f t="shared" ca="1" si="20"/>
        <v>1</v>
      </c>
      <c r="AD118" s="54">
        <f t="shared" ca="1" si="21"/>
        <v>2</v>
      </c>
      <c r="AE118" s="54">
        <f t="shared" ca="1" si="22"/>
        <v>3</v>
      </c>
      <c r="AF118" s="54">
        <f t="shared" ca="1" si="23"/>
        <v>4</v>
      </c>
      <c r="AG118" s="54">
        <f t="shared" ca="1" si="24"/>
        <v>1</v>
      </c>
      <c r="AH118" s="54">
        <f t="shared" ca="1" si="25"/>
        <v>1</v>
      </c>
      <c r="AI118" s="54">
        <f t="shared" ca="1" si="26"/>
        <v>1</v>
      </c>
      <c r="AJ118" s="54">
        <f t="shared" ca="1" si="27"/>
        <v>1</v>
      </c>
    </row>
    <row r="119" spans="1:36" x14ac:dyDescent="0.2">
      <c r="A119" s="54">
        <v>96</v>
      </c>
      <c r="B119" s="54">
        <f ca="1">MAX(0.02,MCDA_Prioritisation!$B$9+(RAND()-0.5)*2*$B$6)</f>
        <v>0.12903827315707428</v>
      </c>
      <c r="C119" s="54">
        <f ca="1">MAX(0.02,MCDA_Prioritisation!$B$10+(RAND()-0.5)*2*$B$6)</f>
        <v>0.28503644805935691</v>
      </c>
      <c r="D119" s="54">
        <f ca="1">MAX(0.02,MCDA_Prioritisation!$B$11+(RAND()-0.5)*2*$B$6)</f>
        <v>0.22069356877326907</v>
      </c>
      <c r="E119" s="54">
        <f ca="1">MAX(0.02,MCDA_Prioritisation!$B$12+(RAND()-0.5)*2*$B$6)</f>
        <v>0.13683643788357508</v>
      </c>
      <c r="F119" s="54">
        <f ca="1">MAX(0.02,MCDA_Prioritisation!$B$13+(RAND()-0.5)*2*$B$6)</f>
        <v>0.16348148189032954</v>
      </c>
      <c r="G119" s="54">
        <f t="shared" ca="1" si="14"/>
        <v>0.9350862097636049</v>
      </c>
      <c r="H119" s="54">
        <f t="shared" ca="1" si="15"/>
        <v>0.13799612464576488</v>
      </c>
      <c r="I119" s="54">
        <f t="shared" ca="1" si="16"/>
        <v>0.30482371045918399</v>
      </c>
      <c r="J119" s="54">
        <f t="shared" ca="1" si="17"/>
        <v>0.23601414122988901</v>
      </c>
      <c r="K119" s="54">
        <f t="shared" ca="1" si="18"/>
        <v>0.1463356388478535</v>
      </c>
      <c r="L119" s="54">
        <f t="shared" ca="1" si="19"/>
        <v>0.17483038481730853</v>
      </c>
      <c r="M119" s="54">
        <f ca="1">MIN(100,MAX(0,MCDA_Prioritisation!$F$2+(RAND()-0.5)*2*$B$7))</f>
        <v>80.590721214058277</v>
      </c>
      <c r="N119" s="54">
        <f ca="1">MIN(100,MAX(0,MCDA_Prioritisation!$F$3+(RAND()-0.5)*2*$B$7))</f>
        <v>98.728747886211949</v>
      </c>
      <c r="O119" s="54">
        <f ca="1">MIN(100,MAX(0,MCDA_Prioritisation!$F$4+(RAND()-0.5)*2*$B$7))</f>
        <v>88.119484266849568</v>
      </c>
      <c r="P119" s="54">
        <f ca="1">MIN(100,MAX(0,MCDA_Prioritisation!$F$5+(RAND()-0.5)*2*$B$7))</f>
        <v>68.476745948379843</v>
      </c>
      <c r="Q119" s="54">
        <f ca="1">MIN(100,MAX(0,MCDA_Prioritisation!$G$2+(RAND()-0.5)*2*$B$7))</f>
        <v>72.315444206499194</v>
      </c>
      <c r="R119" s="54">
        <f ca="1">MIN(100,MAX(0,MCDA_Prioritisation!$G$3+(RAND()-0.5)*2*$B$7))</f>
        <v>100</v>
      </c>
      <c r="S119" s="54">
        <f ca="1">MIN(100,MAX(0,MCDA_Prioritisation!$G$4+(RAND()-0.5)*2*$B$7))</f>
        <v>88.14549872575752</v>
      </c>
      <c r="T119" s="54">
        <f ca="1">MIN(100,MAX(0,MCDA_Prioritisation!$G$5+(RAND()-0.5)*2*$B$7))</f>
        <v>75.56327524341016</v>
      </c>
      <c r="U119" s="54">
        <f ca="1">MIN(100,MAX(0,MCDA_Prioritisation!$H$2+(RAND()-0.5)*2*$B$7))</f>
        <v>68.461730447117347</v>
      </c>
      <c r="V119" s="54">
        <f ca="1">MIN(100,MAX(0,MCDA_Prioritisation!$H$3+(RAND()-0.5)*2*$B$7))</f>
        <v>58.490053573221445</v>
      </c>
      <c r="W119" s="54">
        <f ca="1">MIN(100,MAX(0,MCDA_Prioritisation!$H$4+(RAND()-0.5)*2*$B$7))</f>
        <v>88.383414990299343</v>
      </c>
      <c r="X119" s="54">
        <f ca="1">MIN(100,MAX(0,MCDA_Prioritisation!$H$5+(RAND()-0.5)*2*$B$7))</f>
        <v>73.357333208036522</v>
      </c>
      <c r="Y119" s="54">
        <f ca="1">H119*MCDA_Prioritisation!$D$2+I119*MCDA_Prioritisation!$E$2+J119*M119+K119*Q119+L119*U119</f>
        <v>85.854050774781001</v>
      </c>
      <c r="Z119" s="54">
        <f ca="1">H119*MCDA_Prioritisation!$D$3+I119*MCDA_Prioritisation!$E$3+J119*N119+K119*R119+L119*V119</f>
        <v>82.39020535450959</v>
      </c>
      <c r="AA119" s="54">
        <f ca="1">H119*MCDA_Prioritisation!$D$4+I119*MCDA_Prioritisation!$E$4+J119*O119+K119*S119+L119*W119</f>
        <v>75.384365466136686</v>
      </c>
      <c r="AB119" s="54">
        <f ca="1">H119*MCDA_Prioritisation!$D$5+I119*MCDA_Prioritisation!$E$5+J119*P119+K119*T119+L119*X119</f>
        <v>73.001341371853968</v>
      </c>
      <c r="AC119" s="54">
        <f t="shared" ca="1" si="20"/>
        <v>1</v>
      </c>
      <c r="AD119" s="54">
        <f t="shared" ca="1" si="21"/>
        <v>2</v>
      </c>
      <c r="AE119" s="54">
        <f t="shared" ca="1" si="22"/>
        <v>3</v>
      </c>
      <c r="AF119" s="54">
        <f t="shared" ca="1" si="23"/>
        <v>4</v>
      </c>
      <c r="AG119" s="54">
        <f t="shared" ca="1" si="24"/>
        <v>1</v>
      </c>
      <c r="AH119" s="54">
        <f t="shared" ca="1" si="25"/>
        <v>1</v>
      </c>
      <c r="AI119" s="54">
        <f t="shared" ca="1" si="26"/>
        <v>1</v>
      </c>
      <c r="AJ119" s="54">
        <f t="shared" ca="1" si="27"/>
        <v>1</v>
      </c>
    </row>
    <row r="120" spans="1:36" x14ac:dyDescent="0.2">
      <c r="A120" s="54">
        <v>97</v>
      </c>
      <c r="B120" s="54">
        <f ca="1">MAX(0.02,MCDA_Prioritisation!$B$9+(RAND()-0.5)*2*$B$6)</f>
        <v>0.19273458679624383</v>
      </c>
      <c r="C120" s="54">
        <f ca="1">MAX(0.02,MCDA_Prioritisation!$B$10+(RAND()-0.5)*2*$B$6)</f>
        <v>0.21396352900953369</v>
      </c>
      <c r="D120" s="54">
        <f ca="1">MAX(0.02,MCDA_Prioritisation!$B$11+(RAND()-0.5)*2*$B$6)</f>
        <v>0.23519093699669877</v>
      </c>
      <c r="E120" s="54">
        <f ca="1">MAX(0.02,MCDA_Prioritisation!$B$12+(RAND()-0.5)*2*$B$6)</f>
        <v>0.18711232081157006</v>
      </c>
      <c r="F120" s="54">
        <f ca="1">MAX(0.02,MCDA_Prioritisation!$B$13+(RAND()-0.5)*2*$B$6)</f>
        <v>0.12238863525984044</v>
      </c>
      <c r="G120" s="54">
        <f t="shared" ca="1" si="14"/>
        <v>0.95139000887388681</v>
      </c>
      <c r="H120" s="54">
        <f t="shared" ca="1" si="15"/>
        <v>0.2025821009244928</v>
      </c>
      <c r="I120" s="54">
        <f t="shared" ca="1" si="16"/>
        <v>0.224895707348022</v>
      </c>
      <c r="J120" s="54">
        <f t="shared" ca="1" si="17"/>
        <v>0.24720770115620894</v>
      </c>
      <c r="K120" s="54">
        <f t="shared" ca="1" si="18"/>
        <v>0.19667257283166725</v>
      </c>
      <c r="L120" s="54">
        <f t="shared" ca="1" si="19"/>
        <v>0.12864191773960901</v>
      </c>
      <c r="M120" s="54">
        <f ca="1">MIN(100,MAX(0,MCDA_Prioritisation!$F$2+(RAND()-0.5)*2*$B$7))</f>
        <v>84.95324435152358</v>
      </c>
      <c r="N120" s="54">
        <f ca="1">MIN(100,MAX(0,MCDA_Prioritisation!$F$3+(RAND()-0.5)*2*$B$7))</f>
        <v>85.608529338626767</v>
      </c>
      <c r="O120" s="54">
        <f ca="1">MIN(100,MAX(0,MCDA_Prioritisation!$F$4+(RAND()-0.5)*2*$B$7))</f>
        <v>92.648306978811434</v>
      </c>
      <c r="P120" s="54">
        <f ca="1">MIN(100,MAX(0,MCDA_Prioritisation!$F$5+(RAND()-0.5)*2*$B$7))</f>
        <v>73.187374750943647</v>
      </c>
      <c r="Q120" s="54">
        <f ca="1">MIN(100,MAX(0,MCDA_Prioritisation!$G$2+(RAND()-0.5)*2*$B$7))</f>
        <v>78.000673885414017</v>
      </c>
      <c r="R120" s="54">
        <f ca="1">MIN(100,MAX(0,MCDA_Prioritisation!$G$3+(RAND()-0.5)*2*$B$7))</f>
        <v>97.402575794065569</v>
      </c>
      <c r="S120" s="54">
        <f ca="1">MIN(100,MAX(0,MCDA_Prioritisation!$G$4+(RAND()-0.5)*2*$B$7))</f>
        <v>93.318628363652763</v>
      </c>
      <c r="T120" s="54">
        <f ca="1">MIN(100,MAX(0,MCDA_Prioritisation!$G$5+(RAND()-0.5)*2*$B$7))</f>
        <v>66.665185938573202</v>
      </c>
      <c r="U120" s="54">
        <f ca="1">MIN(100,MAX(0,MCDA_Prioritisation!$H$2+(RAND()-0.5)*2*$B$7))</f>
        <v>59.725032247701016</v>
      </c>
      <c r="V120" s="54">
        <f ca="1">MIN(100,MAX(0,MCDA_Prioritisation!$H$3+(RAND()-0.5)*2*$B$7))</f>
        <v>57.257090864390257</v>
      </c>
      <c r="W120" s="54">
        <f ca="1">MIN(100,MAX(0,MCDA_Prioritisation!$H$4+(RAND()-0.5)*2*$B$7))</f>
        <v>71.3617859717871</v>
      </c>
      <c r="X120" s="54">
        <f ca="1">MIN(100,MAX(0,MCDA_Prioritisation!$H$5+(RAND()-0.5)*2*$B$7))</f>
        <v>71.31654036442643</v>
      </c>
      <c r="Y120" s="54">
        <f ca="1">H120*MCDA_Prioritisation!$D$2+I120*MCDA_Prioritisation!$E$2+J120*M120+K120*Q120+L120*U120</f>
        <v>86.772612970205785</v>
      </c>
      <c r="Z120" s="54">
        <f ca="1">H120*MCDA_Prioritisation!$D$3+I120*MCDA_Prioritisation!$E$3+J120*N120+K120*R120+L120*V120</f>
        <v>81.746251646935974</v>
      </c>
      <c r="AA120" s="54">
        <f ca="1">H120*MCDA_Prioritisation!$D$4+I120*MCDA_Prioritisation!$E$4+J120*O120+K120*S120+L120*W120</f>
        <v>76.810371910122342</v>
      </c>
      <c r="AB120" s="54">
        <f ca="1">H120*MCDA_Prioritisation!$D$5+I120*MCDA_Prioritisation!$E$5+J120*P120+K120*T120+L120*X120</f>
        <v>70.041902571797365</v>
      </c>
      <c r="AC120" s="54">
        <f t="shared" ca="1" si="20"/>
        <v>1</v>
      </c>
      <c r="AD120" s="54">
        <f t="shared" ca="1" si="21"/>
        <v>2</v>
      </c>
      <c r="AE120" s="54">
        <f t="shared" ca="1" si="22"/>
        <v>3</v>
      </c>
      <c r="AF120" s="54">
        <f t="shared" ca="1" si="23"/>
        <v>4</v>
      </c>
      <c r="AG120" s="54">
        <f t="shared" ca="1" si="24"/>
        <v>1</v>
      </c>
      <c r="AH120" s="54">
        <f t="shared" ca="1" si="25"/>
        <v>1</v>
      </c>
      <c r="AI120" s="54">
        <f t="shared" ca="1" si="26"/>
        <v>1</v>
      </c>
      <c r="AJ120" s="54">
        <f t="shared" ca="1" si="27"/>
        <v>1</v>
      </c>
    </row>
    <row r="121" spans="1:36" x14ac:dyDescent="0.2">
      <c r="A121" s="54">
        <v>98</v>
      </c>
      <c r="B121" s="54">
        <f ca="1">MAX(0.02,MCDA_Prioritisation!$B$9+(RAND()-0.5)*2*$B$6)</f>
        <v>0.24640554556548866</v>
      </c>
      <c r="C121" s="54">
        <f ca="1">MAX(0.02,MCDA_Prioritisation!$B$10+(RAND()-0.5)*2*$B$6)</f>
        <v>0.25704856719262675</v>
      </c>
      <c r="D121" s="54">
        <f ca="1">MAX(0.02,MCDA_Prioritisation!$B$11+(RAND()-0.5)*2*$B$6)</f>
        <v>0.25941477531528051</v>
      </c>
      <c r="E121" s="54">
        <f ca="1">MAX(0.02,MCDA_Prioritisation!$B$12+(RAND()-0.5)*2*$B$6)</f>
        <v>0.17654067612749116</v>
      </c>
      <c r="F121" s="54">
        <f ca="1">MAX(0.02,MCDA_Prioritisation!$B$13+(RAND()-0.5)*2*$B$6)</f>
        <v>0.21196345572636738</v>
      </c>
      <c r="G121" s="54">
        <f t="shared" ca="1" si="14"/>
        <v>1.1513730199272543</v>
      </c>
      <c r="H121" s="54">
        <f t="shared" ca="1" si="15"/>
        <v>0.21401017854409771</v>
      </c>
      <c r="I121" s="54">
        <f t="shared" ca="1" si="16"/>
        <v>0.22325394354721595</v>
      </c>
      <c r="J121" s="54">
        <f t="shared" ca="1" si="17"/>
        <v>0.22530906215925642</v>
      </c>
      <c r="K121" s="54">
        <f t="shared" ca="1" si="18"/>
        <v>0.15333056539629988</v>
      </c>
      <c r="L121" s="54">
        <f t="shared" ca="1" si="19"/>
        <v>0.18409625035313021</v>
      </c>
      <c r="M121" s="54">
        <f ca="1">MIN(100,MAX(0,MCDA_Prioritisation!$F$2+(RAND()-0.5)*2*$B$7))</f>
        <v>79.712248964230625</v>
      </c>
      <c r="N121" s="54">
        <f ca="1">MIN(100,MAX(0,MCDA_Prioritisation!$F$3+(RAND()-0.5)*2*$B$7))</f>
        <v>91.500741237053333</v>
      </c>
      <c r="O121" s="54">
        <f ca="1">MIN(100,MAX(0,MCDA_Prioritisation!$F$4+(RAND()-0.5)*2*$B$7))</f>
        <v>84.146485360726047</v>
      </c>
      <c r="P121" s="54">
        <f ca="1">MIN(100,MAX(0,MCDA_Prioritisation!$F$5+(RAND()-0.5)*2*$B$7))</f>
        <v>66.432276261025578</v>
      </c>
      <c r="Q121" s="54">
        <f ca="1">MIN(100,MAX(0,MCDA_Prioritisation!$G$2+(RAND()-0.5)*2*$B$7))</f>
        <v>86.39335713368645</v>
      </c>
      <c r="R121" s="54">
        <f ca="1">MIN(100,MAX(0,MCDA_Prioritisation!$G$3+(RAND()-0.5)*2*$B$7))</f>
        <v>100</v>
      </c>
      <c r="S121" s="54">
        <f ca="1">MIN(100,MAX(0,MCDA_Prioritisation!$G$4+(RAND()-0.5)*2*$B$7))</f>
        <v>77.903687203778418</v>
      </c>
      <c r="T121" s="54">
        <f ca="1">MIN(100,MAX(0,MCDA_Prioritisation!$G$5+(RAND()-0.5)*2*$B$7))</f>
        <v>76.920960860788284</v>
      </c>
      <c r="U121" s="54">
        <f ca="1">MIN(100,MAX(0,MCDA_Prioritisation!$H$2+(RAND()-0.5)*2*$B$7))</f>
        <v>58.36447399001564</v>
      </c>
      <c r="V121" s="54">
        <f ca="1">MIN(100,MAX(0,MCDA_Prioritisation!$H$3+(RAND()-0.5)*2*$B$7))</f>
        <v>57.757606076480243</v>
      </c>
      <c r="W121" s="54">
        <f ca="1">MIN(100,MAX(0,MCDA_Prioritisation!$H$4+(RAND()-0.5)*2*$B$7))</f>
        <v>74.206449364012116</v>
      </c>
      <c r="X121" s="54">
        <f ca="1">MIN(100,MAX(0,MCDA_Prioritisation!$H$5+(RAND()-0.5)*2*$B$7))</f>
        <v>80.458547873915563</v>
      </c>
      <c r="Y121" s="54">
        <f ca="1">H121*MCDA_Prioritisation!$D$2+I121*MCDA_Prioritisation!$E$2+J121*M121+K121*Q121+L121*U121</f>
        <v>85.677727377054609</v>
      </c>
      <c r="Z121" s="54">
        <f ca="1">H121*MCDA_Prioritisation!$D$3+I121*MCDA_Prioritisation!$E$3+J121*N121+K121*R121+L121*V121</f>
        <v>81.522425056689954</v>
      </c>
      <c r="AA121" s="54">
        <f ca="1">H121*MCDA_Prioritisation!$D$4+I121*MCDA_Prioritisation!$E$4+J121*O121+K121*S121+L121*W121</f>
        <v>71.645009769262302</v>
      </c>
      <c r="AB121" s="54">
        <f ca="1">H121*MCDA_Prioritisation!$D$5+I121*MCDA_Prioritisation!$E$5+J121*P121+K121*T121+L121*X121</f>
        <v>71.706652981708487</v>
      </c>
      <c r="AC121" s="54">
        <f t="shared" ca="1" si="20"/>
        <v>1</v>
      </c>
      <c r="AD121" s="54">
        <f t="shared" ca="1" si="21"/>
        <v>2</v>
      </c>
      <c r="AE121" s="54">
        <f t="shared" ca="1" si="22"/>
        <v>4</v>
      </c>
      <c r="AF121" s="54">
        <f t="shared" ca="1" si="23"/>
        <v>3</v>
      </c>
      <c r="AG121" s="54">
        <f t="shared" ca="1" si="24"/>
        <v>1</v>
      </c>
      <c r="AH121" s="54">
        <f t="shared" ca="1" si="25"/>
        <v>1</v>
      </c>
      <c r="AI121" s="54">
        <f t="shared" ca="1" si="26"/>
        <v>0</v>
      </c>
      <c r="AJ121" s="54">
        <f t="shared" ca="1" si="27"/>
        <v>1</v>
      </c>
    </row>
    <row r="122" spans="1:36" x14ac:dyDescent="0.2">
      <c r="A122" s="54">
        <v>99</v>
      </c>
      <c r="B122" s="54">
        <f ca="1">MAX(0.02,MCDA_Prioritisation!$B$9+(RAND()-0.5)*2*$B$6)</f>
        <v>0.1842156622845216</v>
      </c>
      <c r="C122" s="54">
        <f ca="1">MAX(0.02,MCDA_Prioritisation!$B$10+(RAND()-0.5)*2*$B$6)</f>
        <v>0.18715323416641438</v>
      </c>
      <c r="D122" s="54">
        <f ca="1">MAX(0.02,MCDA_Prioritisation!$B$11+(RAND()-0.5)*2*$B$6)</f>
        <v>0.22725128752982027</v>
      </c>
      <c r="E122" s="54">
        <f ca="1">MAX(0.02,MCDA_Prioritisation!$B$12+(RAND()-0.5)*2*$B$6)</f>
        <v>0.11122048436073478</v>
      </c>
      <c r="F122" s="54">
        <f ca="1">MAX(0.02,MCDA_Prioritisation!$B$13+(RAND()-0.5)*2*$B$6)</f>
        <v>0.16345992014337402</v>
      </c>
      <c r="G122" s="54">
        <f t="shared" ca="1" si="14"/>
        <v>0.87330058848486503</v>
      </c>
      <c r="H122" s="54">
        <f t="shared" ca="1" si="15"/>
        <v>0.21094187352389973</v>
      </c>
      <c r="I122" s="54">
        <f t="shared" ca="1" si="16"/>
        <v>0.21430563157081611</v>
      </c>
      <c r="J122" s="54">
        <f t="shared" ca="1" si="17"/>
        <v>0.26022115469324308</v>
      </c>
      <c r="K122" s="54">
        <f t="shared" ca="1" si="18"/>
        <v>0.12735647476626236</v>
      </c>
      <c r="L122" s="54">
        <f t="shared" ca="1" si="19"/>
        <v>0.18717486544577874</v>
      </c>
      <c r="M122" s="54">
        <f ca="1">MIN(100,MAX(0,MCDA_Prioritisation!$F$2+(RAND()-0.5)*2*$B$7))</f>
        <v>83.754523359212314</v>
      </c>
      <c r="N122" s="54">
        <f ca="1">MIN(100,MAX(0,MCDA_Prioritisation!$F$3+(RAND()-0.5)*2*$B$7))</f>
        <v>93.449491993824068</v>
      </c>
      <c r="O122" s="54">
        <f ca="1">MIN(100,MAX(0,MCDA_Prioritisation!$F$4+(RAND()-0.5)*2*$B$7))</f>
        <v>84.614818817038298</v>
      </c>
      <c r="P122" s="54">
        <f ca="1">MIN(100,MAX(0,MCDA_Prioritisation!$F$5+(RAND()-0.5)*2*$B$7))</f>
        <v>76.552735991394883</v>
      </c>
      <c r="Q122" s="54">
        <f ca="1">MIN(100,MAX(0,MCDA_Prioritisation!$G$2+(RAND()-0.5)*2*$B$7))</f>
        <v>88.818270836786724</v>
      </c>
      <c r="R122" s="54">
        <f ca="1">MIN(100,MAX(0,MCDA_Prioritisation!$G$3+(RAND()-0.5)*2*$B$7))</f>
        <v>95.330434099302167</v>
      </c>
      <c r="S122" s="54">
        <f ca="1">MIN(100,MAX(0,MCDA_Prioritisation!$G$4+(RAND()-0.5)*2*$B$7))</f>
        <v>86.326619549069108</v>
      </c>
      <c r="T122" s="54">
        <f ca="1">MIN(100,MAX(0,MCDA_Prioritisation!$G$5+(RAND()-0.5)*2*$B$7))</f>
        <v>66.157656658000732</v>
      </c>
      <c r="U122" s="54">
        <f ca="1">MIN(100,MAX(0,MCDA_Prioritisation!$H$2+(RAND()-0.5)*2*$B$7))</f>
        <v>69.637707324792927</v>
      </c>
      <c r="V122" s="54">
        <f ca="1">MIN(100,MAX(0,MCDA_Prioritisation!$H$3+(RAND()-0.5)*2*$B$7))</f>
        <v>53.224960433651674</v>
      </c>
      <c r="W122" s="54">
        <f ca="1">MIN(100,MAX(0,MCDA_Prioritisation!$H$4+(RAND()-0.5)*2*$B$7))</f>
        <v>71.92633056240544</v>
      </c>
      <c r="X122" s="54">
        <f ca="1">MIN(100,MAX(0,MCDA_Prioritisation!$H$5+(RAND()-0.5)*2*$B$7))</f>
        <v>84.412587720113152</v>
      </c>
      <c r="Y122" s="54">
        <f ca="1">H122*MCDA_Prioritisation!$D$2+I122*MCDA_Prioritisation!$E$2+J122*M122+K122*Q122+L122*U122</f>
        <v>88.66545965586694</v>
      </c>
      <c r="Z122" s="54">
        <f ca="1">H122*MCDA_Prioritisation!$D$3+I122*MCDA_Prioritisation!$E$3+J122*N122+K122*R122+L122*V122</f>
        <v>80.44237467228254</v>
      </c>
      <c r="AA122" s="54">
        <f ca="1">H122*MCDA_Prioritisation!$D$4+I122*MCDA_Prioritisation!$E$4+J122*O122+K122*S122+L122*W122</f>
        <v>72.853771160873379</v>
      </c>
      <c r="AB122" s="54">
        <f ca="1">H122*MCDA_Prioritisation!$D$5+I122*MCDA_Prioritisation!$E$5+J122*P122+K122*T122+L122*X122</f>
        <v>73.363245053868482</v>
      </c>
      <c r="AC122" s="54">
        <f t="shared" ca="1" si="20"/>
        <v>1</v>
      </c>
      <c r="AD122" s="54">
        <f t="shared" ca="1" si="21"/>
        <v>2</v>
      </c>
      <c r="AE122" s="54">
        <f t="shared" ca="1" si="22"/>
        <v>4</v>
      </c>
      <c r="AF122" s="54">
        <f t="shared" ca="1" si="23"/>
        <v>3</v>
      </c>
      <c r="AG122" s="54">
        <f t="shared" ca="1" si="24"/>
        <v>1</v>
      </c>
      <c r="AH122" s="54">
        <f t="shared" ca="1" si="25"/>
        <v>1</v>
      </c>
      <c r="AI122" s="54">
        <f t="shared" ca="1" si="26"/>
        <v>0</v>
      </c>
      <c r="AJ122" s="54">
        <f t="shared" ca="1" si="27"/>
        <v>1</v>
      </c>
    </row>
    <row r="123" spans="1:36" x14ac:dyDescent="0.2">
      <c r="A123" s="54">
        <v>100</v>
      </c>
      <c r="B123" s="54">
        <f ca="1">MAX(0.02,MCDA_Prioritisation!$B$9+(RAND()-0.5)*2*$B$6)</f>
        <v>0.1770901391269033</v>
      </c>
      <c r="C123" s="54">
        <f ca="1">MAX(0.02,MCDA_Prioritisation!$B$10+(RAND()-0.5)*2*$B$6)</f>
        <v>0.19601448446132214</v>
      </c>
      <c r="D123" s="54">
        <f ca="1">MAX(0.02,MCDA_Prioritisation!$B$11+(RAND()-0.5)*2*$B$6)</f>
        <v>0.19180591239977582</v>
      </c>
      <c r="E123" s="54">
        <f ca="1">MAX(0.02,MCDA_Prioritisation!$B$12+(RAND()-0.5)*2*$B$6)</f>
        <v>0.1315114627446817</v>
      </c>
      <c r="F123" s="54">
        <f ca="1">MAX(0.02,MCDA_Prioritisation!$B$13+(RAND()-0.5)*2*$B$6)</f>
        <v>0.19060265904133428</v>
      </c>
      <c r="G123" s="54">
        <f t="shared" ca="1" si="14"/>
        <v>0.88702465777401729</v>
      </c>
      <c r="H123" s="54">
        <f t="shared" ca="1" si="15"/>
        <v>0.19964511423088269</v>
      </c>
      <c r="I123" s="54">
        <f t="shared" ca="1" si="16"/>
        <v>0.22097974700412415</v>
      </c>
      <c r="J123" s="54">
        <f t="shared" ca="1" si="17"/>
        <v>0.21623515278719707</v>
      </c>
      <c r="K123" s="54">
        <f t="shared" ca="1" si="18"/>
        <v>0.14826133816246875</v>
      </c>
      <c r="L123" s="54">
        <f t="shared" ca="1" si="19"/>
        <v>0.21487864781532728</v>
      </c>
      <c r="M123" s="54">
        <f ca="1">MIN(100,MAX(0,MCDA_Prioritisation!$F$2+(RAND()-0.5)*2*$B$7))</f>
        <v>85.600895202335082</v>
      </c>
      <c r="N123" s="54">
        <f ca="1">MIN(100,MAX(0,MCDA_Prioritisation!$F$3+(RAND()-0.5)*2*$B$7))</f>
        <v>97.534883031723695</v>
      </c>
      <c r="O123" s="54">
        <f ca="1">MIN(100,MAX(0,MCDA_Prioritisation!$F$4+(RAND()-0.5)*2*$B$7))</f>
        <v>84.255587644000371</v>
      </c>
      <c r="P123" s="54">
        <f ca="1">MIN(100,MAX(0,MCDA_Prioritisation!$F$5+(RAND()-0.5)*2*$B$7))</f>
        <v>77.17214521934082</v>
      </c>
      <c r="Q123" s="54">
        <f ca="1">MIN(100,MAX(0,MCDA_Prioritisation!$G$2+(RAND()-0.5)*2*$B$7))</f>
        <v>83.161780441332382</v>
      </c>
      <c r="R123" s="54">
        <f ca="1">MIN(100,MAX(0,MCDA_Prioritisation!$G$3+(RAND()-0.5)*2*$B$7))</f>
        <v>97.20260654518448</v>
      </c>
      <c r="S123" s="54">
        <f ca="1">MIN(100,MAX(0,MCDA_Prioritisation!$G$4+(RAND()-0.5)*2*$B$7))</f>
        <v>79.460052820586299</v>
      </c>
      <c r="T123" s="54">
        <f ca="1">MIN(100,MAX(0,MCDA_Prioritisation!$G$5+(RAND()-0.5)*2*$B$7))</f>
        <v>68.261724363441346</v>
      </c>
      <c r="U123" s="54">
        <f ca="1">MIN(100,MAX(0,MCDA_Prioritisation!$H$2+(RAND()-0.5)*2*$B$7))</f>
        <v>65.883979681221504</v>
      </c>
      <c r="V123" s="54">
        <f ca="1">MIN(100,MAX(0,MCDA_Prioritisation!$H$3+(RAND()-0.5)*2*$B$7))</f>
        <v>55.348622065394444</v>
      </c>
      <c r="W123" s="54">
        <f ca="1">MIN(100,MAX(0,MCDA_Prioritisation!$H$4+(RAND()-0.5)*2*$B$7))</f>
        <v>81.959102704490448</v>
      </c>
      <c r="X123" s="54">
        <f ca="1">MIN(100,MAX(0,MCDA_Prioritisation!$H$5+(RAND()-0.5)*2*$B$7))</f>
        <v>84.244099132841754</v>
      </c>
      <c r="Y123" s="54">
        <f ca="1">H123*MCDA_Prioritisation!$D$2+I123*MCDA_Prioritisation!$E$2+J123*M123+K123*Q123+L123*U123</f>
        <v>87.059146095097191</v>
      </c>
      <c r="Z123" s="54">
        <f ca="1">H123*MCDA_Prioritisation!$D$3+I123*MCDA_Prioritisation!$E$3+J123*N123+K123*R123+L123*V123</f>
        <v>80.914702206612432</v>
      </c>
      <c r="AA123" s="54">
        <f ca="1">H123*MCDA_Prioritisation!$D$4+I123*MCDA_Prioritisation!$E$4+J123*O123+K123*S123+L123*W123</f>
        <v>73.566687661142993</v>
      </c>
      <c r="AB123" s="54">
        <f ca="1">H123*MCDA_Prioritisation!$D$5+I123*MCDA_Prioritisation!$E$5+J123*P123+K123*T123+L123*X123</f>
        <v>74.08889322255007</v>
      </c>
      <c r="AC123" s="54">
        <f t="shared" ca="1" si="20"/>
        <v>1</v>
      </c>
      <c r="AD123" s="54">
        <f t="shared" ca="1" si="21"/>
        <v>2</v>
      </c>
      <c r="AE123" s="54">
        <f t="shared" ca="1" si="22"/>
        <v>4</v>
      </c>
      <c r="AF123" s="54">
        <f t="shared" ca="1" si="23"/>
        <v>3</v>
      </c>
      <c r="AG123" s="54">
        <f t="shared" ca="1" si="24"/>
        <v>1</v>
      </c>
      <c r="AH123" s="54">
        <f t="shared" ca="1" si="25"/>
        <v>1</v>
      </c>
      <c r="AI123" s="54">
        <f t="shared" ca="1" si="26"/>
        <v>0</v>
      </c>
      <c r="AJ123" s="54">
        <f t="shared" ca="1" si="27"/>
        <v>1</v>
      </c>
    </row>
    <row r="124" spans="1:36" x14ac:dyDescent="0.2">
      <c r="A124" s="54">
        <v>101</v>
      </c>
      <c r="B124" s="54">
        <f ca="1">MAX(0.02,MCDA_Prioritisation!$B$9+(RAND()-0.5)*2*$B$6)</f>
        <v>0.18545721822581485</v>
      </c>
      <c r="C124" s="54">
        <f ca="1">MAX(0.02,MCDA_Prioritisation!$B$10+(RAND()-0.5)*2*$B$6)</f>
        <v>0.32899876451672266</v>
      </c>
      <c r="D124" s="54">
        <f ca="1">MAX(0.02,MCDA_Prioritisation!$B$11+(RAND()-0.5)*2*$B$6)</f>
        <v>0.2057912217255741</v>
      </c>
      <c r="E124" s="54">
        <f ca="1">MAX(0.02,MCDA_Prioritisation!$B$12+(RAND()-0.5)*2*$B$6)</f>
        <v>0.19783214082983577</v>
      </c>
      <c r="F124" s="54">
        <f ca="1">MAX(0.02,MCDA_Prioritisation!$B$13+(RAND()-0.5)*2*$B$6)</f>
        <v>0.12286510213442695</v>
      </c>
      <c r="G124" s="54">
        <f t="shared" ca="1" si="14"/>
        <v>1.0409444474323744</v>
      </c>
      <c r="H124" s="54">
        <f t="shared" ca="1" si="15"/>
        <v>0.17816245495450725</v>
      </c>
      <c r="I124" s="54">
        <f t="shared" ca="1" si="16"/>
        <v>0.31605794653906955</v>
      </c>
      <c r="J124" s="54">
        <f t="shared" ca="1" si="17"/>
        <v>0.19769664196123538</v>
      </c>
      <c r="K124" s="54">
        <f t="shared" ca="1" si="18"/>
        <v>0.19005062308350329</v>
      </c>
      <c r="L124" s="54">
        <f t="shared" ca="1" si="19"/>
        <v>0.11803233346168453</v>
      </c>
      <c r="M124" s="54">
        <f ca="1">MIN(100,MAX(0,MCDA_Prioritisation!$F$2+(RAND()-0.5)*2*$B$7))</f>
        <v>91.484316022095967</v>
      </c>
      <c r="N124" s="54">
        <f ca="1">MIN(100,MAX(0,MCDA_Prioritisation!$F$3+(RAND()-0.5)*2*$B$7))</f>
        <v>99.929462976704784</v>
      </c>
      <c r="O124" s="54">
        <f ca="1">MIN(100,MAX(0,MCDA_Prioritisation!$F$4+(RAND()-0.5)*2*$B$7))</f>
        <v>97.854737522800093</v>
      </c>
      <c r="P124" s="54">
        <f ca="1">MIN(100,MAX(0,MCDA_Prioritisation!$F$5+(RAND()-0.5)*2*$B$7))</f>
        <v>73.196453883740816</v>
      </c>
      <c r="Q124" s="54">
        <f ca="1">MIN(100,MAX(0,MCDA_Prioritisation!$G$2+(RAND()-0.5)*2*$B$7))</f>
        <v>72.559668232330168</v>
      </c>
      <c r="R124" s="54">
        <f ca="1">MIN(100,MAX(0,MCDA_Prioritisation!$G$3+(RAND()-0.5)*2*$B$7))</f>
        <v>100</v>
      </c>
      <c r="S124" s="54">
        <f ca="1">MIN(100,MAX(0,MCDA_Prioritisation!$G$4+(RAND()-0.5)*2*$B$7))</f>
        <v>83.900299748740835</v>
      </c>
      <c r="T124" s="54">
        <f ca="1">MIN(100,MAX(0,MCDA_Prioritisation!$G$5+(RAND()-0.5)*2*$B$7))</f>
        <v>62.681185906357825</v>
      </c>
      <c r="U124" s="54">
        <f ca="1">MIN(100,MAX(0,MCDA_Prioritisation!$H$2+(RAND()-0.5)*2*$B$7))</f>
        <v>57.116268638006112</v>
      </c>
      <c r="V124" s="54">
        <f ca="1">MIN(100,MAX(0,MCDA_Prioritisation!$H$3+(RAND()-0.5)*2*$B$7))</f>
        <v>51.462313940662895</v>
      </c>
      <c r="W124" s="54">
        <f ca="1">MIN(100,MAX(0,MCDA_Prioritisation!$H$4+(RAND()-0.5)*2*$B$7))</f>
        <v>79.654709148268765</v>
      </c>
      <c r="X124" s="54">
        <f ca="1">MIN(100,MAX(0,MCDA_Prioritisation!$H$5+(RAND()-0.5)*2*$B$7))</f>
        <v>74.719006183410343</v>
      </c>
      <c r="Y124" s="54">
        <f ca="1">H124*MCDA_Prioritisation!$D$2+I124*MCDA_Prioritisation!$E$2+J124*M124+K124*Q124+L124*U124</f>
        <v>88.039758843301428</v>
      </c>
      <c r="Z124" s="54">
        <f ca="1">H124*MCDA_Prioritisation!$D$3+I124*MCDA_Prioritisation!$E$3+J124*N124+K124*R124+L124*V124</f>
        <v>83.391866484974742</v>
      </c>
      <c r="AA124" s="54">
        <f ca="1">H124*MCDA_Prioritisation!$D$4+I124*MCDA_Prioritisation!$E$4+J124*O124+K124*S124+L124*W124</f>
        <v>74.338398818171086</v>
      </c>
      <c r="AB124" s="54">
        <f ca="1">H124*MCDA_Prioritisation!$D$5+I124*MCDA_Prioritisation!$E$5+J124*P124+K124*T124+L124*X124</f>
        <v>71.23628110659881</v>
      </c>
      <c r="AC124" s="54">
        <f t="shared" ca="1" si="20"/>
        <v>1</v>
      </c>
      <c r="AD124" s="54">
        <f t="shared" ca="1" si="21"/>
        <v>2</v>
      </c>
      <c r="AE124" s="54">
        <f t="shared" ca="1" si="22"/>
        <v>3</v>
      </c>
      <c r="AF124" s="54">
        <f t="shared" ca="1" si="23"/>
        <v>4</v>
      </c>
      <c r="AG124" s="54">
        <f t="shared" ca="1" si="24"/>
        <v>1</v>
      </c>
      <c r="AH124" s="54">
        <f t="shared" ca="1" si="25"/>
        <v>1</v>
      </c>
      <c r="AI124" s="54">
        <f t="shared" ca="1" si="26"/>
        <v>1</v>
      </c>
      <c r="AJ124" s="54">
        <f t="shared" ca="1" si="27"/>
        <v>1</v>
      </c>
    </row>
    <row r="125" spans="1:36" x14ac:dyDescent="0.2">
      <c r="A125" s="54">
        <v>102</v>
      </c>
      <c r="B125" s="54">
        <f ca="1">MAX(0.02,MCDA_Prioritisation!$B$9+(RAND()-0.5)*2*$B$6)</f>
        <v>0.23212392885445454</v>
      </c>
      <c r="C125" s="54">
        <f ca="1">MAX(0.02,MCDA_Prioritisation!$B$10+(RAND()-0.5)*2*$B$6)</f>
        <v>0.22944853422712636</v>
      </c>
      <c r="D125" s="54">
        <f ca="1">MAX(0.02,MCDA_Prioritisation!$B$11+(RAND()-0.5)*2*$B$6)</f>
        <v>0.24880839075421254</v>
      </c>
      <c r="E125" s="54">
        <f ca="1">MAX(0.02,MCDA_Prioritisation!$B$12+(RAND()-0.5)*2*$B$6)</f>
        <v>0.19439255989823401</v>
      </c>
      <c r="F125" s="54">
        <f ca="1">MAX(0.02,MCDA_Prioritisation!$B$13+(RAND()-0.5)*2*$B$6)</f>
        <v>7.9304282088905262E-2</v>
      </c>
      <c r="G125" s="54">
        <f t="shared" ca="1" si="14"/>
        <v>0.9840776958229327</v>
      </c>
      <c r="H125" s="54">
        <f t="shared" ca="1" si="15"/>
        <v>0.23587967681793809</v>
      </c>
      <c r="I125" s="54">
        <f t="shared" ca="1" si="16"/>
        <v>0.23316099450384409</v>
      </c>
      <c r="J125" s="54">
        <f t="shared" ca="1" si="17"/>
        <v>0.25283409207455626</v>
      </c>
      <c r="K125" s="54">
        <f t="shared" ca="1" si="18"/>
        <v>0.19753781710871282</v>
      </c>
      <c r="L125" s="54">
        <f t="shared" ca="1" si="19"/>
        <v>8.0587419494948756E-2</v>
      </c>
      <c r="M125" s="54">
        <f ca="1">MIN(100,MAX(0,MCDA_Prioritisation!$F$2+(RAND()-0.5)*2*$B$7))</f>
        <v>77.474473038463103</v>
      </c>
      <c r="N125" s="54">
        <f ca="1">MIN(100,MAX(0,MCDA_Prioritisation!$F$3+(RAND()-0.5)*2*$B$7))</f>
        <v>96.011745892133575</v>
      </c>
      <c r="O125" s="54">
        <f ca="1">MIN(100,MAX(0,MCDA_Prioritisation!$F$4+(RAND()-0.5)*2*$B$7))</f>
        <v>95.788286814000543</v>
      </c>
      <c r="P125" s="54">
        <f ca="1">MIN(100,MAX(0,MCDA_Prioritisation!$F$5+(RAND()-0.5)*2*$B$7))</f>
        <v>67.121706732095902</v>
      </c>
      <c r="Q125" s="54">
        <f ca="1">MIN(100,MAX(0,MCDA_Prioritisation!$G$2+(RAND()-0.5)*2*$B$7))</f>
        <v>79.95411550695647</v>
      </c>
      <c r="R125" s="54">
        <f ca="1">MIN(100,MAX(0,MCDA_Prioritisation!$G$3+(RAND()-0.5)*2*$B$7))</f>
        <v>86.120676080613904</v>
      </c>
      <c r="S125" s="54">
        <f ca="1">MIN(100,MAX(0,MCDA_Prioritisation!$G$4+(RAND()-0.5)*2*$B$7))</f>
        <v>78.28313111259267</v>
      </c>
      <c r="T125" s="54">
        <f ca="1">MIN(100,MAX(0,MCDA_Prioritisation!$G$5+(RAND()-0.5)*2*$B$7))</f>
        <v>66.202389434931746</v>
      </c>
      <c r="U125" s="54">
        <f ca="1">MIN(100,MAX(0,MCDA_Prioritisation!$H$2+(RAND()-0.5)*2*$B$7))</f>
        <v>67.443604040774176</v>
      </c>
      <c r="V125" s="54">
        <f ca="1">MIN(100,MAX(0,MCDA_Prioritisation!$H$3+(RAND()-0.5)*2*$B$7))</f>
        <v>52.670510811238785</v>
      </c>
      <c r="W125" s="54">
        <f ca="1">MIN(100,MAX(0,MCDA_Prioritisation!$H$4+(RAND()-0.5)*2*$B$7))</f>
        <v>70.416955358728302</v>
      </c>
      <c r="X125" s="54">
        <f ca="1">MIN(100,MAX(0,MCDA_Prioritisation!$H$5+(RAND()-0.5)*2*$B$7))</f>
        <v>79.604994497912784</v>
      </c>
      <c r="Y125" s="54">
        <f ca="1">H125*MCDA_Prioritisation!$D$2+I125*MCDA_Prioritisation!$E$2+J125*M125+K125*Q125+L125*U125</f>
        <v>87.721322638999879</v>
      </c>
      <c r="Z125" s="54">
        <f ca="1">H125*MCDA_Prioritisation!$D$3+I125*MCDA_Prioritisation!$E$3+J125*N125+K125*R125+L125*V125</f>
        <v>83.104014947969929</v>
      </c>
      <c r="AA125" s="54">
        <f ca="1">H125*MCDA_Prioritisation!$D$4+I125*MCDA_Prioritisation!$E$4+J125*O125+K125*S125+L125*W125</f>
        <v>74.500290564134943</v>
      </c>
      <c r="AB125" s="54">
        <f ca="1">H125*MCDA_Prioritisation!$D$5+I125*MCDA_Prioritisation!$E$5+J125*P125+K125*T125+L125*X125</f>
        <v>68.589536092327137</v>
      </c>
      <c r="AC125" s="54">
        <f t="shared" ca="1" si="20"/>
        <v>1</v>
      </c>
      <c r="AD125" s="54">
        <f t="shared" ca="1" si="21"/>
        <v>2</v>
      </c>
      <c r="AE125" s="54">
        <f t="shared" ca="1" si="22"/>
        <v>3</v>
      </c>
      <c r="AF125" s="54">
        <f t="shared" ca="1" si="23"/>
        <v>4</v>
      </c>
      <c r="AG125" s="54">
        <f t="shared" ca="1" si="24"/>
        <v>1</v>
      </c>
      <c r="AH125" s="54">
        <f t="shared" ca="1" si="25"/>
        <v>1</v>
      </c>
      <c r="AI125" s="54">
        <f t="shared" ca="1" si="26"/>
        <v>1</v>
      </c>
      <c r="AJ125" s="54">
        <f t="shared" ca="1" si="27"/>
        <v>1</v>
      </c>
    </row>
    <row r="126" spans="1:36" x14ac:dyDescent="0.2">
      <c r="A126" s="54">
        <v>103</v>
      </c>
      <c r="B126" s="54">
        <f ca="1">MAX(0.02,MCDA_Prioritisation!$B$9+(RAND()-0.5)*2*$B$6)</f>
        <v>0.15450499393369829</v>
      </c>
      <c r="C126" s="54">
        <f ca="1">MAX(0.02,MCDA_Prioritisation!$B$10+(RAND()-0.5)*2*$B$6)</f>
        <v>0.2686309316548619</v>
      </c>
      <c r="D126" s="54">
        <f ca="1">MAX(0.02,MCDA_Prioritisation!$B$11+(RAND()-0.5)*2*$B$6)</f>
        <v>0.28622095430220151</v>
      </c>
      <c r="E126" s="54">
        <f ca="1">MAX(0.02,MCDA_Prioritisation!$B$12+(RAND()-0.5)*2*$B$6)</f>
        <v>0.14026501957896076</v>
      </c>
      <c r="F126" s="54">
        <f ca="1">MAX(0.02,MCDA_Prioritisation!$B$13+(RAND()-0.5)*2*$B$6)</f>
        <v>0.14646478496177734</v>
      </c>
      <c r="G126" s="54">
        <f t="shared" ca="1" si="14"/>
        <v>0.99608668443149972</v>
      </c>
      <c r="H126" s="54">
        <f t="shared" ca="1" si="15"/>
        <v>0.15511199612298754</v>
      </c>
      <c r="I126" s="54">
        <f t="shared" ca="1" si="16"/>
        <v>0.2696862992483216</v>
      </c>
      <c r="J126" s="54">
        <f t="shared" ca="1" si="17"/>
        <v>0.28734542763771354</v>
      </c>
      <c r="K126" s="54">
        <f t="shared" ca="1" si="18"/>
        <v>0.14081607732665832</v>
      </c>
      <c r="L126" s="54">
        <f t="shared" ca="1" si="19"/>
        <v>0.14704019966431911</v>
      </c>
      <c r="M126" s="54">
        <f ca="1">MIN(100,MAX(0,MCDA_Prioritisation!$F$2+(RAND()-0.5)*2*$B$7))</f>
        <v>80.962923869195805</v>
      </c>
      <c r="N126" s="54">
        <f ca="1">MIN(100,MAX(0,MCDA_Prioritisation!$F$3+(RAND()-0.5)*2*$B$7))</f>
        <v>100</v>
      </c>
      <c r="O126" s="54">
        <f ca="1">MIN(100,MAX(0,MCDA_Prioritisation!$F$4+(RAND()-0.5)*2*$B$7))</f>
        <v>95.797926928959285</v>
      </c>
      <c r="P126" s="54">
        <f ca="1">MIN(100,MAX(0,MCDA_Prioritisation!$F$5+(RAND()-0.5)*2*$B$7))</f>
        <v>82.951326621627516</v>
      </c>
      <c r="Q126" s="54">
        <f ca="1">MIN(100,MAX(0,MCDA_Prioritisation!$G$2+(RAND()-0.5)*2*$B$7))</f>
        <v>83.416223052588748</v>
      </c>
      <c r="R126" s="54">
        <f ca="1">MIN(100,MAX(0,MCDA_Prioritisation!$G$3+(RAND()-0.5)*2*$B$7))</f>
        <v>87.373964858793613</v>
      </c>
      <c r="S126" s="54">
        <f ca="1">MIN(100,MAX(0,MCDA_Prioritisation!$G$4+(RAND()-0.5)*2*$B$7))</f>
        <v>85.533423008740982</v>
      </c>
      <c r="T126" s="54">
        <f ca="1">MIN(100,MAX(0,MCDA_Prioritisation!$G$5+(RAND()-0.5)*2*$B$7))</f>
        <v>74.128583957239968</v>
      </c>
      <c r="U126" s="54">
        <f ca="1">MIN(100,MAX(0,MCDA_Prioritisation!$H$2+(RAND()-0.5)*2*$B$7))</f>
        <v>71.609538764329415</v>
      </c>
      <c r="V126" s="54">
        <f ca="1">MIN(100,MAX(0,MCDA_Prioritisation!$H$3+(RAND()-0.5)*2*$B$7))</f>
        <v>55.638058599391755</v>
      </c>
      <c r="W126" s="54">
        <f ca="1">MIN(100,MAX(0,MCDA_Prioritisation!$H$4+(RAND()-0.5)*2*$B$7))</f>
        <v>88.688296494489109</v>
      </c>
      <c r="X126" s="54">
        <f ca="1">MIN(100,MAX(0,MCDA_Prioritisation!$H$5+(RAND()-0.5)*2*$B$7))</f>
        <v>73.709883659051499</v>
      </c>
      <c r="Y126" s="54">
        <f ca="1">H126*MCDA_Prioritisation!$D$2+I126*MCDA_Prioritisation!$E$2+J126*M126+K126*Q126+L126*U126</f>
        <v>88.019981712572545</v>
      </c>
      <c r="Z126" s="54">
        <f ca="1">H126*MCDA_Prioritisation!$D$3+I126*MCDA_Prioritisation!$E$3+J126*N126+K126*R126+L126*V126</f>
        <v>82.389080229746099</v>
      </c>
      <c r="AA126" s="54">
        <f ca="1">H126*MCDA_Prioritisation!$D$4+I126*MCDA_Prioritisation!$E$4+J126*O126+K126*S126+L126*W126</f>
        <v>78.123571558770379</v>
      </c>
      <c r="AB126" s="54">
        <f ca="1">H126*MCDA_Prioritisation!$D$5+I126*MCDA_Prioritisation!$E$5+J126*P126+K126*T126+L126*X126</f>
        <v>76.023370131730275</v>
      </c>
      <c r="AC126" s="54">
        <f t="shared" ca="1" si="20"/>
        <v>1</v>
      </c>
      <c r="AD126" s="54">
        <f t="shared" ca="1" si="21"/>
        <v>2</v>
      </c>
      <c r="AE126" s="54">
        <f t="shared" ca="1" si="22"/>
        <v>3</v>
      </c>
      <c r="AF126" s="54">
        <f t="shared" ca="1" si="23"/>
        <v>4</v>
      </c>
      <c r="AG126" s="54">
        <f t="shared" ca="1" si="24"/>
        <v>1</v>
      </c>
      <c r="AH126" s="54">
        <f t="shared" ca="1" si="25"/>
        <v>1</v>
      </c>
      <c r="AI126" s="54">
        <f t="shared" ca="1" si="26"/>
        <v>1</v>
      </c>
      <c r="AJ126" s="54">
        <f t="shared" ca="1" si="27"/>
        <v>1</v>
      </c>
    </row>
    <row r="127" spans="1:36" x14ac:dyDescent="0.2">
      <c r="A127" s="54">
        <v>104</v>
      </c>
      <c r="B127" s="54">
        <f ca="1">MAX(0.02,MCDA_Prioritisation!$B$9+(RAND()-0.5)*2*$B$6)</f>
        <v>0.17794299400827435</v>
      </c>
      <c r="C127" s="54">
        <f ca="1">MAX(0.02,MCDA_Prioritisation!$B$10+(RAND()-0.5)*2*$B$6)</f>
        <v>0.17214224756902252</v>
      </c>
      <c r="D127" s="54">
        <f ca="1">MAX(0.02,MCDA_Prioritisation!$B$11+(RAND()-0.5)*2*$B$6)</f>
        <v>0.25289671348471632</v>
      </c>
      <c r="E127" s="54">
        <f ca="1">MAX(0.02,MCDA_Prioritisation!$B$12+(RAND()-0.5)*2*$B$6)</f>
        <v>0.12009693082720399</v>
      </c>
      <c r="F127" s="54">
        <f ca="1">MAX(0.02,MCDA_Prioritisation!$B$13+(RAND()-0.5)*2*$B$6)</f>
        <v>0.19765555898925444</v>
      </c>
      <c r="G127" s="54">
        <f t="shared" ca="1" si="14"/>
        <v>0.92073444487847167</v>
      </c>
      <c r="H127" s="54">
        <f t="shared" ca="1" si="15"/>
        <v>0.19326201490350581</v>
      </c>
      <c r="I127" s="54">
        <f t="shared" ca="1" si="16"/>
        <v>0.18696188518475995</v>
      </c>
      <c r="J127" s="54">
        <f t="shared" ca="1" si="17"/>
        <v>0.27466846156504582</v>
      </c>
      <c r="K127" s="54">
        <f t="shared" ca="1" si="18"/>
        <v>0.13043601387483192</v>
      </c>
      <c r="L127" s="54">
        <f t="shared" ca="1" si="19"/>
        <v>0.21467162447185639</v>
      </c>
      <c r="M127" s="54">
        <f ca="1">MIN(100,MAX(0,MCDA_Prioritisation!$F$2+(RAND()-0.5)*2*$B$7))</f>
        <v>84.309822766506727</v>
      </c>
      <c r="N127" s="54">
        <f ca="1">MIN(100,MAX(0,MCDA_Prioritisation!$F$3+(RAND()-0.5)*2*$B$7))</f>
        <v>100</v>
      </c>
      <c r="O127" s="54">
        <f ca="1">MIN(100,MAX(0,MCDA_Prioritisation!$F$4+(RAND()-0.5)*2*$B$7))</f>
        <v>86.272895464066607</v>
      </c>
      <c r="P127" s="54">
        <f ca="1">MIN(100,MAX(0,MCDA_Prioritisation!$F$5+(RAND()-0.5)*2*$B$7))</f>
        <v>65.628273417622665</v>
      </c>
      <c r="Q127" s="54">
        <f ca="1">MIN(100,MAX(0,MCDA_Prioritisation!$G$2+(RAND()-0.5)*2*$B$7))</f>
        <v>74.752846573620644</v>
      </c>
      <c r="R127" s="54">
        <f ca="1">MIN(100,MAX(0,MCDA_Prioritisation!$G$3+(RAND()-0.5)*2*$B$7))</f>
        <v>90.493876200660011</v>
      </c>
      <c r="S127" s="54">
        <f ca="1">MIN(100,MAX(0,MCDA_Prioritisation!$G$4+(RAND()-0.5)*2*$B$7))</f>
        <v>80.236474554486279</v>
      </c>
      <c r="T127" s="54">
        <f ca="1">MIN(100,MAX(0,MCDA_Prioritisation!$G$5+(RAND()-0.5)*2*$B$7))</f>
        <v>63.721902940180733</v>
      </c>
      <c r="U127" s="54">
        <f ca="1">MIN(100,MAX(0,MCDA_Prioritisation!$H$2+(RAND()-0.5)*2*$B$7))</f>
        <v>69.377393595952768</v>
      </c>
      <c r="V127" s="54">
        <f ca="1">MIN(100,MAX(0,MCDA_Prioritisation!$H$3+(RAND()-0.5)*2*$B$7))</f>
        <v>61.04345693746653</v>
      </c>
      <c r="W127" s="54">
        <f ca="1">MIN(100,MAX(0,MCDA_Prioritisation!$H$4+(RAND()-0.5)*2*$B$7))</f>
        <v>86.637858264619609</v>
      </c>
      <c r="X127" s="54">
        <f ca="1">MIN(100,MAX(0,MCDA_Prioritisation!$H$5+(RAND()-0.5)*2*$B$7))</f>
        <v>72.46263257791756</v>
      </c>
      <c r="Y127" s="54">
        <f ca="1">H127*MCDA_Prioritisation!$D$2+I127*MCDA_Prioritisation!$E$2+J127*M127+K127*Q127+L127*U127</f>
        <v>85.823460440651175</v>
      </c>
      <c r="Z127" s="54">
        <f ca="1">H127*MCDA_Prioritisation!$D$3+I127*MCDA_Prioritisation!$E$3+J127*N127+K127*R127+L127*V127</f>
        <v>82.862521977358014</v>
      </c>
      <c r="AA127" s="54">
        <f ca="1">H127*MCDA_Prioritisation!$D$4+I127*MCDA_Prioritisation!$E$4+J127*O127+K127*S127+L127*W127</f>
        <v>76.416410772321953</v>
      </c>
      <c r="AB127" s="54">
        <f ca="1">H127*MCDA_Prioritisation!$D$5+I127*MCDA_Prioritisation!$E$5+J127*P127+K127*T127+L127*X127</f>
        <v>67.87266726013587</v>
      </c>
      <c r="AC127" s="54">
        <f t="shared" ca="1" si="20"/>
        <v>1</v>
      </c>
      <c r="AD127" s="54">
        <f t="shared" ca="1" si="21"/>
        <v>2</v>
      </c>
      <c r="AE127" s="54">
        <f t="shared" ca="1" si="22"/>
        <v>3</v>
      </c>
      <c r="AF127" s="54">
        <f t="shared" ca="1" si="23"/>
        <v>4</v>
      </c>
      <c r="AG127" s="54">
        <f t="shared" ca="1" si="24"/>
        <v>1</v>
      </c>
      <c r="AH127" s="54">
        <f t="shared" ca="1" si="25"/>
        <v>1</v>
      </c>
      <c r="AI127" s="54">
        <f t="shared" ca="1" si="26"/>
        <v>1</v>
      </c>
      <c r="AJ127" s="54">
        <f t="shared" ca="1" si="27"/>
        <v>1</v>
      </c>
    </row>
    <row r="128" spans="1:36" x14ac:dyDescent="0.2">
      <c r="A128" s="54">
        <v>105</v>
      </c>
      <c r="B128" s="54">
        <f ca="1">MAX(0.02,MCDA_Prioritisation!$B$9+(RAND()-0.5)*2*$B$6)</f>
        <v>0.17240121964451793</v>
      </c>
      <c r="C128" s="54">
        <f ca="1">MAX(0.02,MCDA_Prioritisation!$B$10+(RAND()-0.5)*2*$B$6)</f>
        <v>0.26718578873015592</v>
      </c>
      <c r="D128" s="54">
        <f ca="1">MAX(0.02,MCDA_Prioritisation!$B$11+(RAND()-0.5)*2*$B$6)</f>
        <v>0.25084674872220014</v>
      </c>
      <c r="E128" s="54">
        <f ca="1">MAX(0.02,MCDA_Prioritisation!$B$12+(RAND()-0.5)*2*$B$6)</f>
        <v>7.8782255254868927E-2</v>
      </c>
      <c r="F128" s="54">
        <f ca="1">MAX(0.02,MCDA_Prioritisation!$B$13+(RAND()-0.5)*2*$B$6)</f>
        <v>0.1867067503152236</v>
      </c>
      <c r="G128" s="54">
        <f t="shared" ca="1" si="14"/>
        <v>0.95592276266696641</v>
      </c>
      <c r="H128" s="54">
        <f t="shared" ca="1" si="15"/>
        <v>0.18035057473004304</v>
      </c>
      <c r="I128" s="54">
        <f t="shared" ca="1" si="16"/>
        <v>0.27950562447610705</v>
      </c>
      <c r="J128" s="54">
        <f t="shared" ca="1" si="17"/>
        <v>0.26241319750808417</v>
      </c>
      <c r="K128" s="54">
        <f t="shared" ca="1" si="18"/>
        <v>8.2414875272005472E-2</v>
      </c>
      <c r="L128" s="54">
        <f t="shared" ca="1" si="19"/>
        <v>0.19531572801376035</v>
      </c>
      <c r="M128" s="54">
        <f ca="1">MIN(100,MAX(0,MCDA_Prioritisation!$F$2+(RAND()-0.5)*2*$B$7))</f>
        <v>93.266603382932516</v>
      </c>
      <c r="N128" s="54">
        <f ca="1">MIN(100,MAX(0,MCDA_Prioritisation!$F$3+(RAND()-0.5)*2*$B$7))</f>
        <v>100</v>
      </c>
      <c r="O128" s="54">
        <f ca="1">MIN(100,MAX(0,MCDA_Prioritisation!$F$4+(RAND()-0.5)*2*$B$7))</f>
        <v>82.179874279351608</v>
      </c>
      <c r="P128" s="54">
        <f ca="1">MIN(100,MAX(0,MCDA_Prioritisation!$F$5+(RAND()-0.5)*2*$B$7))</f>
        <v>83.925091642505549</v>
      </c>
      <c r="Q128" s="54">
        <f ca="1">MIN(100,MAX(0,MCDA_Prioritisation!$G$2+(RAND()-0.5)*2*$B$7))</f>
        <v>76.206502766171667</v>
      </c>
      <c r="R128" s="54">
        <f ca="1">MIN(100,MAX(0,MCDA_Prioritisation!$G$3+(RAND()-0.5)*2*$B$7))</f>
        <v>98.71969388056705</v>
      </c>
      <c r="S128" s="54">
        <f ca="1">MIN(100,MAX(0,MCDA_Prioritisation!$G$4+(RAND()-0.5)*2*$B$7))</f>
        <v>80.452256744664865</v>
      </c>
      <c r="T128" s="54">
        <f ca="1">MIN(100,MAX(0,MCDA_Prioritisation!$G$5+(RAND()-0.5)*2*$B$7))</f>
        <v>66.20648173941855</v>
      </c>
      <c r="U128" s="54">
        <f ca="1">MIN(100,MAX(0,MCDA_Prioritisation!$H$2+(RAND()-0.5)*2*$B$7))</f>
        <v>65.508300851657012</v>
      </c>
      <c r="V128" s="54">
        <f ca="1">MIN(100,MAX(0,MCDA_Prioritisation!$H$3+(RAND()-0.5)*2*$B$7))</f>
        <v>56.415407864297421</v>
      </c>
      <c r="W128" s="54">
        <f ca="1">MIN(100,MAX(0,MCDA_Prioritisation!$H$4+(RAND()-0.5)*2*$B$7))</f>
        <v>87.207695530046706</v>
      </c>
      <c r="X128" s="54">
        <f ca="1">MIN(100,MAX(0,MCDA_Prioritisation!$H$5+(RAND()-0.5)*2*$B$7))</f>
        <v>70.997666941929381</v>
      </c>
      <c r="Y128" s="54">
        <f ca="1">H128*MCDA_Prioritisation!$D$2+I128*MCDA_Prioritisation!$E$2+J128*M128+K128*Q128+L128*U128</f>
        <v>89.535358427224239</v>
      </c>
      <c r="Z128" s="54">
        <f ca="1">H128*MCDA_Prioritisation!$D$3+I128*MCDA_Prioritisation!$E$3+J128*N128+K128*R128+L128*V128</f>
        <v>81.485859437276304</v>
      </c>
      <c r="AA128" s="54">
        <f ca="1">H128*MCDA_Prioritisation!$D$4+I128*MCDA_Prioritisation!$E$4+J128*O128+K128*S128+L128*W128</f>
        <v>73.032895976535869</v>
      </c>
      <c r="AB128" s="54">
        <f ca="1">H128*MCDA_Prioritisation!$D$5+I128*MCDA_Prioritisation!$E$5+J128*P128+K128*T128+L128*X128</f>
        <v>74.422560881758542</v>
      </c>
      <c r="AC128" s="54">
        <f t="shared" ca="1" si="20"/>
        <v>1</v>
      </c>
      <c r="AD128" s="54">
        <f t="shared" ca="1" si="21"/>
        <v>2</v>
      </c>
      <c r="AE128" s="54">
        <f t="shared" ca="1" si="22"/>
        <v>4</v>
      </c>
      <c r="AF128" s="54">
        <f t="shared" ca="1" si="23"/>
        <v>3</v>
      </c>
      <c r="AG128" s="54">
        <f t="shared" ca="1" si="24"/>
        <v>1</v>
      </c>
      <c r="AH128" s="54">
        <f t="shared" ca="1" si="25"/>
        <v>1</v>
      </c>
      <c r="AI128" s="54">
        <f t="shared" ca="1" si="26"/>
        <v>0</v>
      </c>
      <c r="AJ128" s="54">
        <f t="shared" ca="1" si="27"/>
        <v>1</v>
      </c>
    </row>
    <row r="129" spans="1:36" x14ac:dyDescent="0.2">
      <c r="A129" s="54">
        <v>106</v>
      </c>
      <c r="B129" s="54">
        <f ca="1">MAX(0.02,MCDA_Prioritisation!$B$9+(RAND()-0.5)*2*$B$6)</f>
        <v>0.14801715873909674</v>
      </c>
      <c r="C129" s="54">
        <f ca="1">MAX(0.02,MCDA_Prioritisation!$B$10+(RAND()-0.5)*2*$B$6)</f>
        <v>0.25222756248734307</v>
      </c>
      <c r="D129" s="54">
        <f ca="1">MAX(0.02,MCDA_Prioritisation!$B$11+(RAND()-0.5)*2*$B$6)</f>
        <v>0.20432954551731822</v>
      </c>
      <c r="E129" s="54">
        <f ca="1">MAX(0.02,MCDA_Prioritisation!$B$12+(RAND()-0.5)*2*$B$6)</f>
        <v>0.14658083984034156</v>
      </c>
      <c r="F129" s="54">
        <f ca="1">MAX(0.02,MCDA_Prioritisation!$B$13+(RAND()-0.5)*2*$B$6)</f>
        <v>0.12562926878926334</v>
      </c>
      <c r="G129" s="54">
        <f t="shared" ca="1" si="14"/>
        <v>0.87678437537336285</v>
      </c>
      <c r="H129" s="54">
        <f t="shared" ca="1" si="15"/>
        <v>0.16881819851781266</v>
      </c>
      <c r="I129" s="54">
        <f t="shared" ca="1" si="16"/>
        <v>0.2876734229894739</v>
      </c>
      <c r="J129" s="54">
        <f t="shared" ca="1" si="17"/>
        <v>0.23304423670906335</v>
      </c>
      <c r="K129" s="54">
        <f t="shared" ca="1" si="18"/>
        <v>0.16718003189543923</v>
      </c>
      <c r="L129" s="54">
        <f t="shared" ca="1" si="19"/>
        <v>0.14328410988821097</v>
      </c>
      <c r="M129" s="54">
        <f ca="1">MIN(100,MAX(0,MCDA_Prioritisation!$F$2+(RAND()-0.5)*2*$B$7))</f>
        <v>93.215654685777452</v>
      </c>
      <c r="N129" s="54">
        <f ca="1">MIN(100,MAX(0,MCDA_Prioritisation!$F$3+(RAND()-0.5)*2*$B$7))</f>
        <v>90.546879181613022</v>
      </c>
      <c r="O129" s="54">
        <f ca="1">MIN(100,MAX(0,MCDA_Prioritisation!$F$4+(RAND()-0.5)*2*$B$7))</f>
        <v>89.95019773908362</v>
      </c>
      <c r="P129" s="54">
        <f ca="1">MIN(100,MAX(0,MCDA_Prioritisation!$F$5+(RAND()-0.5)*2*$B$7))</f>
        <v>78.623322553451331</v>
      </c>
      <c r="Q129" s="54">
        <f ca="1">MIN(100,MAX(0,MCDA_Prioritisation!$G$2+(RAND()-0.5)*2*$B$7))</f>
        <v>88.373384123615381</v>
      </c>
      <c r="R129" s="54">
        <f ca="1">MIN(100,MAX(0,MCDA_Prioritisation!$G$3+(RAND()-0.5)*2*$B$7))</f>
        <v>99.851367004981284</v>
      </c>
      <c r="S129" s="54">
        <f ca="1">MIN(100,MAX(0,MCDA_Prioritisation!$G$4+(RAND()-0.5)*2*$B$7))</f>
        <v>82.476423146017922</v>
      </c>
      <c r="T129" s="54">
        <f ca="1">MIN(100,MAX(0,MCDA_Prioritisation!$G$5+(RAND()-0.5)*2*$B$7))</f>
        <v>76.266544122264904</v>
      </c>
      <c r="U129" s="54">
        <f ca="1">MIN(100,MAX(0,MCDA_Prioritisation!$H$2+(RAND()-0.5)*2*$B$7))</f>
        <v>57.829000633145576</v>
      </c>
      <c r="V129" s="54">
        <f ca="1">MIN(100,MAX(0,MCDA_Prioritisation!$H$3+(RAND()-0.5)*2*$B$7))</f>
        <v>59.646833363168327</v>
      </c>
      <c r="W129" s="54">
        <f ca="1">MIN(100,MAX(0,MCDA_Prioritisation!$H$4+(RAND()-0.5)*2*$B$7))</f>
        <v>82.287583811250769</v>
      </c>
      <c r="X129" s="54">
        <f ca="1">MIN(100,MAX(0,MCDA_Prioritisation!$H$5+(RAND()-0.5)*2*$B$7))</f>
        <v>69.710441602968103</v>
      </c>
      <c r="Y129" s="54">
        <f ca="1">H129*MCDA_Prioritisation!$D$2+I129*MCDA_Prioritisation!$E$2+J129*M129+K129*Q129+L129*U129</f>
        <v>90.432775304250271</v>
      </c>
      <c r="Z129" s="54">
        <f ca="1">H129*MCDA_Prioritisation!$D$3+I129*MCDA_Prioritisation!$E$3+J129*N129+K129*R129+L129*V129</f>
        <v>82.016906942214149</v>
      </c>
      <c r="AA129" s="54">
        <f ca="1">H129*MCDA_Prioritisation!$D$4+I129*MCDA_Prioritisation!$E$4+J129*O129+K129*S129+L129*W129</f>
        <v>73.988073974977567</v>
      </c>
      <c r="AB129" s="54">
        <f ca="1">H129*MCDA_Prioritisation!$D$5+I129*MCDA_Prioritisation!$E$5+J129*P129+K129*T129+L129*X129</f>
        <v>74.212249810841911</v>
      </c>
      <c r="AC129" s="54">
        <f t="shared" ca="1" si="20"/>
        <v>1</v>
      </c>
      <c r="AD129" s="54">
        <f t="shared" ca="1" si="21"/>
        <v>2</v>
      </c>
      <c r="AE129" s="54">
        <f t="shared" ca="1" si="22"/>
        <v>4</v>
      </c>
      <c r="AF129" s="54">
        <f t="shared" ca="1" si="23"/>
        <v>3</v>
      </c>
      <c r="AG129" s="54">
        <f t="shared" ca="1" si="24"/>
        <v>1</v>
      </c>
      <c r="AH129" s="54">
        <f t="shared" ca="1" si="25"/>
        <v>1</v>
      </c>
      <c r="AI129" s="54">
        <f t="shared" ca="1" si="26"/>
        <v>0</v>
      </c>
      <c r="AJ129" s="54">
        <f t="shared" ca="1" si="27"/>
        <v>1</v>
      </c>
    </row>
    <row r="130" spans="1:36" x14ac:dyDescent="0.2">
      <c r="A130" s="54">
        <v>107</v>
      </c>
      <c r="B130" s="54">
        <f ca="1">MAX(0.02,MCDA_Prioritisation!$B$9+(RAND()-0.5)*2*$B$6)</f>
        <v>0.26860501817329208</v>
      </c>
      <c r="C130" s="54">
        <f ca="1">MAX(0.02,MCDA_Prioritisation!$B$10+(RAND()-0.5)*2*$B$6)</f>
        <v>0.21491390716372596</v>
      </c>
      <c r="D130" s="54">
        <f ca="1">MAX(0.02,MCDA_Prioritisation!$B$11+(RAND()-0.5)*2*$B$6)</f>
        <v>0.30784924210356518</v>
      </c>
      <c r="E130" s="54">
        <f ca="1">MAX(0.02,MCDA_Prioritisation!$B$12+(RAND()-0.5)*2*$B$6)</f>
        <v>0.17124629298611099</v>
      </c>
      <c r="F130" s="54">
        <f ca="1">MAX(0.02,MCDA_Prioritisation!$B$13+(RAND()-0.5)*2*$B$6)</f>
        <v>0.18803069721991589</v>
      </c>
      <c r="G130" s="54">
        <f t="shared" ca="1" si="14"/>
        <v>1.1506451576466101</v>
      </c>
      <c r="H130" s="54">
        <f t="shared" ca="1" si="15"/>
        <v>0.23343862040202226</v>
      </c>
      <c r="I130" s="54">
        <f t="shared" ca="1" si="16"/>
        <v>0.18677687533425577</v>
      </c>
      <c r="J130" s="54">
        <f t="shared" ca="1" si="17"/>
        <v>0.26754489866641651</v>
      </c>
      <c r="K130" s="54">
        <f t="shared" ca="1" si="18"/>
        <v>0.1488263274286552</v>
      </c>
      <c r="L130" s="54">
        <f t="shared" ca="1" si="19"/>
        <v>0.16341327816865023</v>
      </c>
      <c r="M130" s="54">
        <f ca="1">MIN(100,MAX(0,MCDA_Prioritisation!$F$2+(RAND()-0.5)*2*$B$7))</f>
        <v>92.808557324777752</v>
      </c>
      <c r="N130" s="54">
        <f ca="1">MIN(100,MAX(0,MCDA_Prioritisation!$F$3+(RAND()-0.5)*2*$B$7))</f>
        <v>95.642713760894296</v>
      </c>
      <c r="O130" s="54">
        <f ca="1">MIN(100,MAX(0,MCDA_Prioritisation!$F$4+(RAND()-0.5)*2*$B$7))</f>
        <v>84.870399256571119</v>
      </c>
      <c r="P130" s="54">
        <f ca="1">MIN(100,MAX(0,MCDA_Prioritisation!$F$5+(RAND()-0.5)*2*$B$7))</f>
        <v>68.642276912557492</v>
      </c>
      <c r="Q130" s="54">
        <f ca="1">MIN(100,MAX(0,MCDA_Prioritisation!$G$2+(RAND()-0.5)*2*$B$7))</f>
        <v>78.334912824476717</v>
      </c>
      <c r="R130" s="54">
        <f ca="1">MIN(100,MAX(0,MCDA_Prioritisation!$G$3+(RAND()-0.5)*2*$B$7))</f>
        <v>100</v>
      </c>
      <c r="S130" s="54">
        <f ca="1">MIN(100,MAX(0,MCDA_Prioritisation!$G$4+(RAND()-0.5)*2*$B$7))</f>
        <v>87.29130990000418</v>
      </c>
      <c r="T130" s="54">
        <f ca="1">MIN(100,MAX(0,MCDA_Prioritisation!$G$5+(RAND()-0.5)*2*$B$7))</f>
        <v>65.021339008759739</v>
      </c>
      <c r="U130" s="54">
        <f ca="1">MIN(100,MAX(0,MCDA_Prioritisation!$H$2+(RAND()-0.5)*2*$B$7))</f>
        <v>56.929440414204095</v>
      </c>
      <c r="V130" s="54">
        <f ca="1">MIN(100,MAX(0,MCDA_Prioritisation!$H$3+(RAND()-0.5)*2*$B$7))</f>
        <v>54.543042987073378</v>
      </c>
      <c r="W130" s="54">
        <f ca="1">MIN(100,MAX(0,MCDA_Prioritisation!$H$4+(RAND()-0.5)*2*$B$7))</f>
        <v>74.824256793441648</v>
      </c>
      <c r="X130" s="54">
        <f ca="1">MIN(100,MAX(0,MCDA_Prioritisation!$H$5+(RAND()-0.5)*2*$B$7))</f>
        <v>79.231401820151376</v>
      </c>
      <c r="Y130" s="54">
        <f ca="1">H130*MCDA_Prioritisation!$D$2+I130*MCDA_Prioritisation!$E$2+J130*M130+K130*Q130+L130*U130</f>
        <v>87.813329505964433</v>
      </c>
      <c r="Z130" s="54">
        <f ca="1">H130*MCDA_Prioritisation!$D$3+I130*MCDA_Prioritisation!$E$3+J130*N130+K130*R130+L130*V130</f>
        <v>83.369980695938892</v>
      </c>
      <c r="AA130" s="54">
        <f ca="1">H130*MCDA_Prioritisation!$D$4+I130*MCDA_Prioritisation!$E$4+J130*O130+K130*S130+L130*W130</f>
        <v>74.368287322948987</v>
      </c>
      <c r="AB130" s="54">
        <f ca="1">H130*MCDA_Prioritisation!$D$5+I130*MCDA_Prioritisation!$E$5+J130*P130+K130*T130+L130*X130</f>
        <v>69.085440955935596</v>
      </c>
      <c r="AC130" s="54">
        <f t="shared" ca="1" si="20"/>
        <v>1</v>
      </c>
      <c r="AD130" s="54">
        <f t="shared" ca="1" si="21"/>
        <v>2</v>
      </c>
      <c r="AE130" s="54">
        <f t="shared" ca="1" si="22"/>
        <v>3</v>
      </c>
      <c r="AF130" s="54">
        <f t="shared" ca="1" si="23"/>
        <v>4</v>
      </c>
      <c r="AG130" s="54">
        <f t="shared" ca="1" si="24"/>
        <v>1</v>
      </c>
      <c r="AH130" s="54">
        <f t="shared" ca="1" si="25"/>
        <v>1</v>
      </c>
      <c r="AI130" s="54">
        <f t="shared" ca="1" si="26"/>
        <v>1</v>
      </c>
      <c r="AJ130" s="54">
        <f t="shared" ca="1" si="27"/>
        <v>1</v>
      </c>
    </row>
    <row r="131" spans="1:36" x14ac:dyDescent="0.2">
      <c r="A131" s="54">
        <v>108</v>
      </c>
      <c r="B131" s="54">
        <f ca="1">MAX(0.02,MCDA_Prioritisation!$B$9+(RAND()-0.5)*2*$B$6)</f>
        <v>0.19364647435947352</v>
      </c>
      <c r="C131" s="54">
        <f ca="1">MAX(0.02,MCDA_Prioritisation!$B$10+(RAND()-0.5)*2*$B$6)</f>
        <v>0.23074319382911079</v>
      </c>
      <c r="D131" s="54">
        <f ca="1">MAX(0.02,MCDA_Prioritisation!$B$11+(RAND()-0.5)*2*$B$6)</f>
        <v>0.19634655471049894</v>
      </c>
      <c r="E131" s="54">
        <f ca="1">MAX(0.02,MCDA_Prioritisation!$B$12+(RAND()-0.5)*2*$B$6)</f>
        <v>0.10753972701119753</v>
      </c>
      <c r="F131" s="54">
        <f ca="1">MAX(0.02,MCDA_Prioritisation!$B$13+(RAND()-0.5)*2*$B$6)</f>
        <v>0.15254967580141879</v>
      </c>
      <c r="G131" s="54">
        <f t="shared" ca="1" si="14"/>
        <v>0.88082562571169953</v>
      </c>
      <c r="H131" s="54">
        <f t="shared" ca="1" si="15"/>
        <v>0.21984654931333183</v>
      </c>
      <c r="I131" s="54">
        <f t="shared" ca="1" si="16"/>
        <v>0.26196239879223798</v>
      </c>
      <c r="J131" s="54">
        <f t="shared" ca="1" si="17"/>
        <v>0.22291194645007362</v>
      </c>
      <c r="K131" s="54">
        <f t="shared" ca="1" si="18"/>
        <v>0.12208968934606819</v>
      </c>
      <c r="L131" s="54">
        <f t="shared" ca="1" si="19"/>
        <v>0.17318941609828842</v>
      </c>
      <c r="M131" s="54">
        <f ca="1">MIN(100,MAX(0,MCDA_Prioritisation!$F$2+(RAND()-0.5)*2*$B$7))</f>
        <v>86.133913823641905</v>
      </c>
      <c r="N131" s="54">
        <f ca="1">MIN(100,MAX(0,MCDA_Prioritisation!$F$3+(RAND()-0.5)*2*$B$7))</f>
        <v>93.406367239462625</v>
      </c>
      <c r="O131" s="54">
        <f ca="1">MIN(100,MAX(0,MCDA_Prioritisation!$F$4+(RAND()-0.5)*2*$B$7))</f>
        <v>95.724873859605523</v>
      </c>
      <c r="P131" s="54">
        <f ca="1">MIN(100,MAX(0,MCDA_Prioritisation!$F$5+(RAND()-0.5)*2*$B$7))</f>
        <v>84.286765022264802</v>
      </c>
      <c r="Q131" s="54">
        <f ca="1">MIN(100,MAX(0,MCDA_Prioritisation!$G$2+(RAND()-0.5)*2*$B$7))</f>
        <v>86.355970971917088</v>
      </c>
      <c r="R131" s="54">
        <f ca="1">MIN(100,MAX(0,MCDA_Prioritisation!$G$3+(RAND()-0.5)*2*$B$7))</f>
        <v>86.182621644357496</v>
      </c>
      <c r="S131" s="54">
        <f ca="1">MIN(100,MAX(0,MCDA_Prioritisation!$G$4+(RAND()-0.5)*2*$B$7))</f>
        <v>76.552357769513591</v>
      </c>
      <c r="T131" s="54">
        <f ca="1">MIN(100,MAX(0,MCDA_Prioritisation!$G$5+(RAND()-0.5)*2*$B$7))</f>
        <v>60.078338680617691</v>
      </c>
      <c r="U131" s="54">
        <f ca="1">MIN(100,MAX(0,MCDA_Prioritisation!$H$2+(RAND()-0.5)*2*$B$7))</f>
        <v>67.504205315065775</v>
      </c>
      <c r="V131" s="54">
        <f ca="1">MIN(100,MAX(0,MCDA_Prioritisation!$H$3+(RAND()-0.5)*2*$B$7))</f>
        <v>56.578828936718807</v>
      </c>
      <c r="W131" s="54">
        <f ca="1">MIN(100,MAX(0,MCDA_Prioritisation!$H$4+(RAND()-0.5)*2*$B$7))</f>
        <v>79.864995395374578</v>
      </c>
      <c r="X131" s="54">
        <f ca="1">MIN(100,MAX(0,MCDA_Prioritisation!$H$5+(RAND()-0.5)*2*$B$7))</f>
        <v>73.155903286417811</v>
      </c>
      <c r="Y131" s="54">
        <f ca="1">H131*MCDA_Prioritisation!$D$2+I131*MCDA_Prioritisation!$E$2+J131*M131+K131*Q131+L131*U131</f>
        <v>89.615360768182555</v>
      </c>
      <c r="Z131" s="54">
        <f ca="1">H131*MCDA_Prioritisation!$D$3+I131*MCDA_Prioritisation!$E$3+J131*N131+K131*R131+L131*V131</f>
        <v>79.407963336289512</v>
      </c>
      <c r="AA131" s="54">
        <f ca="1">H131*MCDA_Prioritisation!$D$4+I131*MCDA_Prioritisation!$E$4+J131*O131+K131*S131+L131*W131</f>
        <v>74.1139228738013</v>
      </c>
      <c r="AB131" s="54">
        <f ca="1">H131*MCDA_Prioritisation!$D$5+I131*MCDA_Prioritisation!$E$5+J131*P131+K131*T131+L131*X131</f>
        <v>72.490508222496231</v>
      </c>
      <c r="AC131" s="54">
        <f t="shared" ca="1" si="20"/>
        <v>1</v>
      </c>
      <c r="AD131" s="54">
        <f t="shared" ca="1" si="21"/>
        <v>2</v>
      </c>
      <c r="AE131" s="54">
        <f t="shared" ca="1" si="22"/>
        <v>3</v>
      </c>
      <c r="AF131" s="54">
        <f t="shared" ca="1" si="23"/>
        <v>4</v>
      </c>
      <c r="AG131" s="54">
        <f t="shared" ca="1" si="24"/>
        <v>1</v>
      </c>
      <c r="AH131" s="54">
        <f t="shared" ca="1" si="25"/>
        <v>1</v>
      </c>
      <c r="AI131" s="54">
        <f t="shared" ca="1" si="26"/>
        <v>1</v>
      </c>
      <c r="AJ131" s="54">
        <f t="shared" ca="1" si="27"/>
        <v>1</v>
      </c>
    </row>
    <row r="132" spans="1:36" x14ac:dyDescent="0.2">
      <c r="A132" s="54">
        <v>109</v>
      </c>
      <c r="B132" s="54">
        <f ca="1">MAX(0.02,MCDA_Prioritisation!$B$9+(RAND()-0.5)*2*$B$6)</f>
        <v>0.19092708156350474</v>
      </c>
      <c r="C132" s="54">
        <f ca="1">MAX(0.02,MCDA_Prioritisation!$B$10+(RAND()-0.5)*2*$B$6)</f>
        <v>0.28454058214084998</v>
      </c>
      <c r="D132" s="54">
        <f ca="1">MAX(0.02,MCDA_Prioritisation!$B$11+(RAND()-0.5)*2*$B$6)</f>
        <v>0.19564003861237178</v>
      </c>
      <c r="E132" s="54">
        <f ca="1">MAX(0.02,MCDA_Prioritisation!$B$12+(RAND()-0.5)*2*$B$6)</f>
        <v>0.22092578187813761</v>
      </c>
      <c r="F132" s="54">
        <f ca="1">MAX(0.02,MCDA_Prioritisation!$B$13+(RAND()-0.5)*2*$B$6)</f>
        <v>0.22225005379253623</v>
      </c>
      <c r="G132" s="54">
        <f t="shared" ca="1" si="14"/>
        <v>1.1142835379874003</v>
      </c>
      <c r="H132" s="54">
        <f t="shared" ca="1" si="15"/>
        <v>0.17134515143995929</v>
      </c>
      <c r="I132" s="54">
        <f t="shared" ca="1" si="16"/>
        <v>0.25535743142610029</v>
      </c>
      <c r="J132" s="54">
        <f t="shared" ca="1" si="17"/>
        <v>0.175574736539439</v>
      </c>
      <c r="K132" s="54">
        <f t="shared" ca="1" si="18"/>
        <v>0.1982671145597017</v>
      </c>
      <c r="L132" s="54">
        <f t="shared" ca="1" si="19"/>
        <v>0.19945556603479977</v>
      </c>
      <c r="M132" s="54">
        <f ca="1">MIN(100,MAX(0,MCDA_Prioritisation!$F$2+(RAND()-0.5)*2*$B$7))</f>
        <v>75.034146866091106</v>
      </c>
      <c r="N132" s="54">
        <f ca="1">MIN(100,MAX(0,MCDA_Prioritisation!$F$3+(RAND()-0.5)*2*$B$7))</f>
        <v>100</v>
      </c>
      <c r="O132" s="54">
        <f ca="1">MIN(100,MAX(0,MCDA_Prioritisation!$F$4+(RAND()-0.5)*2*$B$7))</f>
        <v>94.433824365722401</v>
      </c>
      <c r="P132" s="54">
        <f ca="1">MIN(100,MAX(0,MCDA_Prioritisation!$F$5+(RAND()-0.5)*2*$B$7))</f>
        <v>78.863748228747596</v>
      </c>
      <c r="Q132" s="54">
        <f ca="1">MIN(100,MAX(0,MCDA_Prioritisation!$G$2+(RAND()-0.5)*2*$B$7))</f>
        <v>82.98628071192465</v>
      </c>
      <c r="R132" s="54">
        <f ca="1">MIN(100,MAX(0,MCDA_Prioritisation!$G$3+(RAND()-0.5)*2*$B$7))</f>
        <v>86.706377375970135</v>
      </c>
      <c r="S132" s="54">
        <f ca="1">MIN(100,MAX(0,MCDA_Prioritisation!$G$4+(RAND()-0.5)*2*$B$7))</f>
        <v>84.384759593684038</v>
      </c>
      <c r="T132" s="54">
        <f ca="1">MIN(100,MAX(0,MCDA_Prioritisation!$G$5+(RAND()-0.5)*2*$B$7))</f>
        <v>62.847858747598444</v>
      </c>
      <c r="U132" s="54">
        <f ca="1">MIN(100,MAX(0,MCDA_Prioritisation!$H$2+(RAND()-0.5)*2*$B$7))</f>
        <v>70.126961977037524</v>
      </c>
      <c r="V132" s="54">
        <f ca="1">MIN(100,MAX(0,MCDA_Prioritisation!$H$3+(RAND()-0.5)*2*$B$7))</f>
        <v>65.242794822949861</v>
      </c>
      <c r="W132" s="54">
        <f ca="1">MIN(100,MAX(0,MCDA_Prioritisation!$H$4+(RAND()-0.5)*2*$B$7))</f>
        <v>81.365002454793355</v>
      </c>
      <c r="X132" s="54">
        <f ca="1">MIN(100,MAX(0,MCDA_Prioritisation!$H$5+(RAND()-0.5)*2*$B$7))</f>
        <v>66.052115214660546</v>
      </c>
      <c r="Y132" s="54">
        <f ca="1">H132*MCDA_Prioritisation!$D$2+I132*MCDA_Prioritisation!$E$2+J132*M132+K132*Q132+L132*U132</f>
        <v>86.285022174307102</v>
      </c>
      <c r="Z132" s="54">
        <f ca="1">H132*MCDA_Prioritisation!$D$3+I132*MCDA_Prioritisation!$E$3+J132*N132+K132*R132+L132*V132</f>
        <v>81.308009697937834</v>
      </c>
      <c r="AA132" s="54">
        <f ca="1">H132*MCDA_Prioritisation!$D$4+I132*MCDA_Prioritisation!$E$4+J132*O132+K132*S132+L132*W132</f>
        <v>75.39967549618477</v>
      </c>
      <c r="AB132" s="54">
        <f ca="1">H132*MCDA_Prioritisation!$D$5+I132*MCDA_Prioritisation!$E$5+J132*P132+K132*T132+L132*X132</f>
        <v>70.049142386927372</v>
      </c>
      <c r="AC132" s="54">
        <f t="shared" ca="1" si="20"/>
        <v>1</v>
      </c>
      <c r="AD132" s="54">
        <f t="shared" ca="1" si="21"/>
        <v>2</v>
      </c>
      <c r="AE132" s="54">
        <f t="shared" ca="1" si="22"/>
        <v>3</v>
      </c>
      <c r="AF132" s="54">
        <f t="shared" ca="1" si="23"/>
        <v>4</v>
      </c>
      <c r="AG132" s="54">
        <f t="shared" ca="1" si="24"/>
        <v>1</v>
      </c>
      <c r="AH132" s="54">
        <f t="shared" ca="1" si="25"/>
        <v>1</v>
      </c>
      <c r="AI132" s="54">
        <f t="shared" ca="1" si="26"/>
        <v>1</v>
      </c>
      <c r="AJ132" s="54">
        <f t="shared" ca="1" si="27"/>
        <v>1</v>
      </c>
    </row>
    <row r="133" spans="1:36" x14ac:dyDescent="0.2">
      <c r="A133" s="54">
        <v>110</v>
      </c>
      <c r="B133" s="54">
        <f ca="1">MAX(0.02,MCDA_Prioritisation!$B$9+(RAND()-0.5)*2*$B$6)</f>
        <v>0.19384687729632158</v>
      </c>
      <c r="C133" s="54">
        <f ca="1">MAX(0.02,MCDA_Prioritisation!$B$10+(RAND()-0.5)*2*$B$6)</f>
        <v>0.25508230098777046</v>
      </c>
      <c r="D133" s="54">
        <f ca="1">MAX(0.02,MCDA_Prioritisation!$B$11+(RAND()-0.5)*2*$B$6)</f>
        <v>0.2121917943268069</v>
      </c>
      <c r="E133" s="54">
        <f ca="1">MAX(0.02,MCDA_Prioritisation!$B$12+(RAND()-0.5)*2*$B$6)</f>
        <v>0.16933911702086354</v>
      </c>
      <c r="F133" s="54">
        <f ca="1">MAX(0.02,MCDA_Prioritisation!$B$13+(RAND()-0.5)*2*$B$6)</f>
        <v>0.22167322243948964</v>
      </c>
      <c r="G133" s="54">
        <f t="shared" ca="1" si="14"/>
        <v>1.0521333120712522</v>
      </c>
      <c r="H133" s="54">
        <f t="shared" ca="1" si="15"/>
        <v>0.18424174491225875</v>
      </c>
      <c r="I133" s="54">
        <f t="shared" ca="1" si="16"/>
        <v>0.24244294716380568</v>
      </c>
      <c r="J133" s="54">
        <f t="shared" ca="1" si="17"/>
        <v>0.20167766944768775</v>
      </c>
      <c r="K133" s="54">
        <f t="shared" ca="1" si="18"/>
        <v>0.16094834663822111</v>
      </c>
      <c r="L133" s="54">
        <f t="shared" ca="1" si="19"/>
        <v>0.21068929183802668</v>
      </c>
      <c r="M133" s="54">
        <f ca="1">MIN(100,MAX(0,MCDA_Prioritisation!$F$2+(RAND()-0.5)*2*$B$7))</f>
        <v>81.44061611645877</v>
      </c>
      <c r="N133" s="54">
        <f ca="1">MIN(100,MAX(0,MCDA_Prioritisation!$F$3+(RAND()-0.5)*2*$B$7))</f>
        <v>86.222779793021019</v>
      </c>
      <c r="O133" s="54">
        <f ca="1">MIN(100,MAX(0,MCDA_Prioritisation!$F$4+(RAND()-0.5)*2*$B$7))</f>
        <v>81.444084075428975</v>
      </c>
      <c r="P133" s="54">
        <f ca="1">MIN(100,MAX(0,MCDA_Prioritisation!$F$5+(RAND()-0.5)*2*$B$7))</f>
        <v>84.045820833511314</v>
      </c>
      <c r="Q133" s="54">
        <f ca="1">MIN(100,MAX(0,MCDA_Prioritisation!$G$2+(RAND()-0.5)*2*$B$7))</f>
        <v>79.660942248149084</v>
      </c>
      <c r="R133" s="54">
        <f ca="1">MIN(100,MAX(0,MCDA_Prioritisation!$G$3+(RAND()-0.5)*2*$B$7))</f>
        <v>85.570127101767412</v>
      </c>
      <c r="S133" s="54">
        <f ca="1">MIN(100,MAX(0,MCDA_Prioritisation!$G$4+(RAND()-0.5)*2*$B$7))</f>
        <v>87.233551600740739</v>
      </c>
      <c r="T133" s="54">
        <f ca="1">MIN(100,MAX(0,MCDA_Prioritisation!$G$5+(RAND()-0.5)*2*$B$7))</f>
        <v>74.230857393937072</v>
      </c>
      <c r="U133" s="54">
        <f ca="1">MIN(100,MAX(0,MCDA_Prioritisation!$H$2+(RAND()-0.5)*2*$B$7))</f>
        <v>57.029989347994288</v>
      </c>
      <c r="V133" s="54">
        <f ca="1">MIN(100,MAX(0,MCDA_Prioritisation!$H$3+(RAND()-0.5)*2*$B$7))</f>
        <v>68.012870434567787</v>
      </c>
      <c r="W133" s="54">
        <f ca="1">MIN(100,MAX(0,MCDA_Prioritisation!$H$4+(RAND()-0.5)*2*$B$7))</f>
        <v>77.244822076277856</v>
      </c>
      <c r="X133" s="54">
        <f ca="1">MIN(100,MAX(0,MCDA_Prioritisation!$H$5+(RAND()-0.5)*2*$B$7))</f>
        <v>81.432996976877277</v>
      </c>
      <c r="Y133" s="54">
        <f ca="1">H133*MCDA_Prioritisation!$D$2+I133*MCDA_Prioritisation!$E$2+J133*M133+K133*Q133+L133*U133</f>
        <v>83.930127880099178</v>
      </c>
      <c r="Z133" s="54">
        <f ca="1">H133*MCDA_Prioritisation!$D$3+I133*MCDA_Prioritisation!$E$3+J133*N133+K133*R133+L133*V133</f>
        <v>79.225523772595594</v>
      </c>
      <c r="AA133" s="54">
        <f ca="1">H133*MCDA_Prioritisation!$D$4+I133*MCDA_Prioritisation!$E$4+J133*O133+K133*S133+L133*W133</f>
        <v>72.793878616004207</v>
      </c>
      <c r="AB133" s="54">
        <f ca="1">H133*MCDA_Prioritisation!$D$5+I133*MCDA_Prioritisation!$E$5+J133*P133+K133*T133+L133*X133</f>
        <v>76.220601888149318</v>
      </c>
      <c r="AC133" s="54">
        <f t="shared" ca="1" si="20"/>
        <v>1</v>
      </c>
      <c r="AD133" s="54">
        <f t="shared" ca="1" si="21"/>
        <v>2</v>
      </c>
      <c r="AE133" s="54">
        <f t="shared" ca="1" si="22"/>
        <v>4</v>
      </c>
      <c r="AF133" s="54">
        <f t="shared" ca="1" si="23"/>
        <v>3</v>
      </c>
      <c r="AG133" s="54">
        <f t="shared" ca="1" si="24"/>
        <v>1</v>
      </c>
      <c r="AH133" s="54">
        <f t="shared" ca="1" si="25"/>
        <v>1</v>
      </c>
      <c r="AI133" s="54">
        <f t="shared" ca="1" si="26"/>
        <v>0</v>
      </c>
      <c r="AJ133" s="54">
        <f t="shared" ca="1" si="27"/>
        <v>1</v>
      </c>
    </row>
    <row r="134" spans="1:36" x14ac:dyDescent="0.2">
      <c r="A134" s="54">
        <v>111</v>
      </c>
      <c r="B134" s="54">
        <f ca="1">MAX(0.02,MCDA_Prioritisation!$B$9+(RAND()-0.5)*2*$B$6)</f>
        <v>0.20290716374769999</v>
      </c>
      <c r="C134" s="54">
        <f ca="1">MAX(0.02,MCDA_Prioritisation!$B$10+(RAND()-0.5)*2*$B$6)</f>
        <v>0.17384225909409151</v>
      </c>
      <c r="D134" s="54">
        <f ca="1">MAX(0.02,MCDA_Prioritisation!$B$11+(RAND()-0.5)*2*$B$6)</f>
        <v>0.26886553429022786</v>
      </c>
      <c r="E134" s="54">
        <f ca="1">MAX(0.02,MCDA_Prioritisation!$B$12+(RAND()-0.5)*2*$B$6)</f>
        <v>0.10898149195211193</v>
      </c>
      <c r="F134" s="54">
        <f ca="1">MAX(0.02,MCDA_Prioritisation!$B$13+(RAND()-0.5)*2*$B$6)</f>
        <v>0.15481531657789505</v>
      </c>
      <c r="G134" s="54">
        <f t="shared" ca="1" si="14"/>
        <v>0.90941176566202631</v>
      </c>
      <c r="H134" s="54">
        <f t="shared" ca="1" si="15"/>
        <v>0.22311913195887592</v>
      </c>
      <c r="I134" s="54">
        <f t="shared" ca="1" si="16"/>
        <v>0.19115901691412493</v>
      </c>
      <c r="J134" s="54">
        <f t="shared" ca="1" si="17"/>
        <v>0.29564774114671949</v>
      </c>
      <c r="K134" s="54">
        <f t="shared" ca="1" si="18"/>
        <v>0.1198373454875817</v>
      </c>
      <c r="L134" s="54">
        <f t="shared" ca="1" si="19"/>
        <v>0.17023676449269801</v>
      </c>
      <c r="M134" s="54">
        <f ca="1">MIN(100,MAX(0,MCDA_Prioritisation!$F$2+(RAND()-0.5)*2*$B$7))</f>
        <v>93.97011138504314</v>
      </c>
      <c r="N134" s="54">
        <f ca="1">MIN(100,MAX(0,MCDA_Prioritisation!$F$3+(RAND()-0.5)*2*$B$7))</f>
        <v>88.091546107727325</v>
      </c>
      <c r="O134" s="54">
        <f ca="1">MIN(100,MAX(0,MCDA_Prioritisation!$F$4+(RAND()-0.5)*2*$B$7))</f>
        <v>96.809492316617536</v>
      </c>
      <c r="P134" s="54">
        <f ca="1">MIN(100,MAX(0,MCDA_Prioritisation!$F$5+(RAND()-0.5)*2*$B$7))</f>
        <v>80.902487435208073</v>
      </c>
      <c r="Q134" s="54">
        <f ca="1">MIN(100,MAX(0,MCDA_Prioritisation!$G$2+(RAND()-0.5)*2*$B$7))</f>
        <v>81.329823810845582</v>
      </c>
      <c r="R134" s="54">
        <f ca="1">MIN(100,MAX(0,MCDA_Prioritisation!$G$3+(RAND()-0.5)*2*$B$7))</f>
        <v>98.255650935786278</v>
      </c>
      <c r="S134" s="54">
        <f ca="1">MIN(100,MAX(0,MCDA_Prioritisation!$G$4+(RAND()-0.5)*2*$B$7))</f>
        <v>80.667009829915713</v>
      </c>
      <c r="T134" s="54">
        <f ca="1">MIN(100,MAX(0,MCDA_Prioritisation!$G$5+(RAND()-0.5)*2*$B$7))</f>
        <v>70.163306235532374</v>
      </c>
      <c r="U134" s="54">
        <f ca="1">MIN(100,MAX(0,MCDA_Prioritisation!$H$2+(RAND()-0.5)*2*$B$7))</f>
        <v>69.444333367434055</v>
      </c>
      <c r="V134" s="54">
        <f ca="1">MIN(100,MAX(0,MCDA_Prioritisation!$H$3+(RAND()-0.5)*2*$B$7))</f>
        <v>57.514635950148175</v>
      </c>
      <c r="W134" s="54">
        <f ca="1">MIN(100,MAX(0,MCDA_Prioritisation!$H$4+(RAND()-0.5)*2*$B$7))</f>
        <v>70.149998254869558</v>
      </c>
      <c r="X134" s="54">
        <f ca="1">MIN(100,MAX(0,MCDA_Prioritisation!$H$5+(RAND()-0.5)*2*$B$7))</f>
        <v>65.927537430074636</v>
      </c>
      <c r="Y134" s="54">
        <f ca="1">H134*MCDA_Prioritisation!$D$2+I134*MCDA_Prioritisation!$E$2+J134*M134+K134*Q134+L134*U134</f>
        <v>90.778194872882452</v>
      </c>
      <c r="Z134" s="54">
        <f ca="1">H134*MCDA_Prioritisation!$D$3+I134*MCDA_Prioritisation!$E$3+J134*N134+K134*R134+L134*V134</f>
        <v>81.012249412319989</v>
      </c>
      <c r="AA134" s="54">
        <f ca="1">H134*MCDA_Prioritisation!$D$4+I134*MCDA_Prioritisation!$E$4+J134*O134+K134*S134+L134*W134</f>
        <v>76.194096972878569</v>
      </c>
      <c r="AB134" s="54">
        <f ca="1">H134*MCDA_Prioritisation!$D$5+I134*MCDA_Prioritisation!$E$5+J134*P134+K134*T134+L134*X134</f>
        <v>71.467094674563356</v>
      </c>
      <c r="AC134" s="54">
        <f t="shared" ca="1" si="20"/>
        <v>1</v>
      </c>
      <c r="AD134" s="54">
        <f t="shared" ca="1" si="21"/>
        <v>2</v>
      </c>
      <c r="AE134" s="54">
        <f t="shared" ca="1" si="22"/>
        <v>3</v>
      </c>
      <c r="AF134" s="54">
        <f t="shared" ca="1" si="23"/>
        <v>4</v>
      </c>
      <c r="AG134" s="54">
        <f t="shared" ca="1" si="24"/>
        <v>1</v>
      </c>
      <c r="AH134" s="54">
        <f t="shared" ca="1" si="25"/>
        <v>1</v>
      </c>
      <c r="AI134" s="54">
        <f t="shared" ca="1" si="26"/>
        <v>1</v>
      </c>
      <c r="AJ134" s="54">
        <f t="shared" ca="1" si="27"/>
        <v>1</v>
      </c>
    </row>
    <row r="135" spans="1:36" x14ac:dyDescent="0.2">
      <c r="A135" s="54">
        <v>112</v>
      </c>
      <c r="B135" s="54">
        <f ca="1">MAX(0.02,MCDA_Prioritisation!$B$9+(RAND()-0.5)*2*$B$6)</f>
        <v>0.18279910611525593</v>
      </c>
      <c r="C135" s="54">
        <f ca="1">MAX(0.02,MCDA_Prioritisation!$B$10+(RAND()-0.5)*2*$B$6)</f>
        <v>0.3245961034496998</v>
      </c>
      <c r="D135" s="54">
        <f ca="1">MAX(0.02,MCDA_Prioritisation!$B$11+(RAND()-0.5)*2*$B$6)</f>
        <v>0.28643327345799918</v>
      </c>
      <c r="E135" s="54">
        <f ca="1">MAX(0.02,MCDA_Prioritisation!$B$12+(RAND()-0.5)*2*$B$6)</f>
        <v>0.20354010315496912</v>
      </c>
      <c r="F135" s="54">
        <f ca="1">MAX(0.02,MCDA_Prioritisation!$B$13+(RAND()-0.5)*2*$B$6)</f>
        <v>0.14447866119990679</v>
      </c>
      <c r="G135" s="54">
        <f t="shared" ca="1" si="14"/>
        <v>1.1418472473778307</v>
      </c>
      <c r="H135" s="54">
        <f t="shared" ca="1" si="15"/>
        <v>0.16009068335107066</v>
      </c>
      <c r="I135" s="54">
        <f t="shared" ca="1" si="16"/>
        <v>0.28427279059883986</v>
      </c>
      <c r="J135" s="54">
        <f t="shared" ca="1" si="17"/>
        <v>0.25085078071149391</v>
      </c>
      <c r="K135" s="54">
        <f t="shared" ca="1" si="18"/>
        <v>0.17825510690890062</v>
      </c>
      <c r="L135" s="54">
        <f t="shared" ca="1" si="19"/>
        <v>0.126530638429695</v>
      </c>
      <c r="M135" s="54">
        <f ca="1">MIN(100,MAX(0,MCDA_Prioritisation!$F$2+(RAND()-0.5)*2*$B$7))</f>
        <v>75.325864416625407</v>
      </c>
      <c r="N135" s="54">
        <f ca="1">MIN(100,MAX(0,MCDA_Prioritisation!$F$3+(RAND()-0.5)*2*$B$7))</f>
        <v>100</v>
      </c>
      <c r="O135" s="54">
        <f ca="1">MIN(100,MAX(0,MCDA_Prioritisation!$F$4+(RAND()-0.5)*2*$B$7))</f>
        <v>94.489181030659054</v>
      </c>
      <c r="P135" s="54">
        <f ca="1">MIN(100,MAX(0,MCDA_Prioritisation!$F$5+(RAND()-0.5)*2*$B$7))</f>
        <v>75.23497324978959</v>
      </c>
      <c r="Q135" s="54">
        <f ca="1">MIN(100,MAX(0,MCDA_Prioritisation!$G$2+(RAND()-0.5)*2*$B$7))</f>
        <v>72.232598167053879</v>
      </c>
      <c r="R135" s="54">
        <f ca="1">MIN(100,MAX(0,MCDA_Prioritisation!$G$3+(RAND()-0.5)*2*$B$7))</f>
        <v>86.286495458485419</v>
      </c>
      <c r="S135" s="54">
        <f ca="1">MIN(100,MAX(0,MCDA_Prioritisation!$G$4+(RAND()-0.5)*2*$B$7))</f>
        <v>84.184243434530629</v>
      </c>
      <c r="T135" s="54">
        <f ca="1">MIN(100,MAX(0,MCDA_Prioritisation!$G$5+(RAND()-0.5)*2*$B$7))</f>
        <v>72.228774188268417</v>
      </c>
      <c r="U135" s="54">
        <f ca="1">MIN(100,MAX(0,MCDA_Prioritisation!$H$2+(RAND()-0.5)*2*$B$7))</f>
        <v>73.433983254316132</v>
      </c>
      <c r="V135" s="54">
        <f ca="1">MIN(100,MAX(0,MCDA_Prioritisation!$H$3+(RAND()-0.5)*2*$B$7))</f>
        <v>54.71953190488496</v>
      </c>
      <c r="W135" s="54">
        <f ca="1">MIN(100,MAX(0,MCDA_Prioritisation!$H$4+(RAND()-0.5)*2*$B$7))</f>
        <v>76.13426066392185</v>
      </c>
      <c r="X135" s="54">
        <f ca="1">MIN(100,MAX(0,MCDA_Prioritisation!$H$5+(RAND()-0.5)*2*$B$7))</f>
        <v>77.871274721693098</v>
      </c>
      <c r="Y135" s="54">
        <f ca="1">H135*MCDA_Prioritisation!$D$2+I135*MCDA_Prioritisation!$E$2+J135*M135+K135*Q135+L135*U135</f>
        <v>85.499377583849679</v>
      </c>
      <c r="Z135" s="54">
        <f ca="1">H135*MCDA_Prioritisation!$D$3+I135*MCDA_Prioritisation!$E$3+J135*N135+K135*R135+L135*V135</f>
        <v>82.055588341069225</v>
      </c>
      <c r="AA135" s="54">
        <f ca="1">H135*MCDA_Prioritisation!$D$4+I135*MCDA_Prioritisation!$E$4+J135*O135+K135*S135+L135*W135</f>
        <v>74.995835409475305</v>
      </c>
      <c r="AB135" s="54">
        <f ca="1">H135*MCDA_Prioritisation!$D$5+I135*MCDA_Prioritisation!$E$5+J135*P135+K135*T135+L135*X135</f>
        <v>74.002714609527629</v>
      </c>
      <c r="AC135" s="54">
        <f t="shared" ca="1" si="20"/>
        <v>1</v>
      </c>
      <c r="AD135" s="54">
        <f t="shared" ca="1" si="21"/>
        <v>2</v>
      </c>
      <c r="AE135" s="54">
        <f t="shared" ca="1" si="22"/>
        <v>3</v>
      </c>
      <c r="AF135" s="54">
        <f t="shared" ca="1" si="23"/>
        <v>4</v>
      </c>
      <c r="AG135" s="54">
        <f t="shared" ca="1" si="24"/>
        <v>1</v>
      </c>
      <c r="AH135" s="54">
        <f t="shared" ca="1" si="25"/>
        <v>1</v>
      </c>
      <c r="AI135" s="54">
        <f t="shared" ca="1" si="26"/>
        <v>1</v>
      </c>
      <c r="AJ135" s="54">
        <f t="shared" ca="1" si="27"/>
        <v>1</v>
      </c>
    </row>
    <row r="136" spans="1:36" x14ac:dyDescent="0.2">
      <c r="A136" s="54">
        <v>113</v>
      </c>
      <c r="B136" s="54">
        <f ca="1">MAX(0.02,MCDA_Prioritisation!$B$9+(RAND()-0.5)*2*$B$6)</f>
        <v>0.27487862298211019</v>
      </c>
      <c r="C136" s="54">
        <f ca="1">MAX(0.02,MCDA_Prioritisation!$B$10+(RAND()-0.5)*2*$B$6)</f>
        <v>0.24506847259761305</v>
      </c>
      <c r="D136" s="54">
        <f ca="1">MAX(0.02,MCDA_Prioritisation!$B$11+(RAND()-0.5)*2*$B$6)</f>
        <v>0.18215512121204419</v>
      </c>
      <c r="E136" s="54">
        <f ca="1">MAX(0.02,MCDA_Prioritisation!$B$12+(RAND()-0.5)*2*$B$6)</f>
        <v>0.20399011078462653</v>
      </c>
      <c r="F136" s="54">
        <f ca="1">MAX(0.02,MCDA_Prioritisation!$B$13+(RAND()-0.5)*2*$B$6)</f>
        <v>0.20795614140295601</v>
      </c>
      <c r="G136" s="54">
        <f t="shared" ca="1" si="14"/>
        <v>1.1140484689793499</v>
      </c>
      <c r="H136" s="54">
        <f t="shared" ca="1" si="15"/>
        <v>0.2467384773967185</v>
      </c>
      <c r="I136" s="54">
        <f t="shared" ca="1" si="16"/>
        <v>0.21998008113788417</v>
      </c>
      <c r="J136" s="54">
        <f t="shared" ca="1" si="17"/>
        <v>0.16350735743026332</v>
      </c>
      <c r="K136" s="54">
        <f t="shared" ca="1" si="18"/>
        <v>0.18310703390806213</v>
      </c>
      <c r="L136" s="54">
        <f t="shared" ca="1" si="19"/>
        <v>0.18666705012707188</v>
      </c>
      <c r="M136" s="54">
        <f ca="1">MIN(100,MAX(0,MCDA_Prioritisation!$F$2+(RAND()-0.5)*2*$B$7))</f>
        <v>79.829935448644662</v>
      </c>
      <c r="N136" s="54">
        <f ca="1">MIN(100,MAX(0,MCDA_Prioritisation!$F$3+(RAND()-0.5)*2*$B$7))</f>
        <v>100</v>
      </c>
      <c r="O136" s="54">
        <f ca="1">MIN(100,MAX(0,MCDA_Prioritisation!$F$4+(RAND()-0.5)*2*$B$7))</f>
        <v>91.751441963807835</v>
      </c>
      <c r="P136" s="54">
        <f ca="1">MIN(100,MAX(0,MCDA_Prioritisation!$F$5+(RAND()-0.5)*2*$B$7))</f>
        <v>74.033028266426797</v>
      </c>
      <c r="Q136" s="54">
        <f ca="1">MIN(100,MAX(0,MCDA_Prioritisation!$G$2+(RAND()-0.5)*2*$B$7))</f>
        <v>89.621047277881104</v>
      </c>
      <c r="R136" s="54">
        <f ca="1">MIN(100,MAX(0,MCDA_Prioritisation!$G$3+(RAND()-0.5)*2*$B$7))</f>
        <v>92.679421718871865</v>
      </c>
      <c r="S136" s="54">
        <f ca="1">MIN(100,MAX(0,MCDA_Prioritisation!$G$4+(RAND()-0.5)*2*$B$7))</f>
        <v>94.889102724763902</v>
      </c>
      <c r="T136" s="54">
        <f ca="1">MIN(100,MAX(0,MCDA_Prioritisation!$G$5+(RAND()-0.5)*2*$B$7))</f>
        <v>70.414192956097494</v>
      </c>
      <c r="U136" s="54">
        <f ca="1">MIN(100,MAX(0,MCDA_Prioritisation!$H$2+(RAND()-0.5)*2*$B$7))</f>
        <v>67.427980472707389</v>
      </c>
      <c r="V136" s="54">
        <f ca="1">MIN(100,MAX(0,MCDA_Prioritisation!$H$3+(RAND()-0.5)*2*$B$7))</f>
        <v>50.437711556629623</v>
      </c>
      <c r="W136" s="54">
        <f ca="1">MIN(100,MAX(0,MCDA_Prioritisation!$H$4+(RAND()-0.5)*2*$B$7))</f>
        <v>74.91092489800053</v>
      </c>
      <c r="X136" s="54">
        <f ca="1">MIN(100,MAX(0,MCDA_Prioritisation!$H$5+(RAND()-0.5)*2*$B$7))</f>
        <v>74.186552427734227</v>
      </c>
      <c r="Y136" s="54">
        <f ca="1">H136*MCDA_Prioritisation!$D$2+I136*MCDA_Prioritisation!$E$2+J136*M136+K136*Q136+L136*U136</f>
        <v>88.72146399614978</v>
      </c>
      <c r="Z136" s="54">
        <f ca="1">H136*MCDA_Prioritisation!$D$3+I136*MCDA_Prioritisation!$E$3+J136*N136+K136*R136+L136*V136</f>
        <v>80.298762993488168</v>
      </c>
      <c r="AA136" s="54">
        <f ca="1">H136*MCDA_Prioritisation!$D$4+I136*MCDA_Prioritisation!$E$4+J136*O136+K136*S136+L136*W136</f>
        <v>75.540629944604063</v>
      </c>
      <c r="AB136" s="54">
        <f ca="1">H136*MCDA_Prioritisation!$D$5+I136*MCDA_Prioritisation!$E$5+J136*P136+K136*T136+L136*X136</f>
        <v>70.440652978300861</v>
      </c>
      <c r="AC136" s="54">
        <f t="shared" ca="1" si="20"/>
        <v>1</v>
      </c>
      <c r="AD136" s="54">
        <f t="shared" ca="1" si="21"/>
        <v>2</v>
      </c>
      <c r="AE136" s="54">
        <f t="shared" ca="1" si="22"/>
        <v>3</v>
      </c>
      <c r="AF136" s="54">
        <f t="shared" ca="1" si="23"/>
        <v>4</v>
      </c>
      <c r="AG136" s="54">
        <f t="shared" ca="1" si="24"/>
        <v>1</v>
      </c>
      <c r="AH136" s="54">
        <f t="shared" ca="1" si="25"/>
        <v>1</v>
      </c>
      <c r="AI136" s="54">
        <f t="shared" ca="1" si="26"/>
        <v>1</v>
      </c>
      <c r="AJ136" s="54">
        <f t="shared" ca="1" si="27"/>
        <v>1</v>
      </c>
    </row>
    <row r="137" spans="1:36" x14ac:dyDescent="0.2">
      <c r="A137" s="54">
        <v>114</v>
      </c>
      <c r="B137" s="54">
        <f ca="1">MAX(0.02,MCDA_Prioritisation!$B$9+(RAND()-0.5)*2*$B$6)</f>
        <v>0.26001672898009454</v>
      </c>
      <c r="C137" s="54">
        <f ca="1">MAX(0.02,MCDA_Prioritisation!$B$10+(RAND()-0.5)*2*$B$6)</f>
        <v>0.26787101871243207</v>
      </c>
      <c r="D137" s="54">
        <f ca="1">MAX(0.02,MCDA_Prioritisation!$B$11+(RAND()-0.5)*2*$B$6)</f>
        <v>0.1854246623816814</v>
      </c>
      <c r="E137" s="54">
        <f ca="1">MAX(0.02,MCDA_Prioritisation!$B$12+(RAND()-0.5)*2*$B$6)</f>
        <v>0.12998043721224456</v>
      </c>
      <c r="F137" s="54">
        <f ca="1">MAX(0.02,MCDA_Prioritisation!$B$13+(RAND()-0.5)*2*$B$6)</f>
        <v>0.19948458731346763</v>
      </c>
      <c r="G137" s="54">
        <f t="shared" ca="1" si="14"/>
        <v>1.0427774345999201</v>
      </c>
      <c r="H137" s="54">
        <f t="shared" ca="1" si="15"/>
        <v>0.24935016845646887</v>
      </c>
      <c r="I137" s="54">
        <f t="shared" ca="1" si="16"/>
        <v>0.25688225485547211</v>
      </c>
      <c r="J137" s="54">
        <f t="shared" ca="1" si="17"/>
        <v>0.17781806186937946</v>
      </c>
      <c r="K137" s="54">
        <f t="shared" ca="1" si="18"/>
        <v>0.12464830259979096</v>
      </c>
      <c r="L137" s="54">
        <f t="shared" ca="1" si="19"/>
        <v>0.19130121221888868</v>
      </c>
      <c r="M137" s="54">
        <f ca="1">MIN(100,MAX(0,MCDA_Prioritisation!$F$2+(RAND()-0.5)*2*$B$7))</f>
        <v>84.268064046748805</v>
      </c>
      <c r="N137" s="54">
        <f ca="1">MIN(100,MAX(0,MCDA_Prioritisation!$F$3+(RAND()-0.5)*2*$B$7))</f>
        <v>91.283010170521933</v>
      </c>
      <c r="O137" s="54">
        <f ca="1">MIN(100,MAX(0,MCDA_Prioritisation!$F$4+(RAND()-0.5)*2*$B$7))</f>
        <v>85.609471476689293</v>
      </c>
      <c r="P137" s="54">
        <f ca="1">MIN(100,MAX(0,MCDA_Prioritisation!$F$5+(RAND()-0.5)*2*$B$7))</f>
        <v>72.945439976248764</v>
      </c>
      <c r="Q137" s="54">
        <f ca="1">MIN(100,MAX(0,MCDA_Prioritisation!$G$2+(RAND()-0.5)*2*$B$7))</f>
        <v>88.159210436689506</v>
      </c>
      <c r="R137" s="54">
        <f ca="1">MIN(100,MAX(0,MCDA_Prioritisation!$G$3+(RAND()-0.5)*2*$B$7))</f>
        <v>97.132786733838799</v>
      </c>
      <c r="S137" s="54">
        <f ca="1">MIN(100,MAX(0,MCDA_Prioritisation!$G$4+(RAND()-0.5)*2*$B$7))</f>
        <v>91.789741178633264</v>
      </c>
      <c r="T137" s="54">
        <f ca="1">MIN(100,MAX(0,MCDA_Prioritisation!$G$5+(RAND()-0.5)*2*$B$7))</f>
        <v>63.010878861412309</v>
      </c>
      <c r="U137" s="54">
        <f ca="1">MIN(100,MAX(0,MCDA_Prioritisation!$H$2+(RAND()-0.5)*2*$B$7))</f>
        <v>65.125997278241698</v>
      </c>
      <c r="V137" s="54">
        <f ca="1">MIN(100,MAX(0,MCDA_Prioritisation!$H$3+(RAND()-0.5)*2*$B$7))</f>
        <v>59.953265111276224</v>
      </c>
      <c r="W137" s="54">
        <f ca="1">MIN(100,MAX(0,MCDA_Prioritisation!$H$4+(RAND()-0.5)*2*$B$7))</f>
        <v>85.83793155350979</v>
      </c>
      <c r="X137" s="54">
        <f ca="1">MIN(100,MAX(0,MCDA_Prioritisation!$H$5+(RAND()-0.5)*2*$B$7))</f>
        <v>73.681384830942761</v>
      </c>
      <c r="Y137" s="54">
        <f ca="1">H137*MCDA_Prioritisation!$D$2+I137*MCDA_Prioritisation!$E$2+J137*M137+K137*Q137+L137*U137</f>
        <v>89.05520432323452</v>
      </c>
      <c r="Z137" s="54">
        <f ca="1">H137*MCDA_Prioritisation!$D$3+I137*MCDA_Prioritisation!$E$3+J137*N137+K137*R137+L137*V137</f>
        <v>80.283099635255581</v>
      </c>
      <c r="AA137" s="54">
        <f ca="1">H137*MCDA_Prioritisation!$D$4+I137*MCDA_Prioritisation!$E$4+J137*O137+K137*S137+L137*W137</f>
        <v>74.460285347195892</v>
      </c>
      <c r="AB137" s="54">
        <f ca="1">H137*MCDA_Prioritisation!$D$5+I137*MCDA_Prioritisation!$E$5+J137*P137+K137*T137+L137*X137</f>
        <v>69.756498498480155</v>
      </c>
      <c r="AC137" s="54">
        <f t="shared" ca="1" si="20"/>
        <v>1</v>
      </c>
      <c r="AD137" s="54">
        <f t="shared" ca="1" si="21"/>
        <v>2</v>
      </c>
      <c r="AE137" s="54">
        <f t="shared" ca="1" si="22"/>
        <v>3</v>
      </c>
      <c r="AF137" s="54">
        <f t="shared" ca="1" si="23"/>
        <v>4</v>
      </c>
      <c r="AG137" s="54">
        <f t="shared" ca="1" si="24"/>
        <v>1</v>
      </c>
      <c r="AH137" s="54">
        <f t="shared" ca="1" si="25"/>
        <v>1</v>
      </c>
      <c r="AI137" s="54">
        <f t="shared" ca="1" si="26"/>
        <v>1</v>
      </c>
      <c r="AJ137" s="54">
        <f t="shared" ca="1" si="27"/>
        <v>1</v>
      </c>
    </row>
    <row r="138" spans="1:36" x14ac:dyDescent="0.2">
      <c r="A138" s="54">
        <v>115</v>
      </c>
      <c r="B138" s="54">
        <f ca="1">MAX(0.02,MCDA_Prioritisation!$B$9+(RAND()-0.5)*2*$B$6)</f>
        <v>0.24169010087001919</v>
      </c>
      <c r="C138" s="54">
        <f ca="1">MAX(0.02,MCDA_Prioritisation!$B$10+(RAND()-0.5)*2*$B$6)</f>
        <v>0.32914735815751839</v>
      </c>
      <c r="D138" s="54">
        <f ca="1">MAX(0.02,MCDA_Prioritisation!$B$11+(RAND()-0.5)*2*$B$6)</f>
        <v>0.2535818304704554</v>
      </c>
      <c r="E138" s="54">
        <f ca="1">MAX(0.02,MCDA_Prioritisation!$B$12+(RAND()-0.5)*2*$B$6)</f>
        <v>0.19495713715830554</v>
      </c>
      <c r="F138" s="54">
        <f ca="1">MAX(0.02,MCDA_Prioritisation!$B$13+(RAND()-0.5)*2*$B$6)</f>
        <v>8.6631171515356556E-2</v>
      </c>
      <c r="G138" s="54">
        <f t="shared" ca="1" si="14"/>
        <v>1.1060075981716551</v>
      </c>
      <c r="H138" s="54">
        <f t="shared" ca="1" si="15"/>
        <v>0.21852481056148071</v>
      </c>
      <c r="I138" s="54">
        <f t="shared" ca="1" si="16"/>
        <v>0.29759954515830905</v>
      </c>
      <c r="J138" s="54">
        <f t="shared" ca="1" si="17"/>
        <v>0.22927675260970395</v>
      </c>
      <c r="K138" s="54">
        <f t="shared" ca="1" si="18"/>
        <v>0.17627106493715761</v>
      </c>
      <c r="L138" s="54">
        <f t="shared" ca="1" si="19"/>
        <v>7.8327826733348704E-2</v>
      </c>
      <c r="M138" s="54">
        <f ca="1">MIN(100,MAX(0,MCDA_Prioritisation!$F$2+(RAND()-0.5)*2*$B$7))</f>
        <v>92.55831880213114</v>
      </c>
      <c r="N138" s="54">
        <f ca="1">MIN(100,MAX(0,MCDA_Prioritisation!$F$3+(RAND()-0.5)*2*$B$7))</f>
        <v>88.61402015530949</v>
      </c>
      <c r="O138" s="54">
        <f ca="1">MIN(100,MAX(0,MCDA_Prioritisation!$F$4+(RAND()-0.5)*2*$B$7))</f>
        <v>97.420073540356285</v>
      </c>
      <c r="P138" s="54">
        <f ca="1">MIN(100,MAX(0,MCDA_Prioritisation!$F$5+(RAND()-0.5)*2*$B$7))</f>
        <v>78.778477291261012</v>
      </c>
      <c r="Q138" s="54">
        <f ca="1">MIN(100,MAX(0,MCDA_Prioritisation!$G$2+(RAND()-0.5)*2*$B$7))</f>
        <v>78.075490354485652</v>
      </c>
      <c r="R138" s="54">
        <f ca="1">MIN(100,MAX(0,MCDA_Prioritisation!$G$3+(RAND()-0.5)*2*$B$7))</f>
        <v>100</v>
      </c>
      <c r="S138" s="54">
        <f ca="1">MIN(100,MAX(0,MCDA_Prioritisation!$G$4+(RAND()-0.5)*2*$B$7))</f>
        <v>75.744818883605319</v>
      </c>
      <c r="T138" s="54">
        <f ca="1">MIN(100,MAX(0,MCDA_Prioritisation!$G$5+(RAND()-0.5)*2*$B$7))</f>
        <v>63.661483872809228</v>
      </c>
      <c r="U138" s="54">
        <f ca="1">MIN(100,MAX(0,MCDA_Prioritisation!$H$2+(RAND()-0.5)*2*$B$7))</f>
        <v>60.891202328514346</v>
      </c>
      <c r="V138" s="54">
        <f ca="1">MIN(100,MAX(0,MCDA_Prioritisation!$H$3+(RAND()-0.5)*2*$B$7))</f>
        <v>63.307806844318364</v>
      </c>
      <c r="W138" s="54">
        <f ca="1">MIN(100,MAX(0,MCDA_Prioritisation!$H$4+(RAND()-0.5)*2*$B$7))</f>
        <v>80.948788174459722</v>
      </c>
      <c r="X138" s="54">
        <f ca="1">MIN(100,MAX(0,MCDA_Prioritisation!$H$5+(RAND()-0.5)*2*$B$7))</f>
        <v>73.150115755478652</v>
      </c>
      <c r="Y138" s="54">
        <f ca="1">H138*MCDA_Prioritisation!$D$2+I138*MCDA_Prioritisation!$E$2+J138*M138+K138*Q138+L138*U138</f>
        <v>91.365831709794435</v>
      </c>
      <c r="Z138" s="54">
        <f ca="1">H138*MCDA_Prioritisation!$D$3+I138*MCDA_Prioritisation!$E$3+J138*N138+K138*R138+L138*V138</f>
        <v>83.644985223179745</v>
      </c>
      <c r="AA138" s="54">
        <f ca="1">H138*MCDA_Prioritisation!$D$4+I138*MCDA_Prioritisation!$E$4+J138*O138+K138*S138+L138*W138</f>
        <v>73.477806293418297</v>
      </c>
      <c r="AB138" s="54">
        <f ca="1">H138*MCDA_Prioritisation!$D$5+I138*MCDA_Prioritisation!$E$5+J138*P138+K138*T138+L138*X138</f>
        <v>71.637255665140273</v>
      </c>
      <c r="AC138" s="54">
        <f t="shared" ca="1" si="20"/>
        <v>1</v>
      </c>
      <c r="AD138" s="54">
        <f t="shared" ca="1" si="21"/>
        <v>2</v>
      </c>
      <c r="AE138" s="54">
        <f t="shared" ca="1" si="22"/>
        <v>3</v>
      </c>
      <c r="AF138" s="54">
        <f t="shared" ca="1" si="23"/>
        <v>4</v>
      </c>
      <c r="AG138" s="54">
        <f t="shared" ca="1" si="24"/>
        <v>1</v>
      </c>
      <c r="AH138" s="54">
        <f t="shared" ca="1" si="25"/>
        <v>1</v>
      </c>
      <c r="AI138" s="54">
        <f t="shared" ca="1" si="26"/>
        <v>1</v>
      </c>
      <c r="AJ138" s="54">
        <f t="shared" ca="1" si="27"/>
        <v>1</v>
      </c>
    </row>
    <row r="139" spans="1:36" x14ac:dyDescent="0.2">
      <c r="A139" s="54">
        <v>116</v>
      </c>
      <c r="B139" s="54">
        <f ca="1">MAX(0.02,MCDA_Prioritisation!$B$9+(RAND()-0.5)*2*$B$6)</f>
        <v>0.14916403347238996</v>
      </c>
      <c r="C139" s="54">
        <f ca="1">MAX(0.02,MCDA_Prioritisation!$B$10+(RAND()-0.5)*2*$B$6)</f>
        <v>0.21792798747862785</v>
      </c>
      <c r="D139" s="54">
        <f ca="1">MAX(0.02,MCDA_Prioritisation!$B$11+(RAND()-0.5)*2*$B$6)</f>
        <v>0.32962673681062304</v>
      </c>
      <c r="E139" s="54">
        <f ca="1">MAX(0.02,MCDA_Prioritisation!$B$12+(RAND()-0.5)*2*$B$6)</f>
        <v>8.8710556490581766E-2</v>
      </c>
      <c r="F139" s="54">
        <f ca="1">MAX(0.02,MCDA_Prioritisation!$B$13+(RAND()-0.5)*2*$B$6)</f>
        <v>0.22625241054103934</v>
      </c>
      <c r="G139" s="54">
        <f t="shared" ca="1" si="14"/>
        <v>1.0116817247932619</v>
      </c>
      <c r="H139" s="54">
        <f t="shared" ca="1" si="15"/>
        <v>0.14744166057054334</v>
      </c>
      <c r="I139" s="54">
        <f t="shared" ca="1" si="16"/>
        <v>0.21541160835257911</v>
      </c>
      <c r="J139" s="54">
        <f t="shared" ca="1" si="17"/>
        <v>0.32582059034226657</v>
      </c>
      <c r="K139" s="54">
        <f t="shared" ca="1" si="18"/>
        <v>8.768623008259821E-2</v>
      </c>
      <c r="L139" s="54">
        <f t="shared" ca="1" si="19"/>
        <v>0.22363991065201283</v>
      </c>
      <c r="M139" s="54">
        <f ca="1">MIN(100,MAX(0,MCDA_Prioritisation!$F$2+(RAND()-0.5)*2*$B$7))</f>
        <v>93.832071383016881</v>
      </c>
      <c r="N139" s="54">
        <f ca="1">MIN(100,MAX(0,MCDA_Prioritisation!$F$3+(RAND()-0.5)*2*$B$7))</f>
        <v>98.372281107359484</v>
      </c>
      <c r="O139" s="54">
        <f ca="1">MIN(100,MAX(0,MCDA_Prioritisation!$F$4+(RAND()-0.5)*2*$B$7))</f>
        <v>89.857648387108227</v>
      </c>
      <c r="P139" s="54">
        <f ca="1">MIN(100,MAX(0,MCDA_Prioritisation!$F$5+(RAND()-0.5)*2*$B$7))</f>
        <v>75.374224960160007</v>
      </c>
      <c r="Q139" s="54">
        <f ca="1">MIN(100,MAX(0,MCDA_Prioritisation!$G$2+(RAND()-0.5)*2*$B$7))</f>
        <v>77.712512398429624</v>
      </c>
      <c r="R139" s="54">
        <f ca="1">MIN(100,MAX(0,MCDA_Prioritisation!$G$3+(RAND()-0.5)*2*$B$7))</f>
        <v>90.051841955171881</v>
      </c>
      <c r="S139" s="54">
        <f ca="1">MIN(100,MAX(0,MCDA_Prioritisation!$G$4+(RAND()-0.5)*2*$B$7))</f>
        <v>75.484586808277584</v>
      </c>
      <c r="T139" s="54">
        <f ca="1">MIN(100,MAX(0,MCDA_Prioritisation!$G$5+(RAND()-0.5)*2*$B$7))</f>
        <v>66.776304972516911</v>
      </c>
      <c r="U139" s="54">
        <f ca="1">MIN(100,MAX(0,MCDA_Prioritisation!$H$2+(RAND()-0.5)*2*$B$7))</f>
        <v>73.439393398572875</v>
      </c>
      <c r="V139" s="54">
        <f ca="1">MIN(100,MAX(0,MCDA_Prioritisation!$H$3+(RAND()-0.5)*2*$B$7))</f>
        <v>64.12110134157642</v>
      </c>
      <c r="W139" s="54">
        <f ca="1">MIN(100,MAX(0,MCDA_Prioritisation!$H$4+(RAND()-0.5)*2*$B$7))</f>
        <v>85.572465157376428</v>
      </c>
      <c r="X139" s="54">
        <f ca="1">MIN(100,MAX(0,MCDA_Prioritisation!$H$5+(RAND()-0.5)*2*$B$7))</f>
        <v>76.94621414872654</v>
      </c>
      <c r="Y139" s="54">
        <f ca="1">H139*MCDA_Prioritisation!$D$2+I139*MCDA_Prioritisation!$E$2+J139*M139+K139*Q139+L139*U139</f>
        <v>90.09604440382482</v>
      </c>
      <c r="Z139" s="54">
        <f ca="1">H139*MCDA_Prioritisation!$D$3+I139*MCDA_Prioritisation!$E$3+J139*N139+K139*R139+L139*V139</f>
        <v>82.840292510079593</v>
      </c>
      <c r="AA139" s="54">
        <f ca="1">H139*MCDA_Prioritisation!$D$4+I139*MCDA_Prioritisation!$E$4+J139*O139+K139*S139+L139*W139</f>
        <v>77.050543936340233</v>
      </c>
      <c r="AB139" s="54">
        <f ca="1">H139*MCDA_Prioritisation!$D$5+I139*MCDA_Prioritisation!$E$5+J139*P139+K139*T139+L139*X139</f>
        <v>73.561836678922703</v>
      </c>
      <c r="AC139" s="54">
        <f t="shared" ca="1" si="20"/>
        <v>1</v>
      </c>
      <c r="AD139" s="54">
        <f t="shared" ca="1" si="21"/>
        <v>2</v>
      </c>
      <c r="AE139" s="54">
        <f t="shared" ca="1" si="22"/>
        <v>3</v>
      </c>
      <c r="AF139" s="54">
        <f t="shared" ca="1" si="23"/>
        <v>4</v>
      </c>
      <c r="AG139" s="54">
        <f t="shared" ca="1" si="24"/>
        <v>1</v>
      </c>
      <c r="AH139" s="54">
        <f t="shared" ca="1" si="25"/>
        <v>1</v>
      </c>
      <c r="AI139" s="54">
        <f t="shared" ca="1" si="26"/>
        <v>1</v>
      </c>
      <c r="AJ139" s="54">
        <f t="shared" ca="1" si="27"/>
        <v>1</v>
      </c>
    </row>
    <row r="140" spans="1:36" x14ac:dyDescent="0.2">
      <c r="A140" s="54">
        <v>117</v>
      </c>
      <c r="B140" s="54">
        <f ca="1">MAX(0.02,MCDA_Prioritisation!$B$9+(RAND()-0.5)*2*$B$6)</f>
        <v>0.25694098001780369</v>
      </c>
      <c r="C140" s="54">
        <f ca="1">MAX(0.02,MCDA_Prioritisation!$B$10+(RAND()-0.5)*2*$B$6)</f>
        <v>0.27572066878950774</v>
      </c>
      <c r="D140" s="54">
        <f ca="1">MAX(0.02,MCDA_Prioritisation!$B$11+(RAND()-0.5)*2*$B$6)</f>
        <v>0.27476571016396006</v>
      </c>
      <c r="E140" s="54">
        <f ca="1">MAX(0.02,MCDA_Prioritisation!$B$12+(RAND()-0.5)*2*$B$6)</f>
        <v>0.21993677455188235</v>
      </c>
      <c r="F140" s="54">
        <f ca="1">MAX(0.02,MCDA_Prioritisation!$B$13+(RAND()-0.5)*2*$B$6)</f>
        <v>9.9246168349373512E-2</v>
      </c>
      <c r="G140" s="54">
        <f t="shared" ca="1" si="14"/>
        <v>1.1266103018725273</v>
      </c>
      <c r="H140" s="54">
        <f t="shared" ca="1" si="15"/>
        <v>0.22806553392130779</v>
      </c>
      <c r="I140" s="54">
        <f t="shared" ca="1" si="16"/>
        <v>0.24473473066173393</v>
      </c>
      <c r="J140" s="54">
        <f t="shared" ca="1" si="17"/>
        <v>0.24388709184291571</v>
      </c>
      <c r="K140" s="54">
        <f t="shared" ca="1" si="18"/>
        <v>0.19521992137505553</v>
      </c>
      <c r="L140" s="54">
        <f t="shared" ca="1" si="19"/>
        <v>8.8092722198987075E-2</v>
      </c>
      <c r="M140" s="54">
        <f ca="1">MIN(100,MAX(0,MCDA_Prioritisation!$F$2+(RAND()-0.5)*2*$B$7))</f>
        <v>76.413539558875712</v>
      </c>
      <c r="N140" s="54">
        <f ca="1">MIN(100,MAX(0,MCDA_Prioritisation!$F$3+(RAND()-0.5)*2*$B$7))</f>
        <v>100</v>
      </c>
      <c r="O140" s="54">
        <f ca="1">MIN(100,MAX(0,MCDA_Prioritisation!$F$4+(RAND()-0.5)*2*$B$7))</f>
        <v>99.393721369033273</v>
      </c>
      <c r="P140" s="54">
        <f ca="1">MIN(100,MAX(0,MCDA_Prioritisation!$F$5+(RAND()-0.5)*2*$B$7))</f>
        <v>73.430789322813979</v>
      </c>
      <c r="Q140" s="54">
        <f ca="1">MIN(100,MAX(0,MCDA_Prioritisation!$G$2+(RAND()-0.5)*2*$B$7))</f>
        <v>82.756923435289494</v>
      </c>
      <c r="R140" s="54">
        <f ca="1">MIN(100,MAX(0,MCDA_Prioritisation!$G$3+(RAND()-0.5)*2*$B$7))</f>
        <v>96.284253976801253</v>
      </c>
      <c r="S140" s="54">
        <f ca="1">MIN(100,MAX(0,MCDA_Prioritisation!$G$4+(RAND()-0.5)*2*$B$7))</f>
        <v>79.335565456710398</v>
      </c>
      <c r="T140" s="54">
        <f ca="1">MIN(100,MAX(0,MCDA_Prioritisation!$G$5+(RAND()-0.5)*2*$B$7))</f>
        <v>79.483829052654741</v>
      </c>
      <c r="U140" s="54">
        <f ca="1">MIN(100,MAX(0,MCDA_Prioritisation!$H$2+(RAND()-0.5)*2*$B$7))</f>
        <v>55.059464281075222</v>
      </c>
      <c r="V140" s="54">
        <f ca="1">MIN(100,MAX(0,MCDA_Prioritisation!$H$3+(RAND()-0.5)*2*$B$7))</f>
        <v>57.859445181214184</v>
      </c>
      <c r="W140" s="54">
        <f ca="1">MIN(100,MAX(0,MCDA_Prioritisation!$H$4+(RAND()-0.5)*2*$B$7))</f>
        <v>88.828843406744497</v>
      </c>
      <c r="X140" s="54">
        <f ca="1">MIN(100,MAX(0,MCDA_Prioritisation!$H$5+(RAND()-0.5)*2*$B$7))</f>
        <v>76.475106792967637</v>
      </c>
      <c r="Y140" s="54">
        <f ca="1">H140*MCDA_Prioritisation!$D$2+I140*MCDA_Prioritisation!$E$2+J140*M140+K140*Q140+L140*U140</f>
        <v>86.922440576358497</v>
      </c>
      <c r="Z140" s="54">
        <f ca="1">H140*MCDA_Prioritisation!$D$3+I140*MCDA_Prioritisation!$E$3+J140*N140+K140*R140+L140*V140</f>
        <v>86.013406017761866</v>
      </c>
      <c r="AA140" s="54">
        <f ca="1">H140*MCDA_Prioritisation!$D$4+I140*MCDA_Prioritisation!$E$4+J140*O140+K140*S140+L140*W140</f>
        <v>76.784213331428248</v>
      </c>
      <c r="AB140" s="54">
        <f ca="1">H140*MCDA_Prioritisation!$D$5+I140*MCDA_Prioritisation!$E$5+J140*P140+K140*T140+L140*X140</f>
        <v>72.847295993800245</v>
      </c>
      <c r="AC140" s="54">
        <f t="shared" ca="1" si="20"/>
        <v>1</v>
      </c>
      <c r="AD140" s="54">
        <f t="shared" ca="1" si="21"/>
        <v>2</v>
      </c>
      <c r="AE140" s="54">
        <f t="shared" ca="1" si="22"/>
        <v>3</v>
      </c>
      <c r="AF140" s="54">
        <f t="shared" ca="1" si="23"/>
        <v>4</v>
      </c>
      <c r="AG140" s="54">
        <f t="shared" ca="1" si="24"/>
        <v>1</v>
      </c>
      <c r="AH140" s="54">
        <f t="shared" ca="1" si="25"/>
        <v>1</v>
      </c>
      <c r="AI140" s="54">
        <f t="shared" ca="1" si="26"/>
        <v>1</v>
      </c>
      <c r="AJ140" s="54">
        <f t="shared" ca="1" si="27"/>
        <v>1</v>
      </c>
    </row>
    <row r="141" spans="1:36" x14ac:dyDescent="0.2">
      <c r="A141" s="54">
        <v>118</v>
      </c>
      <c r="B141" s="54">
        <f ca="1">MAX(0.02,MCDA_Prioritisation!$B$9+(RAND()-0.5)*2*$B$6)</f>
        <v>0.13345161201515265</v>
      </c>
      <c r="C141" s="54">
        <f ca="1">MAX(0.02,MCDA_Prioritisation!$B$10+(RAND()-0.5)*2*$B$6)</f>
        <v>0.29367467348694026</v>
      </c>
      <c r="D141" s="54">
        <f ca="1">MAX(0.02,MCDA_Prioritisation!$B$11+(RAND()-0.5)*2*$B$6)</f>
        <v>0.31603892316668381</v>
      </c>
      <c r="E141" s="54">
        <f ca="1">MAX(0.02,MCDA_Prioritisation!$B$12+(RAND()-0.5)*2*$B$6)</f>
        <v>0.15650404798646744</v>
      </c>
      <c r="F141" s="54">
        <f ca="1">MAX(0.02,MCDA_Prioritisation!$B$13+(RAND()-0.5)*2*$B$6)</f>
        <v>0.13382960222676585</v>
      </c>
      <c r="G141" s="54">
        <f t="shared" ca="1" si="14"/>
        <v>1.03349885888201</v>
      </c>
      <c r="H141" s="54">
        <f t="shared" ca="1" si="15"/>
        <v>0.12912603711968706</v>
      </c>
      <c r="I141" s="54">
        <f t="shared" ca="1" si="16"/>
        <v>0.28415577914098866</v>
      </c>
      <c r="J141" s="54">
        <f t="shared" ca="1" si="17"/>
        <v>0.30579513508951495</v>
      </c>
      <c r="K141" s="54">
        <f t="shared" ca="1" si="18"/>
        <v>0.15143127313731733</v>
      </c>
      <c r="L141" s="54">
        <f t="shared" ca="1" si="19"/>
        <v>0.12949177551249197</v>
      </c>
      <c r="M141" s="54">
        <f ca="1">MIN(100,MAX(0,MCDA_Prioritisation!$F$2+(RAND()-0.5)*2*$B$7))</f>
        <v>93.534145929548089</v>
      </c>
      <c r="N141" s="54">
        <f ca="1">MIN(100,MAX(0,MCDA_Prioritisation!$F$3+(RAND()-0.5)*2*$B$7))</f>
        <v>90.491004236462359</v>
      </c>
      <c r="O141" s="54">
        <f ca="1">MIN(100,MAX(0,MCDA_Prioritisation!$F$4+(RAND()-0.5)*2*$B$7))</f>
        <v>96.381525238990392</v>
      </c>
      <c r="P141" s="54">
        <f ca="1">MIN(100,MAX(0,MCDA_Prioritisation!$F$5+(RAND()-0.5)*2*$B$7))</f>
        <v>71.391769897626489</v>
      </c>
      <c r="Q141" s="54">
        <f ca="1">MIN(100,MAX(0,MCDA_Prioritisation!$G$2+(RAND()-0.5)*2*$B$7))</f>
        <v>87.524722651315273</v>
      </c>
      <c r="R141" s="54">
        <f ca="1">MIN(100,MAX(0,MCDA_Prioritisation!$G$3+(RAND()-0.5)*2*$B$7))</f>
        <v>94.72618380750248</v>
      </c>
      <c r="S141" s="54">
        <f ca="1">MIN(100,MAX(0,MCDA_Prioritisation!$G$4+(RAND()-0.5)*2*$B$7))</f>
        <v>93.380971591519156</v>
      </c>
      <c r="T141" s="54">
        <f ca="1">MIN(100,MAX(0,MCDA_Prioritisation!$G$5+(RAND()-0.5)*2*$B$7))</f>
        <v>71.650526211329449</v>
      </c>
      <c r="U141" s="54">
        <f ca="1">MIN(100,MAX(0,MCDA_Prioritisation!$H$2+(RAND()-0.5)*2*$B$7))</f>
        <v>64.847748874955315</v>
      </c>
      <c r="V141" s="54">
        <f ca="1">MIN(100,MAX(0,MCDA_Prioritisation!$H$3+(RAND()-0.5)*2*$B$7))</f>
        <v>57.343372351879353</v>
      </c>
      <c r="W141" s="54">
        <f ca="1">MIN(100,MAX(0,MCDA_Prioritisation!$H$4+(RAND()-0.5)*2*$B$7))</f>
        <v>80.276697146250683</v>
      </c>
      <c r="X141" s="54">
        <f ca="1">MIN(100,MAX(0,MCDA_Prioritisation!$H$5+(RAND()-0.5)*2*$B$7))</f>
        <v>83.10968674233051</v>
      </c>
      <c r="Y141" s="54">
        <f ca="1">H141*MCDA_Prioritisation!$D$2+I141*MCDA_Prioritisation!$E$2+J141*M141+K141*Q141+L141*U141</f>
        <v>91.581698737961574</v>
      </c>
      <c r="Z141" s="54">
        <f ca="1">H141*MCDA_Prioritisation!$D$3+I141*MCDA_Prioritisation!$E$3+J141*N141+K141*R141+L141*V141</f>
        <v>81.392792935044454</v>
      </c>
      <c r="AA141" s="54">
        <f ca="1">H141*MCDA_Prioritisation!$D$4+I141*MCDA_Prioritisation!$E$4+J141*O141+K141*S141+L141*W141</f>
        <v>78.499957270818413</v>
      </c>
      <c r="AB141" s="54">
        <f ca="1">H141*MCDA_Prioritisation!$D$5+I141*MCDA_Prioritisation!$E$5+J141*P141+K141*T141+L141*X141</f>
        <v>74.191804334512938</v>
      </c>
      <c r="AC141" s="54">
        <f t="shared" ca="1" si="20"/>
        <v>1</v>
      </c>
      <c r="AD141" s="54">
        <f t="shared" ca="1" si="21"/>
        <v>2</v>
      </c>
      <c r="AE141" s="54">
        <f t="shared" ca="1" si="22"/>
        <v>3</v>
      </c>
      <c r="AF141" s="54">
        <f t="shared" ca="1" si="23"/>
        <v>4</v>
      </c>
      <c r="AG141" s="54">
        <f t="shared" ca="1" si="24"/>
        <v>1</v>
      </c>
      <c r="AH141" s="54">
        <f t="shared" ca="1" si="25"/>
        <v>1</v>
      </c>
      <c r="AI141" s="54">
        <f t="shared" ca="1" si="26"/>
        <v>1</v>
      </c>
      <c r="AJ141" s="54">
        <f t="shared" ca="1" si="27"/>
        <v>1</v>
      </c>
    </row>
    <row r="142" spans="1:36" x14ac:dyDescent="0.2">
      <c r="A142" s="54">
        <v>119</v>
      </c>
      <c r="B142" s="54">
        <f ca="1">MAX(0.02,MCDA_Prioritisation!$B$9+(RAND()-0.5)*2*$B$6)</f>
        <v>0.16504324763339956</v>
      </c>
      <c r="C142" s="54">
        <f ca="1">MAX(0.02,MCDA_Prioritisation!$B$10+(RAND()-0.5)*2*$B$6)</f>
        <v>0.32401497742192265</v>
      </c>
      <c r="D142" s="54">
        <f ca="1">MAX(0.02,MCDA_Prioritisation!$B$11+(RAND()-0.5)*2*$B$6)</f>
        <v>0.30028709095724548</v>
      </c>
      <c r="E142" s="54">
        <f ca="1">MAX(0.02,MCDA_Prioritisation!$B$12+(RAND()-0.5)*2*$B$6)</f>
        <v>0.10612241473100723</v>
      </c>
      <c r="F142" s="54">
        <f ca="1">MAX(0.02,MCDA_Prioritisation!$B$13+(RAND()-0.5)*2*$B$6)</f>
        <v>0.21295399349393085</v>
      </c>
      <c r="G142" s="54">
        <f t="shared" ca="1" si="14"/>
        <v>1.1084217242375058</v>
      </c>
      <c r="H142" s="54">
        <f t="shared" ca="1" si="15"/>
        <v>0.14889932597354533</v>
      </c>
      <c r="I142" s="54">
        <f t="shared" ca="1" si="16"/>
        <v>0.29232102758073936</v>
      </c>
      <c r="J142" s="54">
        <f t="shared" ca="1" si="17"/>
        <v>0.27091411544086791</v>
      </c>
      <c r="K142" s="54">
        <f t="shared" ca="1" si="18"/>
        <v>9.5741911594172224E-2</v>
      </c>
      <c r="L142" s="54">
        <f t="shared" ca="1" si="19"/>
        <v>0.1921236194106751</v>
      </c>
      <c r="M142" s="54">
        <f ca="1">MIN(100,MAX(0,MCDA_Prioritisation!$F$2+(RAND()-0.5)*2*$B$7))</f>
        <v>89.800659183148383</v>
      </c>
      <c r="N142" s="54">
        <f ca="1">MIN(100,MAX(0,MCDA_Prioritisation!$F$3+(RAND()-0.5)*2*$B$7))</f>
        <v>99.125531364032369</v>
      </c>
      <c r="O142" s="54">
        <f ca="1">MIN(100,MAX(0,MCDA_Prioritisation!$F$4+(RAND()-0.5)*2*$B$7))</f>
        <v>86.893968199395871</v>
      </c>
      <c r="P142" s="54">
        <f ca="1">MIN(100,MAX(0,MCDA_Prioritisation!$F$5+(RAND()-0.5)*2*$B$7))</f>
        <v>73.307037788488685</v>
      </c>
      <c r="Q142" s="54">
        <f ca="1">MIN(100,MAX(0,MCDA_Prioritisation!$G$2+(RAND()-0.5)*2*$B$7))</f>
        <v>77.716536302172514</v>
      </c>
      <c r="R142" s="54">
        <f ca="1">MIN(100,MAX(0,MCDA_Prioritisation!$G$3+(RAND()-0.5)*2*$B$7))</f>
        <v>87.567306138839982</v>
      </c>
      <c r="S142" s="54">
        <f ca="1">MIN(100,MAX(0,MCDA_Prioritisation!$G$4+(RAND()-0.5)*2*$B$7))</f>
        <v>91.039756072136399</v>
      </c>
      <c r="T142" s="54">
        <f ca="1">MIN(100,MAX(0,MCDA_Prioritisation!$G$5+(RAND()-0.5)*2*$B$7))</f>
        <v>77.109438977401283</v>
      </c>
      <c r="U142" s="54">
        <f ca="1">MIN(100,MAX(0,MCDA_Prioritisation!$H$2+(RAND()-0.5)*2*$B$7))</f>
        <v>74.324501334207312</v>
      </c>
      <c r="V142" s="54">
        <f ca="1">MIN(100,MAX(0,MCDA_Prioritisation!$H$3+(RAND()-0.5)*2*$B$7))</f>
        <v>53.53105882462205</v>
      </c>
      <c r="W142" s="54">
        <f ca="1">MIN(100,MAX(0,MCDA_Prioritisation!$H$4+(RAND()-0.5)*2*$B$7))</f>
        <v>78.246449650714794</v>
      </c>
      <c r="X142" s="54">
        <f ca="1">MIN(100,MAX(0,MCDA_Prioritisation!$H$5+(RAND()-0.5)*2*$B$7))</f>
        <v>82.999217478703699</v>
      </c>
      <c r="Y142" s="54">
        <f ca="1">H142*MCDA_Prioritisation!$D$2+I142*MCDA_Prioritisation!$E$2+J142*M142+K142*Q142+L142*U142</f>
        <v>90.170523459307304</v>
      </c>
      <c r="Z142" s="54">
        <f ca="1">H142*MCDA_Prioritisation!$D$3+I142*MCDA_Prioritisation!$E$3+J142*N142+K142*R142+L142*V142</f>
        <v>79.795989257055695</v>
      </c>
      <c r="AA142" s="54">
        <f ca="1">H142*MCDA_Prioritisation!$D$4+I142*MCDA_Prioritisation!$E$4+J142*O142+K142*S142+L142*W142</f>
        <v>73.603370985945645</v>
      </c>
      <c r="AB142" s="54">
        <f ca="1">H142*MCDA_Prioritisation!$D$5+I142*MCDA_Prioritisation!$E$5+J142*P142+K142*T142+L142*X142</f>
        <v>75.673131633543122</v>
      </c>
      <c r="AC142" s="54">
        <f t="shared" ca="1" si="20"/>
        <v>1</v>
      </c>
      <c r="AD142" s="54">
        <f t="shared" ca="1" si="21"/>
        <v>2</v>
      </c>
      <c r="AE142" s="54">
        <f t="shared" ca="1" si="22"/>
        <v>4</v>
      </c>
      <c r="AF142" s="54">
        <f t="shared" ca="1" si="23"/>
        <v>3</v>
      </c>
      <c r="AG142" s="54">
        <f t="shared" ca="1" si="24"/>
        <v>1</v>
      </c>
      <c r="AH142" s="54">
        <f t="shared" ca="1" si="25"/>
        <v>1</v>
      </c>
      <c r="AI142" s="54">
        <f t="shared" ca="1" si="26"/>
        <v>0</v>
      </c>
      <c r="AJ142" s="54">
        <f t="shared" ca="1" si="27"/>
        <v>1</v>
      </c>
    </row>
    <row r="143" spans="1:36" x14ac:dyDescent="0.2">
      <c r="A143" s="54">
        <v>120</v>
      </c>
      <c r="B143" s="54">
        <f ca="1">MAX(0.02,MCDA_Prioritisation!$B$9+(RAND()-0.5)*2*$B$6)</f>
        <v>0.27178618470175608</v>
      </c>
      <c r="C143" s="54">
        <f ca="1">MAX(0.02,MCDA_Prioritisation!$B$10+(RAND()-0.5)*2*$B$6)</f>
        <v>0.29300464135309828</v>
      </c>
      <c r="D143" s="54">
        <f ca="1">MAX(0.02,MCDA_Prioritisation!$B$11+(RAND()-0.5)*2*$B$6)</f>
        <v>0.23971045839524896</v>
      </c>
      <c r="E143" s="54">
        <f ca="1">MAX(0.02,MCDA_Prioritisation!$B$12+(RAND()-0.5)*2*$B$6)</f>
        <v>0.20283310895827639</v>
      </c>
      <c r="F143" s="54">
        <f ca="1">MAX(0.02,MCDA_Prioritisation!$B$13+(RAND()-0.5)*2*$B$6)</f>
        <v>0.1690590923378214</v>
      </c>
      <c r="G143" s="54">
        <f t="shared" ca="1" si="14"/>
        <v>1.1763934857462013</v>
      </c>
      <c r="H143" s="54">
        <f t="shared" ca="1" si="15"/>
        <v>0.23103339825905161</v>
      </c>
      <c r="I143" s="54">
        <f t="shared" ca="1" si="16"/>
        <v>0.24907026849714467</v>
      </c>
      <c r="J143" s="54">
        <f t="shared" ca="1" si="17"/>
        <v>0.20376724395341034</v>
      </c>
      <c r="K143" s="54">
        <f t="shared" ca="1" si="18"/>
        <v>0.17241944248749114</v>
      </c>
      <c r="L143" s="54">
        <f t="shared" ca="1" si="19"/>
        <v>0.14370964680290207</v>
      </c>
      <c r="M143" s="54">
        <f ca="1">MIN(100,MAX(0,MCDA_Prioritisation!$F$2+(RAND()-0.5)*2*$B$7))</f>
        <v>86.318173077825165</v>
      </c>
      <c r="N143" s="54">
        <f ca="1">MIN(100,MAX(0,MCDA_Prioritisation!$F$3+(RAND()-0.5)*2*$B$7))</f>
        <v>87.130756352866129</v>
      </c>
      <c r="O143" s="54">
        <f ca="1">MIN(100,MAX(0,MCDA_Prioritisation!$F$4+(RAND()-0.5)*2*$B$7))</f>
        <v>87.933244682573928</v>
      </c>
      <c r="P143" s="54">
        <f ca="1">MIN(100,MAX(0,MCDA_Prioritisation!$F$5+(RAND()-0.5)*2*$B$7))</f>
        <v>68.537932359707895</v>
      </c>
      <c r="Q143" s="54">
        <f ca="1">MIN(100,MAX(0,MCDA_Prioritisation!$G$2+(RAND()-0.5)*2*$B$7))</f>
        <v>79.904066516248406</v>
      </c>
      <c r="R143" s="54">
        <f ca="1">MIN(100,MAX(0,MCDA_Prioritisation!$G$3+(RAND()-0.5)*2*$B$7))</f>
        <v>86.46353372933072</v>
      </c>
      <c r="S143" s="54">
        <f ca="1">MIN(100,MAX(0,MCDA_Prioritisation!$G$4+(RAND()-0.5)*2*$B$7))</f>
        <v>88.599441143556632</v>
      </c>
      <c r="T143" s="54">
        <f ca="1">MIN(100,MAX(0,MCDA_Prioritisation!$G$5+(RAND()-0.5)*2*$B$7))</f>
        <v>60.638886265882441</v>
      </c>
      <c r="U143" s="54">
        <f ca="1">MIN(100,MAX(0,MCDA_Prioritisation!$H$2+(RAND()-0.5)*2*$B$7))</f>
        <v>71.645945469126303</v>
      </c>
      <c r="V143" s="54">
        <f ca="1">MIN(100,MAX(0,MCDA_Prioritisation!$H$3+(RAND()-0.5)*2*$B$7))</f>
        <v>66.066165864664796</v>
      </c>
      <c r="W143" s="54">
        <f ca="1">MIN(100,MAX(0,MCDA_Prioritisation!$H$4+(RAND()-0.5)*2*$B$7))</f>
        <v>89.05360279107046</v>
      </c>
      <c r="X143" s="54">
        <f ca="1">MIN(100,MAX(0,MCDA_Prioritisation!$H$5+(RAND()-0.5)*2*$B$7))</f>
        <v>70.992097886231647</v>
      </c>
      <c r="Y143" s="54">
        <f ca="1">H143*MCDA_Prioritisation!$D$2+I143*MCDA_Prioritisation!$E$2+J143*M143+K143*Q143+L143*U143</f>
        <v>89.672411026224609</v>
      </c>
      <c r="Z143" s="54">
        <f ca="1">H143*MCDA_Prioritisation!$D$3+I143*MCDA_Prioritisation!$E$3+J143*N143+K143*R143+L143*V143</f>
        <v>80.462523845315673</v>
      </c>
      <c r="AA143" s="54">
        <f ca="1">H143*MCDA_Prioritisation!$D$4+I143*MCDA_Prioritisation!$E$4+J143*O143+K143*S143+L143*W143</f>
        <v>75.66550168177524</v>
      </c>
      <c r="AB143" s="54">
        <f ca="1">H143*MCDA_Prioritisation!$D$5+I143*MCDA_Prioritisation!$E$5+J143*P143+K143*T143+L143*X143</f>
        <v>67.830206355861094</v>
      </c>
      <c r="AC143" s="54">
        <f t="shared" ca="1" si="20"/>
        <v>1</v>
      </c>
      <c r="AD143" s="54">
        <f t="shared" ca="1" si="21"/>
        <v>2</v>
      </c>
      <c r="AE143" s="54">
        <f t="shared" ca="1" si="22"/>
        <v>3</v>
      </c>
      <c r="AF143" s="54">
        <f t="shared" ca="1" si="23"/>
        <v>4</v>
      </c>
      <c r="AG143" s="54">
        <f t="shared" ca="1" si="24"/>
        <v>1</v>
      </c>
      <c r="AH143" s="54">
        <f t="shared" ca="1" si="25"/>
        <v>1</v>
      </c>
      <c r="AI143" s="54">
        <f t="shared" ca="1" si="26"/>
        <v>1</v>
      </c>
      <c r="AJ143" s="54">
        <f t="shared" ca="1" si="27"/>
        <v>1</v>
      </c>
    </row>
    <row r="144" spans="1:36" x14ac:dyDescent="0.2">
      <c r="A144" s="54">
        <v>121</v>
      </c>
      <c r="B144" s="54">
        <f ca="1">MAX(0.02,MCDA_Prioritisation!$B$9+(RAND()-0.5)*2*$B$6)</f>
        <v>0.19888277275224825</v>
      </c>
      <c r="C144" s="54">
        <f ca="1">MAX(0.02,MCDA_Prioritisation!$B$10+(RAND()-0.5)*2*$B$6)</f>
        <v>0.18082299257418205</v>
      </c>
      <c r="D144" s="54">
        <f ca="1">MAX(0.02,MCDA_Prioritisation!$B$11+(RAND()-0.5)*2*$B$6)</f>
        <v>0.20370827363344834</v>
      </c>
      <c r="E144" s="54">
        <f ca="1">MAX(0.02,MCDA_Prioritisation!$B$12+(RAND()-0.5)*2*$B$6)</f>
        <v>0.15421442624828574</v>
      </c>
      <c r="F144" s="54">
        <f ca="1">MAX(0.02,MCDA_Prioritisation!$B$13+(RAND()-0.5)*2*$B$6)</f>
        <v>7.2948973693493832E-2</v>
      </c>
      <c r="G144" s="54">
        <f t="shared" ca="1" si="14"/>
        <v>0.81057743890165823</v>
      </c>
      <c r="H144" s="54">
        <f t="shared" ca="1" si="15"/>
        <v>0.24535937370985392</v>
      </c>
      <c r="I144" s="54">
        <f t="shared" ca="1" si="16"/>
        <v>0.22307923203389338</v>
      </c>
      <c r="J144" s="54">
        <f t="shared" ca="1" si="17"/>
        <v>0.25131253826836752</v>
      </c>
      <c r="K144" s="54">
        <f t="shared" ca="1" si="18"/>
        <v>0.19025255188109857</v>
      </c>
      <c r="L144" s="54">
        <f t="shared" ca="1" si="19"/>
        <v>8.9996304106786551E-2</v>
      </c>
      <c r="M144" s="54">
        <f ca="1">MIN(100,MAX(0,MCDA_Prioritisation!$F$2+(RAND()-0.5)*2*$B$7))</f>
        <v>91.79136353090621</v>
      </c>
      <c r="N144" s="54">
        <f ca="1">MIN(100,MAX(0,MCDA_Prioritisation!$F$3+(RAND()-0.5)*2*$B$7))</f>
        <v>92.36245844377649</v>
      </c>
      <c r="O144" s="54">
        <f ca="1">MIN(100,MAX(0,MCDA_Prioritisation!$F$4+(RAND()-0.5)*2*$B$7))</f>
        <v>93.914986837048929</v>
      </c>
      <c r="P144" s="54">
        <f ca="1">MIN(100,MAX(0,MCDA_Prioritisation!$F$5+(RAND()-0.5)*2*$B$7))</f>
        <v>84.154921859368045</v>
      </c>
      <c r="Q144" s="54">
        <f ca="1">MIN(100,MAX(0,MCDA_Prioritisation!$G$2+(RAND()-0.5)*2*$B$7))</f>
        <v>72.490090554682581</v>
      </c>
      <c r="R144" s="54">
        <f ca="1">MIN(100,MAX(0,MCDA_Prioritisation!$G$3+(RAND()-0.5)*2*$B$7))</f>
        <v>100</v>
      </c>
      <c r="S144" s="54">
        <f ca="1">MIN(100,MAX(0,MCDA_Prioritisation!$G$4+(RAND()-0.5)*2*$B$7))</f>
        <v>86.675636087907961</v>
      </c>
      <c r="T144" s="54">
        <f ca="1">MIN(100,MAX(0,MCDA_Prioritisation!$G$5+(RAND()-0.5)*2*$B$7))</f>
        <v>68.334995184442775</v>
      </c>
      <c r="U144" s="54">
        <f ca="1">MIN(100,MAX(0,MCDA_Prioritisation!$H$2+(RAND()-0.5)*2*$B$7))</f>
        <v>69.736979358884426</v>
      </c>
      <c r="V144" s="54">
        <f ca="1">MIN(100,MAX(0,MCDA_Prioritisation!$H$3+(RAND()-0.5)*2*$B$7))</f>
        <v>68.40075728372554</v>
      </c>
      <c r="W144" s="54">
        <f ca="1">MIN(100,MAX(0,MCDA_Prioritisation!$H$4+(RAND()-0.5)*2*$B$7))</f>
        <v>88.371398640587913</v>
      </c>
      <c r="X144" s="54">
        <f ca="1">MIN(100,MAX(0,MCDA_Prioritisation!$H$5+(RAND()-0.5)*2*$B$7))</f>
        <v>72.928619938663758</v>
      </c>
      <c r="Y144" s="54">
        <f ca="1">H144*MCDA_Prioritisation!$D$2+I144*MCDA_Prioritisation!$E$2+J144*M144+K144*Q144+L144*U144</f>
        <v>89.979676250432362</v>
      </c>
      <c r="Z144" s="54">
        <f ca="1">H144*MCDA_Prioritisation!$D$3+I144*MCDA_Prioritisation!$E$3+J144*N144+K144*R144+L144*V144</f>
        <v>86.06049230692453</v>
      </c>
      <c r="AA144" s="54">
        <f ca="1">H144*MCDA_Prioritisation!$D$4+I144*MCDA_Prioritisation!$E$4+J144*O144+K144*S144+L144*W144</f>
        <v>77.298716467832094</v>
      </c>
      <c r="AB144" s="54">
        <f ca="1">H144*MCDA_Prioritisation!$D$5+I144*MCDA_Prioritisation!$E$5+J144*P144+K144*T144+L144*X144</f>
        <v>72.49500300177732</v>
      </c>
      <c r="AC144" s="54">
        <f t="shared" ca="1" si="20"/>
        <v>1</v>
      </c>
      <c r="AD144" s="54">
        <f t="shared" ca="1" si="21"/>
        <v>2</v>
      </c>
      <c r="AE144" s="54">
        <f t="shared" ca="1" si="22"/>
        <v>3</v>
      </c>
      <c r="AF144" s="54">
        <f t="shared" ca="1" si="23"/>
        <v>4</v>
      </c>
      <c r="AG144" s="54">
        <f t="shared" ca="1" si="24"/>
        <v>1</v>
      </c>
      <c r="AH144" s="54">
        <f t="shared" ca="1" si="25"/>
        <v>1</v>
      </c>
      <c r="AI144" s="54">
        <f t="shared" ca="1" si="26"/>
        <v>1</v>
      </c>
      <c r="AJ144" s="54">
        <f t="shared" ca="1" si="27"/>
        <v>1</v>
      </c>
    </row>
    <row r="145" spans="1:36" x14ac:dyDescent="0.2">
      <c r="A145" s="54">
        <v>122</v>
      </c>
      <c r="B145" s="54">
        <f ca="1">MAX(0.02,MCDA_Prioritisation!$B$9+(RAND()-0.5)*2*$B$6)</f>
        <v>0.15319916574248735</v>
      </c>
      <c r="C145" s="54">
        <f ca="1">MAX(0.02,MCDA_Prioritisation!$B$10+(RAND()-0.5)*2*$B$6)</f>
        <v>0.20993662789589354</v>
      </c>
      <c r="D145" s="54">
        <f ca="1">MAX(0.02,MCDA_Prioritisation!$B$11+(RAND()-0.5)*2*$B$6)</f>
        <v>0.25472193434699553</v>
      </c>
      <c r="E145" s="54">
        <f ca="1">MAX(0.02,MCDA_Prioritisation!$B$12+(RAND()-0.5)*2*$B$6)</f>
        <v>0.21101204533792464</v>
      </c>
      <c r="F145" s="54">
        <f ca="1">MAX(0.02,MCDA_Prioritisation!$B$13+(RAND()-0.5)*2*$B$6)</f>
        <v>0.11349895718170332</v>
      </c>
      <c r="G145" s="54">
        <f t="shared" ca="1" si="14"/>
        <v>0.94236873050500436</v>
      </c>
      <c r="H145" s="54">
        <f t="shared" ca="1" si="15"/>
        <v>0.16256817611126562</v>
      </c>
      <c r="I145" s="54">
        <f t="shared" ca="1" si="16"/>
        <v>0.22277546049664759</v>
      </c>
      <c r="J145" s="54">
        <f t="shared" ca="1" si="17"/>
        <v>0.27029964609552892</v>
      </c>
      <c r="K145" s="54">
        <f t="shared" ca="1" si="18"/>
        <v>0.22391664590233779</v>
      </c>
      <c r="L145" s="54">
        <f t="shared" ca="1" si="19"/>
        <v>0.12044007139422014</v>
      </c>
      <c r="M145" s="54">
        <f ca="1">MIN(100,MAX(0,MCDA_Prioritisation!$F$2+(RAND()-0.5)*2*$B$7))</f>
        <v>94.051900527462863</v>
      </c>
      <c r="N145" s="54">
        <f ca="1">MIN(100,MAX(0,MCDA_Prioritisation!$F$3+(RAND()-0.5)*2*$B$7))</f>
        <v>89.934326716291437</v>
      </c>
      <c r="O145" s="54">
        <f ca="1">MIN(100,MAX(0,MCDA_Prioritisation!$F$4+(RAND()-0.5)*2*$B$7))</f>
        <v>98.937111052053439</v>
      </c>
      <c r="P145" s="54">
        <f ca="1">MIN(100,MAX(0,MCDA_Prioritisation!$F$5+(RAND()-0.5)*2*$B$7))</f>
        <v>75.311003477799758</v>
      </c>
      <c r="Q145" s="54">
        <f ca="1">MIN(100,MAX(0,MCDA_Prioritisation!$G$2+(RAND()-0.5)*2*$B$7))</f>
        <v>76.635281735553477</v>
      </c>
      <c r="R145" s="54">
        <f ca="1">MIN(100,MAX(0,MCDA_Prioritisation!$G$3+(RAND()-0.5)*2*$B$7))</f>
        <v>94.22720449552159</v>
      </c>
      <c r="S145" s="54">
        <f ca="1">MIN(100,MAX(0,MCDA_Prioritisation!$G$4+(RAND()-0.5)*2*$B$7))</f>
        <v>94.957172637728974</v>
      </c>
      <c r="T145" s="54">
        <f ca="1">MIN(100,MAX(0,MCDA_Prioritisation!$G$5+(RAND()-0.5)*2*$B$7))</f>
        <v>75.50677654192576</v>
      </c>
      <c r="U145" s="54">
        <f ca="1">MIN(100,MAX(0,MCDA_Prioritisation!$H$2+(RAND()-0.5)*2*$B$7))</f>
        <v>69.311073349687504</v>
      </c>
      <c r="V145" s="54">
        <f ca="1">MIN(100,MAX(0,MCDA_Prioritisation!$H$3+(RAND()-0.5)*2*$B$7))</f>
        <v>53.473232769524792</v>
      </c>
      <c r="W145" s="54">
        <f ca="1">MIN(100,MAX(0,MCDA_Prioritisation!$H$4+(RAND()-0.5)*2*$B$7))</f>
        <v>79.474436231895083</v>
      </c>
      <c r="X145" s="54">
        <f ca="1">MIN(100,MAX(0,MCDA_Prioritisation!$H$5+(RAND()-0.5)*2*$B$7))</f>
        <v>77.505909156754285</v>
      </c>
      <c r="Y145" s="54">
        <f ca="1">H145*MCDA_Prioritisation!$D$2+I145*MCDA_Prioritisation!$E$2+J145*M145+K145*Q145+L145*U145</f>
        <v>89.464304954628631</v>
      </c>
      <c r="Z145" s="54">
        <f ca="1">H145*MCDA_Prioritisation!$D$3+I145*MCDA_Prioritisation!$E$3+J145*N145+K145*R145+L145*V145</f>
        <v>82.258372667948635</v>
      </c>
      <c r="AA145" s="54">
        <f ca="1">H145*MCDA_Prioritisation!$D$4+I145*MCDA_Prioritisation!$E$4+J145*O145+K145*S145+L145*W145</f>
        <v>81.048745343650808</v>
      </c>
      <c r="AB145" s="54">
        <f ca="1">H145*MCDA_Prioritisation!$D$5+I145*MCDA_Prioritisation!$E$5+J145*P145+K145*T145+L145*X145</f>
        <v>73.960420565755555</v>
      </c>
      <c r="AC145" s="54">
        <f t="shared" ca="1" si="20"/>
        <v>1</v>
      </c>
      <c r="AD145" s="54">
        <f t="shared" ca="1" si="21"/>
        <v>2</v>
      </c>
      <c r="AE145" s="54">
        <f t="shared" ca="1" si="22"/>
        <v>3</v>
      </c>
      <c r="AF145" s="54">
        <f t="shared" ca="1" si="23"/>
        <v>4</v>
      </c>
      <c r="AG145" s="54">
        <f t="shared" ca="1" si="24"/>
        <v>1</v>
      </c>
      <c r="AH145" s="54">
        <f t="shared" ca="1" si="25"/>
        <v>1</v>
      </c>
      <c r="AI145" s="54">
        <f t="shared" ca="1" si="26"/>
        <v>1</v>
      </c>
      <c r="AJ145" s="54">
        <f t="shared" ca="1" si="27"/>
        <v>1</v>
      </c>
    </row>
    <row r="146" spans="1:36" x14ac:dyDescent="0.2">
      <c r="A146" s="54">
        <v>123</v>
      </c>
      <c r="B146" s="54">
        <f ca="1">MAX(0.02,MCDA_Prioritisation!$B$9+(RAND()-0.5)*2*$B$6)</f>
        <v>0.16038360974463942</v>
      </c>
      <c r="C146" s="54">
        <f ca="1">MAX(0.02,MCDA_Prioritisation!$B$10+(RAND()-0.5)*2*$B$6)</f>
        <v>0.19962670051525849</v>
      </c>
      <c r="D146" s="54">
        <f ca="1">MAX(0.02,MCDA_Prioritisation!$B$11+(RAND()-0.5)*2*$B$6)</f>
        <v>0.23175573784521686</v>
      </c>
      <c r="E146" s="54">
        <f ca="1">MAX(0.02,MCDA_Prioritisation!$B$12+(RAND()-0.5)*2*$B$6)</f>
        <v>0.17970186176716035</v>
      </c>
      <c r="F146" s="54">
        <f ca="1">MAX(0.02,MCDA_Prioritisation!$B$13+(RAND()-0.5)*2*$B$6)</f>
        <v>0.10345873275736248</v>
      </c>
      <c r="G146" s="54">
        <f t="shared" ca="1" si="14"/>
        <v>0.87492664262963771</v>
      </c>
      <c r="H146" s="54">
        <f t="shared" ca="1" si="15"/>
        <v>0.18331092223068909</v>
      </c>
      <c r="I146" s="54">
        <f t="shared" ca="1" si="16"/>
        <v>0.22816392916698711</v>
      </c>
      <c r="J146" s="54">
        <f t="shared" ca="1" si="17"/>
        <v>0.26488590763296782</v>
      </c>
      <c r="K146" s="54">
        <f t="shared" ca="1" si="18"/>
        <v>0.20539077565069572</v>
      </c>
      <c r="L146" s="54">
        <f t="shared" ca="1" si="19"/>
        <v>0.11824846531866015</v>
      </c>
      <c r="M146" s="54">
        <f ca="1">MIN(100,MAX(0,MCDA_Prioritisation!$F$2+(RAND()-0.5)*2*$B$7))</f>
        <v>94.65177698535993</v>
      </c>
      <c r="N146" s="54">
        <f ca="1">MIN(100,MAX(0,MCDA_Prioritisation!$F$3+(RAND()-0.5)*2*$B$7))</f>
        <v>86.492182296382083</v>
      </c>
      <c r="O146" s="54">
        <f ca="1">MIN(100,MAX(0,MCDA_Prioritisation!$F$4+(RAND()-0.5)*2*$B$7))</f>
        <v>85.62137109426439</v>
      </c>
      <c r="P146" s="54">
        <f ca="1">MIN(100,MAX(0,MCDA_Prioritisation!$F$5+(RAND()-0.5)*2*$B$7))</f>
        <v>74.0929326548586</v>
      </c>
      <c r="Q146" s="54">
        <f ca="1">MIN(100,MAX(0,MCDA_Prioritisation!$G$2+(RAND()-0.5)*2*$B$7))</f>
        <v>72.745309579673332</v>
      </c>
      <c r="R146" s="54">
        <f ca="1">MIN(100,MAX(0,MCDA_Prioritisation!$G$3+(RAND()-0.5)*2*$B$7))</f>
        <v>92.999835957350882</v>
      </c>
      <c r="S146" s="54">
        <f ca="1">MIN(100,MAX(0,MCDA_Prioritisation!$G$4+(RAND()-0.5)*2*$B$7))</f>
        <v>81.150733551926891</v>
      </c>
      <c r="T146" s="54">
        <f ca="1">MIN(100,MAX(0,MCDA_Prioritisation!$G$5+(RAND()-0.5)*2*$B$7))</f>
        <v>69.687887739211874</v>
      </c>
      <c r="U146" s="54">
        <f ca="1">MIN(100,MAX(0,MCDA_Prioritisation!$H$2+(RAND()-0.5)*2*$B$7))</f>
        <v>70.151110969185481</v>
      </c>
      <c r="V146" s="54">
        <f ca="1">MIN(100,MAX(0,MCDA_Prioritisation!$H$3+(RAND()-0.5)*2*$B$7))</f>
        <v>52.654018464075435</v>
      </c>
      <c r="W146" s="54">
        <f ca="1">MIN(100,MAX(0,MCDA_Prioritisation!$H$4+(RAND()-0.5)*2*$B$7))</f>
        <v>77.197297940304836</v>
      </c>
      <c r="X146" s="54">
        <f ca="1">MIN(100,MAX(0,MCDA_Prioritisation!$H$5+(RAND()-0.5)*2*$B$7))</f>
        <v>69.987378529956217</v>
      </c>
      <c r="Y146" s="54">
        <f ca="1">H146*MCDA_Prioritisation!$D$2+I146*MCDA_Prioritisation!$E$2+J146*M146+K146*Q146+L146*U146</f>
        <v>89.455883767632244</v>
      </c>
      <c r="Z146" s="54">
        <f ca="1">H146*MCDA_Prioritisation!$D$3+I146*MCDA_Prioritisation!$E$3+J146*N146+K146*R146+L146*V146</f>
        <v>80.852661037480914</v>
      </c>
      <c r="AA146" s="54">
        <f ca="1">H146*MCDA_Prioritisation!$D$4+I146*MCDA_Prioritisation!$E$4+J146*O146+K146*S146+L146*W146</f>
        <v>73.685968951861696</v>
      </c>
      <c r="AB146" s="54">
        <f ca="1">H146*MCDA_Prioritisation!$D$5+I146*MCDA_Prioritisation!$E$5+J146*P146+K146*T146+L146*X146</f>
        <v>71.131225671391448</v>
      </c>
      <c r="AC146" s="54">
        <f t="shared" ca="1" si="20"/>
        <v>1</v>
      </c>
      <c r="AD146" s="54">
        <f t="shared" ca="1" si="21"/>
        <v>2</v>
      </c>
      <c r="AE146" s="54">
        <f t="shared" ca="1" si="22"/>
        <v>3</v>
      </c>
      <c r="AF146" s="54">
        <f t="shared" ca="1" si="23"/>
        <v>4</v>
      </c>
      <c r="AG146" s="54">
        <f t="shared" ca="1" si="24"/>
        <v>1</v>
      </c>
      <c r="AH146" s="54">
        <f t="shared" ca="1" si="25"/>
        <v>1</v>
      </c>
      <c r="AI146" s="54">
        <f t="shared" ca="1" si="26"/>
        <v>1</v>
      </c>
      <c r="AJ146" s="54">
        <f t="shared" ca="1" si="27"/>
        <v>1</v>
      </c>
    </row>
    <row r="147" spans="1:36" x14ac:dyDescent="0.2">
      <c r="A147" s="54">
        <v>124</v>
      </c>
      <c r="B147" s="54">
        <f ca="1">MAX(0.02,MCDA_Prioritisation!$B$9+(RAND()-0.5)*2*$B$6)</f>
        <v>0.13162332971031576</v>
      </c>
      <c r="C147" s="54">
        <f ca="1">MAX(0.02,MCDA_Prioritisation!$B$10+(RAND()-0.5)*2*$B$6)</f>
        <v>0.22863089583404192</v>
      </c>
      <c r="D147" s="54">
        <f ca="1">MAX(0.02,MCDA_Prioritisation!$B$11+(RAND()-0.5)*2*$B$6)</f>
        <v>0.21459854104246823</v>
      </c>
      <c r="E147" s="54">
        <f ca="1">MAX(0.02,MCDA_Prioritisation!$B$12+(RAND()-0.5)*2*$B$6)</f>
        <v>0.18812578322011222</v>
      </c>
      <c r="F147" s="54">
        <f ca="1">MAX(0.02,MCDA_Prioritisation!$B$13+(RAND()-0.5)*2*$B$6)</f>
        <v>0.11786613673417806</v>
      </c>
      <c r="G147" s="54">
        <f t="shared" ca="1" si="14"/>
        <v>0.88084468654111614</v>
      </c>
      <c r="H147" s="54">
        <f t="shared" ca="1" si="15"/>
        <v>0.1494285334536917</v>
      </c>
      <c r="I147" s="54">
        <f t="shared" ca="1" si="16"/>
        <v>0.25955869329452991</v>
      </c>
      <c r="J147" s="54">
        <f t="shared" ca="1" si="17"/>
        <v>0.2436281268666666</v>
      </c>
      <c r="K147" s="54">
        <f t="shared" ca="1" si="18"/>
        <v>0.21357429532650177</v>
      </c>
      <c r="L147" s="54">
        <f t="shared" ca="1" si="19"/>
        <v>0.13381035105861003</v>
      </c>
      <c r="M147" s="54">
        <f ca="1">MIN(100,MAX(0,MCDA_Prioritisation!$F$2+(RAND()-0.5)*2*$B$7))</f>
        <v>83.093141527520118</v>
      </c>
      <c r="N147" s="54">
        <f ca="1">MIN(100,MAX(0,MCDA_Prioritisation!$F$3+(RAND()-0.5)*2*$B$7))</f>
        <v>98.263230466612271</v>
      </c>
      <c r="O147" s="54">
        <f ca="1">MIN(100,MAX(0,MCDA_Prioritisation!$F$4+(RAND()-0.5)*2*$B$7))</f>
        <v>98.130653910886977</v>
      </c>
      <c r="P147" s="54">
        <f ca="1">MIN(100,MAX(0,MCDA_Prioritisation!$F$5+(RAND()-0.5)*2*$B$7))</f>
        <v>77.145585339811277</v>
      </c>
      <c r="Q147" s="54">
        <f ca="1">MIN(100,MAX(0,MCDA_Prioritisation!$G$2+(RAND()-0.5)*2*$B$7))</f>
        <v>79.236144776584638</v>
      </c>
      <c r="R147" s="54">
        <f ca="1">MIN(100,MAX(0,MCDA_Prioritisation!$G$3+(RAND()-0.5)*2*$B$7))</f>
        <v>94.206618824658705</v>
      </c>
      <c r="S147" s="54">
        <f ca="1">MIN(100,MAX(0,MCDA_Prioritisation!$G$4+(RAND()-0.5)*2*$B$7))</f>
        <v>80.361536196835701</v>
      </c>
      <c r="T147" s="54">
        <f ca="1">MIN(100,MAX(0,MCDA_Prioritisation!$G$5+(RAND()-0.5)*2*$B$7))</f>
        <v>66.676505130373712</v>
      </c>
      <c r="U147" s="54">
        <f ca="1">MIN(100,MAX(0,MCDA_Prioritisation!$H$2+(RAND()-0.5)*2*$B$7))</f>
        <v>58.681636923466613</v>
      </c>
      <c r="V147" s="54">
        <f ca="1">MIN(100,MAX(0,MCDA_Prioritisation!$H$3+(RAND()-0.5)*2*$B$7))</f>
        <v>56.200110803499513</v>
      </c>
      <c r="W147" s="54">
        <f ca="1">MIN(100,MAX(0,MCDA_Prioritisation!$H$4+(RAND()-0.5)*2*$B$7))</f>
        <v>78.434578923085567</v>
      </c>
      <c r="X147" s="54">
        <f ca="1">MIN(100,MAX(0,MCDA_Prioritisation!$H$5+(RAND()-0.5)*2*$B$7))</f>
        <v>80.12851160658947</v>
      </c>
      <c r="Y147" s="54">
        <f ca="1">H147*MCDA_Prioritisation!$D$2+I147*MCDA_Prioritisation!$E$2+J147*M147+K147*Q147+L147*U147</f>
        <v>85.917563323109405</v>
      </c>
      <c r="Z147" s="54">
        <f ca="1">H147*MCDA_Prioritisation!$D$3+I147*MCDA_Prioritisation!$E$3+J147*N147+K147*R147+L147*V147</f>
        <v>83.516532960234557</v>
      </c>
      <c r="AA147" s="54">
        <f ca="1">H147*MCDA_Prioritisation!$D$4+I147*MCDA_Prioritisation!$E$4+J147*O147+K147*S147+L147*W147</f>
        <v>76.128975951959205</v>
      </c>
      <c r="AB147" s="54">
        <f ca="1">H147*MCDA_Prioritisation!$D$5+I147*MCDA_Prioritisation!$E$5+J147*P147+K147*T147+L147*X147</f>
        <v>73.514825177718961</v>
      </c>
      <c r="AC147" s="54">
        <f t="shared" ca="1" si="20"/>
        <v>1</v>
      </c>
      <c r="AD147" s="54">
        <f t="shared" ca="1" si="21"/>
        <v>2</v>
      </c>
      <c r="AE147" s="54">
        <f t="shared" ca="1" si="22"/>
        <v>3</v>
      </c>
      <c r="AF147" s="54">
        <f t="shared" ca="1" si="23"/>
        <v>4</v>
      </c>
      <c r="AG147" s="54">
        <f t="shared" ca="1" si="24"/>
        <v>1</v>
      </c>
      <c r="AH147" s="54">
        <f t="shared" ca="1" si="25"/>
        <v>1</v>
      </c>
      <c r="AI147" s="54">
        <f t="shared" ca="1" si="26"/>
        <v>1</v>
      </c>
      <c r="AJ147" s="54">
        <f t="shared" ca="1" si="27"/>
        <v>1</v>
      </c>
    </row>
    <row r="148" spans="1:36" x14ac:dyDescent="0.2">
      <c r="A148" s="54">
        <v>125</v>
      </c>
      <c r="B148" s="54">
        <f ca="1">MAX(0.02,MCDA_Prioritisation!$B$9+(RAND()-0.5)*2*$B$6)</f>
        <v>0.18925154709392494</v>
      </c>
      <c r="C148" s="54">
        <f ca="1">MAX(0.02,MCDA_Prioritisation!$B$10+(RAND()-0.5)*2*$B$6)</f>
        <v>0.21114458905749833</v>
      </c>
      <c r="D148" s="54">
        <f ca="1">MAX(0.02,MCDA_Prioritisation!$B$11+(RAND()-0.5)*2*$B$6)</f>
        <v>0.19644335233001919</v>
      </c>
      <c r="E148" s="54">
        <f ca="1">MAX(0.02,MCDA_Prioritisation!$B$12+(RAND()-0.5)*2*$B$6)</f>
        <v>0.10152145350060116</v>
      </c>
      <c r="F148" s="54">
        <f ca="1">MAX(0.02,MCDA_Prioritisation!$B$13+(RAND()-0.5)*2*$B$6)</f>
        <v>0.19540110370297584</v>
      </c>
      <c r="G148" s="54">
        <f t="shared" ca="1" si="14"/>
        <v>0.89376204568501949</v>
      </c>
      <c r="H148" s="54">
        <f t="shared" ca="1" si="15"/>
        <v>0.21174712890037084</v>
      </c>
      <c r="I148" s="54">
        <f t="shared" ca="1" si="16"/>
        <v>0.23624251004714303</v>
      </c>
      <c r="J148" s="54">
        <f t="shared" ca="1" si="17"/>
        <v>0.21979379553923231</v>
      </c>
      <c r="K148" s="54">
        <f t="shared" ca="1" si="18"/>
        <v>0.11358890656717308</v>
      </c>
      <c r="L148" s="54">
        <f t="shared" ca="1" si="19"/>
        <v>0.21862765894608069</v>
      </c>
      <c r="M148" s="54">
        <f ca="1">MIN(100,MAX(0,MCDA_Prioritisation!$F$2+(RAND()-0.5)*2*$B$7))</f>
        <v>82.902799324449816</v>
      </c>
      <c r="N148" s="54">
        <f ca="1">MIN(100,MAX(0,MCDA_Prioritisation!$F$3+(RAND()-0.5)*2*$B$7))</f>
        <v>100</v>
      </c>
      <c r="O148" s="54">
        <f ca="1">MIN(100,MAX(0,MCDA_Prioritisation!$F$4+(RAND()-0.5)*2*$B$7))</f>
        <v>98.440615898223655</v>
      </c>
      <c r="P148" s="54">
        <f ca="1">MIN(100,MAX(0,MCDA_Prioritisation!$F$5+(RAND()-0.5)*2*$B$7))</f>
        <v>66.185566942041945</v>
      </c>
      <c r="Q148" s="54">
        <f ca="1">MIN(100,MAX(0,MCDA_Prioritisation!$G$2+(RAND()-0.5)*2*$B$7))</f>
        <v>80.73985951447527</v>
      </c>
      <c r="R148" s="54">
        <f ca="1">MIN(100,MAX(0,MCDA_Prioritisation!$G$3+(RAND()-0.5)*2*$B$7))</f>
        <v>100</v>
      </c>
      <c r="S148" s="54">
        <f ca="1">MIN(100,MAX(0,MCDA_Prioritisation!$G$4+(RAND()-0.5)*2*$B$7))</f>
        <v>88.787356512630865</v>
      </c>
      <c r="T148" s="54">
        <f ca="1">MIN(100,MAX(0,MCDA_Prioritisation!$G$5+(RAND()-0.5)*2*$B$7))</f>
        <v>75.954422076273246</v>
      </c>
      <c r="U148" s="54">
        <f ca="1">MIN(100,MAX(0,MCDA_Prioritisation!$H$2+(RAND()-0.5)*2*$B$7))</f>
        <v>63.503140254906597</v>
      </c>
      <c r="V148" s="54">
        <f ca="1">MIN(100,MAX(0,MCDA_Prioritisation!$H$3+(RAND()-0.5)*2*$B$7))</f>
        <v>55.884602663590677</v>
      </c>
      <c r="W148" s="54">
        <f ca="1">MIN(100,MAX(0,MCDA_Prioritisation!$H$4+(RAND()-0.5)*2*$B$7))</f>
        <v>70.480014760918763</v>
      </c>
      <c r="X148" s="54">
        <f ca="1">MIN(100,MAX(0,MCDA_Prioritisation!$H$5+(RAND()-0.5)*2*$B$7))</f>
        <v>84.179433733993307</v>
      </c>
      <c r="Y148" s="54">
        <f ca="1">H148*MCDA_Prioritisation!$D$2+I148*MCDA_Prioritisation!$E$2+J148*M148+K148*Q148+L148*U148</f>
        <v>86.075180067390789</v>
      </c>
      <c r="Z148" s="54">
        <f ca="1">H148*MCDA_Prioritisation!$D$3+I148*MCDA_Prioritisation!$E$3+J148*N148+K148*R148+L148*V148</f>
        <v>81.243493308349187</v>
      </c>
      <c r="AA148" s="54">
        <f ca="1">H148*MCDA_Prioritisation!$D$4+I148*MCDA_Prioritisation!$E$4+J148*O148+K148*S148+L148*W148</f>
        <v>74.761556349716543</v>
      </c>
      <c r="AB148" s="54">
        <f ca="1">H148*MCDA_Prioritisation!$D$5+I148*MCDA_Prioritisation!$E$5+J148*P148+K148*T148+L148*X148</f>
        <v>72.683223968752444</v>
      </c>
      <c r="AC148" s="54">
        <f t="shared" ca="1" si="20"/>
        <v>1</v>
      </c>
      <c r="AD148" s="54">
        <f t="shared" ca="1" si="21"/>
        <v>2</v>
      </c>
      <c r="AE148" s="54">
        <f t="shared" ca="1" si="22"/>
        <v>3</v>
      </c>
      <c r="AF148" s="54">
        <f t="shared" ca="1" si="23"/>
        <v>4</v>
      </c>
      <c r="AG148" s="54">
        <f t="shared" ca="1" si="24"/>
        <v>1</v>
      </c>
      <c r="AH148" s="54">
        <f t="shared" ca="1" si="25"/>
        <v>1</v>
      </c>
      <c r="AI148" s="54">
        <f t="shared" ca="1" si="26"/>
        <v>1</v>
      </c>
      <c r="AJ148" s="54">
        <f t="shared" ca="1" si="27"/>
        <v>1</v>
      </c>
    </row>
    <row r="149" spans="1:36" x14ac:dyDescent="0.2">
      <c r="A149" s="54">
        <v>126</v>
      </c>
      <c r="B149" s="54">
        <f ca="1">MAX(0.02,MCDA_Prioritisation!$B$9+(RAND()-0.5)*2*$B$6)</f>
        <v>0.15217280930961569</v>
      </c>
      <c r="C149" s="54">
        <f ca="1">MAX(0.02,MCDA_Prioritisation!$B$10+(RAND()-0.5)*2*$B$6)</f>
        <v>0.23990661386992937</v>
      </c>
      <c r="D149" s="54">
        <f ca="1">MAX(0.02,MCDA_Prioritisation!$B$11+(RAND()-0.5)*2*$B$6)</f>
        <v>0.2716410545440171</v>
      </c>
      <c r="E149" s="54">
        <f ca="1">MAX(0.02,MCDA_Prioritisation!$B$12+(RAND()-0.5)*2*$B$6)</f>
        <v>0.19430499758354849</v>
      </c>
      <c r="F149" s="54">
        <f ca="1">MAX(0.02,MCDA_Prioritisation!$B$13+(RAND()-0.5)*2*$B$6)</f>
        <v>0.16342565141295159</v>
      </c>
      <c r="G149" s="54">
        <f t="shared" ca="1" si="14"/>
        <v>1.0214511267200621</v>
      </c>
      <c r="H149" s="54">
        <f t="shared" ca="1" si="15"/>
        <v>0.14897708302329771</v>
      </c>
      <c r="I149" s="54">
        <f t="shared" ca="1" si="16"/>
        <v>0.23486842159573823</v>
      </c>
      <c r="J149" s="54">
        <f t="shared" ca="1" si="17"/>
        <v>0.26593641872643681</v>
      </c>
      <c r="K149" s="54">
        <f t="shared" ca="1" si="18"/>
        <v>0.19022446840650412</v>
      </c>
      <c r="L149" s="54">
        <f t="shared" ca="1" si="19"/>
        <v>0.15999360824802328</v>
      </c>
      <c r="M149" s="54">
        <f ca="1">MIN(100,MAX(0,MCDA_Prioritisation!$F$2+(RAND()-0.5)*2*$B$7))</f>
        <v>75.925204514778912</v>
      </c>
      <c r="N149" s="54">
        <f ca="1">MIN(100,MAX(0,MCDA_Prioritisation!$F$3+(RAND()-0.5)*2*$B$7))</f>
        <v>91.123459445748011</v>
      </c>
      <c r="O149" s="54">
        <f ca="1">MIN(100,MAX(0,MCDA_Prioritisation!$F$4+(RAND()-0.5)*2*$B$7))</f>
        <v>96.257846402134561</v>
      </c>
      <c r="P149" s="54">
        <f ca="1">MIN(100,MAX(0,MCDA_Prioritisation!$F$5+(RAND()-0.5)*2*$B$7))</f>
        <v>73.846562036896472</v>
      </c>
      <c r="Q149" s="54">
        <f ca="1">MIN(100,MAX(0,MCDA_Prioritisation!$G$2+(RAND()-0.5)*2*$B$7))</f>
        <v>82.816618664330534</v>
      </c>
      <c r="R149" s="54">
        <f ca="1">MIN(100,MAX(0,MCDA_Prioritisation!$G$3+(RAND()-0.5)*2*$B$7))</f>
        <v>85.668426429541881</v>
      </c>
      <c r="S149" s="54">
        <f ca="1">MIN(100,MAX(0,MCDA_Prioritisation!$G$4+(RAND()-0.5)*2*$B$7))</f>
        <v>93.221779357254007</v>
      </c>
      <c r="T149" s="54">
        <f ca="1">MIN(100,MAX(0,MCDA_Prioritisation!$G$5+(RAND()-0.5)*2*$B$7))</f>
        <v>78.696517812138765</v>
      </c>
      <c r="U149" s="54">
        <f ca="1">MIN(100,MAX(0,MCDA_Prioritisation!$H$2+(RAND()-0.5)*2*$B$7))</f>
        <v>66.386160575430324</v>
      </c>
      <c r="V149" s="54">
        <f ca="1">MIN(100,MAX(0,MCDA_Prioritisation!$H$3+(RAND()-0.5)*2*$B$7))</f>
        <v>55.873512696446213</v>
      </c>
      <c r="W149" s="54">
        <f ca="1">MIN(100,MAX(0,MCDA_Prioritisation!$H$4+(RAND()-0.5)*2*$B$7))</f>
        <v>75.357358334989172</v>
      </c>
      <c r="X149" s="54">
        <f ca="1">MIN(100,MAX(0,MCDA_Prioritisation!$H$5+(RAND()-0.5)*2*$B$7))</f>
        <v>77.427890399062335</v>
      </c>
      <c r="Y149" s="54">
        <f ca="1">H149*MCDA_Prioritisation!$D$2+I149*MCDA_Prioritisation!$E$2+J149*M149+K149*Q149+L149*U149</f>
        <v>84.950936070478392</v>
      </c>
      <c r="Z149" s="54">
        <f ca="1">H149*MCDA_Prioritisation!$D$3+I149*MCDA_Prioritisation!$E$3+J149*N149+K149*R149+L149*V149</f>
        <v>79.570148176364285</v>
      </c>
      <c r="AA149" s="54">
        <f ca="1">H149*MCDA_Prioritisation!$D$4+I149*MCDA_Prioritisation!$E$4+J149*O149+K149*S149+L149*W149</f>
        <v>78.573119135984101</v>
      </c>
      <c r="AB149" s="54">
        <f ca="1">H149*MCDA_Prioritisation!$D$5+I149*MCDA_Prioritisation!$E$5+J149*P149+K149*T149+L149*X149</f>
        <v>74.653851406843955</v>
      </c>
      <c r="AC149" s="54">
        <f t="shared" ca="1" si="20"/>
        <v>1</v>
      </c>
      <c r="AD149" s="54">
        <f t="shared" ca="1" si="21"/>
        <v>2</v>
      </c>
      <c r="AE149" s="54">
        <f t="shared" ca="1" si="22"/>
        <v>3</v>
      </c>
      <c r="AF149" s="54">
        <f t="shared" ca="1" si="23"/>
        <v>4</v>
      </c>
      <c r="AG149" s="54">
        <f t="shared" ca="1" si="24"/>
        <v>1</v>
      </c>
      <c r="AH149" s="54">
        <f t="shared" ca="1" si="25"/>
        <v>1</v>
      </c>
      <c r="AI149" s="54">
        <f t="shared" ca="1" si="26"/>
        <v>1</v>
      </c>
      <c r="AJ149" s="54">
        <f t="shared" ca="1" si="27"/>
        <v>1</v>
      </c>
    </row>
    <row r="150" spans="1:36" x14ac:dyDescent="0.2">
      <c r="A150" s="54">
        <v>127</v>
      </c>
      <c r="B150" s="54">
        <f ca="1">MAX(0.02,MCDA_Prioritisation!$B$9+(RAND()-0.5)*2*$B$6)</f>
        <v>0.26656600358888827</v>
      </c>
      <c r="C150" s="54">
        <f ca="1">MAX(0.02,MCDA_Prioritisation!$B$10+(RAND()-0.5)*2*$B$6)</f>
        <v>0.18738444136839424</v>
      </c>
      <c r="D150" s="54">
        <f ca="1">MAX(0.02,MCDA_Prioritisation!$B$11+(RAND()-0.5)*2*$B$6)</f>
        <v>0.22856310246309666</v>
      </c>
      <c r="E150" s="54">
        <f ca="1">MAX(0.02,MCDA_Prioritisation!$B$12+(RAND()-0.5)*2*$B$6)</f>
        <v>0.10011110109417282</v>
      </c>
      <c r="F150" s="54">
        <f ca="1">MAX(0.02,MCDA_Prioritisation!$B$13+(RAND()-0.5)*2*$B$6)</f>
        <v>0.1279166166318815</v>
      </c>
      <c r="G150" s="54">
        <f t="shared" ca="1" si="14"/>
        <v>0.91054126514643352</v>
      </c>
      <c r="H150" s="54">
        <f t="shared" ca="1" si="15"/>
        <v>0.2927555441938362</v>
      </c>
      <c r="I150" s="54">
        <f t="shared" ca="1" si="16"/>
        <v>0.20579456257620463</v>
      </c>
      <c r="J150" s="54">
        <f t="shared" ca="1" si="17"/>
        <v>0.25101893918705492</v>
      </c>
      <c r="K150" s="54">
        <f t="shared" ca="1" si="18"/>
        <v>0.1099468029909363</v>
      </c>
      <c r="L150" s="54">
        <f t="shared" ca="1" si="19"/>
        <v>0.14048415105196788</v>
      </c>
      <c r="M150" s="54">
        <f ca="1">MIN(100,MAX(0,MCDA_Prioritisation!$F$2+(RAND()-0.5)*2*$B$7))</f>
        <v>93.227055688366647</v>
      </c>
      <c r="N150" s="54">
        <f ca="1">MIN(100,MAX(0,MCDA_Prioritisation!$F$3+(RAND()-0.5)*2*$B$7))</f>
        <v>100</v>
      </c>
      <c r="O150" s="54">
        <f ca="1">MIN(100,MAX(0,MCDA_Prioritisation!$F$4+(RAND()-0.5)*2*$B$7))</f>
        <v>94.918998175016341</v>
      </c>
      <c r="P150" s="54">
        <f ca="1">MIN(100,MAX(0,MCDA_Prioritisation!$F$5+(RAND()-0.5)*2*$B$7))</f>
        <v>81.073847139887434</v>
      </c>
      <c r="Q150" s="54">
        <f ca="1">MIN(100,MAX(0,MCDA_Prioritisation!$G$2+(RAND()-0.5)*2*$B$7))</f>
        <v>81.387878356925924</v>
      </c>
      <c r="R150" s="54">
        <f ca="1">MIN(100,MAX(0,MCDA_Prioritisation!$G$3+(RAND()-0.5)*2*$B$7))</f>
        <v>100</v>
      </c>
      <c r="S150" s="54">
        <f ca="1">MIN(100,MAX(0,MCDA_Prioritisation!$G$4+(RAND()-0.5)*2*$B$7))</f>
        <v>80.307656654317555</v>
      </c>
      <c r="T150" s="54">
        <f ca="1">MIN(100,MAX(0,MCDA_Prioritisation!$G$5+(RAND()-0.5)*2*$B$7))</f>
        <v>78.911412064917897</v>
      </c>
      <c r="U150" s="54">
        <f ca="1">MIN(100,MAX(0,MCDA_Prioritisation!$H$2+(RAND()-0.5)*2*$B$7))</f>
        <v>60.347660850427715</v>
      </c>
      <c r="V150" s="54">
        <f ca="1">MIN(100,MAX(0,MCDA_Prioritisation!$H$3+(RAND()-0.5)*2*$B$7))</f>
        <v>62.615658910558153</v>
      </c>
      <c r="W150" s="54">
        <f ca="1">MIN(100,MAX(0,MCDA_Prioritisation!$H$4+(RAND()-0.5)*2*$B$7))</f>
        <v>80.65836837222281</v>
      </c>
      <c r="X150" s="54">
        <f ca="1">MIN(100,MAX(0,MCDA_Prioritisation!$H$5+(RAND()-0.5)*2*$B$7))</f>
        <v>83.345365505030543</v>
      </c>
      <c r="Y150" s="54">
        <f ca="1">H150*MCDA_Prioritisation!$D$2+I150*MCDA_Prioritisation!$E$2+J150*M150+K150*Q150+L150*U150</f>
        <v>90.682994229534017</v>
      </c>
      <c r="Z150" s="54">
        <f ca="1">H150*MCDA_Prioritisation!$D$3+I150*MCDA_Prioritisation!$E$3+J150*N150+K150*R150+L150*V150</f>
        <v>85.445868419046164</v>
      </c>
      <c r="AA150" s="54">
        <f ca="1">H150*MCDA_Prioritisation!$D$4+I150*MCDA_Prioritisation!$E$4+J150*O150+K150*S150+L150*W150</f>
        <v>75.598191804876265</v>
      </c>
      <c r="AB150" s="54">
        <f ca="1">H150*MCDA_Prioritisation!$D$5+I150*MCDA_Prioritisation!$E$5+J150*P150+K150*T150+L150*X150</f>
        <v>73.579544359360824</v>
      </c>
      <c r="AC150" s="54">
        <f t="shared" ca="1" si="20"/>
        <v>1</v>
      </c>
      <c r="AD150" s="54">
        <f t="shared" ca="1" si="21"/>
        <v>2</v>
      </c>
      <c r="AE150" s="54">
        <f t="shared" ca="1" si="22"/>
        <v>3</v>
      </c>
      <c r="AF150" s="54">
        <f t="shared" ca="1" si="23"/>
        <v>4</v>
      </c>
      <c r="AG150" s="54">
        <f t="shared" ca="1" si="24"/>
        <v>1</v>
      </c>
      <c r="AH150" s="54">
        <f t="shared" ca="1" si="25"/>
        <v>1</v>
      </c>
      <c r="AI150" s="54">
        <f t="shared" ca="1" si="26"/>
        <v>1</v>
      </c>
      <c r="AJ150" s="54">
        <f t="shared" ca="1" si="27"/>
        <v>1</v>
      </c>
    </row>
    <row r="151" spans="1:36" x14ac:dyDescent="0.2">
      <c r="A151" s="54">
        <v>128</v>
      </c>
      <c r="B151" s="54">
        <f ca="1">MAX(0.02,MCDA_Prioritisation!$B$9+(RAND()-0.5)*2*$B$6)</f>
        <v>0.27837746477501318</v>
      </c>
      <c r="C151" s="54">
        <f ca="1">MAX(0.02,MCDA_Prioritisation!$B$10+(RAND()-0.5)*2*$B$6)</f>
        <v>0.2922369284608029</v>
      </c>
      <c r="D151" s="54">
        <f ca="1">MAX(0.02,MCDA_Prioritisation!$B$11+(RAND()-0.5)*2*$B$6)</f>
        <v>0.24195734989709408</v>
      </c>
      <c r="E151" s="54">
        <f ca="1">MAX(0.02,MCDA_Prioritisation!$B$12+(RAND()-0.5)*2*$B$6)</f>
        <v>0.1114363482718175</v>
      </c>
      <c r="F151" s="54">
        <f ca="1">MAX(0.02,MCDA_Prioritisation!$B$13+(RAND()-0.5)*2*$B$6)</f>
        <v>0.10978453534220825</v>
      </c>
      <c r="G151" s="54">
        <f t="shared" ca="1" si="14"/>
        <v>1.0337926267469359</v>
      </c>
      <c r="H151" s="54">
        <f t="shared" ca="1" si="15"/>
        <v>0.26927785860786346</v>
      </c>
      <c r="I151" s="54">
        <f t="shared" ca="1" si="16"/>
        <v>0.28268428396553086</v>
      </c>
      <c r="J151" s="54">
        <f t="shared" ca="1" si="17"/>
        <v>0.23404824491587642</v>
      </c>
      <c r="K151" s="54">
        <f t="shared" ca="1" si="18"/>
        <v>0.10779371547897122</v>
      </c>
      <c r="L151" s="54">
        <f t="shared" ca="1" si="19"/>
        <v>0.10619589703175801</v>
      </c>
      <c r="M151" s="54">
        <f ca="1">MIN(100,MAX(0,MCDA_Prioritisation!$F$2+(RAND()-0.5)*2*$B$7))</f>
        <v>79.517028530159564</v>
      </c>
      <c r="N151" s="54">
        <f ca="1">MIN(100,MAX(0,MCDA_Prioritisation!$F$3+(RAND()-0.5)*2*$B$7))</f>
        <v>100</v>
      </c>
      <c r="O151" s="54">
        <f ca="1">MIN(100,MAX(0,MCDA_Prioritisation!$F$4+(RAND()-0.5)*2*$B$7))</f>
        <v>85.674010267205418</v>
      </c>
      <c r="P151" s="54">
        <f ca="1">MIN(100,MAX(0,MCDA_Prioritisation!$F$5+(RAND()-0.5)*2*$B$7))</f>
        <v>83.140139335938869</v>
      </c>
      <c r="Q151" s="54">
        <f ca="1">MIN(100,MAX(0,MCDA_Prioritisation!$G$2+(RAND()-0.5)*2*$B$7))</f>
        <v>79.223886899509068</v>
      </c>
      <c r="R151" s="54">
        <f ca="1">MIN(100,MAX(0,MCDA_Prioritisation!$G$3+(RAND()-0.5)*2*$B$7))</f>
        <v>92.335599092826712</v>
      </c>
      <c r="S151" s="54">
        <f ca="1">MIN(100,MAX(0,MCDA_Prioritisation!$G$4+(RAND()-0.5)*2*$B$7))</f>
        <v>91.176906431460694</v>
      </c>
      <c r="T151" s="54">
        <f ca="1">MIN(100,MAX(0,MCDA_Prioritisation!$G$5+(RAND()-0.5)*2*$B$7))</f>
        <v>71.557305704192203</v>
      </c>
      <c r="U151" s="54">
        <f ca="1">MIN(100,MAX(0,MCDA_Prioritisation!$H$2+(RAND()-0.5)*2*$B$7))</f>
        <v>56.031224379568521</v>
      </c>
      <c r="V151" s="54">
        <f ca="1">MIN(100,MAX(0,MCDA_Prioritisation!$H$3+(RAND()-0.5)*2*$B$7))</f>
        <v>66.616931087306511</v>
      </c>
      <c r="W151" s="54">
        <f ca="1">MIN(100,MAX(0,MCDA_Prioritisation!$H$4+(RAND()-0.5)*2*$B$7))</f>
        <v>72.628727171761298</v>
      </c>
      <c r="X151" s="54">
        <f ca="1">MIN(100,MAX(0,MCDA_Prioritisation!$H$5+(RAND()-0.5)*2*$B$7))</f>
        <v>73.774492226726593</v>
      </c>
      <c r="Y151" s="54">
        <f ca="1">H151*MCDA_Prioritisation!$D$2+I151*MCDA_Prioritisation!$E$2+J151*M151+K151*Q151+L151*U151</f>
        <v>88.297158484108834</v>
      </c>
      <c r="Z151" s="54">
        <f ca="1">H151*MCDA_Prioritisation!$D$3+I151*MCDA_Prioritisation!$E$3+J151*N151+K151*R151+L151*V151</f>
        <v>84.525357283789774</v>
      </c>
      <c r="AA151" s="54">
        <f ca="1">H151*MCDA_Prioritisation!$D$4+I151*MCDA_Prioritisation!$E$4+J151*O151+K151*S151+L151*W151</f>
        <v>71.763091938574661</v>
      </c>
      <c r="AB151" s="54">
        <f ca="1">H151*MCDA_Prioritisation!$D$5+I151*MCDA_Prioritisation!$E$5+J151*P151+K151*T151+L151*X151</f>
        <v>73.070120304543806</v>
      </c>
      <c r="AC151" s="54">
        <f t="shared" ca="1" si="20"/>
        <v>1</v>
      </c>
      <c r="AD151" s="54">
        <f t="shared" ca="1" si="21"/>
        <v>2</v>
      </c>
      <c r="AE151" s="54">
        <f t="shared" ca="1" si="22"/>
        <v>4</v>
      </c>
      <c r="AF151" s="54">
        <f t="shared" ca="1" si="23"/>
        <v>3</v>
      </c>
      <c r="AG151" s="54">
        <f t="shared" ca="1" si="24"/>
        <v>1</v>
      </c>
      <c r="AH151" s="54">
        <f t="shared" ca="1" si="25"/>
        <v>1</v>
      </c>
      <c r="AI151" s="54">
        <f t="shared" ca="1" si="26"/>
        <v>0</v>
      </c>
      <c r="AJ151" s="54">
        <f t="shared" ca="1" si="27"/>
        <v>1</v>
      </c>
    </row>
    <row r="152" spans="1:36" x14ac:dyDescent="0.2">
      <c r="A152" s="54">
        <v>129</v>
      </c>
      <c r="B152" s="54">
        <f ca="1">MAX(0.02,MCDA_Prioritisation!$B$9+(RAND()-0.5)*2*$B$6)</f>
        <v>0.17580115419609563</v>
      </c>
      <c r="C152" s="54">
        <f ca="1">MAX(0.02,MCDA_Prioritisation!$B$10+(RAND()-0.5)*2*$B$6)</f>
        <v>0.17600574517408724</v>
      </c>
      <c r="D152" s="54">
        <f ca="1">MAX(0.02,MCDA_Prioritisation!$B$11+(RAND()-0.5)*2*$B$6)</f>
        <v>0.3009321371437288</v>
      </c>
      <c r="E152" s="54">
        <f ca="1">MAX(0.02,MCDA_Prioritisation!$B$12+(RAND()-0.5)*2*$B$6)</f>
        <v>0.20846473001834295</v>
      </c>
      <c r="F152" s="54">
        <f ca="1">MAX(0.02,MCDA_Prioritisation!$B$13+(RAND()-0.5)*2*$B$6)</f>
        <v>0.14374455158111785</v>
      </c>
      <c r="G152" s="54">
        <f t="shared" ref="G152:G215" ca="1" si="28">SUM(B152:F152)</f>
        <v>1.0049483181133725</v>
      </c>
      <c r="H152" s="54">
        <f t="shared" ref="H152:H215" ca="1" si="29">B152/$G152</f>
        <v>0.17493551760565537</v>
      </c>
      <c r="I152" s="54">
        <f t="shared" ref="I152:I215" ca="1" si="30">C152/$G152</f>
        <v>0.17513910118732223</v>
      </c>
      <c r="J152" s="54">
        <f t="shared" ref="J152:J215" ca="1" si="31">D152/$G152</f>
        <v>0.29945036149588278</v>
      </c>
      <c r="K152" s="54">
        <f t="shared" ref="K152:K215" ca="1" si="32">E152/$G152</f>
        <v>0.20743825952134701</v>
      </c>
      <c r="L152" s="54">
        <f t="shared" ref="L152:L215" ca="1" si="33">F152/$G152</f>
        <v>0.14303676018979258</v>
      </c>
      <c r="M152" s="54">
        <f ca="1">MIN(100,MAX(0,MCDA_Prioritisation!$F$2+(RAND()-0.5)*2*$B$7))</f>
        <v>94.6818571046459</v>
      </c>
      <c r="N152" s="54">
        <f ca="1">MIN(100,MAX(0,MCDA_Prioritisation!$F$3+(RAND()-0.5)*2*$B$7))</f>
        <v>92.585371590983584</v>
      </c>
      <c r="O152" s="54">
        <f ca="1">MIN(100,MAX(0,MCDA_Prioritisation!$F$4+(RAND()-0.5)*2*$B$7))</f>
        <v>92.442446863641678</v>
      </c>
      <c r="P152" s="54">
        <f ca="1">MIN(100,MAX(0,MCDA_Prioritisation!$F$5+(RAND()-0.5)*2*$B$7))</f>
        <v>70.177265250488077</v>
      </c>
      <c r="Q152" s="54">
        <f ca="1">MIN(100,MAX(0,MCDA_Prioritisation!$G$2+(RAND()-0.5)*2*$B$7))</f>
        <v>76.423410976218435</v>
      </c>
      <c r="R152" s="54">
        <f ca="1">MIN(100,MAX(0,MCDA_Prioritisation!$G$3+(RAND()-0.5)*2*$B$7))</f>
        <v>99.795856307863517</v>
      </c>
      <c r="S152" s="54">
        <f ca="1">MIN(100,MAX(0,MCDA_Prioritisation!$G$4+(RAND()-0.5)*2*$B$7))</f>
        <v>92.870539819920396</v>
      </c>
      <c r="T152" s="54">
        <f ca="1">MIN(100,MAX(0,MCDA_Prioritisation!$G$5+(RAND()-0.5)*2*$B$7))</f>
        <v>69.054353380162354</v>
      </c>
      <c r="U152" s="54">
        <f ca="1">MIN(100,MAX(0,MCDA_Prioritisation!$H$2+(RAND()-0.5)*2*$B$7))</f>
        <v>55.556843288152038</v>
      </c>
      <c r="V152" s="54">
        <f ca="1">MIN(100,MAX(0,MCDA_Prioritisation!$H$3+(RAND()-0.5)*2*$B$7))</f>
        <v>60.864864313947024</v>
      </c>
      <c r="W152" s="54">
        <f ca="1">MIN(100,MAX(0,MCDA_Prioritisation!$H$4+(RAND()-0.5)*2*$B$7))</f>
        <v>87.066124044710236</v>
      </c>
      <c r="X152" s="54">
        <f ca="1">MIN(100,MAX(0,MCDA_Prioritisation!$H$5+(RAND()-0.5)*2*$B$7))</f>
        <v>83.565540286187058</v>
      </c>
      <c r="Y152" s="54">
        <f ca="1">H152*MCDA_Prioritisation!$D$2+I152*MCDA_Prioritisation!$E$2+J152*M152+K152*Q152+L152*U152</f>
        <v>87.159788446286157</v>
      </c>
      <c r="Z152" s="54">
        <f ca="1">H152*MCDA_Prioritisation!$D$3+I152*MCDA_Prioritisation!$E$3+J152*N152+K152*R152+L152*V152</f>
        <v>85.158315223252245</v>
      </c>
      <c r="AA152" s="54">
        <f ca="1">H152*MCDA_Prioritisation!$D$4+I152*MCDA_Prioritisation!$E$4+J152*O152+K152*S152+L152*W152</f>
        <v>81.135006530534341</v>
      </c>
      <c r="AB152" s="54">
        <f ca="1">H152*MCDA_Prioritisation!$D$5+I152*MCDA_Prioritisation!$E$5+J152*P152+K152*T152+L152*X152</f>
        <v>71.304530966221165</v>
      </c>
      <c r="AC152" s="54">
        <f t="shared" ref="AC152:AC215" ca="1" si="34">SUMPRODUCT(--($Y152:$AB152&gt;Y152))+1</f>
        <v>1</v>
      </c>
      <c r="AD152" s="54">
        <f t="shared" ref="AD152:AD215" ca="1" si="35">SUMPRODUCT(--($Y152:$AB152&gt;Z152))+1</f>
        <v>2</v>
      </c>
      <c r="AE152" s="54">
        <f t="shared" ref="AE152:AE215" ca="1" si="36">SUMPRODUCT(--($Y152:$AB152&gt;AA152))+1</f>
        <v>3</v>
      </c>
      <c r="AF152" s="54">
        <f t="shared" ref="AF152:AF215" ca="1" si="37">SUMPRODUCT(--($Y152:$AB152&gt;AB152))+1</f>
        <v>4</v>
      </c>
      <c r="AG152" s="54">
        <f t="shared" ref="AG152:AG215" ca="1" si="38">IF(AC152=1,1,0)</f>
        <v>1</v>
      </c>
      <c r="AH152" s="54">
        <f t="shared" ref="AH152:AH215" ca="1" si="39">IF(AD152=2,1,0)</f>
        <v>1</v>
      </c>
      <c r="AI152" s="54">
        <f t="shared" ref="AI152:AI215" ca="1" si="40">IF(AND(AC152=1,AD152=2,AE152=3,AF152=4),1,0)</f>
        <v>1</v>
      </c>
      <c r="AJ152" s="54">
        <f t="shared" ref="AJ152:AJ215" ca="1" si="41">IF(AND(AC152&lt;=2,AD152&lt;=2),1,0)</f>
        <v>1</v>
      </c>
    </row>
    <row r="153" spans="1:36" x14ac:dyDescent="0.2">
      <c r="A153" s="54">
        <v>130</v>
      </c>
      <c r="B153" s="54">
        <f ca="1">MAX(0.02,MCDA_Prioritisation!$B$9+(RAND()-0.5)*2*$B$6)</f>
        <v>0.240859999981754</v>
      </c>
      <c r="C153" s="54">
        <f ca="1">MAX(0.02,MCDA_Prioritisation!$B$10+(RAND()-0.5)*2*$B$6)</f>
        <v>0.26293195411495218</v>
      </c>
      <c r="D153" s="54">
        <f ca="1">MAX(0.02,MCDA_Prioritisation!$B$11+(RAND()-0.5)*2*$B$6)</f>
        <v>0.23004507442334551</v>
      </c>
      <c r="E153" s="54">
        <f ca="1">MAX(0.02,MCDA_Prioritisation!$B$12+(RAND()-0.5)*2*$B$6)</f>
        <v>0.10405522192448263</v>
      </c>
      <c r="F153" s="54">
        <f ca="1">MAX(0.02,MCDA_Prioritisation!$B$13+(RAND()-0.5)*2*$B$6)</f>
        <v>0.21145610716243274</v>
      </c>
      <c r="G153" s="54">
        <f t="shared" ca="1" si="28"/>
        <v>1.0493483576069671</v>
      </c>
      <c r="H153" s="54">
        <f t="shared" ca="1" si="29"/>
        <v>0.22953292701675718</v>
      </c>
      <c r="I153" s="54">
        <f t="shared" ca="1" si="30"/>
        <v>0.250566889640507</v>
      </c>
      <c r="J153" s="54">
        <f t="shared" ca="1" si="31"/>
        <v>0.21922660168636657</v>
      </c>
      <c r="K153" s="54">
        <f t="shared" ca="1" si="32"/>
        <v>9.916175231052915E-2</v>
      </c>
      <c r="L153" s="54">
        <f t="shared" ca="1" si="33"/>
        <v>0.20151182934584008</v>
      </c>
      <c r="M153" s="54">
        <f ca="1">MIN(100,MAX(0,MCDA_Prioritisation!$F$2+(RAND()-0.5)*2*$B$7))</f>
        <v>94.733756401193645</v>
      </c>
      <c r="N153" s="54">
        <f ca="1">MIN(100,MAX(0,MCDA_Prioritisation!$F$3+(RAND()-0.5)*2*$B$7))</f>
        <v>86.970445740817837</v>
      </c>
      <c r="O153" s="54">
        <f ca="1">MIN(100,MAX(0,MCDA_Prioritisation!$F$4+(RAND()-0.5)*2*$B$7))</f>
        <v>93.076659084041054</v>
      </c>
      <c r="P153" s="54">
        <f ca="1">MIN(100,MAX(0,MCDA_Prioritisation!$F$5+(RAND()-0.5)*2*$B$7))</f>
        <v>65.442510856183802</v>
      </c>
      <c r="Q153" s="54">
        <f ca="1">MIN(100,MAX(0,MCDA_Prioritisation!$G$2+(RAND()-0.5)*2*$B$7))</f>
        <v>82.499577285318011</v>
      </c>
      <c r="R153" s="54">
        <f ca="1">MIN(100,MAX(0,MCDA_Prioritisation!$G$3+(RAND()-0.5)*2*$B$7))</f>
        <v>95.80103864538178</v>
      </c>
      <c r="S153" s="54">
        <f ca="1">MIN(100,MAX(0,MCDA_Prioritisation!$G$4+(RAND()-0.5)*2*$B$7))</f>
        <v>88.233595365226222</v>
      </c>
      <c r="T153" s="54">
        <f ca="1">MIN(100,MAX(0,MCDA_Prioritisation!$G$5+(RAND()-0.5)*2*$B$7))</f>
        <v>64.82352199900032</v>
      </c>
      <c r="U153" s="54">
        <f ca="1">MIN(100,MAX(0,MCDA_Prioritisation!$H$2+(RAND()-0.5)*2*$B$7))</f>
        <v>55.954118890587885</v>
      </c>
      <c r="V153" s="54">
        <f ca="1">MIN(100,MAX(0,MCDA_Prioritisation!$H$3+(RAND()-0.5)*2*$B$7))</f>
        <v>66.991303375993823</v>
      </c>
      <c r="W153" s="54">
        <f ca="1">MIN(100,MAX(0,MCDA_Prioritisation!$H$4+(RAND()-0.5)*2*$B$7))</f>
        <v>82.262036681955138</v>
      </c>
      <c r="X153" s="54">
        <f ca="1">MIN(100,MAX(0,MCDA_Prioritisation!$H$5+(RAND()-0.5)*2*$B$7))</f>
        <v>74.660606998944857</v>
      </c>
      <c r="Y153" s="54">
        <f ca="1">H153*MCDA_Prioritisation!$D$2+I153*MCDA_Prioritisation!$E$2+J153*M153+K153*Q153+L153*U153</f>
        <v>88.234360652111221</v>
      </c>
      <c r="Z153" s="54">
        <f ca="1">H153*MCDA_Prioritisation!$D$3+I153*MCDA_Prioritisation!$E$3+J153*N153+K153*R153+L153*V153</f>
        <v>80.349073072370714</v>
      </c>
      <c r="AA153" s="54">
        <f ca="1">H153*MCDA_Prioritisation!$D$4+I153*MCDA_Prioritisation!$E$4+J153*O153+K153*S153+L153*W153</f>
        <v>75.381659688409286</v>
      </c>
      <c r="AB153" s="54">
        <f ca="1">H153*MCDA_Prioritisation!$D$5+I153*MCDA_Prioritisation!$E$5+J153*P153+K153*T153+L153*X153</f>
        <v>69.072810672391611</v>
      </c>
      <c r="AC153" s="54">
        <f t="shared" ca="1" si="34"/>
        <v>1</v>
      </c>
      <c r="AD153" s="54">
        <f t="shared" ca="1" si="35"/>
        <v>2</v>
      </c>
      <c r="AE153" s="54">
        <f t="shared" ca="1" si="36"/>
        <v>3</v>
      </c>
      <c r="AF153" s="54">
        <f t="shared" ca="1" si="37"/>
        <v>4</v>
      </c>
      <c r="AG153" s="54">
        <f t="shared" ca="1" si="38"/>
        <v>1</v>
      </c>
      <c r="AH153" s="54">
        <f t="shared" ca="1" si="39"/>
        <v>1</v>
      </c>
      <c r="AI153" s="54">
        <f t="shared" ca="1" si="40"/>
        <v>1</v>
      </c>
      <c r="AJ153" s="54">
        <f t="shared" ca="1" si="41"/>
        <v>1</v>
      </c>
    </row>
    <row r="154" spans="1:36" x14ac:dyDescent="0.2">
      <c r="A154" s="54">
        <v>131</v>
      </c>
      <c r="B154" s="54">
        <f ca="1">MAX(0.02,MCDA_Prioritisation!$B$9+(RAND()-0.5)*2*$B$6)</f>
        <v>0.14212928298181354</v>
      </c>
      <c r="C154" s="54">
        <f ca="1">MAX(0.02,MCDA_Prioritisation!$B$10+(RAND()-0.5)*2*$B$6)</f>
        <v>0.32519308940287545</v>
      </c>
      <c r="D154" s="54">
        <f ca="1">MAX(0.02,MCDA_Prioritisation!$B$11+(RAND()-0.5)*2*$B$6)</f>
        <v>0.1751022384587374</v>
      </c>
      <c r="E154" s="54">
        <f ca="1">MAX(0.02,MCDA_Prioritisation!$B$12+(RAND()-0.5)*2*$B$6)</f>
        <v>0.1325520947060729</v>
      </c>
      <c r="F154" s="54">
        <f ca="1">MAX(0.02,MCDA_Prioritisation!$B$13+(RAND()-0.5)*2*$B$6)</f>
        <v>0.11673341265887241</v>
      </c>
      <c r="G154" s="54">
        <f t="shared" ca="1" si="28"/>
        <v>0.89171011820837165</v>
      </c>
      <c r="H154" s="54">
        <f t="shared" ca="1" si="29"/>
        <v>0.15938955954361086</v>
      </c>
      <c r="I154" s="54">
        <f t="shared" ca="1" si="30"/>
        <v>0.36468475882751561</v>
      </c>
      <c r="J154" s="54">
        <f t="shared" ca="1" si="31"/>
        <v>0.19636677310621267</v>
      </c>
      <c r="K154" s="54">
        <f t="shared" ca="1" si="32"/>
        <v>0.14864931102542295</v>
      </c>
      <c r="L154" s="54">
        <f t="shared" ca="1" si="33"/>
        <v>0.13090959749723796</v>
      </c>
      <c r="M154" s="54">
        <f ca="1">MIN(100,MAX(0,MCDA_Prioritisation!$F$2+(RAND()-0.5)*2*$B$7))</f>
        <v>93.271065508792162</v>
      </c>
      <c r="N154" s="54">
        <f ca="1">MIN(100,MAX(0,MCDA_Prioritisation!$F$3+(RAND()-0.5)*2*$B$7))</f>
        <v>97.224359515630695</v>
      </c>
      <c r="O154" s="54">
        <f ca="1">MIN(100,MAX(0,MCDA_Prioritisation!$F$4+(RAND()-0.5)*2*$B$7))</f>
        <v>99.568163760590082</v>
      </c>
      <c r="P154" s="54">
        <f ca="1">MIN(100,MAX(0,MCDA_Prioritisation!$F$5+(RAND()-0.5)*2*$B$7))</f>
        <v>71.364866796159234</v>
      </c>
      <c r="Q154" s="54">
        <f ca="1">MIN(100,MAX(0,MCDA_Prioritisation!$G$2+(RAND()-0.5)*2*$B$7))</f>
        <v>84.237241577896498</v>
      </c>
      <c r="R154" s="54">
        <f ca="1">MIN(100,MAX(0,MCDA_Prioritisation!$G$3+(RAND()-0.5)*2*$B$7))</f>
        <v>86.258124258668445</v>
      </c>
      <c r="S154" s="54">
        <f ca="1">MIN(100,MAX(0,MCDA_Prioritisation!$G$4+(RAND()-0.5)*2*$B$7))</f>
        <v>85.65847277690078</v>
      </c>
      <c r="T154" s="54">
        <f ca="1">MIN(100,MAX(0,MCDA_Prioritisation!$G$5+(RAND()-0.5)*2*$B$7))</f>
        <v>72.786647442062886</v>
      </c>
      <c r="U154" s="54">
        <f ca="1">MIN(100,MAX(0,MCDA_Prioritisation!$H$2+(RAND()-0.5)*2*$B$7))</f>
        <v>60.002472495077477</v>
      </c>
      <c r="V154" s="54">
        <f ca="1">MIN(100,MAX(0,MCDA_Prioritisation!$H$3+(RAND()-0.5)*2*$B$7))</f>
        <v>65.272493339491746</v>
      </c>
      <c r="W154" s="54">
        <f ca="1">MIN(100,MAX(0,MCDA_Prioritisation!$H$4+(RAND()-0.5)*2*$B$7))</f>
        <v>82.690065656584849</v>
      </c>
      <c r="X154" s="54">
        <f ca="1">MIN(100,MAX(0,MCDA_Prioritisation!$H$5+(RAND()-0.5)*2*$B$7))</f>
        <v>73.361022096448607</v>
      </c>
      <c r="Y154" s="54">
        <f ca="1">H154*MCDA_Prioritisation!$D$2+I154*MCDA_Prioritisation!$E$2+J154*M154+K154*Q154+L154*U154</f>
        <v>91.099477441658436</v>
      </c>
      <c r="Z154" s="54">
        <f ca="1">H154*MCDA_Prioritisation!$D$3+I154*MCDA_Prioritisation!$E$3+J154*N154+K154*R154+L154*V154</f>
        <v>80.911311947388896</v>
      </c>
      <c r="AA154" s="54">
        <f ca="1">H154*MCDA_Prioritisation!$D$4+I154*MCDA_Prioritisation!$E$4+J154*O154+K154*S154+L154*W154</f>
        <v>74.100723070779864</v>
      </c>
      <c r="AB154" s="54">
        <f ca="1">H154*MCDA_Prioritisation!$D$5+I154*MCDA_Prioritisation!$E$5+J154*P154+K154*T154+L154*X154</f>
        <v>73.563451077154937</v>
      </c>
      <c r="AC154" s="54">
        <f t="shared" ca="1" si="34"/>
        <v>1</v>
      </c>
      <c r="AD154" s="54">
        <f t="shared" ca="1" si="35"/>
        <v>2</v>
      </c>
      <c r="AE154" s="54">
        <f t="shared" ca="1" si="36"/>
        <v>3</v>
      </c>
      <c r="AF154" s="54">
        <f t="shared" ca="1" si="37"/>
        <v>4</v>
      </c>
      <c r="AG154" s="54">
        <f t="shared" ca="1" si="38"/>
        <v>1</v>
      </c>
      <c r="AH154" s="54">
        <f t="shared" ca="1" si="39"/>
        <v>1</v>
      </c>
      <c r="AI154" s="54">
        <f t="shared" ca="1" si="40"/>
        <v>1</v>
      </c>
      <c r="AJ154" s="54">
        <f t="shared" ca="1" si="41"/>
        <v>1</v>
      </c>
    </row>
    <row r="155" spans="1:36" x14ac:dyDescent="0.2">
      <c r="A155" s="54">
        <v>132</v>
      </c>
      <c r="B155" s="54">
        <f ca="1">MAX(0.02,MCDA_Prioritisation!$B$9+(RAND()-0.5)*2*$B$6)</f>
        <v>0.27968854334182086</v>
      </c>
      <c r="C155" s="54">
        <f ca="1">MAX(0.02,MCDA_Prioritisation!$B$10+(RAND()-0.5)*2*$B$6)</f>
        <v>0.1851398347818129</v>
      </c>
      <c r="D155" s="54">
        <f ca="1">MAX(0.02,MCDA_Prioritisation!$B$11+(RAND()-0.5)*2*$B$6)</f>
        <v>0.22931763598326105</v>
      </c>
      <c r="E155" s="54">
        <f ca="1">MAX(0.02,MCDA_Prioritisation!$B$12+(RAND()-0.5)*2*$B$6)</f>
        <v>0.22311836693984033</v>
      </c>
      <c r="F155" s="54">
        <f ca="1">MAX(0.02,MCDA_Prioritisation!$B$13+(RAND()-0.5)*2*$B$6)</f>
        <v>0.17489227290647025</v>
      </c>
      <c r="G155" s="54">
        <f t="shared" ca="1" si="28"/>
        <v>1.0921566539532055</v>
      </c>
      <c r="H155" s="54">
        <f t="shared" ca="1" si="29"/>
        <v>0.25608830228653662</v>
      </c>
      <c r="I155" s="54">
        <f t="shared" ca="1" si="30"/>
        <v>0.16951765491852727</v>
      </c>
      <c r="J155" s="54">
        <f t="shared" ca="1" si="31"/>
        <v>0.20996771402089209</v>
      </c>
      <c r="K155" s="54">
        <f t="shared" ca="1" si="32"/>
        <v>0.20429154199833319</v>
      </c>
      <c r="L155" s="54">
        <f t="shared" ca="1" si="33"/>
        <v>0.16013478677571072</v>
      </c>
      <c r="M155" s="54">
        <f ca="1">MIN(100,MAX(0,MCDA_Prioritisation!$F$2+(RAND()-0.5)*2*$B$7))</f>
        <v>79.972918034406632</v>
      </c>
      <c r="N155" s="54">
        <f ca="1">MIN(100,MAX(0,MCDA_Prioritisation!$F$3+(RAND()-0.5)*2*$B$7))</f>
        <v>98.528139759578409</v>
      </c>
      <c r="O155" s="54">
        <f ca="1">MIN(100,MAX(0,MCDA_Prioritisation!$F$4+(RAND()-0.5)*2*$B$7))</f>
        <v>80.08084106559923</v>
      </c>
      <c r="P155" s="54">
        <f ca="1">MIN(100,MAX(0,MCDA_Prioritisation!$F$5+(RAND()-0.5)*2*$B$7))</f>
        <v>68.343085912176889</v>
      </c>
      <c r="Q155" s="54">
        <f ca="1">MIN(100,MAX(0,MCDA_Prioritisation!$G$2+(RAND()-0.5)*2*$B$7))</f>
        <v>80.543048317539061</v>
      </c>
      <c r="R155" s="54">
        <f ca="1">MIN(100,MAX(0,MCDA_Prioritisation!$G$3+(RAND()-0.5)*2*$B$7))</f>
        <v>90.128730192950954</v>
      </c>
      <c r="S155" s="54">
        <f ca="1">MIN(100,MAX(0,MCDA_Prioritisation!$G$4+(RAND()-0.5)*2*$B$7))</f>
        <v>86.606052719095487</v>
      </c>
      <c r="T155" s="54">
        <f ca="1">MIN(100,MAX(0,MCDA_Prioritisation!$G$5+(RAND()-0.5)*2*$B$7))</f>
        <v>62.287651177981424</v>
      </c>
      <c r="U155" s="54">
        <f ca="1">MIN(100,MAX(0,MCDA_Prioritisation!$H$2+(RAND()-0.5)*2*$B$7))</f>
        <v>71.282912126128664</v>
      </c>
      <c r="V155" s="54">
        <f ca="1">MIN(100,MAX(0,MCDA_Prioritisation!$H$3+(RAND()-0.5)*2*$B$7))</f>
        <v>69.958682775509445</v>
      </c>
      <c r="W155" s="54">
        <f ca="1">MIN(100,MAX(0,MCDA_Prioritisation!$H$4+(RAND()-0.5)*2*$B$7))</f>
        <v>83.271761005158666</v>
      </c>
      <c r="X155" s="54">
        <f ca="1">MIN(100,MAX(0,MCDA_Prioritisation!$H$5+(RAND()-0.5)*2*$B$7))</f>
        <v>84.300611043455234</v>
      </c>
      <c r="Y155" s="54">
        <f ca="1">H155*MCDA_Prioritisation!$D$2+I155*MCDA_Prioritisation!$E$2+J155*M155+K155*Q155+L155*U155</f>
        <v>87.221463975876574</v>
      </c>
      <c r="Z155" s="54">
        <f ca="1">H155*MCDA_Prioritisation!$D$3+I155*MCDA_Prioritisation!$E$3+J155*N155+K155*R155+L155*V155</f>
        <v>85.012949203522808</v>
      </c>
      <c r="AA155" s="54">
        <f ca="1">H155*MCDA_Prioritisation!$D$4+I155*MCDA_Prioritisation!$E$4+J155*O155+K155*S155+L155*W155</f>
        <v>74.920882356181963</v>
      </c>
      <c r="AB155" s="54">
        <f ca="1">H155*MCDA_Prioritisation!$D$5+I155*MCDA_Prioritisation!$E$5+J155*P155+K155*T155+L155*X155</f>
        <v>68.421150425103974</v>
      </c>
      <c r="AC155" s="54">
        <f t="shared" ca="1" si="34"/>
        <v>1</v>
      </c>
      <c r="AD155" s="54">
        <f t="shared" ca="1" si="35"/>
        <v>2</v>
      </c>
      <c r="AE155" s="54">
        <f t="shared" ca="1" si="36"/>
        <v>3</v>
      </c>
      <c r="AF155" s="54">
        <f t="shared" ca="1" si="37"/>
        <v>4</v>
      </c>
      <c r="AG155" s="54">
        <f t="shared" ca="1" si="38"/>
        <v>1</v>
      </c>
      <c r="AH155" s="54">
        <f t="shared" ca="1" si="39"/>
        <v>1</v>
      </c>
      <c r="AI155" s="54">
        <f t="shared" ca="1" si="40"/>
        <v>1</v>
      </c>
      <c r="AJ155" s="54">
        <f t="shared" ca="1" si="41"/>
        <v>1</v>
      </c>
    </row>
    <row r="156" spans="1:36" x14ac:dyDescent="0.2">
      <c r="A156" s="54">
        <v>133</v>
      </c>
      <c r="B156" s="54">
        <f ca="1">MAX(0.02,MCDA_Prioritisation!$B$9+(RAND()-0.5)*2*$B$6)</f>
        <v>0.2212887356408729</v>
      </c>
      <c r="C156" s="54">
        <f ca="1">MAX(0.02,MCDA_Prioritisation!$B$10+(RAND()-0.5)*2*$B$6)</f>
        <v>0.30601514072062774</v>
      </c>
      <c r="D156" s="54">
        <f ca="1">MAX(0.02,MCDA_Prioritisation!$B$11+(RAND()-0.5)*2*$B$6)</f>
        <v>0.26087994752764809</v>
      </c>
      <c r="E156" s="54">
        <f ca="1">MAX(0.02,MCDA_Prioritisation!$B$12+(RAND()-0.5)*2*$B$6)</f>
        <v>0.13537368633679994</v>
      </c>
      <c r="F156" s="54">
        <f ca="1">MAX(0.02,MCDA_Prioritisation!$B$13+(RAND()-0.5)*2*$B$6)</f>
        <v>0.21277881446724656</v>
      </c>
      <c r="G156" s="54">
        <f t="shared" ca="1" si="28"/>
        <v>1.1363363246931952</v>
      </c>
      <c r="H156" s="54">
        <f t="shared" ca="1" si="29"/>
        <v>0.19473876776808985</v>
      </c>
      <c r="I156" s="54">
        <f t="shared" ca="1" si="30"/>
        <v>0.26929979625816347</v>
      </c>
      <c r="J156" s="54">
        <f t="shared" ca="1" si="31"/>
        <v>0.22957987160894844</v>
      </c>
      <c r="K156" s="54">
        <f t="shared" ca="1" si="32"/>
        <v>0.11913170721999942</v>
      </c>
      <c r="L156" s="54">
        <f t="shared" ca="1" si="33"/>
        <v>0.18724985714479883</v>
      </c>
      <c r="M156" s="54">
        <f ca="1">MIN(100,MAX(0,MCDA_Prioritisation!$F$2+(RAND()-0.5)*2*$B$7))</f>
        <v>75.285113367467403</v>
      </c>
      <c r="N156" s="54">
        <f ca="1">MIN(100,MAX(0,MCDA_Prioritisation!$F$3+(RAND()-0.5)*2*$B$7))</f>
        <v>100</v>
      </c>
      <c r="O156" s="54">
        <f ca="1">MIN(100,MAX(0,MCDA_Prioritisation!$F$4+(RAND()-0.5)*2*$B$7))</f>
        <v>98.420287349069739</v>
      </c>
      <c r="P156" s="54">
        <f ca="1">MIN(100,MAX(0,MCDA_Prioritisation!$F$5+(RAND()-0.5)*2*$B$7))</f>
        <v>75.193539287576669</v>
      </c>
      <c r="Q156" s="54">
        <f ca="1">MIN(100,MAX(0,MCDA_Prioritisation!$G$2+(RAND()-0.5)*2*$B$7))</f>
        <v>81.174276114790885</v>
      </c>
      <c r="R156" s="54">
        <f ca="1">MIN(100,MAX(0,MCDA_Prioritisation!$G$3+(RAND()-0.5)*2*$B$7))</f>
        <v>100</v>
      </c>
      <c r="S156" s="54">
        <f ca="1">MIN(100,MAX(0,MCDA_Prioritisation!$G$4+(RAND()-0.5)*2*$B$7))</f>
        <v>92.364915236195785</v>
      </c>
      <c r="T156" s="54">
        <f ca="1">MIN(100,MAX(0,MCDA_Prioritisation!$G$5+(RAND()-0.5)*2*$B$7))</f>
        <v>62.855943206342573</v>
      </c>
      <c r="U156" s="54">
        <f ca="1">MIN(100,MAX(0,MCDA_Prioritisation!$H$2+(RAND()-0.5)*2*$B$7))</f>
        <v>60.657452945091734</v>
      </c>
      <c r="V156" s="54">
        <f ca="1">MIN(100,MAX(0,MCDA_Prioritisation!$H$3+(RAND()-0.5)*2*$B$7))</f>
        <v>66.473919686218736</v>
      </c>
      <c r="W156" s="54">
        <f ca="1">MIN(100,MAX(0,MCDA_Prioritisation!$H$4+(RAND()-0.5)*2*$B$7))</f>
        <v>88.470447258649628</v>
      </c>
      <c r="X156" s="54">
        <f ca="1">MIN(100,MAX(0,MCDA_Prioritisation!$H$5+(RAND()-0.5)*2*$B$7))</f>
        <v>82.530166474664298</v>
      </c>
      <c r="Y156" s="54">
        <f ca="1">H156*MCDA_Prioritisation!$D$2+I156*MCDA_Prioritisation!$E$2+J156*M156+K156*Q156+L156*U156</f>
        <v>84.716332558232082</v>
      </c>
      <c r="Z156" s="54">
        <f ca="1">H156*MCDA_Prioritisation!$D$3+I156*MCDA_Prioritisation!$E$3+J156*N156+K156*R156+L156*V156</f>
        <v>83.923382360169242</v>
      </c>
      <c r="AA156" s="54">
        <f ca="1">H156*MCDA_Prioritisation!$D$4+I156*MCDA_Prioritisation!$E$4+J156*O156+K156*S156+L156*W156</f>
        <v>78.414528375183593</v>
      </c>
      <c r="AB156" s="54">
        <f ca="1">H156*MCDA_Prioritisation!$D$5+I156*MCDA_Prioritisation!$E$5+J156*P156+K156*T156+L156*X156</f>
        <v>73.186418868522551</v>
      </c>
      <c r="AC156" s="54">
        <f t="shared" ca="1" si="34"/>
        <v>1</v>
      </c>
      <c r="AD156" s="54">
        <f t="shared" ca="1" si="35"/>
        <v>2</v>
      </c>
      <c r="AE156" s="54">
        <f t="shared" ca="1" si="36"/>
        <v>3</v>
      </c>
      <c r="AF156" s="54">
        <f t="shared" ca="1" si="37"/>
        <v>4</v>
      </c>
      <c r="AG156" s="54">
        <f t="shared" ca="1" si="38"/>
        <v>1</v>
      </c>
      <c r="AH156" s="54">
        <f t="shared" ca="1" si="39"/>
        <v>1</v>
      </c>
      <c r="AI156" s="54">
        <f t="shared" ca="1" si="40"/>
        <v>1</v>
      </c>
      <c r="AJ156" s="54">
        <f t="shared" ca="1" si="41"/>
        <v>1</v>
      </c>
    </row>
    <row r="157" spans="1:36" x14ac:dyDescent="0.2">
      <c r="A157" s="54">
        <v>134</v>
      </c>
      <c r="B157" s="54">
        <f ca="1">MAX(0.02,MCDA_Prioritisation!$B$9+(RAND()-0.5)*2*$B$6)</f>
        <v>0.13368489503739683</v>
      </c>
      <c r="C157" s="54">
        <f ca="1">MAX(0.02,MCDA_Prioritisation!$B$10+(RAND()-0.5)*2*$B$6)</f>
        <v>0.17853033364027712</v>
      </c>
      <c r="D157" s="54">
        <f ca="1">MAX(0.02,MCDA_Prioritisation!$B$11+(RAND()-0.5)*2*$B$6)</f>
        <v>0.25672788023246007</v>
      </c>
      <c r="E157" s="54">
        <f ca="1">MAX(0.02,MCDA_Prioritisation!$B$12+(RAND()-0.5)*2*$B$6)</f>
        <v>0.17382098488907649</v>
      </c>
      <c r="F157" s="54">
        <f ca="1">MAX(0.02,MCDA_Prioritisation!$B$13+(RAND()-0.5)*2*$B$6)</f>
        <v>0.21900373793526945</v>
      </c>
      <c r="G157" s="54">
        <f t="shared" ca="1" si="28"/>
        <v>0.96176783173447999</v>
      </c>
      <c r="H157" s="54">
        <f t="shared" ca="1" si="29"/>
        <v>0.1389991332901056</v>
      </c>
      <c r="I157" s="54">
        <f t="shared" ca="1" si="30"/>
        <v>0.1856272665288777</v>
      </c>
      <c r="J157" s="54">
        <f t="shared" ca="1" si="31"/>
        <v>0.26693331983194901</v>
      </c>
      <c r="K157" s="54">
        <f t="shared" ca="1" si="32"/>
        <v>0.18073071187627754</v>
      </c>
      <c r="L157" s="54">
        <f t="shared" ca="1" si="33"/>
        <v>0.22770956847279011</v>
      </c>
      <c r="M157" s="54">
        <f ca="1">MIN(100,MAX(0,MCDA_Prioritisation!$F$2+(RAND()-0.5)*2*$B$7))</f>
        <v>84.579333197008467</v>
      </c>
      <c r="N157" s="54">
        <f ca="1">MIN(100,MAX(0,MCDA_Prioritisation!$F$3+(RAND()-0.5)*2*$B$7))</f>
        <v>96.366401065846375</v>
      </c>
      <c r="O157" s="54">
        <f ca="1">MIN(100,MAX(0,MCDA_Prioritisation!$F$4+(RAND()-0.5)*2*$B$7))</f>
        <v>83.001693185806673</v>
      </c>
      <c r="P157" s="54">
        <f ca="1">MIN(100,MAX(0,MCDA_Prioritisation!$F$5+(RAND()-0.5)*2*$B$7))</f>
        <v>75.792881580333884</v>
      </c>
      <c r="Q157" s="54">
        <f ca="1">MIN(100,MAX(0,MCDA_Prioritisation!$G$2+(RAND()-0.5)*2*$B$7))</f>
        <v>81.028798934303495</v>
      </c>
      <c r="R157" s="54">
        <f ca="1">MIN(100,MAX(0,MCDA_Prioritisation!$G$3+(RAND()-0.5)*2*$B$7))</f>
        <v>100</v>
      </c>
      <c r="S157" s="54">
        <f ca="1">MIN(100,MAX(0,MCDA_Prioritisation!$G$4+(RAND()-0.5)*2*$B$7))</f>
        <v>84.889081055789816</v>
      </c>
      <c r="T157" s="54">
        <f ca="1">MIN(100,MAX(0,MCDA_Prioritisation!$G$5+(RAND()-0.5)*2*$B$7))</f>
        <v>76.558421343145</v>
      </c>
      <c r="U157" s="54">
        <f ca="1">MIN(100,MAX(0,MCDA_Prioritisation!$H$2+(RAND()-0.5)*2*$B$7))</f>
        <v>63.128734557578674</v>
      </c>
      <c r="V157" s="54">
        <f ca="1">MIN(100,MAX(0,MCDA_Prioritisation!$H$3+(RAND()-0.5)*2*$B$7))</f>
        <v>52.388562742023666</v>
      </c>
      <c r="W157" s="54">
        <f ca="1">MIN(100,MAX(0,MCDA_Prioritisation!$H$4+(RAND()-0.5)*2*$B$7))</f>
        <v>76.127246310448044</v>
      </c>
      <c r="X157" s="54">
        <f ca="1">MIN(100,MAX(0,MCDA_Prioritisation!$H$5+(RAND()-0.5)*2*$B$7))</f>
        <v>70.047599923923826</v>
      </c>
      <c r="Y157" s="54">
        <f ca="1">H157*MCDA_Prioritisation!$D$2+I157*MCDA_Prioritisation!$E$2+J157*M157+K157*Q157+L157*U157</f>
        <v>84.059091599564368</v>
      </c>
      <c r="Z157" s="54">
        <f ca="1">H157*MCDA_Prioritisation!$D$3+I157*MCDA_Prioritisation!$E$3+J157*N157+K157*R157+L157*V157</f>
        <v>81.374101307178819</v>
      </c>
      <c r="AA157" s="54">
        <f ca="1">H157*MCDA_Prioritisation!$D$4+I157*MCDA_Prioritisation!$E$4+J157*O157+K157*S157+L157*W157</f>
        <v>74.637090120651578</v>
      </c>
      <c r="AB157" s="54">
        <f ca="1">H157*MCDA_Prioritisation!$D$5+I157*MCDA_Prioritisation!$E$5+J157*P157+K157*T157+L157*X157</f>
        <v>73.005680518881235</v>
      </c>
      <c r="AC157" s="54">
        <f t="shared" ca="1" si="34"/>
        <v>1</v>
      </c>
      <c r="AD157" s="54">
        <f t="shared" ca="1" si="35"/>
        <v>2</v>
      </c>
      <c r="AE157" s="54">
        <f t="shared" ca="1" si="36"/>
        <v>3</v>
      </c>
      <c r="AF157" s="54">
        <f t="shared" ca="1" si="37"/>
        <v>4</v>
      </c>
      <c r="AG157" s="54">
        <f t="shared" ca="1" si="38"/>
        <v>1</v>
      </c>
      <c r="AH157" s="54">
        <f t="shared" ca="1" si="39"/>
        <v>1</v>
      </c>
      <c r="AI157" s="54">
        <f t="shared" ca="1" si="40"/>
        <v>1</v>
      </c>
      <c r="AJ157" s="54">
        <f t="shared" ca="1" si="41"/>
        <v>1</v>
      </c>
    </row>
    <row r="158" spans="1:36" x14ac:dyDescent="0.2">
      <c r="A158" s="54">
        <v>135</v>
      </c>
      <c r="B158" s="54">
        <f ca="1">MAX(0.02,MCDA_Prioritisation!$B$9+(RAND()-0.5)*2*$B$6)</f>
        <v>0.21428059929506324</v>
      </c>
      <c r="C158" s="54">
        <f ca="1">MAX(0.02,MCDA_Prioritisation!$B$10+(RAND()-0.5)*2*$B$6)</f>
        <v>0.28003497492101032</v>
      </c>
      <c r="D158" s="54">
        <f ca="1">MAX(0.02,MCDA_Prioritisation!$B$11+(RAND()-0.5)*2*$B$6)</f>
        <v>0.28592586276751691</v>
      </c>
      <c r="E158" s="54">
        <f ca="1">MAX(0.02,MCDA_Prioritisation!$B$12+(RAND()-0.5)*2*$B$6)</f>
        <v>0.12046091955845879</v>
      </c>
      <c r="F158" s="54">
        <f ca="1">MAX(0.02,MCDA_Prioritisation!$B$13+(RAND()-0.5)*2*$B$6)</f>
        <v>0.16989697431288925</v>
      </c>
      <c r="G158" s="54">
        <f t="shared" ca="1" si="28"/>
        <v>1.0705993308549384</v>
      </c>
      <c r="H158" s="54">
        <f t="shared" ca="1" si="29"/>
        <v>0.20015013377969068</v>
      </c>
      <c r="I158" s="54">
        <f t="shared" ca="1" si="30"/>
        <v>0.26156841952944754</v>
      </c>
      <c r="J158" s="54">
        <f t="shared" ca="1" si="31"/>
        <v>0.26707084016126537</v>
      </c>
      <c r="K158" s="54">
        <f t="shared" ca="1" si="32"/>
        <v>0.11251727521841756</v>
      </c>
      <c r="L158" s="54">
        <f t="shared" ca="1" si="33"/>
        <v>0.15869333131117896</v>
      </c>
      <c r="M158" s="54">
        <f ca="1">MIN(100,MAX(0,MCDA_Prioritisation!$F$2+(RAND()-0.5)*2*$B$7))</f>
        <v>93.579715934801584</v>
      </c>
      <c r="N158" s="54">
        <f ca="1">MIN(100,MAX(0,MCDA_Prioritisation!$F$3+(RAND()-0.5)*2*$B$7))</f>
        <v>100</v>
      </c>
      <c r="O158" s="54">
        <f ca="1">MIN(100,MAX(0,MCDA_Prioritisation!$F$4+(RAND()-0.5)*2*$B$7))</f>
        <v>82.242001427759547</v>
      </c>
      <c r="P158" s="54">
        <f ca="1">MIN(100,MAX(0,MCDA_Prioritisation!$F$5+(RAND()-0.5)*2*$B$7))</f>
        <v>84.321229981747805</v>
      </c>
      <c r="Q158" s="54">
        <f ca="1">MIN(100,MAX(0,MCDA_Prioritisation!$G$2+(RAND()-0.5)*2*$B$7))</f>
        <v>88.671240135538483</v>
      </c>
      <c r="R158" s="54">
        <f ca="1">MIN(100,MAX(0,MCDA_Prioritisation!$G$3+(RAND()-0.5)*2*$B$7))</f>
        <v>90.00034773744926</v>
      </c>
      <c r="S158" s="54">
        <f ca="1">MIN(100,MAX(0,MCDA_Prioritisation!$G$4+(RAND()-0.5)*2*$B$7))</f>
        <v>86.372061376381467</v>
      </c>
      <c r="T158" s="54">
        <f ca="1">MIN(100,MAX(0,MCDA_Prioritisation!$G$5+(RAND()-0.5)*2*$B$7))</f>
        <v>77.338631606745906</v>
      </c>
      <c r="U158" s="54">
        <f ca="1">MIN(100,MAX(0,MCDA_Prioritisation!$H$2+(RAND()-0.5)*2*$B$7))</f>
        <v>67.905640399051322</v>
      </c>
      <c r="V158" s="54">
        <f ca="1">MIN(100,MAX(0,MCDA_Prioritisation!$H$3+(RAND()-0.5)*2*$B$7))</f>
        <v>53.321868942394218</v>
      </c>
      <c r="W158" s="54">
        <f ca="1">MIN(100,MAX(0,MCDA_Prioritisation!$H$4+(RAND()-0.5)*2*$B$7))</f>
        <v>88.047593534423257</v>
      </c>
      <c r="X158" s="54">
        <f ca="1">MIN(100,MAX(0,MCDA_Prioritisation!$H$5+(RAND()-0.5)*2*$B$7))</f>
        <v>75.508555377747797</v>
      </c>
      <c r="Y158" s="54">
        <f ca="1">H158*MCDA_Prioritisation!$D$2+I158*MCDA_Prioritisation!$E$2+J158*M158+K158*Q158+L158*U158</f>
        <v>91.917487307707034</v>
      </c>
      <c r="Z158" s="54">
        <f ca="1">H158*MCDA_Prioritisation!$D$3+I158*MCDA_Prioritisation!$E$3+J158*N158+K158*R158+L158*V158</f>
        <v>81.811149780222209</v>
      </c>
      <c r="AA158" s="54">
        <f ca="1">H158*MCDA_Prioritisation!$D$4+I158*MCDA_Prioritisation!$E$4+J158*O158+K158*S158+L158*W158</f>
        <v>73.860002402523946</v>
      </c>
      <c r="AB158" s="54">
        <f ca="1">H158*MCDA_Prioritisation!$D$5+I158*MCDA_Prioritisation!$E$5+J158*P158+K158*T158+L158*X158</f>
        <v>75.823050663579508</v>
      </c>
      <c r="AC158" s="54">
        <f t="shared" ca="1" si="34"/>
        <v>1</v>
      </c>
      <c r="AD158" s="54">
        <f t="shared" ca="1" si="35"/>
        <v>2</v>
      </c>
      <c r="AE158" s="54">
        <f t="shared" ca="1" si="36"/>
        <v>4</v>
      </c>
      <c r="AF158" s="54">
        <f t="shared" ca="1" si="37"/>
        <v>3</v>
      </c>
      <c r="AG158" s="54">
        <f t="shared" ca="1" si="38"/>
        <v>1</v>
      </c>
      <c r="AH158" s="54">
        <f t="shared" ca="1" si="39"/>
        <v>1</v>
      </c>
      <c r="AI158" s="54">
        <f t="shared" ca="1" si="40"/>
        <v>0</v>
      </c>
      <c r="AJ158" s="54">
        <f t="shared" ca="1" si="41"/>
        <v>1</v>
      </c>
    </row>
    <row r="159" spans="1:36" x14ac:dyDescent="0.2">
      <c r="A159" s="54">
        <v>136</v>
      </c>
      <c r="B159" s="54">
        <f ca="1">MAX(0.02,MCDA_Prioritisation!$B$9+(RAND()-0.5)*2*$B$6)</f>
        <v>0.25160218240411397</v>
      </c>
      <c r="C159" s="54">
        <f ca="1">MAX(0.02,MCDA_Prioritisation!$B$10+(RAND()-0.5)*2*$B$6)</f>
        <v>0.2616102292880963</v>
      </c>
      <c r="D159" s="54">
        <f ca="1">MAX(0.02,MCDA_Prioritisation!$B$11+(RAND()-0.5)*2*$B$6)</f>
        <v>0.2390082114894907</v>
      </c>
      <c r="E159" s="54">
        <f ca="1">MAX(0.02,MCDA_Prioritisation!$B$12+(RAND()-0.5)*2*$B$6)</f>
        <v>0.22180882596988299</v>
      </c>
      <c r="F159" s="54">
        <f ca="1">MAX(0.02,MCDA_Prioritisation!$B$13+(RAND()-0.5)*2*$B$6)</f>
        <v>7.5638581416377276E-2</v>
      </c>
      <c r="G159" s="54">
        <f t="shared" ca="1" si="28"/>
        <v>1.0496680305679613</v>
      </c>
      <c r="H159" s="54">
        <f t="shared" ca="1" si="29"/>
        <v>0.23969690900081561</v>
      </c>
      <c r="I159" s="54">
        <f t="shared" ca="1" si="30"/>
        <v>0.24923139666027791</v>
      </c>
      <c r="J159" s="54">
        <f t="shared" ca="1" si="31"/>
        <v>0.22769885766661538</v>
      </c>
      <c r="K159" s="54">
        <f t="shared" ca="1" si="32"/>
        <v>0.21131331002799544</v>
      </c>
      <c r="L159" s="54">
        <f t="shared" ca="1" si="33"/>
        <v>7.2059526644295574E-2</v>
      </c>
      <c r="M159" s="54">
        <f ca="1">MIN(100,MAX(0,MCDA_Prioritisation!$F$2+(RAND()-0.5)*2*$B$7))</f>
        <v>85.908178488214261</v>
      </c>
      <c r="N159" s="54">
        <f ca="1">MIN(100,MAX(0,MCDA_Prioritisation!$F$3+(RAND()-0.5)*2*$B$7))</f>
        <v>92.347085265247884</v>
      </c>
      <c r="O159" s="54">
        <f ca="1">MIN(100,MAX(0,MCDA_Prioritisation!$F$4+(RAND()-0.5)*2*$B$7))</f>
        <v>87.366478896547363</v>
      </c>
      <c r="P159" s="54">
        <f ca="1">MIN(100,MAX(0,MCDA_Prioritisation!$F$5+(RAND()-0.5)*2*$B$7))</f>
        <v>79.197313615607328</v>
      </c>
      <c r="Q159" s="54">
        <f ca="1">MIN(100,MAX(0,MCDA_Prioritisation!$G$2+(RAND()-0.5)*2*$B$7))</f>
        <v>81.720431400084905</v>
      </c>
      <c r="R159" s="54">
        <f ca="1">MIN(100,MAX(0,MCDA_Prioritisation!$G$3+(RAND()-0.5)*2*$B$7))</f>
        <v>89.227948140124255</v>
      </c>
      <c r="S159" s="54">
        <f ca="1">MIN(100,MAX(0,MCDA_Prioritisation!$G$4+(RAND()-0.5)*2*$B$7))</f>
        <v>93.74874248457138</v>
      </c>
      <c r="T159" s="54">
        <f ca="1">MIN(100,MAX(0,MCDA_Prioritisation!$G$5+(RAND()-0.5)*2*$B$7))</f>
        <v>65.072941755144228</v>
      </c>
      <c r="U159" s="54">
        <f ca="1">MIN(100,MAX(0,MCDA_Prioritisation!$H$2+(RAND()-0.5)*2*$B$7))</f>
        <v>61.751684868389333</v>
      </c>
      <c r="V159" s="54">
        <f ca="1">MIN(100,MAX(0,MCDA_Prioritisation!$H$3+(RAND()-0.5)*2*$B$7))</f>
        <v>62.219162345697946</v>
      </c>
      <c r="W159" s="54">
        <f ca="1">MIN(100,MAX(0,MCDA_Prioritisation!$H$4+(RAND()-0.5)*2*$B$7))</f>
        <v>85.754200045126979</v>
      </c>
      <c r="X159" s="54">
        <f ca="1">MIN(100,MAX(0,MCDA_Prioritisation!$H$5+(RAND()-0.5)*2*$B$7))</f>
        <v>68.312954937334709</v>
      </c>
      <c r="Y159" s="54">
        <f ca="1">H159*MCDA_Prioritisation!$D$2+I159*MCDA_Prioritisation!$E$2+J159*M159+K159*Q159+L159*U159</f>
        <v>90.172436709266961</v>
      </c>
      <c r="Z159" s="54">
        <f ca="1">H159*MCDA_Prioritisation!$D$3+I159*MCDA_Prioritisation!$E$3+J159*N159+K159*R159+L159*V159</f>
        <v>83.440534263232578</v>
      </c>
      <c r="AA159" s="54">
        <f ca="1">H159*MCDA_Prioritisation!$D$4+I159*MCDA_Prioritisation!$E$4+J159*O159+K159*S159+L159*W159</f>
        <v>76.168535069742703</v>
      </c>
      <c r="AB159" s="54">
        <f ca="1">H159*MCDA_Prioritisation!$D$5+I159*MCDA_Prioritisation!$E$5+J159*P159+K159*T159+L159*X159</f>
        <v>70.386737204457546</v>
      </c>
      <c r="AC159" s="54">
        <f t="shared" ca="1" si="34"/>
        <v>1</v>
      </c>
      <c r="AD159" s="54">
        <f t="shared" ca="1" si="35"/>
        <v>2</v>
      </c>
      <c r="AE159" s="54">
        <f t="shared" ca="1" si="36"/>
        <v>3</v>
      </c>
      <c r="AF159" s="54">
        <f t="shared" ca="1" si="37"/>
        <v>4</v>
      </c>
      <c r="AG159" s="54">
        <f t="shared" ca="1" si="38"/>
        <v>1</v>
      </c>
      <c r="AH159" s="54">
        <f t="shared" ca="1" si="39"/>
        <v>1</v>
      </c>
      <c r="AI159" s="54">
        <f t="shared" ca="1" si="40"/>
        <v>1</v>
      </c>
      <c r="AJ159" s="54">
        <f t="shared" ca="1" si="41"/>
        <v>1</v>
      </c>
    </row>
    <row r="160" spans="1:36" x14ac:dyDescent="0.2">
      <c r="A160" s="54">
        <v>137</v>
      </c>
      <c r="B160" s="54">
        <f ca="1">MAX(0.02,MCDA_Prioritisation!$B$9+(RAND()-0.5)*2*$B$6)</f>
        <v>0.13639613771967116</v>
      </c>
      <c r="C160" s="54">
        <f ca="1">MAX(0.02,MCDA_Prioritisation!$B$10+(RAND()-0.5)*2*$B$6)</f>
        <v>0.32713798019477364</v>
      </c>
      <c r="D160" s="54">
        <f ca="1">MAX(0.02,MCDA_Prioritisation!$B$11+(RAND()-0.5)*2*$B$6)</f>
        <v>0.28174977243886301</v>
      </c>
      <c r="E160" s="54">
        <f ca="1">MAX(0.02,MCDA_Prioritisation!$B$12+(RAND()-0.5)*2*$B$6)</f>
        <v>7.0667981740182892E-2</v>
      </c>
      <c r="F160" s="54">
        <f ca="1">MAX(0.02,MCDA_Prioritisation!$B$13+(RAND()-0.5)*2*$B$6)</f>
        <v>0.22131958295086412</v>
      </c>
      <c r="G160" s="54">
        <f t="shared" ca="1" si="28"/>
        <v>1.0372714550443547</v>
      </c>
      <c r="H160" s="54">
        <f t="shared" ca="1" si="29"/>
        <v>0.13149512314868314</v>
      </c>
      <c r="I160" s="54">
        <f t="shared" ca="1" si="30"/>
        <v>0.31538318981388042</v>
      </c>
      <c r="J160" s="54">
        <f t="shared" ca="1" si="31"/>
        <v>0.27162588063971654</v>
      </c>
      <c r="K160" s="54">
        <f t="shared" ca="1" si="32"/>
        <v>6.8128725028069978E-2</v>
      </c>
      <c r="L160" s="54">
        <f t="shared" ca="1" si="33"/>
        <v>0.21336708136965005</v>
      </c>
      <c r="M160" s="54">
        <f ca="1">MIN(100,MAX(0,MCDA_Prioritisation!$F$2+(RAND()-0.5)*2*$B$7))</f>
        <v>86.660550683761386</v>
      </c>
      <c r="N160" s="54">
        <f ca="1">MIN(100,MAX(0,MCDA_Prioritisation!$F$3+(RAND()-0.5)*2*$B$7))</f>
        <v>94.716107258140099</v>
      </c>
      <c r="O160" s="54">
        <f ca="1">MIN(100,MAX(0,MCDA_Prioritisation!$F$4+(RAND()-0.5)*2*$B$7))</f>
        <v>99.264480247315959</v>
      </c>
      <c r="P160" s="54">
        <f ca="1">MIN(100,MAX(0,MCDA_Prioritisation!$F$5+(RAND()-0.5)*2*$B$7))</f>
        <v>78.764984210606741</v>
      </c>
      <c r="Q160" s="54">
        <f ca="1">MIN(100,MAX(0,MCDA_Prioritisation!$G$2+(RAND()-0.5)*2*$B$7))</f>
        <v>80.417645281906474</v>
      </c>
      <c r="R160" s="54">
        <f ca="1">MIN(100,MAX(0,MCDA_Prioritisation!$G$3+(RAND()-0.5)*2*$B$7))</f>
        <v>100</v>
      </c>
      <c r="S160" s="54">
        <f ca="1">MIN(100,MAX(0,MCDA_Prioritisation!$G$4+(RAND()-0.5)*2*$B$7))</f>
        <v>83.735275554673109</v>
      </c>
      <c r="T160" s="54">
        <f ca="1">MIN(100,MAX(0,MCDA_Prioritisation!$G$5+(RAND()-0.5)*2*$B$7))</f>
        <v>67.483884071878691</v>
      </c>
      <c r="U160" s="54">
        <f ca="1">MIN(100,MAX(0,MCDA_Prioritisation!$H$2+(RAND()-0.5)*2*$B$7))</f>
        <v>64.274389160618526</v>
      </c>
      <c r="V160" s="54">
        <f ca="1">MIN(100,MAX(0,MCDA_Prioritisation!$H$3+(RAND()-0.5)*2*$B$7))</f>
        <v>52.822463109330123</v>
      </c>
      <c r="W160" s="54">
        <f ca="1">MIN(100,MAX(0,MCDA_Prioritisation!$H$4+(RAND()-0.5)*2*$B$7))</f>
        <v>76.706273388132985</v>
      </c>
      <c r="X160" s="54">
        <f ca="1">MIN(100,MAX(0,MCDA_Prioritisation!$H$5+(RAND()-0.5)*2*$B$7))</f>
        <v>78.580159054700914</v>
      </c>
      <c r="Y160" s="54">
        <f ca="1">H160*MCDA_Prioritisation!$D$2+I160*MCDA_Prioritisation!$E$2+J160*M160+K160*Q160+L160*U160</f>
        <v>87.419870157289949</v>
      </c>
      <c r="Z160" s="54">
        <f ca="1">H160*MCDA_Prioritisation!$D$3+I160*MCDA_Prioritisation!$E$3+J160*N160+K160*R160+L160*V160</f>
        <v>78.240010732443181</v>
      </c>
      <c r="AA160" s="54">
        <f ca="1">H160*MCDA_Prioritisation!$D$4+I160*MCDA_Prioritisation!$E$4+J160*O160+K160*S160+L160*W160</f>
        <v>75.39343991556035</v>
      </c>
      <c r="AB160" s="54">
        <f ca="1">H160*MCDA_Prioritisation!$D$5+I160*MCDA_Prioritisation!$E$5+J160*P160+K160*T160+L160*X160</f>
        <v>76.258698184392031</v>
      </c>
      <c r="AC160" s="54">
        <f t="shared" ca="1" si="34"/>
        <v>1</v>
      </c>
      <c r="AD160" s="54">
        <f t="shared" ca="1" si="35"/>
        <v>2</v>
      </c>
      <c r="AE160" s="54">
        <f t="shared" ca="1" si="36"/>
        <v>4</v>
      </c>
      <c r="AF160" s="54">
        <f t="shared" ca="1" si="37"/>
        <v>3</v>
      </c>
      <c r="AG160" s="54">
        <f t="shared" ca="1" si="38"/>
        <v>1</v>
      </c>
      <c r="AH160" s="54">
        <f t="shared" ca="1" si="39"/>
        <v>1</v>
      </c>
      <c r="AI160" s="54">
        <f t="shared" ca="1" si="40"/>
        <v>0</v>
      </c>
      <c r="AJ160" s="54">
        <f t="shared" ca="1" si="41"/>
        <v>1</v>
      </c>
    </row>
    <row r="161" spans="1:36" x14ac:dyDescent="0.2">
      <c r="A161" s="54">
        <v>138</v>
      </c>
      <c r="B161" s="54">
        <f ca="1">MAX(0.02,MCDA_Prioritisation!$B$9+(RAND()-0.5)*2*$B$6)</f>
        <v>0.14235998977266145</v>
      </c>
      <c r="C161" s="54">
        <f ca="1">MAX(0.02,MCDA_Prioritisation!$B$10+(RAND()-0.5)*2*$B$6)</f>
        <v>0.18661427324548335</v>
      </c>
      <c r="D161" s="54">
        <f ca="1">MAX(0.02,MCDA_Prioritisation!$B$11+(RAND()-0.5)*2*$B$6)</f>
        <v>0.29584639842498955</v>
      </c>
      <c r="E161" s="54">
        <f ca="1">MAX(0.02,MCDA_Prioritisation!$B$12+(RAND()-0.5)*2*$B$6)</f>
        <v>8.3061186004264501E-2</v>
      </c>
      <c r="F161" s="54">
        <f ca="1">MAX(0.02,MCDA_Prioritisation!$B$13+(RAND()-0.5)*2*$B$6)</f>
        <v>9.5588154885377502E-2</v>
      </c>
      <c r="G161" s="54">
        <f t="shared" ca="1" si="28"/>
        <v>0.80347000233277643</v>
      </c>
      <c r="H161" s="54">
        <f t="shared" ca="1" si="29"/>
        <v>0.17718146210728056</v>
      </c>
      <c r="I161" s="54">
        <f t="shared" ca="1" si="30"/>
        <v>0.23226041134537909</v>
      </c>
      <c r="J161" s="54">
        <f t="shared" ca="1" si="31"/>
        <v>0.36821088225576049</v>
      </c>
      <c r="K161" s="54">
        <f t="shared" ca="1" si="32"/>
        <v>0.10337807978282519</v>
      </c>
      <c r="L161" s="54">
        <f t="shared" ca="1" si="33"/>
        <v>0.11896916450875457</v>
      </c>
      <c r="M161" s="54">
        <f ca="1">MIN(100,MAX(0,MCDA_Prioritisation!$F$2+(RAND()-0.5)*2*$B$7))</f>
        <v>82.622759174644912</v>
      </c>
      <c r="N161" s="54">
        <f ca="1">MIN(100,MAX(0,MCDA_Prioritisation!$F$3+(RAND()-0.5)*2*$B$7))</f>
        <v>88.674795639005495</v>
      </c>
      <c r="O161" s="54">
        <f ca="1">MIN(100,MAX(0,MCDA_Prioritisation!$F$4+(RAND()-0.5)*2*$B$7))</f>
        <v>95.373406014366495</v>
      </c>
      <c r="P161" s="54">
        <f ca="1">MIN(100,MAX(0,MCDA_Prioritisation!$F$5+(RAND()-0.5)*2*$B$7))</f>
        <v>82.317839284553372</v>
      </c>
      <c r="Q161" s="54">
        <f ca="1">MIN(100,MAX(0,MCDA_Prioritisation!$G$2+(RAND()-0.5)*2*$B$7))</f>
        <v>70.588844315955455</v>
      </c>
      <c r="R161" s="54">
        <f ca="1">MIN(100,MAX(0,MCDA_Prioritisation!$G$3+(RAND()-0.5)*2*$B$7))</f>
        <v>97.083181889406475</v>
      </c>
      <c r="S161" s="54">
        <f ca="1">MIN(100,MAX(0,MCDA_Prioritisation!$G$4+(RAND()-0.5)*2*$B$7))</f>
        <v>90.758463978527615</v>
      </c>
      <c r="T161" s="54">
        <f ca="1">MIN(100,MAX(0,MCDA_Prioritisation!$G$5+(RAND()-0.5)*2*$B$7))</f>
        <v>71.310002934911807</v>
      </c>
      <c r="U161" s="54">
        <f ca="1">MIN(100,MAX(0,MCDA_Prioritisation!$H$2+(RAND()-0.5)*2*$B$7))</f>
        <v>55.12188876159275</v>
      </c>
      <c r="V161" s="54">
        <f ca="1">MIN(100,MAX(0,MCDA_Prioritisation!$H$3+(RAND()-0.5)*2*$B$7))</f>
        <v>51.888437460326529</v>
      </c>
      <c r="W161" s="54">
        <f ca="1">MIN(100,MAX(0,MCDA_Prioritisation!$H$4+(RAND()-0.5)*2*$B$7))</f>
        <v>84.070688672535269</v>
      </c>
      <c r="X161" s="54">
        <f ca="1">MIN(100,MAX(0,MCDA_Prioritisation!$H$5+(RAND()-0.5)*2*$B$7))</f>
        <v>69.156742192138381</v>
      </c>
      <c r="Y161" s="54">
        <f ca="1">H161*MCDA_Prioritisation!$D$2+I161*MCDA_Prioritisation!$E$2+J161*M161+K161*Q161+L161*U161</f>
        <v>85.221930626950666</v>
      </c>
      <c r="Z161" s="54">
        <f ca="1">H161*MCDA_Prioritisation!$D$3+I161*MCDA_Prioritisation!$E$3+J161*N161+K161*R161+L161*V161</f>
        <v>81.237187754637958</v>
      </c>
      <c r="AA161" s="54">
        <f ca="1">H161*MCDA_Prioritisation!$D$4+I161*MCDA_Prioritisation!$E$4+J161*O161+K161*S161+L161*W161</f>
        <v>79.508406445321057</v>
      </c>
      <c r="AB161" s="54">
        <f ca="1">H161*MCDA_Prioritisation!$D$5+I161*MCDA_Prioritisation!$E$5+J161*P161+K161*T161+L161*X161</f>
        <v>74.844788136958485</v>
      </c>
      <c r="AC161" s="54">
        <f t="shared" ca="1" si="34"/>
        <v>1</v>
      </c>
      <c r="AD161" s="54">
        <f t="shared" ca="1" si="35"/>
        <v>2</v>
      </c>
      <c r="AE161" s="54">
        <f t="shared" ca="1" si="36"/>
        <v>3</v>
      </c>
      <c r="AF161" s="54">
        <f t="shared" ca="1" si="37"/>
        <v>4</v>
      </c>
      <c r="AG161" s="54">
        <f t="shared" ca="1" si="38"/>
        <v>1</v>
      </c>
      <c r="AH161" s="54">
        <f t="shared" ca="1" si="39"/>
        <v>1</v>
      </c>
      <c r="AI161" s="54">
        <f t="shared" ca="1" si="40"/>
        <v>1</v>
      </c>
      <c r="AJ161" s="54">
        <f t="shared" ca="1" si="41"/>
        <v>1</v>
      </c>
    </row>
    <row r="162" spans="1:36" x14ac:dyDescent="0.2">
      <c r="A162" s="54">
        <v>139</v>
      </c>
      <c r="B162" s="54">
        <f ca="1">MAX(0.02,MCDA_Prioritisation!$B$9+(RAND()-0.5)*2*$B$6)</f>
        <v>0.21585145661809857</v>
      </c>
      <c r="C162" s="54">
        <f ca="1">MAX(0.02,MCDA_Prioritisation!$B$10+(RAND()-0.5)*2*$B$6)</f>
        <v>0.27636334576192972</v>
      </c>
      <c r="D162" s="54">
        <f ca="1">MAX(0.02,MCDA_Prioritisation!$B$11+(RAND()-0.5)*2*$B$6)</f>
        <v>0.25396461847300783</v>
      </c>
      <c r="E162" s="54">
        <f ca="1">MAX(0.02,MCDA_Prioritisation!$B$12+(RAND()-0.5)*2*$B$6)</f>
        <v>0.20492077783854395</v>
      </c>
      <c r="F162" s="54">
        <f ca="1">MAX(0.02,MCDA_Prioritisation!$B$13+(RAND()-0.5)*2*$B$6)</f>
        <v>9.0453926115345876E-2</v>
      </c>
      <c r="G162" s="54">
        <f t="shared" ca="1" si="28"/>
        <v>1.041554124806926</v>
      </c>
      <c r="H162" s="54">
        <f t="shared" ca="1" si="29"/>
        <v>0.20723978857854478</v>
      </c>
      <c r="I162" s="54">
        <f t="shared" ca="1" si="30"/>
        <v>0.26533747904186877</v>
      </c>
      <c r="J162" s="54">
        <f t="shared" ca="1" si="31"/>
        <v>0.24383237742933958</v>
      </c>
      <c r="K162" s="54">
        <f t="shared" ca="1" si="32"/>
        <v>0.19674520311321347</v>
      </c>
      <c r="L162" s="54">
        <f t="shared" ca="1" si="33"/>
        <v>8.6845151837033355E-2</v>
      </c>
      <c r="M162" s="54">
        <f ca="1">MIN(100,MAX(0,MCDA_Prioritisation!$F$2+(RAND()-0.5)*2*$B$7))</f>
        <v>83.205649998039732</v>
      </c>
      <c r="N162" s="54">
        <f ca="1">MIN(100,MAX(0,MCDA_Prioritisation!$F$3+(RAND()-0.5)*2*$B$7))</f>
        <v>100</v>
      </c>
      <c r="O162" s="54">
        <f ca="1">MIN(100,MAX(0,MCDA_Prioritisation!$F$4+(RAND()-0.5)*2*$B$7))</f>
        <v>85.535174777825787</v>
      </c>
      <c r="P162" s="54">
        <f ca="1">MIN(100,MAX(0,MCDA_Prioritisation!$F$5+(RAND()-0.5)*2*$B$7))</f>
        <v>68.887185341211108</v>
      </c>
      <c r="Q162" s="54">
        <f ca="1">MIN(100,MAX(0,MCDA_Prioritisation!$G$2+(RAND()-0.5)*2*$B$7))</f>
        <v>85.063151244710923</v>
      </c>
      <c r="R162" s="54">
        <f ca="1">MIN(100,MAX(0,MCDA_Prioritisation!$G$3+(RAND()-0.5)*2*$B$7))</f>
        <v>97.15528710528713</v>
      </c>
      <c r="S162" s="54">
        <f ca="1">MIN(100,MAX(0,MCDA_Prioritisation!$G$4+(RAND()-0.5)*2*$B$7))</f>
        <v>76.028564384138605</v>
      </c>
      <c r="T162" s="54">
        <f ca="1">MIN(100,MAX(0,MCDA_Prioritisation!$G$5+(RAND()-0.5)*2*$B$7))</f>
        <v>63.49112590687713</v>
      </c>
      <c r="U162" s="54">
        <f ca="1">MIN(100,MAX(0,MCDA_Prioritisation!$H$2+(RAND()-0.5)*2*$B$7))</f>
        <v>65.761819416989511</v>
      </c>
      <c r="V162" s="54">
        <f ca="1">MIN(100,MAX(0,MCDA_Prioritisation!$H$3+(RAND()-0.5)*2*$B$7))</f>
        <v>63.157382682996641</v>
      </c>
      <c r="W162" s="54">
        <f ca="1">MIN(100,MAX(0,MCDA_Prioritisation!$H$4+(RAND()-0.5)*2*$B$7))</f>
        <v>73.287415115679295</v>
      </c>
      <c r="X162" s="54">
        <f ca="1">MIN(100,MAX(0,MCDA_Prioritisation!$H$5+(RAND()-0.5)*2*$B$7))</f>
        <v>76.204259335212583</v>
      </c>
      <c r="Y162" s="54">
        <f ca="1">H162*MCDA_Prioritisation!$D$2+I162*MCDA_Prioritisation!$E$2+J162*M162+K162*Q162+L162*U162</f>
        <v>89.992820378055583</v>
      </c>
      <c r="Z162" s="54">
        <f ca="1">H162*MCDA_Prioritisation!$D$3+I162*MCDA_Prioritisation!$E$3+J162*N162+K162*R162+L162*V162</f>
        <v>86.392360620431077</v>
      </c>
      <c r="AA162" s="54">
        <f ca="1">H162*MCDA_Prioritisation!$D$4+I162*MCDA_Prioritisation!$E$4+J162*O162+K162*S162+L162*W162</f>
        <v>71.083071054486282</v>
      </c>
      <c r="AB162" s="54">
        <f ca="1">H162*MCDA_Prioritisation!$D$5+I162*MCDA_Prioritisation!$E$5+J162*P162+K162*T162+L162*X162</f>
        <v>69.218377125010903</v>
      </c>
      <c r="AC162" s="54">
        <f t="shared" ca="1" si="34"/>
        <v>1</v>
      </c>
      <c r="AD162" s="54">
        <f t="shared" ca="1" si="35"/>
        <v>2</v>
      </c>
      <c r="AE162" s="54">
        <f t="shared" ca="1" si="36"/>
        <v>3</v>
      </c>
      <c r="AF162" s="54">
        <f t="shared" ca="1" si="37"/>
        <v>4</v>
      </c>
      <c r="AG162" s="54">
        <f t="shared" ca="1" si="38"/>
        <v>1</v>
      </c>
      <c r="AH162" s="54">
        <f t="shared" ca="1" si="39"/>
        <v>1</v>
      </c>
      <c r="AI162" s="54">
        <f t="shared" ca="1" si="40"/>
        <v>1</v>
      </c>
      <c r="AJ162" s="54">
        <f t="shared" ca="1" si="41"/>
        <v>1</v>
      </c>
    </row>
    <row r="163" spans="1:36" x14ac:dyDescent="0.2">
      <c r="A163" s="54">
        <v>140</v>
      </c>
      <c r="B163" s="54">
        <f ca="1">MAX(0.02,MCDA_Prioritisation!$B$9+(RAND()-0.5)*2*$B$6)</f>
        <v>0.12109885749768341</v>
      </c>
      <c r="C163" s="54">
        <f ca="1">MAX(0.02,MCDA_Prioritisation!$B$10+(RAND()-0.5)*2*$B$6)</f>
        <v>0.17844202500885187</v>
      </c>
      <c r="D163" s="54">
        <f ca="1">MAX(0.02,MCDA_Prioritisation!$B$11+(RAND()-0.5)*2*$B$6)</f>
        <v>0.20082977222528606</v>
      </c>
      <c r="E163" s="54">
        <f ca="1">MAX(0.02,MCDA_Prioritisation!$B$12+(RAND()-0.5)*2*$B$6)</f>
        <v>0.16457574028129573</v>
      </c>
      <c r="F163" s="54">
        <f ca="1">MAX(0.02,MCDA_Prioritisation!$B$13+(RAND()-0.5)*2*$B$6)</f>
        <v>0.22253119516718289</v>
      </c>
      <c r="G163" s="54">
        <f t="shared" ca="1" si="28"/>
        <v>0.88747759018029992</v>
      </c>
      <c r="H163" s="54">
        <f t="shared" ca="1" si="29"/>
        <v>0.13645286240194637</v>
      </c>
      <c r="I163" s="54">
        <f t="shared" ca="1" si="30"/>
        <v>0.20106651365991066</v>
      </c>
      <c r="J163" s="54">
        <f t="shared" ca="1" si="31"/>
        <v>0.22629278130221347</v>
      </c>
      <c r="K163" s="54">
        <f t="shared" ca="1" si="32"/>
        <v>0.185442136344942</v>
      </c>
      <c r="L163" s="54">
        <f t="shared" ca="1" si="33"/>
        <v>0.25074570629098752</v>
      </c>
      <c r="M163" s="54">
        <f ca="1">MIN(100,MAX(0,MCDA_Prioritisation!$F$2+(RAND()-0.5)*2*$B$7))</f>
        <v>92.163963869360302</v>
      </c>
      <c r="N163" s="54">
        <f ca="1">MIN(100,MAX(0,MCDA_Prioritisation!$F$3+(RAND()-0.5)*2*$B$7))</f>
        <v>93.812863823838299</v>
      </c>
      <c r="O163" s="54">
        <f ca="1">MIN(100,MAX(0,MCDA_Prioritisation!$F$4+(RAND()-0.5)*2*$B$7))</f>
        <v>93.456685315268288</v>
      </c>
      <c r="P163" s="54">
        <f ca="1">MIN(100,MAX(0,MCDA_Prioritisation!$F$5+(RAND()-0.5)*2*$B$7))</f>
        <v>68.12577525369565</v>
      </c>
      <c r="Q163" s="54">
        <f ca="1">MIN(100,MAX(0,MCDA_Prioritisation!$G$2+(RAND()-0.5)*2*$B$7))</f>
        <v>71.214745333597264</v>
      </c>
      <c r="R163" s="54">
        <f ca="1">MIN(100,MAX(0,MCDA_Prioritisation!$G$3+(RAND()-0.5)*2*$B$7))</f>
        <v>100</v>
      </c>
      <c r="S163" s="54">
        <f ca="1">MIN(100,MAX(0,MCDA_Prioritisation!$G$4+(RAND()-0.5)*2*$B$7))</f>
        <v>85.155703087118496</v>
      </c>
      <c r="T163" s="54">
        <f ca="1">MIN(100,MAX(0,MCDA_Prioritisation!$G$5+(RAND()-0.5)*2*$B$7))</f>
        <v>72.659466409465992</v>
      </c>
      <c r="U163" s="54">
        <f ca="1">MIN(100,MAX(0,MCDA_Prioritisation!$H$2+(RAND()-0.5)*2*$B$7))</f>
        <v>59.120345861893789</v>
      </c>
      <c r="V163" s="54">
        <f ca="1">MIN(100,MAX(0,MCDA_Prioritisation!$H$3+(RAND()-0.5)*2*$B$7))</f>
        <v>62.793969965012472</v>
      </c>
      <c r="W163" s="54">
        <f ca="1">MIN(100,MAX(0,MCDA_Prioritisation!$H$4+(RAND()-0.5)*2*$B$7))</f>
        <v>89.783110590482863</v>
      </c>
      <c r="X163" s="54">
        <f ca="1">MIN(100,MAX(0,MCDA_Prioritisation!$H$5+(RAND()-0.5)*2*$B$7))</f>
        <v>83.878628611709345</v>
      </c>
      <c r="Y163" s="54">
        <f ca="1">H163*MCDA_Prioritisation!$D$2+I163*MCDA_Prioritisation!$E$2+J163*M163+K163*Q163+L163*U163</f>
        <v>82.638364719251257</v>
      </c>
      <c r="Z163" s="54">
        <f ca="1">H163*MCDA_Prioritisation!$D$3+I163*MCDA_Prioritisation!$E$3+J163*N163+K163*R163+L163*V163</f>
        <v>82.067273917977872</v>
      </c>
      <c r="AA163" s="54">
        <f ca="1">H163*MCDA_Prioritisation!$D$4+I163*MCDA_Prioritisation!$E$4+J163*O163+K163*S163+L163*W163</f>
        <v>79.921797798962572</v>
      </c>
      <c r="AB163" s="54">
        <f ca="1">H163*MCDA_Prioritisation!$D$5+I163*MCDA_Prioritisation!$E$5+J163*P163+K163*T163+L163*X163</f>
        <v>74.072926823267991</v>
      </c>
      <c r="AC163" s="54">
        <f t="shared" ca="1" si="34"/>
        <v>1</v>
      </c>
      <c r="AD163" s="54">
        <f t="shared" ca="1" si="35"/>
        <v>2</v>
      </c>
      <c r="AE163" s="54">
        <f t="shared" ca="1" si="36"/>
        <v>3</v>
      </c>
      <c r="AF163" s="54">
        <f t="shared" ca="1" si="37"/>
        <v>4</v>
      </c>
      <c r="AG163" s="54">
        <f t="shared" ca="1" si="38"/>
        <v>1</v>
      </c>
      <c r="AH163" s="54">
        <f t="shared" ca="1" si="39"/>
        <v>1</v>
      </c>
      <c r="AI163" s="54">
        <f t="shared" ca="1" si="40"/>
        <v>1</v>
      </c>
      <c r="AJ163" s="54">
        <f t="shared" ca="1" si="41"/>
        <v>1</v>
      </c>
    </row>
    <row r="164" spans="1:36" x14ac:dyDescent="0.2">
      <c r="A164" s="54">
        <v>141</v>
      </c>
      <c r="B164" s="54">
        <f ca="1">MAX(0.02,MCDA_Prioritisation!$B$9+(RAND()-0.5)*2*$B$6)</f>
        <v>0.25664817341717405</v>
      </c>
      <c r="C164" s="54">
        <f ca="1">MAX(0.02,MCDA_Prioritisation!$B$10+(RAND()-0.5)*2*$B$6)</f>
        <v>0.29604254658621182</v>
      </c>
      <c r="D164" s="54">
        <f ca="1">MAX(0.02,MCDA_Prioritisation!$B$11+(RAND()-0.5)*2*$B$6)</f>
        <v>0.32788478542058708</v>
      </c>
      <c r="E164" s="54">
        <f ca="1">MAX(0.02,MCDA_Prioritisation!$B$12+(RAND()-0.5)*2*$B$6)</f>
        <v>0.11210032036432946</v>
      </c>
      <c r="F164" s="54">
        <f ca="1">MAX(0.02,MCDA_Prioritisation!$B$13+(RAND()-0.5)*2*$B$6)</f>
        <v>8.7297221869062677E-2</v>
      </c>
      <c r="G164" s="54">
        <f t="shared" ca="1" si="28"/>
        <v>1.0799730476573652</v>
      </c>
      <c r="H164" s="54">
        <f t="shared" ca="1" si="29"/>
        <v>0.23764312820017602</v>
      </c>
      <c r="I164" s="54">
        <f t="shared" ca="1" si="30"/>
        <v>0.27412030997289755</v>
      </c>
      <c r="J164" s="54">
        <f t="shared" ca="1" si="31"/>
        <v>0.30360460025536912</v>
      </c>
      <c r="K164" s="54">
        <f t="shared" ca="1" si="32"/>
        <v>0.10379918332915163</v>
      </c>
      <c r="L164" s="54">
        <f t="shared" ca="1" si="33"/>
        <v>8.0832778242405548E-2</v>
      </c>
      <c r="M164" s="54">
        <f ca="1">MIN(100,MAX(0,MCDA_Prioritisation!$F$2+(RAND()-0.5)*2*$B$7))</f>
        <v>83.800419580123261</v>
      </c>
      <c r="N164" s="54">
        <f ca="1">MIN(100,MAX(0,MCDA_Prioritisation!$F$3+(RAND()-0.5)*2*$B$7))</f>
        <v>100</v>
      </c>
      <c r="O164" s="54">
        <f ca="1">MIN(100,MAX(0,MCDA_Prioritisation!$F$4+(RAND()-0.5)*2*$B$7))</f>
        <v>92.93497148874917</v>
      </c>
      <c r="P164" s="54">
        <f ca="1">MIN(100,MAX(0,MCDA_Prioritisation!$F$5+(RAND()-0.5)*2*$B$7))</f>
        <v>80.613345485683666</v>
      </c>
      <c r="Q164" s="54">
        <f ca="1">MIN(100,MAX(0,MCDA_Prioritisation!$G$2+(RAND()-0.5)*2*$B$7))</f>
        <v>83.192422784492663</v>
      </c>
      <c r="R164" s="54">
        <f ca="1">MIN(100,MAX(0,MCDA_Prioritisation!$G$3+(RAND()-0.5)*2*$B$7))</f>
        <v>100</v>
      </c>
      <c r="S164" s="54">
        <f ca="1">MIN(100,MAX(0,MCDA_Prioritisation!$G$4+(RAND()-0.5)*2*$B$7))</f>
        <v>89.050181793499036</v>
      </c>
      <c r="T164" s="54">
        <f ca="1">MIN(100,MAX(0,MCDA_Prioritisation!$G$5+(RAND()-0.5)*2*$B$7))</f>
        <v>63.874161616053911</v>
      </c>
      <c r="U164" s="54">
        <f ca="1">MIN(100,MAX(0,MCDA_Prioritisation!$H$2+(RAND()-0.5)*2*$B$7))</f>
        <v>70.44997573310151</v>
      </c>
      <c r="V164" s="54">
        <f ca="1">MIN(100,MAX(0,MCDA_Prioritisation!$H$3+(RAND()-0.5)*2*$B$7))</f>
        <v>62.313336679626147</v>
      </c>
      <c r="W164" s="54">
        <f ca="1">MIN(100,MAX(0,MCDA_Prioritisation!$H$4+(RAND()-0.5)*2*$B$7))</f>
        <v>84.777431040042174</v>
      </c>
      <c r="X164" s="54">
        <f ca="1">MIN(100,MAX(0,MCDA_Prioritisation!$H$5+(RAND()-0.5)*2*$B$7))</f>
        <v>66.840484923339815</v>
      </c>
      <c r="Y164" s="54">
        <f ca="1">H164*MCDA_Prioritisation!$D$2+I164*MCDA_Prioritisation!$E$2+J164*M164+K164*Q164+L164*U164</f>
        <v>90.948509514983371</v>
      </c>
      <c r="Z164" s="54">
        <f ca="1">H164*MCDA_Prioritisation!$D$3+I164*MCDA_Prioritisation!$E$3+J164*N164+K164*R164+L164*V164</f>
        <v>86.482619303846889</v>
      </c>
      <c r="AA164" s="54">
        <f ca="1">H164*MCDA_Prioritisation!$D$4+I164*MCDA_Prioritisation!$E$4+J164*O164+K164*S164+L164*W164</f>
        <v>75.811703643719241</v>
      </c>
      <c r="AB164" s="54">
        <f ca="1">H164*MCDA_Prioritisation!$D$5+I164*MCDA_Prioritisation!$E$5+J164*P164+K164*T164+L164*X164</f>
        <v>72.171716993605969</v>
      </c>
      <c r="AC164" s="54">
        <f t="shared" ca="1" si="34"/>
        <v>1</v>
      </c>
      <c r="AD164" s="54">
        <f t="shared" ca="1" si="35"/>
        <v>2</v>
      </c>
      <c r="AE164" s="54">
        <f t="shared" ca="1" si="36"/>
        <v>3</v>
      </c>
      <c r="AF164" s="54">
        <f t="shared" ca="1" si="37"/>
        <v>4</v>
      </c>
      <c r="AG164" s="54">
        <f t="shared" ca="1" si="38"/>
        <v>1</v>
      </c>
      <c r="AH164" s="54">
        <f t="shared" ca="1" si="39"/>
        <v>1</v>
      </c>
      <c r="AI164" s="54">
        <f t="shared" ca="1" si="40"/>
        <v>1</v>
      </c>
      <c r="AJ164" s="54">
        <f t="shared" ca="1" si="41"/>
        <v>1</v>
      </c>
    </row>
    <row r="165" spans="1:36" x14ac:dyDescent="0.2">
      <c r="A165" s="54">
        <v>142</v>
      </c>
      <c r="B165" s="54">
        <f ca="1">MAX(0.02,MCDA_Prioritisation!$B$9+(RAND()-0.5)*2*$B$6)</f>
        <v>0.26498124418322017</v>
      </c>
      <c r="C165" s="54">
        <f ca="1">MAX(0.02,MCDA_Prioritisation!$B$10+(RAND()-0.5)*2*$B$6)</f>
        <v>0.20020549851529312</v>
      </c>
      <c r="D165" s="54">
        <f ca="1">MAX(0.02,MCDA_Prioritisation!$B$11+(RAND()-0.5)*2*$B$6)</f>
        <v>0.31948548768751467</v>
      </c>
      <c r="E165" s="54">
        <f ca="1">MAX(0.02,MCDA_Prioritisation!$B$12+(RAND()-0.5)*2*$B$6)</f>
        <v>7.4675986134728728E-2</v>
      </c>
      <c r="F165" s="54">
        <f ca="1">MAX(0.02,MCDA_Prioritisation!$B$13+(RAND()-0.5)*2*$B$6)</f>
        <v>0.10131953722661398</v>
      </c>
      <c r="G165" s="54">
        <f t="shared" ca="1" si="28"/>
        <v>0.96066775374737068</v>
      </c>
      <c r="H165" s="54">
        <f t="shared" ca="1" si="29"/>
        <v>0.27583026821664608</v>
      </c>
      <c r="I165" s="54">
        <f t="shared" ca="1" si="30"/>
        <v>0.20840243438413744</v>
      </c>
      <c r="J165" s="54">
        <f t="shared" ca="1" si="31"/>
        <v>0.33256605776686726</v>
      </c>
      <c r="K165" s="54">
        <f t="shared" ca="1" si="32"/>
        <v>7.7733415994689942E-2</v>
      </c>
      <c r="L165" s="54">
        <f t="shared" ca="1" si="33"/>
        <v>0.10546782363765927</v>
      </c>
      <c r="M165" s="54">
        <f ca="1">MIN(100,MAX(0,MCDA_Prioritisation!$F$2+(RAND()-0.5)*2*$B$7))</f>
        <v>76.242852642817851</v>
      </c>
      <c r="N165" s="54">
        <f ca="1">MIN(100,MAX(0,MCDA_Prioritisation!$F$3+(RAND()-0.5)*2*$B$7))</f>
        <v>98.97714718572081</v>
      </c>
      <c r="O165" s="54">
        <f ca="1">MIN(100,MAX(0,MCDA_Prioritisation!$F$4+(RAND()-0.5)*2*$B$7))</f>
        <v>95.181100656715074</v>
      </c>
      <c r="P165" s="54">
        <f ca="1">MIN(100,MAX(0,MCDA_Prioritisation!$F$5+(RAND()-0.5)*2*$B$7))</f>
        <v>80.266144244950567</v>
      </c>
      <c r="Q165" s="54">
        <f ca="1">MIN(100,MAX(0,MCDA_Prioritisation!$G$2+(RAND()-0.5)*2*$B$7))</f>
        <v>81.128019528041662</v>
      </c>
      <c r="R165" s="54">
        <f ca="1">MIN(100,MAX(0,MCDA_Prioritisation!$G$3+(RAND()-0.5)*2*$B$7))</f>
        <v>100</v>
      </c>
      <c r="S165" s="54">
        <f ca="1">MIN(100,MAX(0,MCDA_Prioritisation!$G$4+(RAND()-0.5)*2*$B$7))</f>
        <v>85.7889880113609</v>
      </c>
      <c r="T165" s="54">
        <f ca="1">MIN(100,MAX(0,MCDA_Prioritisation!$G$5+(RAND()-0.5)*2*$B$7))</f>
        <v>75.354474003814573</v>
      </c>
      <c r="U165" s="54">
        <f ca="1">MIN(100,MAX(0,MCDA_Prioritisation!$H$2+(RAND()-0.5)*2*$B$7))</f>
        <v>55.605758928559155</v>
      </c>
      <c r="V165" s="54">
        <f ca="1">MIN(100,MAX(0,MCDA_Prioritisation!$H$3+(RAND()-0.5)*2*$B$7))</f>
        <v>69.954802036461643</v>
      </c>
      <c r="W165" s="54">
        <f ca="1">MIN(100,MAX(0,MCDA_Prioritisation!$H$4+(RAND()-0.5)*2*$B$7))</f>
        <v>86.912369370575334</v>
      </c>
      <c r="X165" s="54">
        <f ca="1">MIN(100,MAX(0,MCDA_Prioritisation!$H$5+(RAND()-0.5)*2*$B$7))</f>
        <v>77.379869305885435</v>
      </c>
      <c r="Y165" s="54">
        <f ca="1">H165*MCDA_Prioritisation!$D$2+I165*MCDA_Prioritisation!$E$2+J165*M165+K165*Q165+L165*U165</f>
        <v>85.95003166311453</v>
      </c>
      <c r="Z165" s="54">
        <f ca="1">H165*MCDA_Prioritisation!$D$3+I165*MCDA_Prioritisation!$E$3+J165*N165+K165*R165+L165*V165</f>
        <v>87.330996268666226</v>
      </c>
      <c r="AA165" s="54">
        <f ca="1">H165*MCDA_Prioritisation!$D$4+I165*MCDA_Prioritisation!$E$4+J165*O165+K165*S165+L165*W165</f>
        <v>78.063736851359749</v>
      </c>
      <c r="AB165" s="54">
        <f ca="1">H165*MCDA_Prioritisation!$D$5+I165*MCDA_Prioritisation!$E$5+J165*P165+K165*T165+L165*X165</f>
        <v>72.877129337064275</v>
      </c>
      <c r="AC165" s="54">
        <f t="shared" ca="1" si="34"/>
        <v>2</v>
      </c>
      <c r="AD165" s="54">
        <f t="shared" ca="1" si="35"/>
        <v>1</v>
      </c>
      <c r="AE165" s="54">
        <f t="shared" ca="1" si="36"/>
        <v>3</v>
      </c>
      <c r="AF165" s="54">
        <f t="shared" ca="1" si="37"/>
        <v>4</v>
      </c>
      <c r="AG165" s="54">
        <f t="shared" ca="1" si="38"/>
        <v>0</v>
      </c>
      <c r="AH165" s="54">
        <f t="shared" ca="1" si="39"/>
        <v>0</v>
      </c>
      <c r="AI165" s="54">
        <f t="shared" ca="1" si="40"/>
        <v>0</v>
      </c>
      <c r="AJ165" s="54">
        <f t="shared" ca="1" si="41"/>
        <v>1</v>
      </c>
    </row>
    <row r="166" spans="1:36" x14ac:dyDescent="0.2">
      <c r="A166" s="54">
        <v>143</v>
      </c>
      <c r="B166" s="54">
        <f ca="1">MAX(0.02,MCDA_Prioritisation!$B$9+(RAND()-0.5)*2*$B$6)</f>
        <v>0.13615915995928579</v>
      </c>
      <c r="C166" s="54">
        <f ca="1">MAX(0.02,MCDA_Prioritisation!$B$10+(RAND()-0.5)*2*$B$6)</f>
        <v>0.27488789653022805</v>
      </c>
      <c r="D166" s="54">
        <f ca="1">MAX(0.02,MCDA_Prioritisation!$B$11+(RAND()-0.5)*2*$B$6)</f>
        <v>0.2663170398496385</v>
      </c>
      <c r="E166" s="54">
        <f ca="1">MAX(0.02,MCDA_Prioritisation!$B$12+(RAND()-0.5)*2*$B$6)</f>
        <v>0.13067250819694975</v>
      </c>
      <c r="F166" s="54">
        <f ca="1">MAX(0.02,MCDA_Prioritisation!$B$13+(RAND()-0.5)*2*$B$6)</f>
        <v>0.16586446241217678</v>
      </c>
      <c r="G166" s="54">
        <f t="shared" ca="1" si="28"/>
        <v>0.97390106694827883</v>
      </c>
      <c r="H166" s="54">
        <f t="shared" ca="1" si="29"/>
        <v>0.1398079995804305</v>
      </c>
      <c r="I166" s="54">
        <f t="shared" ca="1" si="30"/>
        <v>0.28225443616320278</v>
      </c>
      <c r="J166" s="54">
        <f t="shared" ca="1" si="31"/>
        <v>0.27345389474122206</v>
      </c>
      <c r="K166" s="54">
        <f t="shared" ca="1" si="32"/>
        <v>0.13417431465232127</v>
      </c>
      <c r="L166" s="54">
        <f t="shared" ca="1" si="33"/>
        <v>0.17030935486282345</v>
      </c>
      <c r="M166" s="54">
        <f ca="1">MIN(100,MAX(0,MCDA_Prioritisation!$F$2+(RAND()-0.5)*2*$B$7))</f>
        <v>90.013669473029879</v>
      </c>
      <c r="N166" s="54">
        <f ca="1">MIN(100,MAX(0,MCDA_Prioritisation!$F$3+(RAND()-0.5)*2*$B$7))</f>
        <v>86.321914676469433</v>
      </c>
      <c r="O166" s="54">
        <f ca="1">MIN(100,MAX(0,MCDA_Prioritisation!$F$4+(RAND()-0.5)*2*$B$7))</f>
        <v>95.68579548028616</v>
      </c>
      <c r="P166" s="54">
        <f ca="1">MIN(100,MAX(0,MCDA_Prioritisation!$F$5+(RAND()-0.5)*2*$B$7))</f>
        <v>65.695492304327558</v>
      </c>
      <c r="Q166" s="54">
        <f ca="1">MIN(100,MAX(0,MCDA_Prioritisation!$G$2+(RAND()-0.5)*2*$B$7))</f>
        <v>89.19730534777031</v>
      </c>
      <c r="R166" s="54">
        <f ca="1">MIN(100,MAX(0,MCDA_Prioritisation!$G$3+(RAND()-0.5)*2*$B$7))</f>
        <v>96.044991173867885</v>
      </c>
      <c r="S166" s="54">
        <f ca="1">MIN(100,MAX(0,MCDA_Prioritisation!$G$4+(RAND()-0.5)*2*$B$7))</f>
        <v>89.913184206368285</v>
      </c>
      <c r="T166" s="54">
        <f ca="1">MIN(100,MAX(0,MCDA_Prioritisation!$G$5+(RAND()-0.5)*2*$B$7))</f>
        <v>62.537154278656985</v>
      </c>
      <c r="U166" s="54">
        <f ca="1">MIN(100,MAX(0,MCDA_Prioritisation!$H$2+(RAND()-0.5)*2*$B$7))</f>
        <v>64.888154102838527</v>
      </c>
      <c r="V166" s="54">
        <f ca="1">MIN(100,MAX(0,MCDA_Prioritisation!$H$3+(RAND()-0.5)*2*$B$7))</f>
        <v>69.355458343033547</v>
      </c>
      <c r="W166" s="54">
        <f ca="1">MIN(100,MAX(0,MCDA_Prioritisation!$H$4+(RAND()-0.5)*2*$B$7))</f>
        <v>89.75939295073259</v>
      </c>
      <c r="X166" s="54">
        <f ca="1">MIN(100,MAX(0,MCDA_Prioritisation!$H$5+(RAND()-0.5)*2*$B$7))</f>
        <v>80.174513778867933</v>
      </c>
      <c r="Y166" s="54">
        <f ca="1">H166*MCDA_Prioritisation!$D$2+I166*MCDA_Prioritisation!$E$2+J166*M166+K166*Q166+L166*U166</f>
        <v>89.839879049077197</v>
      </c>
      <c r="Z166" s="54">
        <f ca="1">H166*MCDA_Prioritisation!$D$3+I166*MCDA_Prioritisation!$E$3+J166*N166+K166*R166+L166*V166</f>
        <v>81.050090626869505</v>
      </c>
      <c r="AA166" s="54">
        <f ca="1">H166*MCDA_Prioritisation!$D$4+I166*MCDA_Prioritisation!$E$4+J166*O166+K166*S166+L166*W166</f>
        <v>78.647661354294456</v>
      </c>
      <c r="AB166" s="54">
        <f ca="1">H166*MCDA_Prioritisation!$D$5+I166*MCDA_Prioritisation!$E$5+J166*P166+K166*T166+L166*X166</f>
        <v>71.165503885173948</v>
      </c>
      <c r="AC166" s="54">
        <f t="shared" ca="1" si="34"/>
        <v>1</v>
      </c>
      <c r="AD166" s="54">
        <f t="shared" ca="1" si="35"/>
        <v>2</v>
      </c>
      <c r="AE166" s="54">
        <f t="shared" ca="1" si="36"/>
        <v>3</v>
      </c>
      <c r="AF166" s="54">
        <f t="shared" ca="1" si="37"/>
        <v>4</v>
      </c>
      <c r="AG166" s="54">
        <f t="shared" ca="1" si="38"/>
        <v>1</v>
      </c>
      <c r="AH166" s="54">
        <f t="shared" ca="1" si="39"/>
        <v>1</v>
      </c>
      <c r="AI166" s="54">
        <f t="shared" ca="1" si="40"/>
        <v>1</v>
      </c>
      <c r="AJ166" s="54">
        <f t="shared" ca="1" si="41"/>
        <v>1</v>
      </c>
    </row>
    <row r="167" spans="1:36" x14ac:dyDescent="0.2">
      <c r="A167" s="54">
        <v>144</v>
      </c>
      <c r="B167" s="54">
        <f ca="1">MAX(0.02,MCDA_Prioritisation!$B$9+(RAND()-0.5)*2*$B$6)</f>
        <v>0.18775146669487391</v>
      </c>
      <c r="C167" s="54">
        <f ca="1">MAX(0.02,MCDA_Prioritisation!$B$10+(RAND()-0.5)*2*$B$6)</f>
        <v>0.2241278458155839</v>
      </c>
      <c r="D167" s="54">
        <f ca="1">MAX(0.02,MCDA_Prioritisation!$B$11+(RAND()-0.5)*2*$B$6)</f>
        <v>0.21351342646293814</v>
      </c>
      <c r="E167" s="54">
        <f ca="1">MAX(0.02,MCDA_Prioritisation!$B$12+(RAND()-0.5)*2*$B$6)</f>
        <v>8.2294838516892718E-2</v>
      </c>
      <c r="F167" s="54">
        <f ca="1">MAX(0.02,MCDA_Prioritisation!$B$13+(RAND()-0.5)*2*$B$6)</f>
        <v>0.22268903826145006</v>
      </c>
      <c r="G167" s="54">
        <f t="shared" ca="1" si="28"/>
        <v>0.93037661575173869</v>
      </c>
      <c r="H167" s="54">
        <f t="shared" ca="1" si="29"/>
        <v>0.2018015753149297</v>
      </c>
      <c r="I167" s="54">
        <f t="shared" ca="1" si="30"/>
        <v>0.24090012799224317</v>
      </c>
      <c r="J167" s="54">
        <f t="shared" ca="1" si="31"/>
        <v>0.22949139396675461</v>
      </c>
      <c r="K167" s="54">
        <f t="shared" ca="1" si="32"/>
        <v>8.8453253363853068E-2</v>
      </c>
      <c r="L167" s="54">
        <f t="shared" ca="1" si="33"/>
        <v>0.23935364936221948</v>
      </c>
      <c r="M167" s="54">
        <f ca="1">MIN(100,MAX(0,MCDA_Prioritisation!$F$2+(RAND()-0.5)*2*$B$7))</f>
        <v>84.484926095722628</v>
      </c>
      <c r="N167" s="54">
        <f ca="1">MIN(100,MAX(0,MCDA_Prioritisation!$F$3+(RAND()-0.5)*2*$B$7))</f>
        <v>100</v>
      </c>
      <c r="O167" s="54">
        <f ca="1">MIN(100,MAX(0,MCDA_Prioritisation!$F$4+(RAND()-0.5)*2*$B$7))</f>
        <v>80.949207099862832</v>
      </c>
      <c r="P167" s="54">
        <f ca="1">MIN(100,MAX(0,MCDA_Prioritisation!$F$5+(RAND()-0.5)*2*$B$7))</f>
        <v>79.323008447878209</v>
      </c>
      <c r="Q167" s="54">
        <f ca="1">MIN(100,MAX(0,MCDA_Prioritisation!$G$2+(RAND()-0.5)*2*$B$7))</f>
        <v>88.410907810601756</v>
      </c>
      <c r="R167" s="54">
        <f ca="1">MIN(100,MAX(0,MCDA_Prioritisation!$G$3+(RAND()-0.5)*2*$B$7))</f>
        <v>90.585129882576737</v>
      </c>
      <c r="S167" s="54">
        <f ca="1">MIN(100,MAX(0,MCDA_Prioritisation!$G$4+(RAND()-0.5)*2*$B$7))</f>
        <v>91.406571439819885</v>
      </c>
      <c r="T167" s="54">
        <f ca="1">MIN(100,MAX(0,MCDA_Prioritisation!$G$5+(RAND()-0.5)*2*$B$7))</f>
        <v>60.875825550469742</v>
      </c>
      <c r="U167" s="54">
        <f ca="1">MIN(100,MAX(0,MCDA_Prioritisation!$H$2+(RAND()-0.5)*2*$B$7))</f>
        <v>62.057834311564591</v>
      </c>
      <c r="V167" s="54">
        <f ca="1">MIN(100,MAX(0,MCDA_Prioritisation!$H$3+(RAND()-0.5)*2*$B$7))</f>
        <v>50.419216914752823</v>
      </c>
      <c r="W167" s="54">
        <f ca="1">MIN(100,MAX(0,MCDA_Prioritisation!$H$4+(RAND()-0.5)*2*$B$7))</f>
        <v>86.030739871461705</v>
      </c>
      <c r="X167" s="54">
        <f ca="1">MIN(100,MAX(0,MCDA_Prioritisation!$H$5+(RAND()-0.5)*2*$B$7))</f>
        <v>75.331188604325888</v>
      </c>
      <c r="Y167" s="54">
        <f ca="1">H167*MCDA_Prioritisation!$D$2+I167*MCDA_Prioritisation!$E$2+J167*M167+K167*Q167+L167*U167</f>
        <v>86.332735332291278</v>
      </c>
      <c r="Z167" s="54">
        <f ca="1">H167*MCDA_Prioritisation!$D$3+I167*MCDA_Prioritisation!$E$3+J167*N167+K167*R167+L167*V167</f>
        <v>78.186541556438627</v>
      </c>
      <c r="AA167" s="54">
        <f ca="1">H167*MCDA_Prioritisation!$D$4+I167*MCDA_Prioritisation!$E$4+J167*O167+K167*S167+L167*W167</f>
        <v>74.446408921568377</v>
      </c>
      <c r="AB167" s="54">
        <f ca="1">H167*MCDA_Prioritisation!$D$5+I167*MCDA_Prioritisation!$E$5+J167*P167+K167*T167+L167*X167</f>
        <v>72.587716447002165</v>
      </c>
      <c r="AC167" s="54">
        <f t="shared" ca="1" si="34"/>
        <v>1</v>
      </c>
      <c r="AD167" s="54">
        <f t="shared" ca="1" si="35"/>
        <v>2</v>
      </c>
      <c r="AE167" s="54">
        <f t="shared" ca="1" si="36"/>
        <v>3</v>
      </c>
      <c r="AF167" s="54">
        <f t="shared" ca="1" si="37"/>
        <v>4</v>
      </c>
      <c r="AG167" s="54">
        <f t="shared" ca="1" si="38"/>
        <v>1</v>
      </c>
      <c r="AH167" s="54">
        <f t="shared" ca="1" si="39"/>
        <v>1</v>
      </c>
      <c r="AI167" s="54">
        <f t="shared" ca="1" si="40"/>
        <v>1</v>
      </c>
      <c r="AJ167" s="54">
        <f t="shared" ca="1" si="41"/>
        <v>1</v>
      </c>
    </row>
    <row r="168" spans="1:36" x14ac:dyDescent="0.2">
      <c r="A168" s="54">
        <v>145</v>
      </c>
      <c r="B168" s="54">
        <f ca="1">MAX(0.02,MCDA_Prioritisation!$B$9+(RAND()-0.5)*2*$B$6)</f>
        <v>0.24112037903410102</v>
      </c>
      <c r="C168" s="54">
        <f ca="1">MAX(0.02,MCDA_Prioritisation!$B$10+(RAND()-0.5)*2*$B$6)</f>
        <v>0.31398720082253445</v>
      </c>
      <c r="D168" s="54">
        <f ca="1">MAX(0.02,MCDA_Prioritisation!$B$11+(RAND()-0.5)*2*$B$6)</f>
        <v>0.28951431116602477</v>
      </c>
      <c r="E168" s="54">
        <f ca="1">MAX(0.02,MCDA_Prioritisation!$B$12+(RAND()-0.5)*2*$B$6)</f>
        <v>0.11591340479191835</v>
      </c>
      <c r="F168" s="54">
        <f ca="1">MAX(0.02,MCDA_Prioritisation!$B$13+(RAND()-0.5)*2*$B$6)</f>
        <v>0.14551709339821942</v>
      </c>
      <c r="G168" s="54">
        <f t="shared" ca="1" si="28"/>
        <v>1.106052389212798</v>
      </c>
      <c r="H168" s="54">
        <f t="shared" ca="1" si="29"/>
        <v>0.2180008663113252</v>
      </c>
      <c r="I168" s="54">
        <f t="shared" ca="1" si="30"/>
        <v>0.283880948031771</v>
      </c>
      <c r="J168" s="54">
        <f t="shared" ca="1" si="31"/>
        <v>0.26175460944673562</v>
      </c>
      <c r="K168" s="54">
        <f t="shared" ca="1" si="32"/>
        <v>0.10479919931678507</v>
      </c>
      <c r="L168" s="54">
        <f t="shared" ca="1" si="33"/>
        <v>0.1315643768933831</v>
      </c>
      <c r="M168" s="54">
        <f ca="1">MIN(100,MAX(0,MCDA_Prioritisation!$F$2+(RAND()-0.5)*2*$B$7))</f>
        <v>88.772079897189784</v>
      </c>
      <c r="N168" s="54">
        <f ca="1">MIN(100,MAX(0,MCDA_Prioritisation!$F$3+(RAND()-0.5)*2*$B$7))</f>
        <v>93.652089552508372</v>
      </c>
      <c r="O168" s="54">
        <f ca="1">MIN(100,MAX(0,MCDA_Prioritisation!$F$4+(RAND()-0.5)*2*$B$7))</f>
        <v>96.232702303163094</v>
      </c>
      <c r="P168" s="54">
        <f ca="1">MIN(100,MAX(0,MCDA_Prioritisation!$F$5+(RAND()-0.5)*2*$B$7))</f>
        <v>79.76563141995986</v>
      </c>
      <c r="Q168" s="54">
        <f ca="1">MIN(100,MAX(0,MCDA_Prioritisation!$G$2+(RAND()-0.5)*2*$B$7))</f>
        <v>83.745392398658879</v>
      </c>
      <c r="R168" s="54">
        <f ca="1">MIN(100,MAX(0,MCDA_Prioritisation!$G$3+(RAND()-0.5)*2*$B$7))</f>
        <v>100</v>
      </c>
      <c r="S168" s="54">
        <f ca="1">MIN(100,MAX(0,MCDA_Prioritisation!$G$4+(RAND()-0.5)*2*$B$7))</f>
        <v>76.649180660055876</v>
      </c>
      <c r="T168" s="54">
        <f ca="1">MIN(100,MAX(0,MCDA_Prioritisation!$G$5+(RAND()-0.5)*2*$B$7))</f>
        <v>62.402499741268656</v>
      </c>
      <c r="U168" s="54">
        <f ca="1">MIN(100,MAX(0,MCDA_Prioritisation!$H$2+(RAND()-0.5)*2*$B$7))</f>
        <v>56.003416118949872</v>
      </c>
      <c r="V168" s="54">
        <f ca="1">MIN(100,MAX(0,MCDA_Prioritisation!$H$3+(RAND()-0.5)*2*$B$7))</f>
        <v>62.382804888259365</v>
      </c>
      <c r="W168" s="54">
        <f ca="1">MIN(100,MAX(0,MCDA_Prioritisation!$H$4+(RAND()-0.5)*2*$B$7))</f>
        <v>79.798840205675631</v>
      </c>
      <c r="X168" s="54">
        <f ca="1">MIN(100,MAX(0,MCDA_Prioritisation!$H$5+(RAND()-0.5)*2*$B$7))</f>
        <v>83.29377639059733</v>
      </c>
      <c r="Y168" s="54">
        <f ca="1">H168*MCDA_Prioritisation!$D$2+I168*MCDA_Prioritisation!$E$2+J168*M168+K168*Q168+L168*U168</f>
        <v>89.569187153012862</v>
      </c>
      <c r="Z168" s="54">
        <f ca="1">H168*MCDA_Prioritisation!$D$3+I168*MCDA_Prioritisation!$E$3+J168*N168+K168*R168+L168*V168</f>
        <v>82.899614711475735</v>
      </c>
      <c r="AA168" s="54">
        <f ca="1">H168*MCDA_Prioritisation!$D$4+I168*MCDA_Prioritisation!$E$4+J168*O168+K168*S168+L168*W168</f>
        <v>74.385524994387424</v>
      </c>
      <c r="AB168" s="54">
        <f ca="1">H168*MCDA_Prioritisation!$D$5+I168*MCDA_Prioritisation!$E$5+J168*P168+K168*T168+L168*X168</f>
        <v>73.819644452767207</v>
      </c>
      <c r="AC168" s="54">
        <f t="shared" ca="1" si="34"/>
        <v>1</v>
      </c>
      <c r="AD168" s="54">
        <f t="shared" ca="1" si="35"/>
        <v>2</v>
      </c>
      <c r="AE168" s="54">
        <f t="shared" ca="1" si="36"/>
        <v>3</v>
      </c>
      <c r="AF168" s="54">
        <f t="shared" ca="1" si="37"/>
        <v>4</v>
      </c>
      <c r="AG168" s="54">
        <f t="shared" ca="1" si="38"/>
        <v>1</v>
      </c>
      <c r="AH168" s="54">
        <f t="shared" ca="1" si="39"/>
        <v>1</v>
      </c>
      <c r="AI168" s="54">
        <f t="shared" ca="1" si="40"/>
        <v>1</v>
      </c>
      <c r="AJ168" s="54">
        <f t="shared" ca="1" si="41"/>
        <v>1</v>
      </c>
    </row>
    <row r="169" spans="1:36" x14ac:dyDescent="0.2">
      <c r="A169" s="54">
        <v>146</v>
      </c>
      <c r="B169" s="54">
        <f ca="1">MAX(0.02,MCDA_Prioritisation!$B$9+(RAND()-0.5)*2*$B$6)</f>
        <v>0.21320334687820269</v>
      </c>
      <c r="C169" s="54">
        <f ca="1">MAX(0.02,MCDA_Prioritisation!$B$10+(RAND()-0.5)*2*$B$6)</f>
        <v>0.28673151732218566</v>
      </c>
      <c r="D169" s="54">
        <f ca="1">MAX(0.02,MCDA_Prioritisation!$B$11+(RAND()-0.5)*2*$B$6)</f>
        <v>0.2124708889409434</v>
      </c>
      <c r="E169" s="54">
        <f ca="1">MAX(0.02,MCDA_Prioritisation!$B$12+(RAND()-0.5)*2*$B$6)</f>
        <v>0.14646943642474375</v>
      </c>
      <c r="F169" s="54">
        <f ca="1">MAX(0.02,MCDA_Prioritisation!$B$13+(RAND()-0.5)*2*$B$6)</f>
        <v>9.9140774478527524E-2</v>
      </c>
      <c r="G169" s="54">
        <f t="shared" ca="1" si="28"/>
        <v>0.95801596404460299</v>
      </c>
      <c r="H169" s="54">
        <f t="shared" ca="1" si="29"/>
        <v>0.22254675796642198</v>
      </c>
      <c r="I169" s="54">
        <f t="shared" ca="1" si="30"/>
        <v>0.29929722268055664</v>
      </c>
      <c r="J169" s="54">
        <f t="shared" ca="1" si="31"/>
        <v>0.22178220083507005</v>
      </c>
      <c r="K169" s="54">
        <f t="shared" ca="1" si="32"/>
        <v>0.15288830449794516</v>
      </c>
      <c r="L169" s="54">
        <f t="shared" ca="1" si="33"/>
        <v>0.10348551402000621</v>
      </c>
      <c r="M169" s="54">
        <f ca="1">MIN(100,MAX(0,MCDA_Prioritisation!$F$2+(RAND()-0.5)*2*$B$7))</f>
        <v>80.849470339557811</v>
      </c>
      <c r="N169" s="54">
        <f ca="1">MIN(100,MAX(0,MCDA_Prioritisation!$F$3+(RAND()-0.5)*2*$B$7))</f>
        <v>90.95699515335086</v>
      </c>
      <c r="O169" s="54">
        <f ca="1">MIN(100,MAX(0,MCDA_Prioritisation!$F$4+(RAND()-0.5)*2*$B$7))</f>
        <v>80.535526948222142</v>
      </c>
      <c r="P169" s="54">
        <f ca="1">MIN(100,MAX(0,MCDA_Prioritisation!$F$5+(RAND()-0.5)*2*$B$7))</f>
        <v>68.523453831988292</v>
      </c>
      <c r="Q169" s="54">
        <f ca="1">MIN(100,MAX(0,MCDA_Prioritisation!$G$2+(RAND()-0.5)*2*$B$7))</f>
        <v>72.023672072296904</v>
      </c>
      <c r="R169" s="54">
        <f ca="1">MIN(100,MAX(0,MCDA_Prioritisation!$G$3+(RAND()-0.5)*2*$B$7))</f>
        <v>87.691861591778732</v>
      </c>
      <c r="S169" s="54">
        <f ca="1">MIN(100,MAX(0,MCDA_Prioritisation!$G$4+(RAND()-0.5)*2*$B$7))</f>
        <v>86.137217145892805</v>
      </c>
      <c r="T169" s="54">
        <f ca="1">MIN(100,MAX(0,MCDA_Prioritisation!$G$5+(RAND()-0.5)*2*$B$7))</f>
        <v>78.440204147388187</v>
      </c>
      <c r="U169" s="54">
        <f ca="1">MIN(100,MAX(0,MCDA_Prioritisation!$H$2+(RAND()-0.5)*2*$B$7))</f>
        <v>67.837995112223737</v>
      </c>
      <c r="V169" s="54">
        <f ca="1">MIN(100,MAX(0,MCDA_Prioritisation!$H$3+(RAND()-0.5)*2*$B$7))</f>
        <v>67.6750917045363</v>
      </c>
      <c r="W169" s="54">
        <f ca="1">MIN(100,MAX(0,MCDA_Prioritisation!$H$4+(RAND()-0.5)*2*$B$7))</f>
        <v>84.696948678803167</v>
      </c>
      <c r="X169" s="54">
        <f ca="1">MIN(100,MAX(0,MCDA_Prioritisation!$H$5+(RAND()-0.5)*2*$B$7))</f>
        <v>80.29802181048926</v>
      </c>
      <c r="Y169" s="54">
        <f ca="1">H169*MCDA_Prioritisation!$D$2+I169*MCDA_Prioritisation!$E$2+J169*M169+K169*Q169+L169*U169</f>
        <v>88.147198434079328</v>
      </c>
      <c r="Z169" s="54">
        <f ca="1">H169*MCDA_Prioritisation!$D$3+I169*MCDA_Prioritisation!$E$3+J169*N169+K169*R169+L169*V169</f>
        <v>81.800048229104249</v>
      </c>
      <c r="AA169" s="54">
        <f ca="1">H169*MCDA_Prioritisation!$D$4+I169*MCDA_Prioritisation!$E$4+J169*O169+K169*S169+L169*W169</f>
        <v>71.61777778212597</v>
      </c>
      <c r="AB169" s="54">
        <f ca="1">H169*MCDA_Prioritisation!$D$5+I169*MCDA_Prioritisation!$E$5+J169*P169+K169*T169+L169*X169</f>
        <v>72.479597027719947</v>
      </c>
      <c r="AC169" s="54">
        <f t="shared" ca="1" si="34"/>
        <v>1</v>
      </c>
      <c r="AD169" s="54">
        <f t="shared" ca="1" si="35"/>
        <v>2</v>
      </c>
      <c r="AE169" s="54">
        <f t="shared" ca="1" si="36"/>
        <v>4</v>
      </c>
      <c r="AF169" s="54">
        <f t="shared" ca="1" si="37"/>
        <v>3</v>
      </c>
      <c r="AG169" s="54">
        <f t="shared" ca="1" si="38"/>
        <v>1</v>
      </c>
      <c r="AH169" s="54">
        <f t="shared" ca="1" si="39"/>
        <v>1</v>
      </c>
      <c r="AI169" s="54">
        <f t="shared" ca="1" si="40"/>
        <v>0</v>
      </c>
      <c r="AJ169" s="54">
        <f t="shared" ca="1" si="41"/>
        <v>1</v>
      </c>
    </row>
    <row r="170" spans="1:36" x14ac:dyDescent="0.2">
      <c r="A170" s="54">
        <v>147</v>
      </c>
      <c r="B170" s="54">
        <f ca="1">MAX(0.02,MCDA_Prioritisation!$B$9+(RAND()-0.5)*2*$B$6)</f>
        <v>0.24802641137564535</v>
      </c>
      <c r="C170" s="54">
        <f ca="1">MAX(0.02,MCDA_Prioritisation!$B$10+(RAND()-0.5)*2*$B$6)</f>
        <v>0.22944609456529289</v>
      </c>
      <c r="D170" s="54">
        <f ca="1">MAX(0.02,MCDA_Prioritisation!$B$11+(RAND()-0.5)*2*$B$6)</f>
        <v>0.31779174731324106</v>
      </c>
      <c r="E170" s="54">
        <f ca="1">MAX(0.02,MCDA_Prioritisation!$B$12+(RAND()-0.5)*2*$B$6)</f>
        <v>0.17990908930278762</v>
      </c>
      <c r="F170" s="54">
        <f ca="1">MAX(0.02,MCDA_Prioritisation!$B$13+(RAND()-0.5)*2*$B$6)</f>
        <v>7.4854745161187786E-2</v>
      </c>
      <c r="G170" s="54">
        <f t="shared" ca="1" si="28"/>
        <v>1.0500280877181547</v>
      </c>
      <c r="H170" s="54">
        <f t="shared" ca="1" si="29"/>
        <v>0.23620931123341515</v>
      </c>
      <c r="I170" s="54">
        <f t="shared" ca="1" si="30"/>
        <v>0.21851424476073644</v>
      </c>
      <c r="J170" s="54">
        <f t="shared" ca="1" si="31"/>
        <v>0.30265071099559171</v>
      </c>
      <c r="K170" s="54">
        <f t="shared" ca="1" si="32"/>
        <v>0.17133740650095663</v>
      </c>
      <c r="L170" s="54">
        <f t="shared" ca="1" si="33"/>
        <v>7.1288326509300073E-2</v>
      </c>
      <c r="M170" s="54">
        <f ca="1">MIN(100,MAX(0,MCDA_Prioritisation!$F$2+(RAND()-0.5)*2*$B$7))</f>
        <v>83.610190983228179</v>
      </c>
      <c r="N170" s="54">
        <f ca="1">MIN(100,MAX(0,MCDA_Prioritisation!$F$3+(RAND()-0.5)*2*$B$7))</f>
        <v>100</v>
      </c>
      <c r="O170" s="54">
        <f ca="1">MIN(100,MAX(0,MCDA_Prioritisation!$F$4+(RAND()-0.5)*2*$B$7))</f>
        <v>94.475640839927792</v>
      </c>
      <c r="P170" s="54">
        <f ca="1">MIN(100,MAX(0,MCDA_Prioritisation!$F$5+(RAND()-0.5)*2*$B$7))</f>
        <v>68.439572358746418</v>
      </c>
      <c r="Q170" s="54">
        <f ca="1">MIN(100,MAX(0,MCDA_Prioritisation!$G$2+(RAND()-0.5)*2*$B$7))</f>
        <v>84.949763868264768</v>
      </c>
      <c r="R170" s="54">
        <f ca="1">MIN(100,MAX(0,MCDA_Prioritisation!$G$3+(RAND()-0.5)*2*$B$7))</f>
        <v>93.415105099168343</v>
      </c>
      <c r="S170" s="54">
        <f ca="1">MIN(100,MAX(0,MCDA_Prioritisation!$G$4+(RAND()-0.5)*2*$B$7))</f>
        <v>75.65518507306551</v>
      </c>
      <c r="T170" s="54">
        <f ca="1">MIN(100,MAX(0,MCDA_Prioritisation!$G$5+(RAND()-0.5)*2*$B$7))</f>
        <v>72.579119373456507</v>
      </c>
      <c r="U170" s="54">
        <f ca="1">MIN(100,MAX(0,MCDA_Prioritisation!$H$2+(RAND()-0.5)*2*$B$7))</f>
        <v>73.3894657534792</v>
      </c>
      <c r="V170" s="54">
        <f ca="1">MIN(100,MAX(0,MCDA_Prioritisation!$H$3+(RAND()-0.5)*2*$B$7))</f>
        <v>51.692806734347712</v>
      </c>
      <c r="W170" s="54">
        <f ca="1">MIN(100,MAX(0,MCDA_Prioritisation!$H$4+(RAND()-0.5)*2*$B$7))</f>
        <v>70.865863762049628</v>
      </c>
      <c r="X170" s="54">
        <f ca="1">MIN(100,MAX(0,MCDA_Prioritisation!$H$5+(RAND()-0.5)*2*$B$7))</f>
        <v>77.807822924463039</v>
      </c>
      <c r="Y170" s="54">
        <f ca="1">H170*MCDA_Prioritisation!$D$2+I170*MCDA_Prioritisation!$E$2+J170*M170+K170*Q170+L170*U170</f>
        <v>90.563923768000649</v>
      </c>
      <c r="Z170" s="54">
        <f ca="1">H170*MCDA_Prioritisation!$D$3+I170*MCDA_Prioritisation!$E$3+J170*N170+K170*R170+L170*V170</f>
        <v>86.491558899003962</v>
      </c>
      <c r="AA170" s="54">
        <f ca="1">H170*MCDA_Prioritisation!$D$4+I170*MCDA_Prioritisation!$E$4+J170*O170+K170*S170+L170*W170</f>
        <v>74.974778564195532</v>
      </c>
      <c r="AB170" s="54">
        <f ca="1">H170*MCDA_Prioritisation!$D$5+I170*MCDA_Prioritisation!$E$5+J170*P170+K170*T170+L170*X170</f>
        <v>69.607673668958867</v>
      </c>
      <c r="AC170" s="54">
        <f t="shared" ca="1" si="34"/>
        <v>1</v>
      </c>
      <c r="AD170" s="54">
        <f t="shared" ca="1" si="35"/>
        <v>2</v>
      </c>
      <c r="AE170" s="54">
        <f t="shared" ca="1" si="36"/>
        <v>3</v>
      </c>
      <c r="AF170" s="54">
        <f t="shared" ca="1" si="37"/>
        <v>4</v>
      </c>
      <c r="AG170" s="54">
        <f t="shared" ca="1" si="38"/>
        <v>1</v>
      </c>
      <c r="AH170" s="54">
        <f t="shared" ca="1" si="39"/>
        <v>1</v>
      </c>
      <c r="AI170" s="54">
        <f t="shared" ca="1" si="40"/>
        <v>1</v>
      </c>
      <c r="AJ170" s="54">
        <f t="shared" ca="1" si="41"/>
        <v>1</v>
      </c>
    </row>
    <row r="171" spans="1:36" x14ac:dyDescent="0.2">
      <c r="A171" s="54">
        <v>148</v>
      </c>
      <c r="B171" s="54">
        <f ca="1">MAX(0.02,MCDA_Prioritisation!$B$9+(RAND()-0.5)*2*$B$6)</f>
        <v>0.14796988970895161</v>
      </c>
      <c r="C171" s="54">
        <f ca="1">MAX(0.02,MCDA_Prioritisation!$B$10+(RAND()-0.5)*2*$B$6)</f>
        <v>0.25852597227757035</v>
      </c>
      <c r="D171" s="54">
        <f ca="1">MAX(0.02,MCDA_Prioritisation!$B$11+(RAND()-0.5)*2*$B$6)</f>
        <v>0.2256027374076427</v>
      </c>
      <c r="E171" s="54">
        <f ca="1">MAX(0.02,MCDA_Prioritisation!$B$12+(RAND()-0.5)*2*$B$6)</f>
        <v>0.15012483974404248</v>
      </c>
      <c r="F171" s="54">
        <f ca="1">MAX(0.02,MCDA_Prioritisation!$B$13+(RAND()-0.5)*2*$B$6)</f>
        <v>0.15993235861660765</v>
      </c>
      <c r="G171" s="54">
        <f t="shared" ca="1" si="28"/>
        <v>0.94215579775481473</v>
      </c>
      <c r="H171" s="54">
        <f t="shared" ca="1" si="29"/>
        <v>0.15705458700309255</v>
      </c>
      <c r="I171" s="54">
        <f t="shared" ca="1" si="30"/>
        <v>0.2743983244529678</v>
      </c>
      <c r="J171" s="54">
        <f t="shared" ca="1" si="31"/>
        <v>0.2394537484620492</v>
      </c>
      <c r="K171" s="54">
        <f t="shared" ca="1" si="32"/>
        <v>0.15934184144681213</v>
      </c>
      <c r="L171" s="54">
        <f t="shared" ca="1" si="33"/>
        <v>0.16975149863507841</v>
      </c>
      <c r="M171" s="54">
        <f ca="1">MIN(100,MAX(0,MCDA_Prioritisation!$F$2+(RAND()-0.5)*2*$B$7))</f>
        <v>76.801574890529096</v>
      </c>
      <c r="N171" s="54">
        <f ca="1">MIN(100,MAX(0,MCDA_Prioritisation!$F$3+(RAND()-0.5)*2*$B$7))</f>
        <v>92.789322159349695</v>
      </c>
      <c r="O171" s="54">
        <f ca="1">MIN(100,MAX(0,MCDA_Prioritisation!$F$4+(RAND()-0.5)*2*$B$7))</f>
        <v>87.430596443414771</v>
      </c>
      <c r="P171" s="54">
        <f ca="1">MIN(100,MAX(0,MCDA_Prioritisation!$F$5+(RAND()-0.5)*2*$B$7))</f>
        <v>66.649502085265766</v>
      </c>
      <c r="Q171" s="54">
        <f ca="1">MIN(100,MAX(0,MCDA_Prioritisation!$G$2+(RAND()-0.5)*2*$B$7))</f>
        <v>73.868990031227739</v>
      </c>
      <c r="R171" s="54">
        <f ca="1">MIN(100,MAX(0,MCDA_Prioritisation!$G$3+(RAND()-0.5)*2*$B$7))</f>
        <v>100</v>
      </c>
      <c r="S171" s="54">
        <f ca="1">MIN(100,MAX(0,MCDA_Prioritisation!$G$4+(RAND()-0.5)*2*$B$7))</f>
        <v>89.023264904924019</v>
      </c>
      <c r="T171" s="54">
        <f ca="1">MIN(100,MAX(0,MCDA_Prioritisation!$G$5+(RAND()-0.5)*2*$B$7))</f>
        <v>69.910239289675715</v>
      </c>
      <c r="U171" s="54">
        <f ca="1">MIN(100,MAX(0,MCDA_Prioritisation!$H$2+(RAND()-0.5)*2*$B$7))</f>
        <v>70.472082619844244</v>
      </c>
      <c r="V171" s="54">
        <f ca="1">MIN(100,MAX(0,MCDA_Prioritisation!$H$3+(RAND()-0.5)*2*$B$7))</f>
        <v>53.946765205316211</v>
      </c>
      <c r="W171" s="54">
        <f ca="1">MIN(100,MAX(0,MCDA_Prioritisation!$H$4+(RAND()-0.5)*2*$B$7))</f>
        <v>85.709134143944155</v>
      </c>
      <c r="X171" s="54">
        <f ca="1">MIN(100,MAX(0,MCDA_Prioritisation!$H$5+(RAND()-0.5)*2*$B$7))</f>
        <v>84.829781363405743</v>
      </c>
      <c r="Y171" s="54">
        <f ca="1">H171*MCDA_Prioritisation!$D$2+I171*MCDA_Prioritisation!$E$2+J171*M171+K171*Q171+L171*U171</f>
        <v>85.268878674977685</v>
      </c>
      <c r="Z171" s="54">
        <f ca="1">H171*MCDA_Prioritisation!$D$3+I171*MCDA_Prioritisation!$E$3+J171*N171+K171*R171+L171*V171</f>
        <v>80.992795666852288</v>
      </c>
      <c r="AA171" s="54">
        <f ca="1">H171*MCDA_Prioritisation!$D$4+I171*MCDA_Prioritisation!$E$4+J171*O171+K171*S171+L171*W171</f>
        <v>75.573508489358943</v>
      </c>
      <c r="AB171" s="54">
        <f ca="1">H171*MCDA_Prioritisation!$D$5+I171*MCDA_Prioritisation!$E$5+J171*P171+K171*T171+L171*X171</f>
        <v>72.909298399237784</v>
      </c>
      <c r="AC171" s="54">
        <f t="shared" ca="1" si="34"/>
        <v>1</v>
      </c>
      <c r="AD171" s="54">
        <f t="shared" ca="1" si="35"/>
        <v>2</v>
      </c>
      <c r="AE171" s="54">
        <f t="shared" ca="1" si="36"/>
        <v>3</v>
      </c>
      <c r="AF171" s="54">
        <f t="shared" ca="1" si="37"/>
        <v>4</v>
      </c>
      <c r="AG171" s="54">
        <f t="shared" ca="1" si="38"/>
        <v>1</v>
      </c>
      <c r="AH171" s="54">
        <f t="shared" ca="1" si="39"/>
        <v>1</v>
      </c>
      <c r="AI171" s="54">
        <f t="shared" ca="1" si="40"/>
        <v>1</v>
      </c>
      <c r="AJ171" s="54">
        <f t="shared" ca="1" si="41"/>
        <v>1</v>
      </c>
    </row>
    <row r="172" spans="1:36" x14ac:dyDescent="0.2">
      <c r="A172" s="54">
        <v>149</v>
      </c>
      <c r="B172" s="54">
        <f ca="1">MAX(0.02,MCDA_Prioritisation!$B$9+(RAND()-0.5)*2*$B$6)</f>
        <v>0.17256355127094053</v>
      </c>
      <c r="C172" s="54">
        <f ca="1">MAX(0.02,MCDA_Prioritisation!$B$10+(RAND()-0.5)*2*$B$6)</f>
        <v>0.2001835522210588</v>
      </c>
      <c r="D172" s="54">
        <f ca="1">MAX(0.02,MCDA_Prioritisation!$B$11+(RAND()-0.5)*2*$B$6)</f>
        <v>0.18057161842254704</v>
      </c>
      <c r="E172" s="54">
        <f ca="1">MAX(0.02,MCDA_Prioritisation!$B$12+(RAND()-0.5)*2*$B$6)</f>
        <v>0.11556565153791604</v>
      </c>
      <c r="F172" s="54">
        <f ca="1">MAX(0.02,MCDA_Prioritisation!$B$13+(RAND()-0.5)*2*$B$6)</f>
        <v>0.14819136334667254</v>
      </c>
      <c r="G172" s="54">
        <f t="shared" ca="1" si="28"/>
        <v>0.81707573679913481</v>
      </c>
      <c r="H172" s="54">
        <f t="shared" ca="1" si="29"/>
        <v>0.21119651887712651</v>
      </c>
      <c r="I172" s="54">
        <f t="shared" ca="1" si="30"/>
        <v>0.24499999596765748</v>
      </c>
      <c r="J172" s="54">
        <f t="shared" ca="1" si="31"/>
        <v>0.2209974061032946</v>
      </c>
      <c r="K172" s="54">
        <f t="shared" ca="1" si="32"/>
        <v>0.14143811440373982</v>
      </c>
      <c r="L172" s="54">
        <f t="shared" ca="1" si="33"/>
        <v>0.18136796464818175</v>
      </c>
      <c r="M172" s="54">
        <f ca="1">MIN(100,MAX(0,MCDA_Prioritisation!$F$2+(RAND()-0.5)*2*$B$7))</f>
        <v>77.106532407597783</v>
      </c>
      <c r="N172" s="54">
        <f ca="1">MIN(100,MAX(0,MCDA_Prioritisation!$F$3+(RAND()-0.5)*2*$B$7))</f>
        <v>100</v>
      </c>
      <c r="O172" s="54">
        <f ca="1">MIN(100,MAX(0,MCDA_Prioritisation!$F$4+(RAND()-0.5)*2*$B$7))</f>
        <v>95.509159846235349</v>
      </c>
      <c r="P172" s="54">
        <f ca="1">MIN(100,MAX(0,MCDA_Prioritisation!$F$5+(RAND()-0.5)*2*$B$7))</f>
        <v>67.088254604812391</v>
      </c>
      <c r="Q172" s="54">
        <f ca="1">MIN(100,MAX(0,MCDA_Prioritisation!$G$2+(RAND()-0.5)*2*$B$7))</f>
        <v>83.604505402251533</v>
      </c>
      <c r="R172" s="54">
        <f ca="1">MIN(100,MAX(0,MCDA_Prioritisation!$G$3+(RAND()-0.5)*2*$B$7))</f>
        <v>88.032570328159949</v>
      </c>
      <c r="S172" s="54">
        <f ca="1">MIN(100,MAX(0,MCDA_Prioritisation!$G$4+(RAND()-0.5)*2*$B$7))</f>
        <v>78.183196505411246</v>
      </c>
      <c r="T172" s="54">
        <f ca="1">MIN(100,MAX(0,MCDA_Prioritisation!$G$5+(RAND()-0.5)*2*$B$7))</f>
        <v>60.518854076080729</v>
      </c>
      <c r="U172" s="54">
        <f ca="1">MIN(100,MAX(0,MCDA_Prioritisation!$H$2+(RAND()-0.5)*2*$B$7))</f>
        <v>71.507198795585026</v>
      </c>
      <c r="V172" s="54">
        <f ca="1">MIN(100,MAX(0,MCDA_Prioritisation!$H$3+(RAND()-0.5)*2*$B$7))</f>
        <v>60.602385056170313</v>
      </c>
      <c r="W172" s="54">
        <f ca="1">MIN(100,MAX(0,MCDA_Prioritisation!$H$4+(RAND()-0.5)*2*$B$7))</f>
        <v>72.894822784689353</v>
      </c>
      <c r="X172" s="54">
        <f ca="1">MIN(100,MAX(0,MCDA_Prioritisation!$H$5+(RAND()-0.5)*2*$B$7))</f>
        <v>70.4889880306295</v>
      </c>
      <c r="Y172" s="54">
        <f ca="1">H172*MCDA_Prioritisation!$D$2+I172*MCDA_Prioritisation!$E$2+J172*M172+K172*Q172+L172*U172</f>
        <v>87.453973843177039</v>
      </c>
      <c r="Z172" s="54">
        <f ca="1">H172*MCDA_Prioritisation!$D$3+I172*MCDA_Prioritisation!$E$3+J172*N172+K172*R172+L172*V172</f>
        <v>81.818322331608044</v>
      </c>
      <c r="AA172" s="54">
        <f ca="1">H172*MCDA_Prioritisation!$D$4+I172*MCDA_Prioritisation!$E$4+J172*O172+K172*S172+L172*W172</f>
        <v>73.456266297063848</v>
      </c>
      <c r="AB172" s="54">
        <f ca="1">H172*MCDA_Prioritisation!$D$5+I172*MCDA_Prioritisation!$E$5+J172*P172+K172*T172+L172*X172</f>
        <v>67.98216269815056</v>
      </c>
      <c r="AC172" s="54">
        <f t="shared" ca="1" si="34"/>
        <v>1</v>
      </c>
      <c r="AD172" s="54">
        <f t="shared" ca="1" si="35"/>
        <v>2</v>
      </c>
      <c r="AE172" s="54">
        <f t="shared" ca="1" si="36"/>
        <v>3</v>
      </c>
      <c r="AF172" s="54">
        <f t="shared" ca="1" si="37"/>
        <v>4</v>
      </c>
      <c r="AG172" s="54">
        <f t="shared" ca="1" si="38"/>
        <v>1</v>
      </c>
      <c r="AH172" s="54">
        <f t="shared" ca="1" si="39"/>
        <v>1</v>
      </c>
      <c r="AI172" s="54">
        <f t="shared" ca="1" si="40"/>
        <v>1</v>
      </c>
      <c r="AJ172" s="54">
        <f t="shared" ca="1" si="41"/>
        <v>1</v>
      </c>
    </row>
    <row r="173" spans="1:36" x14ac:dyDescent="0.2">
      <c r="A173" s="54">
        <v>150</v>
      </c>
      <c r="B173" s="54">
        <f ca="1">MAX(0.02,MCDA_Prioritisation!$B$9+(RAND()-0.5)*2*$B$6)</f>
        <v>0.26671743916974494</v>
      </c>
      <c r="C173" s="54">
        <f ca="1">MAX(0.02,MCDA_Prioritisation!$B$10+(RAND()-0.5)*2*$B$6)</f>
        <v>0.31704388880590445</v>
      </c>
      <c r="D173" s="54">
        <f ca="1">MAX(0.02,MCDA_Prioritisation!$B$11+(RAND()-0.5)*2*$B$6)</f>
        <v>0.28898495916364408</v>
      </c>
      <c r="E173" s="54">
        <f ca="1">MAX(0.02,MCDA_Prioritisation!$B$12+(RAND()-0.5)*2*$B$6)</f>
        <v>0.14133339946031165</v>
      </c>
      <c r="F173" s="54">
        <f ca="1">MAX(0.02,MCDA_Prioritisation!$B$13+(RAND()-0.5)*2*$B$6)</f>
        <v>0.20899190751986851</v>
      </c>
      <c r="G173" s="54">
        <f t="shared" ca="1" si="28"/>
        <v>1.2230715941194736</v>
      </c>
      <c r="H173" s="54">
        <f t="shared" ca="1" si="29"/>
        <v>0.21807181235515727</v>
      </c>
      <c r="I173" s="54">
        <f t="shared" ca="1" si="30"/>
        <v>0.25921940328779686</v>
      </c>
      <c r="J173" s="54">
        <f t="shared" ca="1" si="31"/>
        <v>0.23627804010254455</v>
      </c>
      <c r="K173" s="54">
        <f t="shared" ca="1" si="32"/>
        <v>0.11555611310069044</v>
      </c>
      <c r="L173" s="54">
        <f t="shared" ca="1" si="33"/>
        <v>0.17087463115381085</v>
      </c>
      <c r="M173" s="54">
        <f ca="1">MIN(100,MAX(0,MCDA_Prioritisation!$F$2+(RAND()-0.5)*2*$B$7))</f>
        <v>76.83620390755361</v>
      </c>
      <c r="N173" s="54">
        <f ca="1">MIN(100,MAX(0,MCDA_Prioritisation!$F$3+(RAND()-0.5)*2*$B$7))</f>
        <v>100</v>
      </c>
      <c r="O173" s="54">
        <f ca="1">MIN(100,MAX(0,MCDA_Prioritisation!$F$4+(RAND()-0.5)*2*$B$7))</f>
        <v>85.688405784036391</v>
      </c>
      <c r="P173" s="54">
        <f ca="1">MIN(100,MAX(0,MCDA_Prioritisation!$F$5+(RAND()-0.5)*2*$B$7))</f>
        <v>80.772480883896904</v>
      </c>
      <c r="Q173" s="54">
        <f ca="1">MIN(100,MAX(0,MCDA_Prioritisation!$G$2+(RAND()-0.5)*2*$B$7))</f>
        <v>89.048873782115578</v>
      </c>
      <c r="R173" s="54">
        <f ca="1">MIN(100,MAX(0,MCDA_Prioritisation!$G$3+(RAND()-0.5)*2*$B$7))</f>
        <v>100</v>
      </c>
      <c r="S173" s="54">
        <f ca="1">MIN(100,MAX(0,MCDA_Prioritisation!$G$4+(RAND()-0.5)*2*$B$7))</f>
        <v>91.219765586211764</v>
      </c>
      <c r="T173" s="54">
        <f ca="1">MIN(100,MAX(0,MCDA_Prioritisation!$G$5+(RAND()-0.5)*2*$B$7))</f>
        <v>78.602867466003545</v>
      </c>
      <c r="U173" s="54">
        <f ca="1">MIN(100,MAX(0,MCDA_Prioritisation!$H$2+(RAND()-0.5)*2*$B$7))</f>
        <v>62.911604448598879</v>
      </c>
      <c r="V173" s="54">
        <f ca="1">MIN(100,MAX(0,MCDA_Prioritisation!$H$3+(RAND()-0.5)*2*$B$7))</f>
        <v>61.989869348476383</v>
      </c>
      <c r="W173" s="54">
        <f ca="1">MIN(100,MAX(0,MCDA_Prioritisation!$H$4+(RAND()-0.5)*2*$B$7))</f>
        <v>77.895578420820911</v>
      </c>
      <c r="X173" s="54">
        <f ca="1">MIN(100,MAX(0,MCDA_Prioritisation!$H$5+(RAND()-0.5)*2*$B$7))</f>
        <v>78.460519092382583</v>
      </c>
      <c r="Y173" s="54">
        <f ca="1">H173*MCDA_Prioritisation!$D$2+I173*MCDA_Prioritisation!$E$2+J173*M173+K173*Q173+L173*U173</f>
        <v>86.923968168195685</v>
      </c>
      <c r="Z173" s="54">
        <f ca="1">H173*MCDA_Prioritisation!$D$3+I173*MCDA_Prioritisation!$E$3+J173*N173+K173*R173+L173*V173</f>
        <v>83.687018751159741</v>
      </c>
      <c r="AA173" s="54">
        <f ca="1">H173*MCDA_Prioritisation!$D$4+I173*MCDA_Prioritisation!$E$4+J173*O173+K173*S173+L173*W173</f>
        <v>73.422147593091992</v>
      </c>
      <c r="AB173" s="54">
        <f ca="1">H173*MCDA_Prioritisation!$D$5+I173*MCDA_Prioritisation!$E$5+J173*P173+K173*T173+L173*X173</f>
        <v>74.947068342740494</v>
      </c>
      <c r="AC173" s="54">
        <f t="shared" ca="1" si="34"/>
        <v>1</v>
      </c>
      <c r="AD173" s="54">
        <f t="shared" ca="1" si="35"/>
        <v>2</v>
      </c>
      <c r="AE173" s="54">
        <f t="shared" ca="1" si="36"/>
        <v>4</v>
      </c>
      <c r="AF173" s="54">
        <f t="shared" ca="1" si="37"/>
        <v>3</v>
      </c>
      <c r="AG173" s="54">
        <f t="shared" ca="1" si="38"/>
        <v>1</v>
      </c>
      <c r="AH173" s="54">
        <f t="shared" ca="1" si="39"/>
        <v>1</v>
      </c>
      <c r="AI173" s="54">
        <f t="shared" ca="1" si="40"/>
        <v>0</v>
      </c>
      <c r="AJ173" s="54">
        <f t="shared" ca="1" si="41"/>
        <v>1</v>
      </c>
    </row>
    <row r="174" spans="1:36" x14ac:dyDescent="0.2">
      <c r="A174" s="54">
        <v>151</v>
      </c>
      <c r="B174" s="54">
        <f ca="1">MAX(0.02,MCDA_Prioritisation!$B$9+(RAND()-0.5)*2*$B$6)</f>
        <v>0.12410385594440773</v>
      </c>
      <c r="C174" s="54">
        <f ca="1">MAX(0.02,MCDA_Prioritisation!$B$10+(RAND()-0.5)*2*$B$6)</f>
        <v>0.24170847664413947</v>
      </c>
      <c r="D174" s="54">
        <f ca="1">MAX(0.02,MCDA_Prioritisation!$B$11+(RAND()-0.5)*2*$B$6)</f>
        <v>0.22243998545246982</v>
      </c>
      <c r="E174" s="54">
        <f ca="1">MAX(0.02,MCDA_Prioritisation!$B$12+(RAND()-0.5)*2*$B$6)</f>
        <v>0.16371833137997616</v>
      </c>
      <c r="F174" s="54">
        <f ca="1">MAX(0.02,MCDA_Prioritisation!$B$13+(RAND()-0.5)*2*$B$6)</f>
        <v>0.1253774242303029</v>
      </c>
      <c r="G174" s="54">
        <f t="shared" ca="1" si="28"/>
        <v>0.87734807365129597</v>
      </c>
      <c r="H174" s="54">
        <f t="shared" ca="1" si="29"/>
        <v>0.14145338625742865</v>
      </c>
      <c r="I174" s="54">
        <f t="shared" ca="1" si="30"/>
        <v>0.27549895406758146</v>
      </c>
      <c r="J174" s="54">
        <f t="shared" ca="1" si="31"/>
        <v>0.25353675711252444</v>
      </c>
      <c r="K174" s="54">
        <f t="shared" ca="1" si="32"/>
        <v>0.18660590510972774</v>
      </c>
      <c r="L174" s="54">
        <f t="shared" ca="1" si="33"/>
        <v>0.14290499745273785</v>
      </c>
      <c r="M174" s="54">
        <f ca="1">MIN(100,MAX(0,MCDA_Prioritisation!$F$2+(RAND()-0.5)*2*$B$7))</f>
        <v>79.436705022223634</v>
      </c>
      <c r="N174" s="54">
        <f ca="1">MIN(100,MAX(0,MCDA_Prioritisation!$F$3+(RAND()-0.5)*2*$B$7))</f>
        <v>89.043177030839104</v>
      </c>
      <c r="O174" s="54">
        <f ca="1">MIN(100,MAX(0,MCDA_Prioritisation!$F$4+(RAND()-0.5)*2*$B$7))</f>
        <v>91.241550687800242</v>
      </c>
      <c r="P174" s="54">
        <f ca="1">MIN(100,MAX(0,MCDA_Prioritisation!$F$5+(RAND()-0.5)*2*$B$7))</f>
        <v>65.170875041383496</v>
      </c>
      <c r="Q174" s="54">
        <f ca="1">MIN(100,MAX(0,MCDA_Prioritisation!$G$2+(RAND()-0.5)*2*$B$7))</f>
        <v>76.865579941349736</v>
      </c>
      <c r="R174" s="54">
        <f ca="1">MIN(100,MAX(0,MCDA_Prioritisation!$G$3+(RAND()-0.5)*2*$B$7))</f>
        <v>99.903024364189747</v>
      </c>
      <c r="S174" s="54">
        <f ca="1">MIN(100,MAX(0,MCDA_Prioritisation!$G$4+(RAND()-0.5)*2*$B$7))</f>
        <v>87.981024103125307</v>
      </c>
      <c r="T174" s="54">
        <f ca="1">MIN(100,MAX(0,MCDA_Prioritisation!$G$5+(RAND()-0.5)*2*$B$7))</f>
        <v>65.071401161385225</v>
      </c>
      <c r="U174" s="54">
        <f ca="1">MIN(100,MAX(0,MCDA_Prioritisation!$H$2+(RAND()-0.5)*2*$B$7))</f>
        <v>71.995763878706768</v>
      </c>
      <c r="V174" s="54">
        <f ca="1">MIN(100,MAX(0,MCDA_Prioritisation!$H$3+(RAND()-0.5)*2*$B$7))</f>
        <v>59.715524637554097</v>
      </c>
      <c r="W174" s="54">
        <f ca="1">MIN(100,MAX(0,MCDA_Prioritisation!$H$4+(RAND()-0.5)*2*$B$7))</f>
        <v>87.307430592211134</v>
      </c>
      <c r="X174" s="54">
        <f ca="1">MIN(100,MAX(0,MCDA_Prioritisation!$H$5+(RAND()-0.5)*2*$B$7))</f>
        <v>70.716763881274417</v>
      </c>
      <c r="Y174" s="54">
        <f ca="1">H174*MCDA_Prioritisation!$D$2+I174*MCDA_Prioritisation!$E$2+J174*M174+K174*Q174+L174*U174</f>
        <v>86.467484189973973</v>
      </c>
      <c r="Z174" s="54">
        <f ca="1">H174*MCDA_Prioritisation!$D$3+I174*MCDA_Prioritisation!$E$3+J174*N174+K174*R174+L174*V174</f>
        <v>82.150725958360411</v>
      </c>
      <c r="AA174" s="54">
        <f ca="1">H174*MCDA_Prioritisation!$D$4+I174*MCDA_Prioritisation!$E$4+J174*O174+K174*S174+L174*W174</f>
        <v>76.904731604350957</v>
      </c>
      <c r="AB174" s="54">
        <f ca="1">H174*MCDA_Prioritisation!$D$5+I174*MCDA_Prioritisation!$E$5+J174*P174+K174*T174+L174*X174</f>
        <v>69.446420834039088</v>
      </c>
      <c r="AC174" s="54">
        <f t="shared" ca="1" si="34"/>
        <v>1</v>
      </c>
      <c r="AD174" s="54">
        <f t="shared" ca="1" si="35"/>
        <v>2</v>
      </c>
      <c r="AE174" s="54">
        <f t="shared" ca="1" si="36"/>
        <v>3</v>
      </c>
      <c r="AF174" s="54">
        <f t="shared" ca="1" si="37"/>
        <v>4</v>
      </c>
      <c r="AG174" s="54">
        <f t="shared" ca="1" si="38"/>
        <v>1</v>
      </c>
      <c r="AH174" s="54">
        <f t="shared" ca="1" si="39"/>
        <v>1</v>
      </c>
      <c r="AI174" s="54">
        <f t="shared" ca="1" si="40"/>
        <v>1</v>
      </c>
      <c r="AJ174" s="54">
        <f t="shared" ca="1" si="41"/>
        <v>1</v>
      </c>
    </row>
    <row r="175" spans="1:36" x14ac:dyDescent="0.2">
      <c r="A175" s="54">
        <v>152</v>
      </c>
      <c r="B175" s="54">
        <f ca="1">MAX(0.02,MCDA_Prioritisation!$B$9+(RAND()-0.5)*2*$B$6)</f>
        <v>0.1992240683884626</v>
      </c>
      <c r="C175" s="54">
        <f ca="1">MAX(0.02,MCDA_Prioritisation!$B$10+(RAND()-0.5)*2*$B$6)</f>
        <v>0.31415037312492222</v>
      </c>
      <c r="D175" s="54">
        <f ca="1">MAX(0.02,MCDA_Prioritisation!$B$11+(RAND()-0.5)*2*$B$6)</f>
        <v>0.20636151829971314</v>
      </c>
      <c r="E175" s="54">
        <f ca="1">MAX(0.02,MCDA_Prioritisation!$B$12+(RAND()-0.5)*2*$B$6)</f>
        <v>8.563229011114834E-2</v>
      </c>
      <c r="F175" s="54">
        <f ca="1">MAX(0.02,MCDA_Prioritisation!$B$13+(RAND()-0.5)*2*$B$6)</f>
        <v>0.21410872409744758</v>
      </c>
      <c r="G175" s="54">
        <f t="shared" ca="1" si="28"/>
        <v>1.019476974021694</v>
      </c>
      <c r="H175" s="54">
        <f t="shared" ca="1" si="29"/>
        <v>0.19541791866328428</v>
      </c>
      <c r="I175" s="54">
        <f t="shared" ca="1" si="30"/>
        <v>0.30814857140484786</v>
      </c>
      <c r="J175" s="54">
        <f t="shared" ca="1" si="31"/>
        <v>0.20241900852909489</v>
      </c>
      <c r="K175" s="54">
        <f t="shared" ca="1" si="32"/>
        <v>8.3996296427707368E-2</v>
      </c>
      <c r="L175" s="54">
        <f t="shared" ca="1" si="33"/>
        <v>0.21001820497506543</v>
      </c>
      <c r="M175" s="54">
        <f ca="1">MIN(100,MAX(0,MCDA_Prioritisation!$F$2+(RAND()-0.5)*2*$B$7))</f>
        <v>88.078832677565131</v>
      </c>
      <c r="N175" s="54">
        <f ca="1">MIN(100,MAX(0,MCDA_Prioritisation!$F$3+(RAND()-0.5)*2*$B$7))</f>
        <v>100</v>
      </c>
      <c r="O175" s="54">
        <f ca="1">MIN(100,MAX(0,MCDA_Prioritisation!$F$4+(RAND()-0.5)*2*$B$7))</f>
        <v>81.084798014494083</v>
      </c>
      <c r="P175" s="54">
        <f ca="1">MIN(100,MAX(0,MCDA_Prioritisation!$F$5+(RAND()-0.5)*2*$B$7))</f>
        <v>78.097334187359394</v>
      </c>
      <c r="Q175" s="54">
        <f ca="1">MIN(100,MAX(0,MCDA_Prioritisation!$G$2+(RAND()-0.5)*2*$B$7))</f>
        <v>82.703893032485084</v>
      </c>
      <c r="R175" s="54">
        <f ca="1">MIN(100,MAX(0,MCDA_Prioritisation!$G$3+(RAND()-0.5)*2*$B$7))</f>
        <v>100</v>
      </c>
      <c r="S175" s="54">
        <f ca="1">MIN(100,MAX(0,MCDA_Prioritisation!$G$4+(RAND()-0.5)*2*$B$7))</f>
        <v>80.050085249792033</v>
      </c>
      <c r="T175" s="54">
        <f ca="1">MIN(100,MAX(0,MCDA_Prioritisation!$G$5+(RAND()-0.5)*2*$B$7))</f>
        <v>62.150787173238477</v>
      </c>
      <c r="U175" s="54">
        <f ca="1">MIN(100,MAX(0,MCDA_Prioritisation!$H$2+(RAND()-0.5)*2*$B$7))</f>
        <v>58.321506105556146</v>
      </c>
      <c r="V175" s="54">
        <f ca="1">MIN(100,MAX(0,MCDA_Prioritisation!$H$3+(RAND()-0.5)*2*$B$7))</f>
        <v>51.832962169934831</v>
      </c>
      <c r="W175" s="54">
        <f ca="1">MIN(100,MAX(0,MCDA_Prioritisation!$H$4+(RAND()-0.5)*2*$B$7))</f>
        <v>74.673531536755405</v>
      </c>
      <c r="X175" s="54">
        <f ca="1">MIN(100,MAX(0,MCDA_Prioritisation!$H$5+(RAND()-0.5)*2*$B$7))</f>
        <v>76.075018574417143</v>
      </c>
      <c r="Y175" s="54">
        <f ca="1">H175*MCDA_Prioritisation!$D$2+I175*MCDA_Prioritisation!$E$2+J175*M175+K175*Q175+L175*U175</f>
        <v>87.38087772841925</v>
      </c>
      <c r="Z175" s="54">
        <f ca="1">H175*MCDA_Prioritisation!$D$3+I175*MCDA_Prioritisation!$E$3+J175*N175+K175*R175+L175*V175</f>
        <v>79.01710978815953</v>
      </c>
      <c r="AA175" s="54">
        <f ca="1">H175*MCDA_Prioritisation!$D$4+I175*MCDA_Prioritisation!$E$4+J175*O175+K175*S175+L175*W175</f>
        <v>69.235675129704632</v>
      </c>
      <c r="AB175" s="54">
        <f ca="1">H175*MCDA_Prioritisation!$D$5+I175*MCDA_Prioritisation!$E$5+J175*P175+K175*T175+L175*X175</f>
        <v>73.290433166717975</v>
      </c>
      <c r="AC175" s="54">
        <f t="shared" ca="1" si="34"/>
        <v>1</v>
      </c>
      <c r="AD175" s="54">
        <f t="shared" ca="1" si="35"/>
        <v>2</v>
      </c>
      <c r="AE175" s="54">
        <f t="shared" ca="1" si="36"/>
        <v>4</v>
      </c>
      <c r="AF175" s="54">
        <f t="shared" ca="1" si="37"/>
        <v>3</v>
      </c>
      <c r="AG175" s="54">
        <f t="shared" ca="1" si="38"/>
        <v>1</v>
      </c>
      <c r="AH175" s="54">
        <f t="shared" ca="1" si="39"/>
        <v>1</v>
      </c>
      <c r="AI175" s="54">
        <f t="shared" ca="1" si="40"/>
        <v>0</v>
      </c>
      <c r="AJ175" s="54">
        <f t="shared" ca="1" si="41"/>
        <v>1</v>
      </c>
    </row>
    <row r="176" spans="1:36" x14ac:dyDescent="0.2">
      <c r="A176" s="54">
        <v>153</v>
      </c>
      <c r="B176" s="54">
        <f ca="1">MAX(0.02,MCDA_Prioritisation!$B$9+(RAND()-0.5)*2*$B$6)</f>
        <v>0.21294119238097717</v>
      </c>
      <c r="C176" s="54">
        <f ca="1">MAX(0.02,MCDA_Prioritisation!$B$10+(RAND()-0.5)*2*$B$6)</f>
        <v>0.18491777453063185</v>
      </c>
      <c r="D176" s="54">
        <f ca="1">MAX(0.02,MCDA_Prioritisation!$B$11+(RAND()-0.5)*2*$B$6)</f>
        <v>0.20206897048030104</v>
      </c>
      <c r="E176" s="54">
        <f ca="1">MAX(0.02,MCDA_Prioritisation!$B$12+(RAND()-0.5)*2*$B$6)</f>
        <v>0.18431343538719969</v>
      </c>
      <c r="F176" s="54">
        <f ca="1">MAX(0.02,MCDA_Prioritisation!$B$13+(RAND()-0.5)*2*$B$6)</f>
        <v>0.22026891875987356</v>
      </c>
      <c r="G176" s="54">
        <f t="shared" ca="1" si="28"/>
        <v>1.0045102915389834</v>
      </c>
      <c r="H176" s="54">
        <f t="shared" ca="1" si="29"/>
        <v>0.21198507787783402</v>
      </c>
      <c r="I176" s="54">
        <f t="shared" ca="1" si="30"/>
        <v>0.18408748629874588</v>
      </c>
      <c r="J176" s="54">
        <f t="shared" ca="1" si="31"/>
        <v>0.20116167268999957</v>
      </c>
      <c r="K176" s="54">
        <f t="shared" ca="1" si="32"/>
        <v>0.18348586066233127</v>
      </c>
      <c r="L176" s="54">
        <f t="shared" ca="1" si="33"/>
        <v>0.21927990247108911</v>
      </c>
      <c r="M176" s="54">
        <f ca="1">MIN(100,MAX(0,MCDA_Prioritisation!$F$2+(RAND()-0.5)*2*$B$7))</f>
        <v>89.501619106466606</v>
      </c>
      <c r="N176" s="54">
        <f ca="1">MIN(100,MAX(0,MCDA_Prioritisation!$F$3+(RAND()-0.5)*2*$B$7))</f>
        <v>97.258484495743815</v>
      </c>
      <c r="O176" s="54">
        <f ca="1">MIN(100,MAX(0,MCDA_Prioritisation!$F$4+(RAND()-0.5)*2*$B$7))</f>
        <v>83.228865361902052</v>
      </c>
      <c r="P176" s="54">
        <f ca="1">MIN(100,MAX(0,MCDA_Prioritisation!$F$5+(RAND()-0.5)*2*$B$7))</f>
        <v>83.483673242579954</v>
      </c>
      <c r="Q176" s="54">
        <f ca="1">MIN(100,MAX(0,MCDA_Prioritisation!$G$2+(RAND()-0.5)*2*$B$7))</f>
        <v>85.655731374738096</v>
      </c>
      <c r="R176" s="54">
        <f ca="1">MIN(100,MAX(0,MCDA_Prioritisation!$G$3+(RAND()-0.5)*2*$B$7))</f>
        <v>90.116547411831419</v>
      </c>
      <c r="S176" s="54">
        <f ca="1">MIN(100,MAX(0,MCDA_Prioritisation!$G$4+(RAND()-0.5)*2*$B$7))</f>
        <v>75.206645031381399</v>
      </c>
      <c r="T176" s="54">
        <f ca="1">MIN(100,MAX(0,MCDA_Prioritisation!$G$5+(RAND()-0.5)*2*$B$7))</f>
        <v>67.643675913487499</v>
      </c>
      <c r="U176" s="54">
        <f ca="1">MIN(100,MAX(0,MCDA_Prioritisation!$H$2+(RAND()-0.5)*2*$B$7))</f>
        <v>57.250977250201942</v>
      </c>
      <c r="V176" s="54">
        <f ca="1">MIN(100,MAX(0,MCDA_Prioritisation!$H$3+(RAND()-0.5)*2*$B$7))</f>
        <v>54.464996847011939</v>
      </c>
      <c r="W176" s="54">
        <f ca="1">MIN(100,MAX(0,MCDA_Prioritisation!$H$4+(RAND()-0.5)*2*$B$7))</f>
        <v>88.854983108387557</v>
      </c>
      <c r="X176" s="54">
        <f ca="1">MIN(100,MAX(0,MCDA_Prioritisation!$H$5+(RAND()-0.5)*2*$B$7))</f>
        <v>72.360708595809186</v>
      </c>
      <c r="Y176" s="54">
        <f ca="1">H176*MCDA_Prioritisation!$D$2+I176*MCDA_Prioritisation!$E$2+J176*M176+K176*Q176+L176*U176</f>
        <v>85.882156125332131</v>
      </c>
      <c r="Z176" s="54">
        <f ca="1">H176*MCDA_Prioritisation!$D$3+I176*MCDA_Prioritisation!$E$3+J176*N176+K176*R176+L176*V176</f>
        <v>79.957877481461111</v>
      </c>
      <c r="AA176" s="54">
        <f ca="1">H176*MCDA_Prioritisation!$D$4+I176*MCDA_Prioritisation!$E$4+J176*O176+K176*S176+L176*W176</f>
        <v>74.828456057578052</v>
      </c>
      <c r="AB176" s="54">
        <f ca="1">H176*MCDA_Prioritisation!$D$5+I176*MCDA_Prioritisation!$E$5+J176*P176+K176*T176+L176*X176</f>
        <v>71.804003281201105</v>
      </c>
      <c r="AC176" s="54">
        <f t="shared" ca="1" si="34"/>
        <v>1</v>
      </c>
      <c r="AD176" s="54">
        <f t="shared" ca="1" si="35"/>
        <v>2</v>
      </c>
      <c r="AE176" s="54">
        <f t="shared" ca="1" si="36"/>
        <v>3</v>
      </c>
      <c r="AF176" s="54">
        <f t="shared" ca="1" si="37"/>
        <v>4</v>
      </c>
      <c r="AG176" s="54">
        <f t="shared" ca="1" si="38"/>
        <v>1</v>
      </c>
      <c r="AH176" s="54">
        <f t="shared" ca="1" si="39"/>
        <v>1</v>
      </c>
      <c r="AI176" s="54">
        <f t="shared" ca="1" si="40"/>
        <v>1</v>
      </c>
      <c r="AJ176" s="54">
        <f t="shared" ca="1" si="41"/>
        <v>1</v>
      </c>
    </row>
    <row r="177" spans="1:36" x14ac:dyDescent="0.2">
      <c r="A177" s="54">
        <v>154</v>
      </c>
      <c r="B177" s="54">
        <f ca="1">MAX(0.02,MCDA_Prioritisation!$B$9+(RAND()-0.5)*2*$B$6)</f>
        <v>0.15418095594206402</v>
      </c>
      <c r="C177" s="54">
        <f ca="1">MAX(0.02,MCDA_Prioritisation!$B$10+(RAND()-0.5)*2*$B$6)</f>
        <v>0.26538793825613721</v>
      </c>
      <c r="D177" s="54">
        <f ca="1">MAX(0.02,MCDA_Prioritisation!$B$11+(RAND()-0.5)*2*$B$6)</f>
        <v>0.18030830496804631</v>
      </c>
      <c r="E177" s="54">
        <f ca="1">MAX(0.02,MCDA_Prioritisation!$B$12+(RAND()-0.5)*2*$B$6)</f>
        <v>0.17816097579008486</v>
      </c>
      <c r="F177" s="54">
        <f ca="1">MAX(0.02,MCDA_Prioritisation!$B$13+(RAND()-0.5)*2*$B$6)</f>
        <v>0.20240260589640641</v>
      </c>
      <c r="G177" s="54">
        <f t="shared" ca="1" si="28"/>
        <v>0.98044078085273867</v>
      </c>
      <c r="H177" s="54">
        <f t="shared" ca="1" si="29"/>
        <v>0.15725677567998048</v>
      </c>
      <c r="I177" s="54">
        <f t="shared" ca="1" si="30"/>
        <v>0.27068227213612633</v>
      </c>
      <c r="J177" s="54">
        <f t="shared" ca="1" si="31"/>
        <v>0.18390535001127056</v>
      </c>
      <c r="K177" s="54">
        <f t="shared" ca="1" si="32"/>
        <v>0.18171518287430813</v>
      </c>
      <c r="L177" s="54">
        <f t="shared" ca="1" si="33"/>
        <v>0.20644041929831466</v>
      </c>
      <c r="M177" s="54">
        <f ca="1">MIN(100,MAX(0,MCDA_Prioritisation!$F$2+(RAND()-0.5)*2*$B$7))</f>
        <v>92.946050603452179</v>
      </c>
      <c r="N177" s="54">
        <f ca="1">MIN(100,MAX(0,MCDA_Prioritisation!$F$3+(RAND()-0.5)*2*$B$7))</f>
        <v>86.533666228977765</v>
      </c>
      <c r="O177" s="54">
        <f ca="1">MIN(100,MAX(0,MCDA_Prioritisation!$F$4+(RAND()-0.5)*2*$B$7))</f>
        <v>89.351937631071678</v>
      </c>
      <c r="P177" s="54">
        <f ca="1">MIN(100,MAX(0,MCDA_Prioritisation!$F$5+(RAND()-0.5)*2*$B$7))</f>
        <v>74.288473676164372</v>
      </c>
      <c r="Q177" s="54">
        <f ca="1">MIN(100,MAX(0,MCDA_Prioritisation!$G$2+(RAND()-0.5)*2*$B$7))</f>
        <v>79.629202241320954</v>
      </c>
      <c r="R177" s="54">
        <f ca="1">MIN(100,MAX(0,MCDA_Prioritisation!$G$3+(RAND()-0.5)*2*$B$7))</f>
        <v>88.454934518661489</v>
      </c>
      <c r="S177" s="54">
        <f ca="1">MIN(100,MAX(0,MCDA_Prioritisation!$G$4+(RAND()-0.5)*2*$B$7))</f>
        <v>85.638364805889708</v>
      </c>
      <c r="T177" s="54">
        <f ca="1">MIN(100,MAX(0,MCDA_Prioritisation!$G$5+(RAND()-0.5)*2*$B$7))</f>
        <v>61.705148029221846</v>
      </c>
      <c r="U177" s="54">
        <f ca="1">MIN(100,MAX(0,MCDA_Prioritisation!$H$2+(RAND()-0.5)*2*$B$7))</f>
        <v>66.420475897402994</v>
      </c>
      <c r="V177" s="54">
        <f ca="1">MIN(100,MAX(0,MCDA_Prioritisation!$H$3+(RAND()-0.5)*2*$B$7))</f>
        <v>69.041367123227843</v>
      </c>
      <c r="W177" s="54">
        <f ca="1">MIN(100,MAX(0,MCDA_Prioritisation!$H$4+(RAND()-0.5)*2*$B$7))</f>
        <v>70.108279678685463</v>
      </c>
      <c r="X177" s="54">
        <f ca="1">MIN(100,MAX(0,MCDA_Prioritisation!$H$5+(RAND()-0.5)*2*$B$7))</f>
        <v>82.701531974362027</v>
      </c>
      <c r="Y177" s="54">
        <f ca="1">H177*MCDA_Prioritisation!$D$2+I177*MCDA_Prioritisation!$E$2+J177*M177+K177*Q177+L177*U177</f>
        <v>88.068886691674209</v>
      </c>
      <c r="Z177" s="54">
        <f ca="1">H177*MCDA_Prioritisation!$D$3+I177*MCDA_Prioritisation!$E$3+J177*N177+K177*R177+L177*V177</f>
        <v>79.670266130363558</v>
      </c>
      <c r="AA177" s="54">
        <f ca="1">H177*MCDA_Prioritisation!$D$4+I177*MCDA_Prioritisation!$E$4+J177*O177+K177*S177+L177*W177</f>
        <v>72.182198118776071</v>
      </c>
      <c r="AB177" s="54">
        <f ca="1">H177*MCDA_Prioritisation!$D$5+I177*MCDA_Prioritisation!$E$5+J177*P177+K177*T177+L177*X177</f>
        <v>73.05621058748315</v>
      </c>
      <c r="AC177" s="54">
        <f t="shared" ca="1" si="34"/>
        <v>1</v>
      </c>
      <c r="AD177" s="54">
        <f t="shared" ca="1" si="35"/>
        <v>2</v>
      </c>
      <c r="AE177" s="54">
        <f t="shared" ca="1" si="36"/>
        <v>4</v>
      </c>
      <c r="AF177" s="54">
        <f t="shared" ca="1" si="37"/>
        <v>3</v>
      </c>
      <c r="AG177" s="54">
        <f t="shared" ca="1" si="38"/>
        <v>1</v>
      </c>
      <c r="AH177" s="54">
        <f t="shared" ca="1" si="39"/>
        <v>1</v>
      </c>
      <c r="AI177" s="54">
        <f t="shared" ca="1" si="40"/>
        <v>0</v>
      </c>
      <c r="AJ177" s="54">
        <f t="shared" ca="1" si="41"/>
        <v>1</v>
      </c>
    </row>
    <row r="178" spans="1:36" x14ac:dyDescent="0.2">
      <c r="A178" s="54">
        <v>155</v>
      </c>
      <c r="B178" s="54">
        <f ca="1">MAX(0.02,MCDA_Prioritisation!$B$9+(RAND()-0.5)*2*$B$6)</f>
        <v>0.25284940962379043</v>
      </c>
      <c r="C178" s="54">
        <f ca="1">MAX(0.02,MCDA_Prioritisation!$B$10+(RAND()-0.5)*2*$B$6)</f>
        <v>0.30943645785608381</v>
      </c>
      <c r="D178" s="54">
        <f ca="1">MAX(0.02,MCDA_Prioritisation!$B$11+(RAND()-0.5)*2*$B$6)</f>
        <v>0.1894709118824022</v>
      </c>
      <c r="E178" s="54">
        <f ca="1">MAX(0.02,MCDA_Prioritisation!$B$12+(RAND()-0.5)*2*$B$6)</f>
        <v>0.10931722035148012</v>
      </c>
      <c r="F178" s="54">
        <f ca="1">MAX(0.02,MCDA_Prioritisation!$B$13+(RAND()-0.5)*2*$B$6)</f>
        <v>0.22491190983673476</v>
      </c>
      <c r="G178" s="54">
        <f t="shared" ca="1" si="28"/>
        <v>1.0859859095504913</v>
      </c>
      <c r="H178" s="54">
        <f t="shared" ca="1" si="29"/>
        <v>0.23282936491178716</v>
      </c>
      <c r="I178" s="54">
        <f t="shared" ca="1" si="30"/>
        <v>0.28493597857468062</v>
      </c>
      <c r="J178" s="54">
        <f t="shared" ca="1" si="31"/>
        <v>0.17446903336050423</v>
      </c>
      <c r="K178" s="54">
        <f t="shared" ca="1" si="32"/>
        <v>0.10066172994521488</v>
      </c>
      <c r="L178" s="54">
        <f t="shared" ca="1" si="33"/>
        <v>0.20710389320781311</v>
      </c>
      <c r="M178" s="54">
        <f ca="1">MIN(100,MAX(0,MCDA_Prioritisation!$F$2+(RAND()-0.5)*2*$B$7))</f>
        <v>83.624688383622143</v>
      </c>
      <c r="N178" s="54">
        <f ca="1">MIN(100,MAX(0,MCDA_Prioritisation!$F$3+(RAND()-0.5)*2*$B$7))</f>
        <v>99.185309176118523</v>
      </c>
      <c r="O178" s="54">
        <f ca="1">MIN(100,MAX(0,MCDA_Prioritisation!$F$4+(RAND()-0.5)*2*$B$7))</f>
        <v>97.980691109148211</v>
      </c>
      <c r="P178" s="54">
        <f ca="1">MIN(100,MAX(0,MCDA_Prioritisation!$F$5+(RAND()-0.5)*2*$B$7))</f>
        <v>67.988884097920192</v>
      </c>
      <c r="Q178" s="54">
        <f ca="1">MIN(100,MAX(0,MCDA_Prioritisation!$G$2+(RAND()-0.5)*2*$B$7))</f>
        <v>87.418252181412157</v>
      </c>
      <c r="R178" s="54">
        <f ca="1">MIN(100,MAX(0,MCDA_Prioritisation!$G$3+(RAND()-0.5)*2*$B$7))</f>
        <v>100</v>
      </c>
      <c r="S178" s="54">
        <f ca="1">MIN(100,MAX(0,MCDA_Prioritisation!$G$4+(RAND()-0.5)*2*$B$7))</f>
        <v>87.62648037418441</v>
      </c>
      <c r="T178" s="54">
        <f ca="1">MIN(100,MAX(0,MCDA_Prioritisation!$G$5+(RAND()-0.5)*2*$B$7))</f>
        <v>72.658803724106164</v>
      </c>
      <c r="U178" s="54">
        <f ca="1">MIN(100,MAX(0,MCDA_Prioritisation!$H$2+(RAND()-0.5)*2*$B$7))</f>
        <v>67.428247361089589</v>
      </c>
      <c r="V178" s="54">
        <f ca="1">MIN(100,MAX(0,MCDA_Prioritisation!$H$3+(RAND()-0.5)*2*$B$7))</f>
        <v>56.667477793670685</v>
      </c>
      <c r="W178" s="54">
        <f ca="1">MIN(100,MAX(0,MCDA_Prioritisation!$H$4+(RAND()-0.5)*2*$B$7))</f>
        <v>79.739182813279399</v>
      </c>
      <c r="X178" s="54">
        <f ca="1">MIN(100,MAX(0,MCDA_Prioritisation!$H$5+(RAND()-0.5)*2*$B$7))</f>
        <v>69.943015969963156</v>
      </c>
      <c r="Y178" s="54">
        <f ca="1">H178*MCDA_Prioritisation!$D$2+I178*MCDA_Prioritisation!$E$2+J178*M178+K178*Q178+L178*U178</f>
        <v>89.130777930039827</v>
      </c>
      <c r="Z178" s="54">
        <f ca="1">H178*MCDA_Prioritisation!$D$3+I178*MCDA_Prioritisation!$E$3+J178*N178+K178*R178+L178*V178</f>
        <v>80.178160483183262</v>
      </c>
      <c r="AA178" s="54">
        <f ca="1">H178*MCDA_Prioritisation!$D$4+I178*MCDA_Prioritisation!$E$4+J178*O178+K178*S178+L178*W178</f>
        <v>74.184355500443587</v>
      </c>
      <c r="AB178" s="54">
        <f ca="1">H178*MCDA_Prioritisation!$D$5+I178*MCDA_Prioritisation!$E$5+J178*P178+K178*T178+L178*X178</f>
        <v>69.979537866917639</v>
      </c>
      <c r="AC178" s="54">
        <f t="shared" ca="1" si="34"/>
        <v>1</v>
      </c>
      <c r="AD178" s="54">
        <f t="shared" ca="1" si="35"/>
        <v>2</v>
      </c>
      <c r="AE178" s="54">
        <f t="shared" ca="1" si="36"/>
        <v>3</v>
      </c>
      <c r="AF178" s="54">
        <f t="shared" ca="1" si="37"/>
        <v>4</v>
      </c>
      <c r="AG178" s="54">
        <f t="shared" ca="1" si="38"/>
        <v>1</v>
      </c>
      <c r="AH178" s="54">
        <f t="shared" ca="1" si="39"/>
        <v>1</v>
      </c>
      <c r="AI178" s="54">
        <f t="shared" ca="1" si="40"/>
        <v>1</v>
      </c>
      <c r="AJ178" s="54">
        <f t="shared" ca="1" si="41"/>
        <v>1</v>
      </c>
    </row>
    <row r="179" spans="1:36" x14ac:dyDescent="0.2">
      <c r="A179" s="54">
        <v>156</v>
      </c>
      <c r="B179" s="54">
        <f ca="1">MAX(0.02,MCDA_Prioritisation!$B$9+(RAND()-0.5)*2*$B$6)</f>
        <v>0.14549095959523303</v>
      </c>
      <c r="C179" s="54">
        <f ca="1">MAX(0.02,MCDA_Prioritisation!$B$10+(RAND()-0.5)*2*$B$6)</f>
        <v>0.21634735438007258</v>
      </c>
      <c r="D179" s="54">
        <f ca="1">MAX(0.02,MCDA_Prioritisation!$B$11+(RAND()-0.5)*2*$B$6)</f>
        <v>0.26206989289166333</v>
      </c>
      <c r="E179" s="54">
        <f ca="1">MAX(0.02,MCDA_Prioritisation!$B$12+(RAND()-0.5)*2*$B$6)</f>
        <v>0.14534598112027022</v>
      </c>
      <c r="F179" s="54">
        <f ca="1">MAX(0.02,MCDA_Prioritisation!$B$13+(RAND()-0.5)*2*$B$6)</f>
        <v>7.8005625651626567E-2</v>
      </c>
      <c r="G179" s="54">
        <f t="shared" ca="1" si="28"/>
        <v>0.84725981363886582</v>
      </c>
      <c r="H179" s="54">
        <f t="shared" ca="1" si="29"/>
        <v>0.17171941505211857</v>
      </c>
      <c r="I179" s="54">
        <f t="shared" ca="1" si="30"/>
        <v>0.25534948182056466</v>
      </c>
      <c r="J179" s="54">
        <f t="shared" ca="1" si="31"/>
        <v>0.30931467381429167</v>
      </c>
      <c r="K179" s="54">
        <f t="shared" ca="1" si="32"/>
        <v>0.17154830051012213</v>
      </c>
      <c r="L179" s="54">
        <f t="shared" ca="1" si="33"/>
        <v>9.2068128802902854E-2</v>
      </c>
      <c r="M179" s="54">
        <f ca="1">MIN(100,MAX(0,MCDA_Prioritisation!$F$2+(RAND()-0.5)*2*$B$7))</f>
        <v>76.712555332752657</v>
      </c>
      <c r="N179" s="54">
        <f ca="1">MIN(100,MAX(0,MCDA_Prioritisation!$F$3+(RAND()-0.5)*2*$B$7))</f>
        <v>100</v>
      </c>
      <c r="O179" s="54">
        <f ca="1">MIN(100,MAX(0,MCDA_Prioritisation!$F$4+(RAND()-0.5)*2*$B$7))</f>
        <v>93.134955761149939</v>
      </c>
      <c r="P179" s="54">
        <f ca="1">MIN(100,MAX(0,MCDA_Prioritisation!$F$5+(RAND()-0.5)*2*$B$7))</f>
        <v>77.902031651562737</v>
      </c>
      <c r="Q179" s="54">
        <f ca="1">MIN(100,MAX(0,MCDA_Prioritisation!$G$2+(RAND()-0.5)*2*$B$7))</f>
        <v>74.6926140979119</v>
      </c>
      <c r="R179" s="54">
        <f ca="1">MIN(100,MAX(0,MCDA_Prioritisation!$G$3+(RAND()-0.5)*2*$B$7))</f>
        <v>100</v>
      </c>
      <c r="S179" s="54">
        <f ca="1">MIN(100,MAX(0,MCDA_Prioritisation!$G$4+(RAND()-0.5)*2*$B$7))</f>
        <v>93.257638498878663</v>
      </c>
      <c r="T179" s="54">
        <f ca="1">MIN(100,MAX(0,MCDA_Prioritisation!$G$5+(RAND()-0.5)*2*$B$7))</f>
        <v>60.950205217096752</v>
      </c>
      <c r="U179" s="54">
        <f ca="1">MIN(100,MAX(0,MCDA_Prioritisation!$H$2+(RAND()-0.5)*2*$B$7))</f>
        <v>65.549366286908864</v>
      </c>
      <c r="V179" s="54">
        <f ca="1">MIN(100,MAX(0,MCDA_Prioritisation!$H$3+(RAND()-0.5)*2*$B$7))</f>
        <v>54.229108121412679</v>
      </c>
      <c r="W179" s="54">
        <f ca="1">MIN(100,MAX(0,MCDA_Prioritisation!$H$4+(RAND()-0.5)*2*$B$7))</f>
        <v>81.066471168956554</v>
      </c>
      <c r="X179" s="54">
        <f ca="1">MIN(100,MAX(0,MCDA_Prioritisation!$H$5+(RAND()-0.5)*2*$B$7))</f>
        <v>83.196234055920115</v>
      </c>
      <c r="Y179" s="54">
        <f ca="1">H179*MCDA_Prioritisation!$D$2+I179*MCDA_Prioritisation!$E$2+J179*M179+K179*Q179+L179*U179</f>
        <v>85.283607224886481</v>
      </c>
      <c r="Z179" s="54">
        <f ca="1">H179*MCDA_Prioritisation!$D$3+I179*MCDA_Prioritisation!$E$3+J179*N179+K179*R179+L179*V179</f>
        <v>86.657675464084988</v>
      </c>
      <c r="AA179" s="54">
        <f ca="1">H179*MCDA_Prioritisation!$D$4+I179*MCDA_Prioritisation!$E$4+J179*O179+K179*S179+L179*W179</f>
        <v>78.155520313439808</v>
      </c>
      <c r="AB179" s="54">
        <f ca="1">H179*MCDA_Prioritisation!$D$5+I179*MCDA_Prioritisation!$E$5+J179*P179+K179*T179+L179*X179</f>
        <v>72.798598039248063</v>
      </c>
      <c r="AC179" s="54">
        <f t="shared" ca="1" si="34"/>
        <v>2</v>
      </c>
      <c r="AD179" s="54">
        <f t="shared" ca="1" si="35"/>
        <v>1</v>
      </c>
      <c r="AE179" s="54">
        <f t="shared" ca="1" si="36"/>
        <v>3</v>
      </c>
      <c r="AF179" s="54">
        <f t="shared" ca="1" si="37"/>
        <v>4</v>
      </c>
      <c r="AG179" s="54">
        <f t="shared" ca="1" si="38"/>
        <v>0</v>
      </c>
      <c r="AH179" s="54">
        <f t="shared" ca="1" si="39"/>
        <v>0</v>
      </c>
      <c r="AI179" s="54">
        <f t="shared" ca="1" si="40"/>
        <v>0</v>
      </c>
      <c r="AJ179" s="54">
        <f t="shared" ca="1" si="41"/>
        <v>1</v>
      </c>
    </row>
    <row r="180" spans="1:36" x14ac:dyDescent="0.2">
      <c r="A180" s="54">
        <v>157</v>
      </c>
      <c r="B180" s="54">
        <f ca="1">MAX(0.02,MCDA_Prioritisation!$B$9+(RAND()-0.5)*2*$B$6)</f>
        <v>0.21599231560271717</v>
      </c>
      <c r="C180" s="54">
        <f ca="1">MAX(0.02,MCDA_Prioritisation!$B$10+(RAND()-0.5)*2*$B$6)</f>
        <v>0.31611445083588063</v>
      </c>
      <c r="D180" s="54">
        <f ca="1">MAX(0.02,MCDA_Prioritisation!$B$11+(RAND()-0.5)*2*$B$6)</f>
        <v>0.30960817795021189</v>
      </c>
      <c r="E180" s="54">
        <f ca="1">MAX(0.02,MCDA_Prioritisation!$B$12+(RAND()-0.5)*2*$B$6)</f>
        <v>0.12301735946800629</v>
      </c>
      <c r="F180" s="54">
        <f ca="1">MAX(0.02,MCDA_Prioritisation!$B$13+(RAND()-0.5)*2*$B$6)</f>
        <v>0.15100139317489691</v>
      </c>
      <c r="G180" s="54">
        <f t="shared" ca="1" si="28"/>
        <v>1.1157336970317129</v>
      </c>
      <c r="H180" s="54">
        <f t="shared" ca="1" si="29"/>
        <v>0.19358769586088601</v>
      </c>
      <c r="I180" s="54">
        <f t="shared" ca="1" si="30"/>
        <v>0.28332428399076631</v>
      </c>
      <c r="J180" s="54">
        <f t="shared" ca="1" si="31"/>
        <v>0.27749289886456824</v>
      </c>
      <c r="K180" s="54">
        <f t="shared" ca="1" si="32"/>
        <v>0.11025691864938783</v>
      </c>
      <c r="L180" s="54">
        <f t="shared" ca="1" si="33"/>
        <v>0.13533820263439167</v>
      </c>
      <c r="M180" s="54">
        <f ca="1">MIN(100,MAX(0,MCDA_Prioritisation!$F$2+(RAND()-0.5)*2*$B$7))</f>
        <v>89.07078174983701</v>
      </c>
      <c r="N180" s="54">
        <f ca="1">MIN(100,MAX(0,MCDA_Prioritisation!$F$3+(RAND()-0.5)*2*$B$7))</f>
        <v>92.106227503963851</v>
      </c>
      <c r="O180" s="54">
        <f ca="1">MIN(100,MAX(0,MCDA_Prioritisation!$F$4+(RAND()-0.5)*2*$B$7))</f>
        <v>95.498397001735555</v>
      </c>
      <c r="P180" s="54">
        <f ca="1">MIN(100,MAX(0,MCDA_Prioritisation!$F$5+(RAND()-0.5)*2*$B$7))</f>
        <v>83.523175375295466</v>
      </c>
      <c r="Q180" s="54">
        <f ca="1">MIN(100,MAX(0,MCDA_Prioritisation!$G$2+(RAND()-0.5)*2*$B$7))</f>
        <v>71.866639924315436</v>
      </c>
      <c r="R180" s="54">
        <f ca="1">MIN(100,MAX(0,MCDA_Prioritisation!$G$3+(RAND()-0.5)*2*$B$7))</f>
        <v>100</v>
      </c>
      <c r="S180" s="54">
        <f ca="1">MIN(100,MAX(0,MCDA_Prioritisation!$G$4+(RAND()-0.5)*2*$B$7))</f>
        <v>82.193794353521881</v>
      </c>
      <c r="T180" s="54">
        <f ca="1">MIN(100,MAX(0,MCDA_Prioritisation!$G$5+(RAND()-0.5)*2*$B$7))</f>
        <v>66.365744470455795</v>
      </c>
      <c r="U180" s="54">
        <f ca="1">MIN(100,MAX(0,MCDA_Prioritisation!$H$2+(RAND()-0.5)*2*$B$7))</f>
        <v>69.941792752251189</v>
      </c>
      <c r="V180" s="54">
        <f ca="1">MIN(100,MAX(0,MCDA_Prioritisation!$H$3+(RAND()-0.5)*2*$B$7))</f>
        <v>53.752446345991146</v>
      </c>
      <c r="W180" s="54">
        <f ca="1">MIN(100,MAX(0,MCDA_Prioritisation!$H$4+(RAND()-0.5)*2*$B$7))</f>
        <v>70.941210729063187</v>
      </c>
      <c r="X180" s="54">
        <f ca="1">MIN(100,MAX(0,MCDA_Prioritisation!$H$5+(RAND()-0.5)*2*$B$7))</f>
        <v>70.116824581144741</v>
      </c>
      <c r="Y180" s="54">
        <f ca="1">H180*MCDA_Prioritisation!$D$2+I180*MCDA_Prioritisation!$E$2+J180*M180+K180*Q180+L180*U180</f>
        <v>89.797298208917667</v>
      </c>
      <c r="Z180" s="54">
        <f ca="1">H180*MCDA_Prioritisation!$D$3+I180*MCDA_Prioritisation!$E$3+J180*N180+K180*R180+L180*V180</f>
        <v>81.383630624075067</v>
      </c>
      <c r="AA180" s="54">
        <f ca="1">H180*MCDA_Prioritisation!$D$4+I180*MCDA_Prioritisation!$E$4+J180*O180+K180*S180+L180*W180</f>
        <v>74.097978440278311</v>
      </c>
      <c r="AB180" s="54">
        <f ca="1">H180*MCDA_Prioritisation!$D$5+I180*MCDA_Prioritisation!$E$5+J180*P180+K180*T180+L180*X180</f>
        <v>74.083691384383741</v>
      </c>
      <c r="AC180" s="54">
        <f t="shared" ca="1" si="34"/>
        <v>1</v>
      </c>
      <c r="AD180" s="54">
        <f t="shared" ca="1" si="35"/>
        <v>2</v>
      </c>
      <c r="AE180" s="54">
        <f t="shared" ca="1" si="36"/>
        <v>3</v>
      </c>
      <c r="AF180" s="54">
        <f t="shared" ca="1" si="37"/>
        <v>4</v>
      </c>
      <c r="AG180" s="54">
        <f t="shared" ca="1" si="38"/>
        <v>1</v>
      </c>
      <c r="AH180" s="54">
        <f t="shared" ca="1" si="39"/>
        <v>1</v>
      </c>
      <c r="AI180" s="54">
        <f t="shared" ca="1" si="40"/>
        <v>1</v>
      </c>
      <c r="AJ180" s="54">
        <f t="shared" ca="1" si="41"/>
        <v>1</v>
      </c>
    </row>
    <row r="181" spans="1:36" x14ac:dyDescent="0.2">
      <c r="A181" s="54">
        <v>158</v>
      </c>
      <c r="B181" s="54">
        <f ca="1">MAX(0.02,MCDA_Prioritisation!$B$9+(RAND()-0.5)*2*$B$6)</f>
        <v>0.14450291651677405</v>
      </c>
      <c r="C181" s="54">
        <f ca="1">MAX(0.02,MCDA_Prioritisation!$B$10+(RAND()-0.5)*2*$B$6)</f>
        <v>0.21153332765118504</v>
      </c>
      <c r="D181" s="54">
        <f ca="1">MAX(0.02,MCDA_Prioritisation!$B$11+(RAND()-0.5)*2*$B$6)</f>
        <v>0.28113165433437948</v>
      </c>
      <c r="E181" s="54">
        <f ca="1">MAX(0.02,MCDA_Prioritisation!$B$12+(RAND()-0.5)*2*$B$6)</f>
        <v>0.15235101187183261</v>
      </c>
      <c r="F181" s="54">
        <f ca="1">MAX(0.02,MCDA_Prioritisation!$B$13+(RAND()-0.5)*2*$B$6)</f>
        <v>0.15221629362000305</v>
      </c>
      <c r="G181" s="54">
        <f t="shared" ca="1" si="28"/>
        <v>0.94173520399417421</v>
      </c>
      <c r="H181" s="54">
        <f t="shared" ca="1" si="29"/>
        <v>0.15344325655863236</v>
      </c>
      <c r="I181" s="54">
        <f t="shared" ca="1" si="30"/>
        <v>0.22462081353018384</v>
      </c>
      <c r="J181" s="54">
        <f t="shared" ca="1" si="31"/>
        <v>0.29852516200097223</v>
      </c>
      <c r="K181" s="54">
        <f t="shared" ca="1" si="32"/>
        <v>0.16177691056431517</v>
      </c>
      <c r="L181" s="54">
        <f t="shared" ca="1" si="33"/>
        <v>0.16163385734589644</v>
      </c>
      <c r="M181" s="54">
        <f ca="1">MIN(100,MAX(0,MCDA_Prioritisation!$F$2+(RAND()-0.5)*2*$B$7))</f>
        <v>78.490408923836824</v>
      </c>
      <c r="N181" s="54">
        <f ca="1">MIN(100,MAX(0,MCDA_Prioritisation!$F$3+(RAND()-0.5)*2*$B$7))</f>
        <v>100</v>
      </c>
      <c r="O181" s="54">
        <f ca="1">MIN(100,MAX(0,MCDA_Prioritisation!$F$4+(RAND()-0.5)*2*$B$7))</f>
        <v>87.326884379739184</v>
      </c>
      <c r="P181" s="54">
        <f ca="1">MIN(100,MAX(0,MCDA_Prioritisation!$F$5+(RAND()-0.5)*2*$B$7))</f>
        <v>78.62242097733386</v>
      </c>
      <c r="Q181" s="54">
        <f ca="1">MIN(100,MAX(0,MCDA_Prioritisation!$G$2+(RAND()-0.5)*2*$B$7))</f>
        <v>82.128882208547964</v>
      </c>
      <c r="R181" s="54">
        <f ca="1">MIN(100,MAX(0,MCDA_Prioritisation!$G$3+(RAND()-0.5)*2*$B$7))</f>
        <v>89.450694408156849</v>
      </c>
      <c r="S181" s="54">
        <f ca="1">MIN(100,MAX(0,MCDA_Prioritisation!$G$4+(RAND()-0.5)*2*$B$7))</f>
        <v>85.585945004740807</v>
      </c>
      <c r="T181" s="54">
        <f ca="1">MIN(100,MAX(0,MCDA_Prioritisation!$G$5+(RAND()-0.5)*2*$B$7))</f>
        <v>69.888000582259508</v>
      </c>
      <c r="U181" s="54">
        <f ca="1">MIN(100,MAX(0,MCDA_Prioritisation!$H$2+(RAND()-0.5)*2*$B$7))</f>
        <v>64.658755535727934</v>
      </c>
      <c r="V181" s="54">
        <f ca="1">MIN(100,MAX(0,MCDA_Prioritisation!$H$3+(RAND()-0.5)*2*$B$7))</f>
        <v>56.417689506688248</v>
      </c>
      <c r="W181" s="54">
        <f ca="1">MIN(100,MAX(0,MCDA_Prioritisation!$H$4+(RAND()-0.5)*2*$B$7))</f>
        <v>82.011083436239005</v>
      </c>
      <c r="X181" s="54">
        <f ca="1">MIN(100,MAX(0,MCDA_Prioritisation!$H$5+(RAND()-0.5)*2*$B$7))</f>
        <v>77.5032301927736</v>
      </c>
      <c r="Y181" s="54">
        <f ca="1">H181*MCDA_Prioritisation!$D$2+I181*MCDA_Prioritisation!$E$2+J181*M181+K181*Q181+L181*U181</f>
        <v>84.975369948617043</v>
      </c>
      <c r="Z181" s="54">
        <f ca="1">H181*MCDA_Prioritisation!$D$3+I181*MCDA_Prioritisation!$E$3+J181*N181+K181*R181+L181*V181</f>
        <v>83.189096761600425</v>
      </c>
      <c r="AA181" s="54">
        <f ca="1">H181*MCDA_Prioritisation!$D$4+I181*MCDA_Prioritisation!$E$4+J181*O181+K181*S181+L181*W181</f>
        <v>76.107800567507311</v>
      </c>
      <c r="AB181" s="54">
        <f ca="1">H181*MCDA_Prioritisation!$D$5+I181*MCDA_Prioritisation!$E$5+J181*P181+K181*T181+L181*X181</f>
        <v>74.336887621210536</v>
      </c>
      <c r="AC181" s="54">
        <f t="shared" ca="1" si="34"/>
        <v>1</v>
      </c>
      <c r="AD181" s="54">
        <f t="shared" ca="1" si="35"/>
        <v>2</v>
      </c>
      <c r="AE181" s="54">
        <f t="shared" ca="1" si="36"/>
        <v>3</v>
      </c>
      <c r="AF181" s="54">
        <f t="shared" ca="1" si="37"/>
        <v>4</v>
      </c>
      <c r="AG181" s="54">
        <f t="shared" ca="1" si="38"/>
        <v>1</v>
      </c>
      <c r="AH181" s="54">
        <f t="shared" ca="1" si="39"/>
        <v>1</v>
      </c>
      <c r="AI181" s="54">
        <f t="shared" ca="1" si="40"/>
        <v>1</v>
      </c>
      <c r="AJ181" s="54">
        <f t="shared" ca="1" si="41"/>
        <v>1</v>
      </c>
    </row>
    <row r="182" spans="1:36" x14ac:dyDescent="0.2">
      <c r="A182" s="54">
        <v>159</v>
      </c>
      <c r="B182" s="54">
        <f ca="1">MAX(0.02,MCDA_Prioritisation!$B$9+(RAND()-0.5)*2*$B$6)</f>
        <v>0.19664742622654685</v>
      </c>
      <c r="C182" s="54">
        <f ca="1">MAX(0.02,MCDA_Prioritisation!$B$10+(RAND()-0.5)*2*$B$6)</f>
        <v>0.24939116423864741</v>
      </c>
      <c r="D182" s="54">
        <f ca="1">MAX(0.02,MCDA_Prioritisation!$B$11+(RAND()-0.5)*2*$B$6)</f>
        <v>0.18933020214211524</v>
      </c>
      <c r="E182" s="54">
        <f ca="1">MAX(0.02,MCDA_Prioritisation!$B$12+(RAND()-0.5)*2*$B$6)</f>
        <v>0.12276097099861262</v>
      </c>
      <c r="F182" s="54">
        <f ca="1">MAX(0.02,MCDA_Prioritisation!$B$13+(RAND()-0.5)*2*$B$6)</f>
        <v>0.2129662094941453</v>
      </c>
      <c r="G182" s="54">
        <f t="shared" ca="1" si="28"/>
        <v>0.97109597310006746</v>
      </c>
      <c r="H182" s="54">
        <f t="shared" ca="1" si="29"/>
        <v>0.20250050630812691</v>
      </c>
      <c r="I182" s="54">
        <f t="shared" ca="1" si="30"/>
        <v>0.25681412666402714</v>
      </c>
      <c r="J182" s="54">
        <f t="shared" ca="1" si="31"/>
        <v>0.19496548990694407</v>
      </c>
      <c r="K182" s="54">
        <f t="shared" ca="1" si="32"/>
        <v>0.12641486979574015</v>
      </c>
      <c r="L182" s="54">
        <f t="shared" ca="1" si="33"/>
        <v>0.21930500732516167</v>
      </c>
      <c r="M182" s="54">
        <f ca="1">MIN(100,MAX(0,MCDA_Prioritisation!$F$2+(RAND()-0.5)*2*$B$7))</f>
        <v>88.20053524370438</v>
      </c>
      <c r="N182" s="54">
        <f ca="1">MIN(100,MAX(0,MCDA_Prioritisation!$F$3+(RAND()-0.5)*2*$B$7))</f>
        <v>100</v>
      </c>
      <c r="O182" s="54">
        <f ca="1">MIN(100,MAX(0,MCDA_Prioritisation!$F$4+(RAND()-0.5)*2*$B$7))</f>
        <v>93.391026905395421</v>
      </c>
      <c r="P182" s="54">
        <f ca="1">MIN(100,MAX(0,MCDA_Prioritisation!$F$5+(RAND()-0.5)*2*$B$7))</f>
        <v>72.290591364825218</v>
      </c>
      <c r="Q182" s="54">
        <f ca="1">MIN(100,MAX(0,MCDA_Prioritisation!$G$2+(RAND()-0.5)*2*$B$7))</f>
        <v>77.6226404592107</v>
      </c>
      <c r="R182" s="54">
        <f ca="1">MIN(100,MAX(0,MCDA_Prioritisation!$G$3+(RAND()-0.5)*2*$B$7))</f>
        <v>100</v>
      </c>
      <c r="S182" s="54">
        <f ca="1">MIN(100,MAX(0,MCDA_Prioritisation!$G$4+(RAND()-0.5)*2*$B$7))</f>
        <v>76.327907821891856</v>
      </c>
      <c r="T182" s="54">
        <f ca="1">MIN(100,MAX(0,MCDA_Prioritisation!$G$5+(RAND()-0.5)*2*$B$7))</f>
        <v>65.843534558022412</v>
      </c>
      <c r="U182" s="54">
        <f ca="1">MIN(100,MAX(0,MCDA_Prioritisation!$H$2+(RAND()-0.5)*2*$B$7))</f>
        <v>57.993007851281718</v>
      </c>
      <c r="V182" s="54">
        <f ca="1">MIN(100,MAX(0,MCDA_Prioritisation!$H$3+(RAND()-0.5)*2*$B$7))</f>
        <v>63.191178039896506</v>
      </c>
      <c r="W182" s="54">
        <f ca="1">MIN(100,MAX(0,MCDA_Prioritisation!$H$4+(RAND()-0.5)*2*$B$7))</f>
        <v>72.554621847750596</v>
      </c>
      <c r="X182" s="54">
        <f ca="1">MIN(100,MAX(0,MCDA_Prioritisation!$H$5+(RAND()-0.5)*2*$B$7))</f>
        <v>83.47647289850272</v>
      </c>
      <c r="Y182" s="54">
        <f ca="1">H182*MCDA_Prioritisation!$D$2+I182*MCDA_Prioritisation!$E$2+J182*M182+K182*Q182+L182*U182</f>
        <v>85.658336859545074</v>
      </c>
      <c r="Z182" s="54">
        <f ca="1">H182*MCDA_Prioritisation!$D$3+I182*MCDA_Prioritisation!$E$3+J182*N182+K182*R182+L182*V182</f>
        <v>82.371472963174696</v>
      </c>
      <c r="AA182" s="54">
        <f ca="1">H182*MCDA_Prioritisation!$D$4+I182*MCDA_Prioritisation!$E$4+J182*O182+K182*S182+L182*W182</f>
        <v>71.877589830685963</v>
      </c>
      <c r="AB182" s="54">
        <f ca="1">H182*MCDA_Prioritisation!$D$5+I182*MCDA_Prioritisation!$E$5+J182*P182+K182*T182+L182*X182</f>
        <v>73.068208849877692</v>
      </c>
      <c r="AC182" s="54">
        <f t="shared" ca="1" si="34"/>
        <v>1</v>
      </c>
      <c r="AD182" s="54">
        <f t="shared" ca="1" si="35"/>
        <v>2</v>
      </c>
      <c r="AE182" s="54">
        <f t="shared" ca="1" si="36"/>
        <v>4</v>
      </c>
      <c r="AF182" s="54">
        <f t="shared" ca="1" si="37"/>
        <v>3</v>
      </c>
      <c r="AG182" s="54">
        <f t="shared" ca="1" si="38"/>
        <v>1</v>
      </c>
      <c r="AH182" s="54">
        <f t="shared" ca="1" si="39"/>
        <v>1</v>
      </c>
      <c r="AI182" s="54">
        <f t="shared" ca="1" si="40"/>
        <v>0</v>
      </c>
      <c r="AJ182" s="54">
        <f t="shared" ca="1" si="41"/>
        <v>1</v>
      </c>
    </row>
    <row r="183" spans="1:36" x14ac:dyDescent="0.2">
      <c r="A183" s="54">
        <v>160</v>
      </c>
      <c r="B183" s="54">
        <f ca="1">MAX(0.02,MCDA_Prioritisation!$B$9+(RAND()-0.5)*2*$B$6)</f>
        <v>0.21605468367083208</v>
      </c>
      <c r="C183" s="54">
        <f ca="1">MAX(0.02,MCDA_Prioritisation!$B$10+(RAND()-0.5)*2*$B$6)</f>
        <v>0.2128473639402641</v>
      </c>
      <c r="D183" s="54">
        <f ca="1">MAX(0.02,MCDA_Prioritisation!$B$11+(RAND()-0.5)*2*$B$6)</f>
        <v>0.26207826309651105</v>
      </c>
      <c r="E183" s="54">
        <f ca="1">MAX(0.02,MCDA_Prioritisation!$B$12+(RAND()-0.5)*2*$B$6)</f>
        <v>9.7739272807990135E-2</v>
      </c>
      <c r="F183" s="54">
        <f ca="1">MAX(0.02,MCDA_Prioritisation!$B$13+(RAND()-0.5)*2*$B$6)</f>
        <v>0.18054119663047036</v>
      </c>
      <c r="G183" s="54">
        <f t="shared" ca="1" si="28"/>
        <v>0.96926078014606776</v>
      </c>
      <c r="H183" s="54">
        <f t="shared" ca="1" si="29"/>
        <v>0.22290666051531829</v>
      </c>
      <c r="I183" s="54">
        <f t="shared" ca="1" si="30"/>
        <v>0.21959762357060189</v>
      </c>
      <c r="J183" s="54">
        <f t="shared" ca="1" si="31"/>
        <v>0.27038983570243685</v>
      </c>
      <c r="K183" s="54">
        <f t="shared" ca="1" si="32"/>
        <v>0.10083898452309276</v>
      </c>
      <c r="L183" s="54">
        <f t="shared" ca="1" si="33"/>
        <v>0.18626689568855018</v>
      </c>
      <c r="M183" s="54">
        <f ca="1">MIN(100,MAX(0,MCDA_Prioritisation!$F$2+(RAND()-0.5)*2*$B$7))</f>
        <v>80.798063733542236</v>
      </c>
      <c r="N183" s="54">
        <f ca="1">MIN(100,MAX(0,MCDA_Prioritisation!$F$3+(RAND()-0.5)*2*$B$7))</f>
        <v>100</v>
      </c>
      <c r="O183" s="54">
        <f ca="1">MIN(100,MAX(0,MCDA_Prioritisation!$F$4+(RAND()-0.5)*2*$B$7))</f>
        <v>89.227723679097338</v>
      </c>
      <c r="P183" s="54">
        <f ca="1">MIN(100,MAX(0,MCDA_Prioritisation!$F$5+(RAND()-0.5)*2*$B$7))</f>
        <v>75.095997743046397</v>
      </c>
      <c r="Q183" s="54">
        <f ca="1">MIN(100,MAX(0,MCDA_Prioritisation!$G$2+(RAND()-0.5)*2*$B$7))</f>
        <v>85.095217217466526</v>
      </c>
      <c r="R183" s="54">
        <f ca="1">MIN(100,MAX(0,MCDA_Prioritisation!$G$3+(RAND()-0.5)*2*$B$7))</f>
        <v>99.002358678541228</v>
      </c>
      <c r="S183" s="54">
        <f ca="1">MIN(100,MAX(0,MCDA_Prioritisation!$G$4+(RAND()-0.5)*2*$B$7))</f>
        <v>85.254224222350871</v>
      </c>
      <c r="T183" s="54">
        <f ca="1">MIN(100,MAX(0,MCDA_Prioritisation!$G$5+(RAND()-0.5)*2*$B$7))</f>
        <v>68.617619713620698</v>
      </c>
      <c r="U183" s="54">
        <f ca="1">MIN(100,MAX(0,MCDA_Prioritisation!$H$2+(RAND()-0.5)*2*$B$7))</f>
        <v>63.889849488131823</v>
      </c>
      <c r="V183" s="54">
        <f ca="1">MIN(100,MAX(0,MCDA_Prioritisation!$H$3+(RAND()-0.5)*2*$B$7))</f>
        <v>55.585996745047311</v>
      </c>
      <c r="W183" s="54">
        <f ca="1">MIN(100,MAX(0,MCDA_Prioritisation!$H$4+(RAND()-0.5)*2*$B$7))</f>
        <v>78.15662102502688</v>
      </c>
      <c r="X183" s="54">
        <f ca="1">MIN(100,MAX(0,MCDA_Prioritisation!$H$5+(RAND()-0.5)*2*$B$7))</f>
        <v>79.110591616934997</v>
      </c>
      <c r="Y183" s="54">
        <f ca="1">H183*MCDA_Prioritisation!$D$2+I183*MCDA_Prioritisation!$E$2+J183*M183+K183*Q183+L183*U183</f>
        <v>86.578882808723861</v>
      </c>
      <c r="Z183" s="54">
        <f ca="1">H183*MCDA_Prioritisation!$D$3+I183*MCDA_Prioritisation!$E$3+J183*N183+K183*R183+L183*V183</f>
        <v>82.828185780942533</v>
      </c>
      <c r="AA183" s="54">
        <f ca="1">H183*MCDA_Prioritisation!$D$4+I183*MCDA_Prioritisation!$E$4+J183*O183+K183*S183+L183*W183</f>
        <v>74.781171772234771</v>
      </c>
      <c r="AB183" s="54">
        <f ca="1">H183*MCDA_Prioritisation!$D$5+I183*MCDA_Prioritisation!$E$5+J183*P183+K183*T183+L183*X183</f>
        <v>72.257343054858239</v>
      </c>
      <c r="AC183" s="54">
        <f t="shared" ca="1" si="34"/>
        <v>1</v>
      </c>
      <c r="AD183" s="54">
        <f t="shared" ca="1" si="35"/>
        <v>2</v>
      </c>
      <c r="AE183" s="54">
        <f t="shared" ca="1" si="36"/>
        <v>3</v>
      </c>
      <c r="AF183" s="54">
        <f t="shared" ca="1" si="37"/>
        <v>4</v>
      </c>
      <c r="AG183" s="54">
        <f t="shared" ca="1" si="38"/>
        <v>1</v>
      </c>
      <c r="AH183" s="54">
        <f t="shared" ca="1" si="39"/>
        <v>1</v>
      </c>
      <c r="AI183" s="54">
        <f t="shared" ca="1" si="40"/>
        <v>1</v>
      </c>
      <c r="AJ183" s="54">
        <f t="shared" ca="1" si="41"/>
        <v>1</v>
      </c>
    </row>
    <row r="184" spans="1:36" x14ac:dyDescent="0.2">
      <c r="A184" s="54">
        <v>161</v>
      </c>
      <c r="B184" s="54">
        <f ca="1">MAX(0.02,MCDA_Prioritisation!$B$9+(RAND()-0.5)*2*$B$6)</f>
        <v>0.20258056323394963</v>
      </c>
      <c r="C184" s="54">
        <f ca="1">MAX(0.02,MCDA_Prioritisation!$B$10+(RAND()-0.5)*2*$B$6)</f>
        <v>0.19686562616677014</v>
      </c>
      <c r="D184" s="54">
        <f ca="1">MAX(0.02,MCDA_Prioritisation!$B$11+(RAND()-0.5)*2*$B$6)</f>
        <v>0.20354566743906033</v>
      </c>
      <c r="E184" s="54">
        <f ca="1">MAX(0.02,MCDA_Prioritisation!$B$12+(RAND()-0.5)*2*$B$6)</f>
        <v>0.22280722185564117</v>
      </c>
      <c r="F184" s="54">
        <f ca="1">MAX(0.02,MCDA_Prioritisation!$B$13+(RAND()-0.5)*2*$B$6)</f>
        <v>0.21342014393495917</v>
      </c>
      <c r="G184" s="54">
        <f t="shared" ca="1" si="28"/>
        <v>1.0392192226303805</v>
      </c>
      <c r="H184" s="54">
        <f t="shared" ca="1" si="29"/>
        <v>0.19493535033079498</v>
      </c>
      <c r="I184" s="54">
        <f t="shared" ca="1" si="30"/>
        <v>0.18943608997963024</v>
      </c>
      <c r="J184" s="54">
        <f t="shared" ca="1" si="31"/>
        <v>0.19586403234907782</v>
      </c>
      <c r="K184" s="54">
        <f t="shared" ca="1" si="32"/>
        <v>0.21439867258391457</v>
      </c>
      <c r="L184" s="54">
        <f t="shared" ca="1" si="33"/>
        <v>0.20536585475658239</v>
      </c>
      <c r="M184" s="54">
        <f ca="1">MIN(100,MAX(0,MCDA_Prioritisation!$F$2+(RAND()-0.5)*2*$B$7))</f>
        <v>89.664703685856239</v>
      </c>
      <c r="N184" s="54">
        <f ca="1">MIN(100,MAX(0,MCDA_Prioritisation!$F$3+(RAND()-0.5)*2*$B$7))</f>
        <v>93.058369345957729</v>
      </c>
      <c r="O184" s="54">
        <f ca="1">MIN(100,MAX(0,MCDA_Prioritisation!$F$4+(RAND()-0.5)*2*$B$7))</f>
        <v>96.177466476869469</v>
      </c>
      <c r="P184" s="54">
        <f ca="1">MIN(100,MAX(0,MCDA_Prioritisation!$F$5+(RAND()-0.5)*2*$B$7))</f>
        <v>80.793949153084071</v>
      </c>
      <c r="Q184" s="54">
        <f ca="1">MIN(100,MAX(0,MCDA_Prioritisation!$G$2+(RAND()-0.5)*2*$B$7))</f>
        <v>82.921788601971528</v>
      </c>
      <c r="R184" s="54">
        <f ca="1">MIN(100,MAX(0,MCDA_Prioritisation!$G$3+(RAND()-0.5)*2*$B$7))</f>
        <v>89.530095139751097</v>
      </c>
      <c r="S184" s="54">
        <f ca="1">MIN(100,MAX(0,MCDA_Prioritisation!$G$4+(RAND()-0.5)*2*$B$7))</f>
        <v>79.646870998796913</v>
      </c>
      <c r="T184" s="54">
        <f ca="1">MIN(100,MAX(0,MCDA_Prioritisation!$G$5+(RAND()-0.5)*2*$B$7))</f>
        <v>63.366689243692335</v>
      </c>
      <c r="U184" s="54">
        <f ca="1">MIN(100,MAX(0,MCDA_Prioritisation!$H$2+(RAND()-0.5)*2*$B$7))</f>
        <v>72.377702671602208</v>
      </c>
      <c r="V184" s="54">
        <f ca="1">MIN(100,MAX(0,MCDA_Prioritisation!$H$3+(RAND()-0.5)*2*$B$7))</f>
        <v>69.123758364411927</v>
      </c>
      <c r="W184" s="54">
        <f ca="1">MIN(100,MAX(0,MCDA_Prioritisation!$H$4+(RAND()-0.5)*2*$B$7))</f>
        <v>82.993695742499398</v>
      </c>
      <c r="X184" s="54">
        <f ca="1">MIN(100,MAX(0,MCDA_Prioritisation!$H$5+(RAND()-0.5)*2*$B$7))</f>
        <v>68.456729064367167</v>
      </c>
      <c r="Y184" s="54">
        <f ca="1">H184*MCDA_Prioritisation!$D$2+I184*MCDA_Prioritisation!$E$2+J184*M184+K184*Q184+L184*U184</f>
        <v>88.641464633357586</v>
      </c>
      <c r="Z184" s="54">
        <f ca="1">H184*MCDA_Prioritisation!$D$3+I184*MCDA_Prioritisation!$E$3+J184*N184+K184*R184+L184*V184</f>
        <v>82.431484397977755</v>
      </c>
      <c r="AA184" s="54">
        <f ca="1">H184*MCDA_Prioritisation!$D$4+I184*MCDA_Prioritisation!$E$4+J184*O184+K184*S184+L184*W184</f>
        <v>76.86499057366872</v>
      </c>
      <c r="AB184" s="54">
        <f ca="1">H184*MCDA_Prioritisation!$D$5+I184*MCDA_Prioritisation!$E$5+J184*P184+K184*T184+L184*X184</f>
        <v>69.745257606111835</v>
      </c>
      <c r="AC184" s="54">
        <f t="shared" ca="1" si="34"/>
        <v>1</v>
      </c>
      <c r="AD184" s="54">
        <f t="shared" ca="1" si="35"/>
        <v>2</v>
      </c>
      <c r="AE184" s="54">
        <f t="shared" ca="1" si="36"/>
        <v>3</v>
      </c>
      <c r="AF184" s="54">
        <f t="shared" ca="1" si="37"/>
        <v>4</v>
      </c>
      <c r="AG184" s="54">
        <f t="shared" ca="1" si="38"/>
        <v>1</v>
      </c>
      <c r="AH184" s="54">
        <f t="shared" ca="1" si="39"/>
        <v>1</v>
      </c>
      <c r="AI184" s="54">
        <f t="shared" ca="1" si="40"/>
        <v>1</v>
      </c>
      <c r="AJ184" s="54">
        <f t="shared" ca="1" si="41"/>
        <v>1</v>
      </c>
    </row>
    <row r="185" spans="1:36" x14ac:dyDescent="0.2">
      <c r="A185" s="54">
        <v>162</v>
      </c>
      <c r="B185" s="54">
        <f ca="1">MAX(0.02,MCDA_Prioritisation!$B$9+(RAND()-0.5)*2*$B$6)</f>
        <v>0.15065955644037377</v>
      </c>
      <c r="C185" s="54">
        <f ca="1">MAX(0.02,MCDA_Prioritisation!$B$10+(RAND()-0.5)*2*$B$6)</f>
        <v>0.30598212990025231</v>
      </c>
      <c r="D185" s="54">
        <f ca="1">MAX(0.02,MCDA_Prioritisation!$B$11+(RAND()-0.5)*2*$B$6)</f>
        <v>0.1827136872424325</v>
      </c>
      <c r="E185" s="54">
        <f ca="1">MAX(0.02,MCDA_Prioritisation!$B$12+(RAND()-0.5)*2*$B$6)</f>
        <v>0.1080390182637557</v>
      </c>
      <c r="F185" s="54">
        <f ca="1">MAX(0.02,MCDA_Prioritisation!$B$13+(RAND()-0.5)*2*$B$6)</f>
        <v>0.12558348041491096</v>
      </c>
      <c r="G185" s="54">
        <f t="shared" ca="1" si="28"/>
        <v>0.8729778722617253</v>
      </c>
      <c r="H185" s="54">
        <f t="shared" ca="1" si="29"/>
        <v>0.17258118587821994</v>
      </c>
      <c r="I185" s="54">
        <f t="shared" ca="1" si="30"/>
        <v>0.35050387830279001</v>
      </c>
      <c r="J185" s="54">
        <f t="shared" ca="1" si="31"/>
        <v>0.20929933397859776</v>
      </c>
      <c r="K185" s="54">
        <f t="shared" ca="1" si="32"/>
        <v>0.1237591715627871</v>
      </c>
      <c r="L185" s="54">
        <f t="shared" ca="1" si="33"/>
        <v>0.14385643027760514</v>
      </c>
      <c r="M185" s="54">
        <f ca="1">MIN(100,MAX(0,MCDA_Prioritisation!$F$2+(RAND()-0.5)*2*$B$7))</f>
        <v>80.960611688319275</v>
      </c>
      <c r="N185" s="54">
        <f ca="1">MIN(100,MAX(0,MCDA_Prioritisation!$F$3+(RAND()-0.5)*2*$B$7))</f>
        <v>97.813750055132459</v>
      </c>
      <c r="O185" s="54">
        <f ca="1">MIN(100,MAX(0,MCDA_Prioritisation!$F$4+(RAND()-0.5)*2*$B$7))</f>
        <v>98.289874195706531</v>
      </c>
      <c r="P185" s="54">
        <f ca="1">MIN(100,MAX(0,MCDA_Prioritisation!$F$5+(RAND()-0.5)*2*$B$7))</f>
        <v>67.407112515369079</v>
      </c>
      <c r="Q185" s="54">
        <f ca="1">MIN(100,MAX(0,MCDA_Prioritisation!$G$2+(RAND()-0.5)*2*$B$7))</f>
        <v>74.451610985054941</v>
      </c>
      <c r="R185" s="54">
        <f ca="1">MIN(100,MAX(0,MCDA_Prioritisation!$G$3+(RAND()-0.5)*2*$B$7))</f>
        <v>94.951048863432248</v>
      </c>
      <c r="S185" s="54">
        <f ca="1">MIN(100,MAX(0,MCDA_Prioritisation!$G$4+(RAND()-0.5)*2*$B$7))</f>
        <v>93.867293084760519</v>
      </c>
      <c r="T185" s="54">
        <f ca="1">MIN(100,MAX(0,MCDA_Prioritisation!$G$5+(RAND()-0.5)*2*$B$7))</f>
        <v>66.160867693918533</v>
      </c>
      <c r="U185" s="54">
        <f ca="1">MIN(100,MAX(0,MCDA_Prioritisation!$H$2+(RAND()-0.5)*2*$B$7))</f>
        <v>67.003003507898768</v>
      </c>
      <c r="V185" s="54">
        <f ca="1">MIN(100,MAX(0,MCDA_Prioritisation!$H$3+(RAND()-0.5)*2*$B$7))</f>
        <v>62.982585002847443</v>
      </c>
      <c r="W185" s="54">
        <f ca="1">MIN(100,MAX(0,MCDA_Prioritisation!$H$4+(RAND()-0.5)*2*$B$7))</f>
        <v>80.523415610500194</v>
      </c>
      <c r="X185" s="54">
        <f ca="1">MIN(100,MAX(0,MCDA_Prioritisation!$H$5+(RAND()-0.5)*2*$B$7))</f>
        <v>74.998911878270007</v>
      </c>
      <c r="Y185" s="54">
        <f ca="1">H185*MCDA_Prioritisation!$D$2+I185*MCDA_Prioritisation!$E$2+J185*M185+K185*Q185+L185*U185</f>
        <v>88.106391122515561</v>
      </c>
      <c r="Z185" s="54">
        <f ca="1">H185*MCDA_Prioritisation!$D$3+I185*MCDA_Prioritisation!$E$3+J185*N185+K185*R185+L185*V185</f>
        <v>81.858107045794185</v>
      </c>
      <c r="AA185" s="54">
        <f ca="1">H185*MCDA_Prioritisation!$D$4+I185*MCDA_Prioritisation!$E$4+J185*O185+K185*S185+L185*W185</f>
        <v>74.908687369164923</v>
      </c>
      <c r="AB185" s="54">
        <f ca="1">H185*MCDA_Prioritisation!$D$5+I185*MCDA_Prioritisation!$E$5+J185*P185+K185*T185+L185*X185</f>
        <v>71.719443441440518</v>
      </c>
      <c r="AC185" s="54">
        <f t="shared" ca="1" si="34"/>
        <v>1</v>
      </c>
      <c r="AD185" s="54">
        <f t="shared" ca="1" si="35"/>
        <v>2</v>
      </c>
      <c r="AE185" s="54">
        <f t="shared" ca="1" si="36"/>
        <v>3</v>
      </c>
      <c r="AF185" s="54">
        <f t="shared" ca="1" si="37"/>
        <v>4</v>
      </c>
      <c r="AG185" s="54">
        <f t="shared" ca="1" si="38"/>
        <v>1</v>
      </c>
      <c r="AH185" s="54">
        <f t="shared" ca="1" si="39"/>
        <v>1</v>
      </c>
      <c r="AI185" s="54">
        <f t="shared" ca="1" si="40"/>
        <v>1</v>
      </c>
      <c r="AJ185" s="54">
        <f t="shared" ca="1" si="41"/>
        <v>1</v>
      </c>
    </row>
    <row r="186" spans="1:36" x14ac:dyDescent="0.2">
      <c r="A186" s="54">
        <v>163</v>
      </c>
      <c r="B186" s="54">
        <f ca="1">MAX(0.02,MCDA_Prioritisation!$B$9+(RAND()-0.5)*2*$B$6)</f>
        <v>0.15775380673572659</v>
      </c>
      <c r="C186" s="54">
        <f ca="1">MAX(0.02,MCDA_Prioritisation!$B$10+(RAND()-0.5)*2*$B$6)</f>
        <v>0.18156295787377946</v>
      </c>
      <c r="D186" s="54">
        <f ca="1">MAX(0.02,MCDA_Prioritisation!$B$11+(RAND()-0.5)*2*$B$6)</f>
        <v>0.32417343241778318</v>
      </c>
      <c r="E186" s="54">
        <f ca="1">MAX(0.02,MCDA_Prioritisation!$B$12+(RAND()-0.5)*2*$B$6)</f>
        <v>0.18824069689907824</v>
      </c>
      <c r="F186" s="54">
        <f ca="1">MAX(0.02,MCDA_Prioritisation!$B$13+(RAND()-0.5)*2*$B$6)</f>
        <v>0.2176689197172948</v>
      </c>
      <c r="G186" s="54">
        <f t="shared" ca="1" si="28"/>
        <v>1.0693998136436622</v>
      </c>
      <c r="H186" s="54">
        <f t="shared" ca="1" si="29"/>
        <v>0.14751620930082954</v>
      </c>
      <c r="I186" s="54">
        <f t="shared" ca="1" si="30"/>
        <v>0.16978024080176116</v>
      </c>
      <c r="J186" s="54">
        <f t="shared" ca="1" si="31"/>
        <v>0.30313586021046562</v>
      </c>
      <c r="K186" s="54">
        <f t="shared" ca="1" si="32"/>
        <v>0.17602462100465865</v>
      </c>
      <c r="L186" s="54">
        <f t="shared" ca="1" si="33"/>
        <v>0.20354306868228508</v>
      </c>
      <c r="M186" s="54">
        <f ca="1">MIN(100,MAX(0,MCDA_Prioritisation!$F$2+(RAND()-0.5)*2*$B$7))</f>
        <v>93.708637728148716</v>
      </c>
      <c r="N186" s="54">
        <f ca="1">MIN(100,MAX(0,MCDA_Prioritisation!$F$3+(RAND()-0.5)*2*$B$7))</f>
        <v>100</v>
      </c>
      <c r="O186" s="54">
        <f ca="1">MIN(100,MAX(0,MCDA_Prioritisation!$F$4+(RAND()-0.5)*2*$B$7))</f>
        <v>92.20613473627553</v>
      </c>
      <c r="P186" s="54">
        <f ca="1">MIN(100,MAX(0,MCDA_Prioritisation!$F$5+(RAND()-0.5)*2*$B$7))</f>
        <v>66.852145611383833</v>
      </c>
      <c r="Q186" s="54">
        <f ca="1">MIN(100,MAX(0,MCDA_Prioritisation!$G$2+(RAND()-0.5)*2*$B$7))</f>
        <v>86.709723258342251</v>
      </c>
      <c r="R186" s="54">
        <f ca="1">MIN(100,MAX(0,MCDA_Prioritisation!$G$3+(RAND()-0.5)*2*$B$7))</f>
        <v>100</v>
      </c>
      <c r="S186" s="54">
        <f ca="1">MIN(100,MAX(0,MCDA_Prioritisation!$G$4+(RAND()-0.5)*2*$B$7))</f>
        <v>90.330668984157171</v>
      </c>
      <c r="T186" s="54">
        <f ca="1">MIN(100,MAX(0,MCDA_Prioritisation!$G$5+(RAND()-0.5)*2*$B$7))</f>
        <v>64.931998154212252</v>
      </c>
      <c r="U186" s="54">
        <f ca="1">MIN(100,MAX(0,MCDA_Prioritisation!$H$2+(RAND()-0.5)*2*$B$7))</f>
        <v>55.324906691194897</v>
      </c>
      <c r="V186" s="54">
        <f ca="1">MIN(100,MAX(0,MCDA_Prioritisation!$H$3+(RAND()-0.5)*2*$B$7))</f>
        <v>67.726911195552887</v>
      </c>
      <c r="W186" s="54">
        <f ca="1">MIN(100,MAX(0,MCDA_Prioritisation!$H$4+(RAND()-0.5)*2*$B$7))</f>
        <v>79.518729485656436</v>
      </c>
      <c r="X186" s="54">
        <f ca="1">MIN(100,MAX(0,MCDA_Prioritisation!$H$5+(RAND()-0.5)*2*$B$7))</f>
        <v>66.989651281458251</v>
      </c>
      <c r="Y186" s="54">
        <f ca="1">H186*MCDA_Prioritisation!$D$2+I186*MCDA_Prioritisation!$E$2+J186*M186+K186*Q186+L186*U186</f>
        <v>86.660140973587758</v>
      </c>
      <c r="Z186" s="54">
        <f ca="1">H186*MCDA_Prioritisation!$D$3+I186*MCDA_Prioritisation!$E$3+J186*N186+K186*R186+L186*V186</f>
        <v>86.941495767621518</v>
      </c>
      <c r="AA186" s="54">
        <f ca="1">H186*MCDA_Prioritisation!$D$4+I186*MCDA_Prioritisation!$E$4+J186*O186+K186*S186+L186*W186</f>
        <v>79.569795994424567</v>
      </c>
      <c r="AB186" s="54">
        <f ca="1">H186*MCDA_Prioritisation!$D$5+I186*MCDA_Prioritisation!$E$5+J186*P186+K186*T186+L186*X186</f>
        <v>67.436721091256928</v>
      </c>
      <c r="AC186" s="54">
        <f t="shared" ca="1" si="34"/>
        <v>2</v>
      </c>
      <c r="AD186" s="54">
        <f t="shared" ca="1" si="35"/>
        <v>1</v>
      </c>
      <c r="AE186" s="54">
        <f t="shared" ca="1" si="36"/>
        <v>3</v>
      </c>
      <c r="AF186" s="54">
        <f t="shared" ca="1" si="37"/>
        <v>4</v>
      </c>
      <c r="AG186" s="54">
        <f t="shared" ca="1" si="38"/>
        <v>0</v>
      </c>
      <c r="AH186" s="54">
        <f t="shared" ca="1" si="39"/>
        <v>0</v>
      </c>
      <c r="AI186" s="54">
        <f t="shared" ca="1" si="40"/>
        <v>0</v>
      </c>
      <c r="AJ186" s="54">
        <f t="shared" ca="1" si="41"/>
        <v>1</v>
      </c>
    </row>
    <row r="187" spans="1:36" x14ac:dyDescent="0.2">
      <c r="A187" s="54">
        <v>164</v>
      </c>
      <c r="B187" s="54">
        <f ca="1">MAX(0.02,MCDA_Prioritisation!$B$9+(RAND()-0.5)*2*$B$6)</f>
        <v>0.12275226640745288</v>
      </c>
      <c r="C187" s="54">
        <f ca="1">MAX(0.02,MCDA_Prioritisation!$B$10+(RAND()-0.5)*2*$B$6)</f>
        <v>0.19897737567403023</v>
      </c>
      <c r="D187" s="54">
        <f ca="1">MAX(0.02,MCDA_Prioritisation!$B$11+(RAND()-0.5)*2*$B$6)</f>
        <v>0.20568523482684692</v>
      </c>
      <c r="E187" s="54">
        <f ca="1">MAX(0.02,MCDA_Prioritisation!$B$12+(RAND()-0.5)*2*$B$6)</f>
        <v>9.831578406122389E-2</v>
      </c>
      <c r="F187" s="54">
        <f ca="1">MAX(0.02,MCDA_Prioritisation!$B$13+(RAND()-0.5)*2*$B$6)</f>
        <v>0.11629997900334818</v>
      </c>
      <c r="G187" s="54">
        <f t="shared" ca="1" si="28"/>
        <v>0.74203063997290208</v>
      </c>
      <c r="H187" s="54">
        <f t="shared" ca="1" si="29"/>
        <v>0.16542749018010311</v>
      </c>
      <c r="I187" s="54">
        <f t="shared" ca="1" si="30"/>
        <v>0.26815250604920654</v>
      </c>
      <c r="J187" s="54">
        <f t="shared" ca="1" si="31"/>
        <v>0.27719237420486875</v>
      </c>
      <c r="K187" s="54">
        <f t="shared" ca="1" si="32"/>
        <v>0.13249558544484666</v>
      </c>
      <c r="L187" s="54">
        <f t="shared" ca="1" si="33"/>
        <v>0.15673204412097497</v>
      </c>
      <c r="M187" s="54">
        <f ca="1">MIN(100,MAX(0,MCDA_Prioritisation!$F$2+(RAND()-0.5)*2*$B$7))</f>
        <v>76.371290565919537</v>
      </c>
      <c r="N187" s="54">
        <f ca="1">MIN(100,MAX(0,MCDA_Prioritisation!$F$3+(RAND()-0.5)*2*$B$7))</f>
        <v>96.204352595261511</v>
      </c>
      <c r="O187" s="54">
        <f ca="1">MIN(100,MAX(0,MCDA_Prioritisation!$F$4+(RAND()-0.5)*2*$B$7))</f>
        <v>88.366942167217275</v>
      </c>
      <c r="P187" s="54">
        <f ca="1">MIN(100,MAX(0,MCDA_Prioritisation!$F$5+(RAND()-0.5)*2*$B$7))</f>
        <v>69.032473943769048</v>
      </c>
      <c r="Q187" s="54">
        <f ca="1">MIN(100,MAX(0,MCDA_Prioritisation!$G$2+(RAND()-0.5)*2*$B$7))</f>
        <v>85.536181260750425</v>
      </c>
      <c r="R187" s="54">
        <f ca="1">MIN(100,MAX(0,MCDA_Prioritisation!$G$3+(RAND()-0.5)*2*$B$7))</f>
        <v>100</v>
      </c>
      <c r="S187" s="54">
        <f ca="1">MIN(100,MAX(0,MCDA_Prioritisation!$G$4+(RAND()-0.5)*2*$B$7))</f>
        <v>91.918162044260171</v>
      </c>
      <c r="T187" s="54">
        <f ca="1">MIN(100,MAX(0,MCDA_Prioritisation!$G$5+(RAND()-0.5)*2*$B$7))</f>
        <v>73.804395959758324</v>
      </c>
      <c r="U187" s="54">
        <f ca="1">MIN(100,MAX(0,MCDA_Prioritisation!$H$2+(RAND()-0.5)*2*$B$7))</f>
        <v>61.122207857010693</v>
      </c>
      <c r="V187" s="54">
        <f ca="1">MIN(100,MAX(0,MCDA_Prioritisation!$H$3+(RAND()-0.5)*2*$B$7))</f>
        <v>67.363587413804026</v>
      </c>
      <c r="W187" s="54">
        <f ca="1">MIN(100,MAX(0,MCDA_Prioritisation!$H$4+(RAND()-0.5)*2*$B$7))</f>
        <v>74.619733923898139</v>
      </c>
      <c r="X187" s="54">
        <f ca="1">MIN(100,MAX(0,MCDA_Prioritisation!$H$5+(RAND()-0.5)*2*$B$7))</f>
        <v>79.987194061605734</v>
      </c>
      <c r="Y187" s="54">
        <f ca="1">H187*MCDA_Prioritisation!$D$2+I187*MCDA_Prioritisation!$E$2+J187*M187+K187*Q187+L187*U187</f>
        <v>85.440513967464156</v>
      </c>
      <c r="Z187" s="54">
        <f ca="1">H187*MCDA_Prioritisation!$D$3+I187*MCDA_Prioritisation!$E$3+J187*N187+K187*R187+L187*V187</f>
        <v>84.43454441228495</v>
      </c>
      <c r="AA187" s="54">
        <f ca="1">H187*MCDA_Prioritisation!$D$4+I187*MCDA_Prioritisation!$E$4+J187*O187+K187*S187+L187*W187</f>
        <v>74.514594887234551</v>
      </c>
      <c r="AB187" s="54">
        <f ca="1">H187*MCDA_Prioritisation!$D$5+I187*MCDA_Prioritisation!$E$5+J187*P187+K187*T187+L187*X187</f>
        <v>72.779987680563423</v>
      </c>
      <c r="AC187" s="54">
        <f t="shared" ca="1" si="34"/>
        <v>1</v>
      </c>
      <c r="AD187" s="54">
        <f t="shared" ca="1" si="35"/>
        <v>2</v>
      </c>
      <c r="AE187" s="54">
        <f t="shared" ca="1" si="36"/>
        <v>3</v>
      </c>
      <c r="AF187" s="54">
        <f t="shared" ca="1" si="37"/>
        <v>4</v>
      </c>
      <c r="AG187" s="54">
        <f t="shared" ca="1" si="38"/>
        <v>1</v>
      </c>
      <c r="AH187" s="54">
        <f t="shared" ca="1" si="39"/>
        <v>1</v>
      </c>
      <c r="AI187" s="54">
        <f t="shared" ca="1" si="40"/>
        <v>1</v>
      </c>
      <c r="AJ187" s="54">
        <f t="shared" ca="1" si="41"/>
        <v>1</v>
      </c>
    </row>
    <row r="188" spans="1:36" x14ac:dyDescent="0.2">
      <c r="A188" s="54">
        <v>165</v>
      </c>
      <c r="B188" s="54">
        <f ca="1">MAX(0.02,MCDA_Prioritisation!$B$9+(RAND()-0.5)*2*$B$6)</f>
        <v>0.18799927127602065</v>
      </c>
      <c r="C188" s="54">
        <f ca="1">MAX(0.02,MCDA_Prioritisation!$B$10+(RAND()-0.5)*2*$B$6)</f>
        <v>0.21442330589376277</v>
      </c>
      <c r="D188" s="54">
        <f ca="1">MAX(0.02,MCDA_Prioritisation!$B$11+(RAND()-0.5)*2*$B$6)</f>
        <v>0.32685165347366807</v>
      </c>
      <c r="E188" s="54">
        <f ca="1">MAX(0.02,MCDA_Prioritisation!$B$12+(RAND()-0.5)*2*$B$6)</f>
        <v>0.1729044105156031</v>
      </c>
      <c r="F188" s="54">
        <f ca="1">MAX(0.02,MCDA_Prioritisation!$B$13+(RAND()-0.5)*2*$B$6)</f>
        <v>0.15319879590704533</v>
      </c>
      <c r="G188" s="54">
        <f t="shared" ca="1" si="28"/>
        <v>1.0553774370660998</v>
      </c>
      <c r="H188" s="54">
        <f t="shared" ca="1" si="29"/>
        <v>0.17813463190822981</v>
      </c>
      <c r="I188" s="54">
        <f t="shared" ca="1" si="30"/>
        <v>0.20317215278910036</v>
      </c>
      <c r="J188" s="54">
        <f t="shared" ca="1" si="31"/>
        <v>0.30970119503625215</v>
      </c>
      <c r="K188" s="54">
        <f t="shared" ca="1" si="32"/>
        <v>0.16383182399300608</v>
      </c>
      <c r="L188" s="54">
        <f t="shared" ca="1" si="33"/>
        <v>0.14516019627341178</v>
      </c>
      <c r="M188" s="54">
        <f ca="1">MIN(100,MAX(0,MCDA_Prioritisation!$F$2+(RAND()-0.5)*2*$B$7))</f>
        <v>93.176490232525396</v>
      </c>
      <c r="N188" s="54">
        <f ca="1">MIN(100,MAX(0,MCDA_Prioritisation!$F$3+(RAND()-0.5)*2*$B$7))</f>
        <v>98.224860086520252</v>
      </c>
      <c r="O188" s="54">
        <f ca="1">MIN(100,MAX(0,MCDA_Prioritisation!$F$4+(RAND()-0.5)*2*$B$7))</f>
        <v>81.035512567827325</v>
      </c>
      <c r="P188" s="54">
        <f ca="1">MIN(100,MAX(0,MCDA_Prioritisation!$F$5+(RAND()-0.5)*2*$B$7))</f>
        <v>76.850447719987955</v>
      </c>
      <c r="Q188" s="54">
        <f ca="1">MIN(100,MAX(0,MCDA_Prioritisation!$G$2+(RAND()-0.5)*2*$B$7))</f>
        <v>79.849512630528636</v>
      </c>
      <c r="R188" s="54">
        <f ca="1">MIN(100,MAX(0,MCDA_Prioritisation!$G$3+(RAND()-0.5)*2*$B$7))</f>
        <v>87.284049127876386</v>
      </c>
      <c r="S188" s="54">
        <f ca="1">MIN(100,MAX(0,MCDA_Prioritisation!$G$4+(RAND()-0.5)*2*$B$7))</f>
        <v>86.962080377715637</v>
      </c>
      <c r="T188" s="54">
        <f ca="1">MIN(100,MAX(0,MCDA_Prioritisation!$G$5+(RAND()-0.5)*2*$B$7))</f>
        <v>62.382863851958057</v>
      </c>
      <c r="U188" s="54">
        <f ca="1">MIN(100,MAX(0,MCDA_Prioritisation!$H$2+(RAND()-0.5)*2*$B$7))</f>
        <v>56.483190865013285</v>
      </c>
      <c r="V188" s="54">
        <f ca="1">MIN(100,MAX(0,MCDA_Prioritisation!$H$3+(RAND()-0.5)*2*$B$7))</f>
        <v>50.764049452479824</v>
      </c>
      <c r="W188" s="54">
        <f ca="1">MIN(100,MAX(0,MCDA_Prioritisation!$H$4+(RAND()-0.5)*2*$B$7))</f>
        <v>85.568973408967679</v>
      </c>
      <c r="X188" s="54">
        <f ca="1">MIN(100,MAX(0,MCDA_Prioritisation!$H$5+(RAND()-0.5)*2*$B$7))</f>
        <v>78.035551319479922</v>
      </c>
      <c r="Y188" s="54">
        <f ca="1">H188*MCDA_Prioritisation!$D$2+I188*MCDA_Prioritisation!$E$2+J188*M188+K188*Q188+L188*U188</f>
        <v>88.268551215355814</v>
      </c>
      <c r="Z188" s="54">
        <f ca="1">H188*MCDA_Prioritisation!$D$3+I188*MCDA_Prioritisation!$E$3+J188*N188+K188*R188+L188*V188</f>
        <v>82.43374126532845</v>
      </c>
      <c r="AA188" s="54">
        <f ca="1">H188*MCDA_Prioritisation!$D$4+I188*MCDA_Prioritisation!$E$4+J188*O188+K188*S188+L188*W188</f>
        <v>75.251526312692903</v>
      </c>
      <c r="AB188" s="54">
        <f ca="1">H188*MCDA_Prioritisation!$D$5+I188*MCDA_Prioritisation!$E$5+J188*P188+K188*T188+L188*X188</f>
        <v>71.888214941172691</v>
      </c>
      <c r="AC188" s="54">
        <f t="shared" ca="1" si="34"/>
        <v>1</v>
      </c>
      <c r="AD188" s="54">
        <f t="shared" ca="1" si="35"/>
        <v>2</v>
      </c>
      <c r="AE188" s="54">
        <f t="shared" ca="1" si="36"/>
        <v>3</v>
      </c>
      <c r="AF188" s="54">
        <f t="shared" ca="1" si="37"/>
        <v>4</v>
      </c>
      <c r="AG188" s="54">
        <f t="shared" ca="1" si="38"/>
        <v>1</v>
      </c>
      <c r="AH188" s="54">
        <f t="shared" ca="1" si="39"/>
        <v>1</v>
      </c>
      <c r="AI188" s="54">
        <f t="shared" ca="1" si="40"/>
        <v>1</v>
      </c>
      <c r="AJ188" s="54">
        <f t="shared" ca="1" si="41"/>
        <v>1</v>
      </c>
    </row>
    <row r="189" spans="1:36" x14ac:dyDescent="0.2">
      <c r="A189" s="54">
        <v>166</v>
      </c>
      <c r="B189" s="54">
        <f ca="1">MAX(0.02,MCDA_Prioritisation!$B$9+(RAND()-0.5)*2*$B$6)</f>
        <v>0.24804969100585517</v>
      </c>
      <c r="C189" s="54">
        <f ca="1">MAX(0.02,MCDA_Prioritisation!$B$10+(RAND()-0.5)*2*$B$6)</f>
        <v>0.30611427090187815</v>
      </c>
      <c r="D189" s="54">
        <f ca="1">MAX(0.02,MCDA_Prioritisation!$B$11+(RAND()-0.5)*2*$B$6)</f>
        <v>0.32669168274547611</v>
      </c>
      <c r="E189" s="54">
        <f ca="1">MAX(0.02,MCDA_Prioritisation!$B$12+(RAND()-0.5)*2*$B$6)</f>
        <v>8.2361240461426871E-2</v>
      </c>
      <c r="F189" s="54">
        <f ca="1">MAX(0.02,MCDA_Prioritisation!$B$13+(RAND()-0.5)*2*$B$6)</f>
        <v>7.5420412584350324E-2</v>
      </c>
      <c r="G189" s="54">
        <f t="shared" ca="1" si="28"/>
        <v>1.0386372976989866</v>
      </c>
      <c r="H189" s="54">
        <f t="shared" ca="1" si="29"/>
        <v>0.23882224483502407</v>
      </c>
      <c r="I189" s="54">
        <f t="shared" ca="1" si="30"/>
        <v>0.29472682290540547</v>
      </c>
      <c r="J189" s="54">
        <f t="shared" ca="1" si="31"/>
        <v>0.31453875522209146</v>
      </c>
      <c r="K189" s="54">
        <f t="shared" ca="1" si="32"/>
        <v>7.9297403091426868E-2</v>
      </c>
      <c r="L189" s="54">
        <f t="shared" ca="1" si="33"/>
        <v>7.2614773946052091E-2</v>
      </c>
      <c r="M189" s="54">
        <f ca="1">MIN(100,MAX(0,MCDA_Prioritisation!$F$2+(RAND()-0.5)*2*$B$7))</f>
        <v>83.245635545749806</v>
      </c>
      <c r="N189" s="54">
        <f ca="1">MIN(100,MAX(0,MCDA_Prioritisation!$F$3+(RAND()-0.5)*2*$B$7))</f>
        <v>100</v>
      </c>
      <c r="O189" s="54">
        <f ca="1">MIN(100,MAX(0,MCDA_Prioritisation!$F$4+(RAND()-0.5)*2*$B$7))</f>
        <v>82.49162545658244</v>
      </c>
      <c r="P189" s="54">
        <f ca="1">MIN(100,MAX(0,MCDA_Prioritisation!$F$5+(RAND()-0.5)*2*$B$7))</f>
        <v>78.849072993679641</v>
      </c>
      <c r="Q189" s="54">
        <f ca="1">MIN(100,MAX(0,MCDA_Prioritisation!$G$2+(RAND()-0.5)*2*$B$7))</f>
        <v>87.651141465714915</v>
      </c>
      <c r="R189" s="54">
        <f ca="1">MIN(100,MAX(0,MCDA_Prioritisation!$G$3+(RAND()-0.5)*2*$B$7))</f>
        <v>100</v>
      </c>
      <c r="S189" s="54">
        <f ca="1">MIN(100,MAX(0,MCDA_Prioritisation!$G$4+(RAND()-0.5)*2*$B$7))</f>
        <v>91.538244534664344</v>
      </c>
      <c r="T189" s="54">
        <f ca="1">MIN(100,MAX(0,MCDA_Prioritisation!$G$5+(RAND()-0.5)*2*$B$7))</f>
        <v>74.330855470740929</v>
      </c>
      <c r="U189" s="54">
        <f ca="1">MIN(100,MAX(0,MCDA_Prioritisation!$H$2+(RAND()-0.5)*2*$B$7))</f>
        <v>64.127383271288281</v>
      </c>
      <c r="V189" s="54">
        <f ca="1">MIN(100,MAX(0,MCDA_Prioritisation!$H$3+(RAND()-0.5)*2*$B$7))</f>
        <v>64.664853758999342</v>
      </c>
      <c r="W189" s="54">
        <f ca="1">MIN(100,MAX(0,MCDA_Prioritisation!$H$4+(RAND()-0.5)*2*$B$7))</f>
        <v>75.110837031780804</v>
      </c>
      <c r="X189" s="54">
        <f ca="1">MIN(100,MAX(0,MCDA_Prioritisation!$H$5+(RAND()-0.5)*2*$B$7))</f>
        <v>82.189653277347333</v>
      </c>
      <c r="Y189" s="54">
        <f ca="1">H189*MCDA_Prioritisation!$D$2+I189*MCDA_Prioritisation!$E$2+J189*M189+K189*Q189+L189*U189</f>
        <v>91.145988692501902</v>
      </c>
      <c r="Z189" s="54">
        <f ca="1">H189*MCDA_Prioritisation!$D$3+I189*MCDA_Prioritisation!$E$3+J189*N189+K189*R189+L189*V189</f>
        <v>86.386226942347449</v>
      </c>
      <c r="AA189" s="54">
        <f ca="1">H189*MCDA_Prioritisation!$D$4+I189*MCDA_Prioritisation!$E$4+J189*O189+K189*S189+L189*W189</f>
        <v>71.36590042629949</v>
      </c>
      <c r="AB189" s="54">
        <f ca="1">H189*MCDA_Prioritisation!$D$5+I189*MCDA_Prioritisation!$E$5+J189*P189+K189*T189+L189*X189</f>
        <v>74.123065797140399</v>
      </c>
      <c r="AC189" s="54">
        <f t="shared" ca="1" si="34"/>
        <v>1</v>
      </c>
      <c r="AD189" s="54">
        <f t="shared" ca="1" si="35"/>
        <v>2</v>
      </c>
      <c r="AE189" s="54">
        <f t="shared" ca="1" si="36"/>
        <v>4</v>
      </c>
      <c r="AF189" s="54">
        <f t="shared" ca="1" si="37"/>
        <v>3</v>
      </c>
      <c r="AG189" s="54">
        <f t="shared" ca="1" si="38"/>
        <v>1</v>
      </c>
      <c r="AH189" s="54">
        <f t="shared" ca="1" si="39"/>
        <v>1</v>
      </c>
      <c r="AI189" s="54">
        <f t="shared" ca="1" si="40"/>
        <v>0</v>
      </c>
      <c r="AJ189" s="54">
        <f t="shared" ca="1" si="41"/>
        <v>1</v>
      </c>
    </row>
    <row r="190" spans="1:36" x14ac:dyDescent="0.2">
      <c r="A190" s="54">
        <v>167</v>
      </c>
      <c r="B190" s="54">
        <f ca="1">MAX(0.02,MCDA_Prioritisation!$B$9+(RAND()-0.5)*2*$B$6)</f>
        <v>0.27863601812326794</v>
      </c>
      <c r="C190" s="54">
        <f ca="1">MAX(0.02,MCDA_Prioritisation!$B$10+(RAND()-0.5)*2*$B$6)</f>
        <v>0.29013793439457375</v>
      </c>
      <c r="D190" s="54">
        <f ca="1">MAX(0.02,MCDA_Prioritisation!$B$11+(RAND()-0.5)*2*$B$6)</f>
        <v>0.28980283481038638</v>
      </c>
      <c r="E190" s="54">
        <f ca="1">MAX(0.02,MCDA_Prioritisation!$B$12+(RAND()-0.5)*2*$B$6)</f>
        <v>8.6845560234755412E-2</v>
      </c>
      <c r="F190" s="54">
        <f ca="1">MAX(0.02,MCDA_Prioritisation!$B$13+(RAND()-0.5)*2*$B$6)</f>
        <v>0.20630584014873993</v>
      </c>
      <c r="G190" s="54">
        <f t="shared" ca="1" si="28"/>
        <v>1.1517281877117234</v>
      </c>
      <c r="H190" s="54">
        <f t="shared" ca="1" si="29"/>
        <v>0.24192862612563781</v>
      </c>
      <c r="I190" s="54">
        <f t="shared" ca="1" si="30"/>
        <v>0.25191528477828229</v>
      </c>
      <c r="J190" s="54">
        <f t="shared" ca="1" si="31"/>
        <v>0.25162433107257054</v>
      </c>
      <c r="K190" s="54">
        <f t="shared" ca="1" si="32"/>
        <v>7.5404562605437236E-2</v>
      </c>
      <c r="L190" s="54">
        <f t="shared" ca="1" si="33"/>
        <v>0.17912719541807212</v>
      </c>
      <c r="M190" s="54">
        <f ca="1">MIN(100,MAX(0,MCDA_Prioritisation!$F$2+(RAND()-0.5)*2*$B$7))</f>
        <v>84.501175940257383</v>
      </c>
      <c r="N190" s="54">
        <f ca="1">MIN(100,MAX(0,MCDA_Prioritisation!$F$3+(RAND()-0.5)*2*$B$7))</f>
        <v>91.029904975133491</v>
      </c>
      <c r="O190" s="54">
        <f ca="1">MIN(100,MAX(0,MCDA_Prioritisation!$F$4+(RAND()-0.5)*2*$B$7))</f>
        <v>85.178033864465675</v>
      </c>
      <c r="P190" s="54">
        <f ca="1">MIN(100,MAX(0,MCDA_Prioritisation!$F$5+(RAND()-0.5)*2*$B$7))</f>
        <v>67.362828248585387</v>
      </c>
      <c r="Q190" s="54">
        <f ca="1">MIN(100,MAX(0,MCDA_Prioritisation!$G$2+(RAND()-0.5)*2*$B$7))</f>
        <v>74.71646452126744</v>
      </c>
      <c r="R190" s="54">
        <f ca="1">MIN(100,MAX(0,MCDA_Prioritisation!$G$3+(RAND()-0.5)*2*$B$7))</f>
        <v>100</v>
      </c>
      <c r="S190" s="54">
        <f ca="1">MIN(100,MAX(0,MCDA_Prioritisation!$G$4+(RAND()-0.5)*2*$B$7))</f>
        <v>92.295362379781423</v>
      </c>
      <c r="T190" s="54">
        <f ca="1">MIN(100,MAX(0,MCDA_Prioritisation!$G$5+(RAND()-0.5)*2*$B$7))</f>
        <v>60.429548398484727</v>
      </c>
      <c r="U190" s="54">
        <f ca="1">MIN(100,MAX(0,MCDA_Prioritisation!$H$2+(RAND()-0.5)*2*$B$7))</f>
        <v>61.571889907070258</v>
      </c>
      <c r="V190" s="54">
        <f ca="1">MIN(100,MAX(0,MCDA_Prioritisation!$H$3+(RAND()-0.5)*2*$B$7))</f>
        <v>64.77055547756126</v>
      </c>
      <c r="W190" s="54">
        <f ca="1">MIN(100,MAX(0,MCDA_Prioritisation!$H$4+(RAND()-0.5)*2*$B$7))</f>
        <v>82.173999393994592</v>
      </c>
      <c r="X190" s="54">
        <f ca="1">MIN(100,MAX(0,MCDA_Prioritisation!$H$5+(RAND()-0.5)*2*$B$7))</f>
        <v>76.657547953831184</v>
      </c>
      <c r="Y190" s="54">
        <f ca="1">H190*MCDA_Prioritisation!$D$2+I190*MCDA_Prioritisation!$E$2+J190*M190+K190*Q190+L190*U190</f>
        <v>87.310105243499521</v>
      </c>
      <c r="Z190" s="54">
        <f ca="1">H190*MCDA_Prioritisation!$D$3+I190*MCDA_Prioritisation!$E$3+J190*N190+K190*R190+L190*V190</f>
        <v>81.512872025999471</v>
      </c>
      <c r="AA190" s="54">
        <f ca="1">H190*MCDA_Prioritisation!$D$4+I190*MCDA_Prioritisation!$E$4+J190*O190+K190*S190+L190*W190</f>
        <v>73.699276308513362</v>
      </c>
      <c r="AB190" s="54">
        <f ca="1">H190*MCDA_Prioritisation!$D$5+I190*MCDA_Prioritisation!$E$5+J190*P190+K190*T190+L190*X190</f>
        <v>69.262604251129773</v>
      </c>
      <c r="AC190" s="54">
        <f t="shared" ca="1" si="34"/>
        <v>1</v>
      </c>
      <c r="AD190" s="54">
        <f t="shared" ca="1" si="35"/>
        <v>2</v>
      </c>
      <c r="AE190" s="54">
        <f t="shared" ca="1" si="36"/>
        <v>3</v>
      </c>
      <c r="AF190" s="54">
        <f t="shared" ca="1" si="37"/>
        <v>4</v>
      </c>
      <c r="AG190" s="54">
        <f t="shared" ca="1" si="38"/>
        <v>1</v>
      </c>
      <c r="AH190" s="54">
        <f t="shared" ca="1" si="39"/>
        <v>1</v>
      </c>
      <c r="AI190" s="54">
        <f t="shared" ca="1" si="40"/>
        <v>1</v>
      </c>
      <c r="AJ190" s="54">
        <f t="shared" ca="1" si="41"/>
        <v>1</v>
      </c>
    </row>
    <row r="191" spans="1:36" x14ac:dyDescent="0.2">
      <c r="A191" s="54">
        <v>168</v>
      </c>
      <c r="B191" s="54">
        <f ca="1">MAX(0.02,MCDA_Prioritisation!$B$9+(RAND()-0.5)*2*$B$6)</f>
        <v>0.14781901800586433</v>
      </c>
      <c r="C191" s="54">
        <f ca="1">MAX(0.02,MCDA_Prioritisation!$B$10+(RAND()-0.5)*2*$B$6)</f>
        <v>0.23137340358879313</v>
      </c>
      <c r="D191" s="54">
        <f ca="1">MAX(0.02,MCDA_Prioritisation!$B$11+(RAND()-0.5)*2*$B$6)</f>
        <v>0.23812284968288341</v>
      </c>
      <c r="E191" s="54">
        <f ca="1">MAX(0.02,MCDA_Prioritisation!$B$12+(RAND()-0.5)*2*$B$6)</f>
        <v>7.8718931335217193E-2</v>
      </c>
      <c r="F191" s="54">
        <f ca="1">MAX(0.02,MCDA_Prioritisation!$B$13+(RAND()-0.5)*2*$B$6)</f>
        <v>0.21812578116731052</v>
      </c>
      <c r="G191" s="54">
        <f t="shared" ca="1" si="28"/>
        <v>0.91415998378006869</v>
      </c>
      <c r="H191" s="54">
        <f t="shared" ca="1" si="29"/>
        <v>0.16169928746457476</v>
      </c>
      <c r="I191" s="54">
        <f t="shared" ca="1" si="30"/>
        <v>0.25309946584191945</v>
      </c>
      <c r="J191" s="54">
        <f t="shared" ca="1" si="31"/>
        <v>0.26048268783133666</v>
      </c>
      <c r="K191" s="54">
        <f t="shared" ca="1" si="32"/>
        <v>8.6110672893067286E-2</v>
      </c>
      <c r="L191" s="54">
        <f t="shared" ca="1" si="33"/>
        <v>0.23860788596910174</v>
      </c>
      <c r="M191" s="54">
        <f ca="1">MIN(100,MAX(0,MCDA_Prioritisation!$F$2+(RAND()-0.5)*2*$B$7))</f>
        <v>91.820857334160308</v>
      </c>
      <c r="N191" s="54">
        <f ca="1">MIN(100,MAX(0,MCDA_Prioritisation!$F$3+(RAND()-0.5)*2*$B$7))</f>
        <v>97.390400219540126</v>
      </c>
      <c r="O191" s="54">
        <f ca="1">MIN(100,MAX(0,MCDA_Prioritisation!$F$4+(RAND()-0.5)*2*$B$7))</f>
        <v>93.183017136971756</v>
      </c>
      <c r="P191" s="54">
        <f ca="1">MIN(100,MAX(0,MCDA_Prioritisation!$F$5+(RAND()-0.5)*2*$B$7))</f>
        <v>70.004856790320702</v>
      </c>
      <c r="Q191" s="54">
        <f ca="1">MIN(100,MAX(0,MCDA_Prioritisation!$G$2+(RAND()-0.5)*2*$B$7))</f>
        <v>70.84576749604463</v>
      </c>
      <c r="R191" s="54">
        <f ca="1">MIN(100,MAX(0,MCDA_Prioritisation!$G$3+(RAND()-0.5)*2*$B$7))</f>
        <v>88.899423930803238</v>
      </c>
      <c r="S191" s="54">
        <f ca="1">MIN(100,MAX(0,MCDA_Prioritisation!$G$4+(RAND()-0.5)*2*$B$7))</f>
        <v>75.89122738846001</v>
      </c>
      <c r="T191" s="54">
        <f ca="1">MIN(100,MAX(0,MCDA_Prioritisation!$G$5+(RAND()-0.5)*2*$B$7))</f>
        <v>68.42414622808424</v>
      </c>
      <c r="U191" s="54">
        <f ca="1">MIN(100,MAX(0,MCDA_Prioritisation!$H$2+(RAND()-0.5)*2*$B$7))</f>
        <v>58.589565811642231</v>
      </c>
      <c r="V191" s="54">
        <f ca="1">MIN(100,MAX(0,MCDA_Prioritisation!$H$3+(RAND()-0.5)*2*$B$7))</f>
        <v>57.775084161333794</v>
      </c>
      <c r="W191" s="54">
        <f ca="1">MIN(100,MAX(0,MCDA_Prioritisation!$H$4+(RAND()-0.5)*2*$B$7))</f>
        <v>72.045122827446491</v>
      </c>
      <c r="X191" s="54">
        <f ca="1">MIN(100,MAX(0,MCDA_Prioritisation!$H$5+(RAND()-0.5)*2*$B$7))</f>
        <v>80.556762193280193</v>
      </c>
      <c r="Y191" s="54">
        <f ca="1">H191*MCDA_Prioritisation!$D$2+I191*MCDA_Prioritisation!$E$2+J191*M191+K191*Q191+L191*U191</f>
        <v>85.478128196902915</v>
      </c>
      <c r="Z191" s="54">
        <f ca="1">H191*MCDA_Prioritisation!$D$3+I191*MCDA_Prioritisation!$E$3+J191*N191+K191*R191+L191*V191</f>
        <v>79.348533640468133</v>
      </c>
      <c r="AA191" s="54">
        <f ca="1">H191*MCDA_Prioritisation!$D$4+I191*MCDA_Prioritisation!$E$4+J191*O191+K191*S191+L191*W191</f>
        <v>73.063355096477054</v>
      </c>
      <c r="AB191" s="54">
        <f ca="1">H191*MCDA_Prioritisation!$D$5+I191*MCDA_Prioritisation!$E$5+J191*P191+K191*T191+L191*X191</f>
        <v>73.214278998089412</v>
      </c>
      <c r="AC191" s="54">
        <f t="shared" ca="1" si="34"/>
        <v>1</v>
      </c>
      <c r="AD191" s="54">
        <f t="shared" ca="1" si="35"/>
        <v>2</v>
      </c>
      <c r="AE191" s="54">
        <f t="shared" ca="1" si="36"/>
        <v>4</v>
      </c>
      <c r="AF191" s="54">
        <f t="shared" ca="1" si="37"/>
        <v>3</v>
      </c>
      <c r="AG191" s="54">
        <f t="shared" ca="1" si="38"/>
        <v>1</v>
      </c>
      <c r="AH191" s="54">
        <f t="shared" ca="1" si="39"/>
        <v>1</v>
      </c>
      <c r="AI191" s="54">
        <f t="shared" ca="1" si="40"/>
        <v>0</v>
      </c>
      <c r="AJ191" s="54">
        <f t="shared" ca="1" si="41"/>
        <v>1</v>
      </c>
    </row>
    <row r="192" spans="1:36" x14ac:dyDescent="0.2">
      <c r="A192" s="54">
        <v>169</v>
      </c>
      <c r="B192" s="54">
        <f ca="1">MAX(0.02,MCDA_Prioritisation!$B$9+(RAND()-0.5)*2*$B$6)</f>
        <v>0.2222623093283928</v>
      </c>
      <c r="C192" s="54">
        <f ca="1">MAX(0.02,MCDA_Prioritisation!$B$10+(RAND()-0.5)*2*$B$6)</f>
        <v>0.31430101009246381</v>
      </c>
      <c r="D192" s="54">
        <f ca="1">MAX(0.02,MCDA_Prioritisation!$B$11+(RAND()-0.5)*2*$B$6)</f>
        <v>0.17331636241769621</v>
      </c>
      <c r="E192" s="54">
        <f ca="1">MAX(0.02,MCDA_Prioritisation!$B$12+(RAND()-0.5)*2*$B$6)</f>
        <v>0.11702386142206617</v>
      </c>
      <c r="F192" s="54">
        <f ca="1">MAX(0.02,MCDA_Prioritisation!$B$13+(RAND()-0.5)*2*$B$6)</f>
        <v>0.16146207887308983</v>
      </c>
      <c r="G192" s="54">
        <f t="shared" ca="1" si="28"/>
        <v>0.98836562213370871</v>
      </c>
      <c r="H192" s="54">
        <f t="shared" ca="1" si="29"/>
        <v>0.22487863231075086</v>
      </c>
      <c r="I192" s="54">
        <f t="shared" ca="1" si="30"/>
        <v>0.31800075099126052</v>
      </c>
      <c r="J192" s="54">
        <f t="shared" ca="1" si="31"/>
        <v>0.17535652650841543</v>
      </c>
      <c r="K192" s="54">
        <f t="shared" ca="1" si="32"/>
        <v>0.11840138790889154</v>
      </c>
      <c r="L192" s="54">
        <f t="shared" ca="1" si="33"/>
        <v>0.16336270228068173</v>
      </c>
      <c r="M192" s="54">
        <f ca="1">MIN(100,MAX(0,MCDA_Prioritisation!$F$2+(RAND()-0.5)*2*$B$7))</f>
        <v>94.068090951088138</v>
      </c>
      <c r="N192" s="54">
        <f ca="1">MIN(100,MAX(0,MCDA_Prioritisation!$F$3+(RAND()-0.5)*2*$B$7))</f>
        <v>85.549004477386021</v>
      </c>
      <c r="O192" s="54">
        <f ca="1">MIN(100,MAX(0,MCDA_Prioritisation!$F$4+(RAND()-0.5)*2*$B$7))</f>
        <v>98.774448531042466</v>
      </c>
      <c r="P192" s="54">
        <f ca="1">MIN(100,MAX(0,MCDA_Prioritisation!$F$5+(RAND()-0.5)*2*$B$7))</f>
        <v>70.992753009088304</v>
      </c>
      <c r="Q192" s="54">
        <f ca="1">MIN(100,MAX(0,MCDA_Prioritisation!$G$2+(RAND()-0.5)*2*$B$7))</f>
        <v>88.961775269659981</v>
      </c>
      <c r="R192" s="54">
        <f ca="1">MIN(100,MAX(0,MCDA_Prioritisation!$G$3+(RAND()-0.5)*2*$B$7))</f>
        <v>89.569267828823968</v>
      </c>
      <c r="S192" s="54">
        <f ca="1">MIN(100,MAX(0,MCDA_Prioritisation!$G$4+(RAND()-0.5)*2*$B$7))</f>
        <v>78.498551899643829</v>
      </c>
      <c r="T192" s="54">
        <f ca="1">MIN(100,MAX(0,MCDA_Prioritisation!$G$5+(RAND()-0.5)*2*$B$7))</f>
        <v>78.755250339927983</v>
      </c>
      <c r="U192" s="54">
        <f ca="1">MIN(100,MAX(0,MCDA_Prioritisation!$H$2+(RAND()-0.5)*2*$B$7))</f>
        <v>73.165839949661063</v>
      </c>
      <c r="V192" s="54">
        <f ca="1">MIN(100,MAX(0,MCDA_Prioritisation!$H$3+(RAND()-0.5)*2*$B$7))</f>
        <v>57.968523576370899</v>
      </c>
      <c r="W192" s="54">
        <f ca="1">MIN(100,MAX(0,MCDA_Prioritisation!$H$4+(RAND()-0.5)*2*$B$7))</f>
        <v>87.385433808869337</v>
      </c>
      <c r="X192" s="54">
        <f ca="1">MIN(100,MAX(0,MCDA_Prioritisation!$H$5+(RAND()-0.5)*2*$B$7))</f>
        <v>68.587197864383114</v>
      </c>
      <c r="Y192" s="54">
        <f ca="1">H192*MCDA_Prioritisation!$D$2+I192*MCDA_Prioritisation!$E$2+J192*M192+K192*Q192+L192*U192</f>
        <v>93.269159006240798</v>
      </c>
      <c r="Z192" s="54">
        <f ca="1">H192*MCDA_Prioritisation!$D$3+I192*MCDA_Prioritisation!$E$3+J192*N192+K192*R192+L192*V192</f>
        <v>77.857605580859953</v>
      </c>
      <c r="AA192" s="54">
        <f ca="1">H192*MCDA_Prioritisation!$D$4+I192*MCDA_Prioritisation!$E$4+J192*O192+K192*S192+L192*W192</f>
        <v>73.895323794000888</v>
      </c>
      <c r="AB192" s="54">
        <f ca="1">H192*MCDA_Prioritisation!$D$5+I192*MCDA_Prioritisation!$E$5+J192*P192+K192*T192+L192*X192</f>
        <v>71.654969259547556</v>
      </c>
      <c r="AC192" s="54">
        <f t="shared" ca="1" si="34"/>
        <v>1</v>
      </c>
      <c r="AD192" s="54">
        <f t="shared" ca="1" si="35"/>
        <v>2</v>
      </c>
      <c r="AE192" s="54">
        <f t="shared" ca="1" si="36"/>
        <v>3</v>
      </c>
      <c r="AF192" s="54">
        <f t="shared" ca="1" si="37"/>
        <v>4</v>
      </c>
      <c r="AG192" s="54">
        <f t="shared" ca="1" si="38"/>
        <v>1</v>
      </c>
      <c r="AH192" s="54">
        <f t="shared" ca="1" si="39"/>
        <v>1</v>
      </c>
      <c r="AI192" s="54">
        <f t="shared" ca="1" si="40"/>
        <v>1</v>
      </c>
      <c r="AJ192" s="54">
        <f t="shared" ca="1" si="41"/>
        <v>1</v>
      </c>
    </row>
    <row r="193" spans="1:36" x14ac:dyDescent="0.2">
      <c r="A193" s="54">
        <v>170</v>
      </c>
      <c r="B193" s="54">
        <f ca="1">MAX(0.02,MCDA_Prioritisation!$B$9+(RAND()-0.5)*2*$B$6)</f>
        <v>0.27782878128106736</v>
      </c>
      <c r="C193" s="54">
        <f ca="1">MAX(0.02,MCDA_Prioritisation!$B$10+(RAND()-0.5)*2*$B$6)</f>
        <v>0.32404187100071108</v>
      </c>
      <c r="D193" s="54">
        <f ca="1">MAX(0.02,MCDA_Prioritisation!$B$11+(RAND()-0.5)*2*$B$6)</f>
        <v>0.18718345017072846</v>
      </c>
      <c r="E193" s="54">
        <f ca="1">MAX(0.02,MCDA_Prioritisation!$B$12+(RAND()-0.5)*2*$B$6)</f>
        <v>0.17989255258437281</v>
      </c>
      <c r="F193" s="54">
        <f ca="1">MAX(0.02,MCDA_Prioritisation!$B$13+(RAND()-0.5)*2*$B$6)</f>
        <v>0.13808135885427497</v>
      </c>
      <c r="G193" s="54">
        <f t="shared" ca="1" si="28"/>
        <v>1.1070280138911546</v>
      </c>
      <c r="H193" s="54">
        <f t="shared" ca="1" si="29"/>
        <v>0.25096815780163634</v>
      </c>
      <c r="I193" s="54">
        <f t="shared" ca="1" si="30"/>
        <v>0.29271334323484571</v>
      </c>
      <c r="J193" s="54">
        <f t="shared" ca="1" si="31"/>
        <v>0.16908646197017807</v>
      </c>
      <c r="K193" s="54">
        <f t="shared" ca="1" si="32"/>
        <v>0.16250045195519347</v>
      </c>
      <c r="L193" s="54">
        <f t="shared" ca="1" si="33"/>
        <v>0.12473158503814651</v>
      </c>
      <c r="M193" s="54">
        <f ca="1">MIN(100,MAX(0,MCDA_Prioritisation!$F$2+(RAND()-0.5)*2*$B$7))</f>
        <v>83.796693857952206</v>
      </c>
      <c r="N193" s="54">
        <f ca="1">MIN(100,MAX(0,MCDA_Prioritisation!$F$3+(RAND()-0.5)*2*$B$7))</f>
        <v>90.389969343188071</v>
      </c>
      <c r="O193" s="54">
        <f ca="1">MIN(100,MAX(0,MCDA_Prioritisation!$F$4+(RAND()-0.5)*2*$B$7))</f>
        <v>94.458298209214405</v>
      </c>
      <c r="P193" s="54">
        <f ca="1">MIN(100,MAX(0,MCDA_Prioritisation!$F$5+(RAND()-0.5)*2*$B$7))</f>
        <v>83.010379868730098</v>
      </c>
      <c r="Q193" s="54">
        <f ca="1">MIN(100,MAX(0,MCDA_Prioritisation!$G$2+(RAND()-0.5)*2*$B$7))</f>
        <v>79.804809777324934</v>
      </c>
      <c r="R193" s="54">
        <f ca="1">MIN(100,MAX(0,MCDA_Prioritisation!$G$3+(RAND()-0.5)*2*$B$7))</f>
        <v>85.936962259129444</v>
      </c>
      <c r="S193" s="54">
        <f ca="1">MIN(100,MAX(0,MCDA_Prioritisation!$G$4+(RAND()-0.5)*2*$B$7))</f>
        <v>86.080091303877495</v>
      </c>
      <c r="T193" s="54">
        <f ca="1">MIN(100,MAX(0,MCDA_Prioritisation!$G$5+(RAND()-0.5)*2*$B$7))</f>
        <v>61.690288782262719</v>
      </c>
      <c r="U193" s="54">
        <f ca="1">MIN(100,MAX(0,MCDA_Prioritisation!$H$2+(RAND()-0.5)*2*$B$7))</f>
        <v>66.591398266993238</v>
      </c>
      <c r="V193" s="54">
        <f ca="1">MIN(100,MAX(0,MCDA_Prioritisation!$H$3+(RAND()-0.5)*2*$B$7))</f>
        <v>60.896834036466998</v>
      </c>
      <c r="W193" s="54">
        <f ca="1">MIN(100,MAX(0,MCDA_Prioritisation!$H$4+(RAND()-0.5)*2*$B$7))</f>
        <v>77.193150264544585</v>
      </c>
      <c r="X193" s="54">
        <f ca="1">MIN(100,MAX(0,MCDA_Prioritisation!$H$5+(RAND()-0.5)*2*$B$7))</f>
        <v>80.644597569280592</v>
      </c>
      <c r="Y193" s="54">
        <f ca="1">H193*MCDA_Prioritisation!$D$2+I193*MCDA_Prioritisation!$E$2+J193*M193+K193*Q193+L193*U193</f>
        <v>89.811404905649582</v>
      </c>
      <c r="Z193" s="54">
        <f ca="1">H193*MCDA_Prioritisation!$D$3+I193*MCDA_Prioritisation!$E$3+J193*N193+K193*R193+L193*V193</f>
        <v>80.066340844879051</v>
      </c>
      <c r="AA193" s="54">
        <f ca="1">H193*MCDA_Prioritisation!$D$4+I193*MCDA_Prioritisation!$E$4+J193*O193+K193*S193+L193*W193</f>
        <v>73.030226701734435</v>
      </c>
      <c r="AB193" s="54">
        <f ca="1">H193*MCDA_Prioritisation!$D$5+I193*MCDA_Prioritisation!$E$5+J193*P193+K193*T193+L193*X193</f>
        <v>72.054449154675808</v>
      </c>
      <c r="AC193" s="54">
        <f t="shared" ca="1" si="34"/>
        <v>1</v>
      </c>
      <c r="AD193" s="54">
        <f t="shared" ca="1" si="35"/>
        <v>2</v>
      </c>
      <c r="AE193" s="54">
        <f t="shared" ca="1" si="36"/>
        <v>3</v>
      </c>
      <c r="AF193" s="54">
        <f t="shared" ca="1" si="37"/>
        <v>4</v>
      </c>
      <c r="AG193" s="54">
        <f t="shared" ca="1" si="38"/>
        <v>1</v>
      </c>
      <c r="AH193" s="54">
        <f t="shared" ca="1" si="39"/>
        <v>1</v>
      </c>
      <c r="AI193" s="54">
        <f t="shared" ca="1" si="40"/>
        <v>1</v>
      </c>
      <c r="AJ193" s="54">
        <f t="shared" ca="1" si="41"/>
        <v>1</v>
      </c>
    </row>
    <row r="194" spans="1:36" x14ac:dyDescent="0.2">
      <c r="A194" s="54">
        <v>171</v>
      </c>
      <c r="B194" s="54">
        <f ca="1">MAX(0.02,MCDA_Prioritisation!$B$9+(RAND()-0.5)*2*$B$6)</f>
        <v>0.16847499720186584</v>
      </c>
      <c r="C194" s="54">
        <f ca="1">MAX(0.02,MCDA_Prioritisation!$B$10+(RAND()-0.5)*2*$B$6)</f>
        <v>0.30273189046356708</v>
      </c>
      <c r="D194" s="54">
        <f ca="1">MAX(0.02,MCDA_Prioritisation!$B$11+(RAND()-0.5)*2*$B$6)</f>
        <v>0.21023511352459842</v>
      </c>
      <c r="E194" s="54">
        <f ca="1">MAX(0.02,MCDA_Prioritisation!$B$12+(RAND()-0.5)*2*$B$6)</f>
        <v>0.12311193306416646</v>
      </c>
      <c r="F194" s="54">
        <f ca="1">MAX(0.02,MCDA_Prioritisation!$B$13+(RAND()-0.5)*2*$B$6)</f>
        <v>0.12067939368953887</v>
      </c>
      <c r="G194" s="54">
        <f t="shared" ca="1" si="28"/>
        <v>0.92523332794373669</v>
      </c>
      <c r="H194" s="54">
        <f t="shared" ca="1" si="29"/>
        <v>0.18208920076008198</v>
      </c>
      <c r="I194" s="54">
        <f t="shared" ca="1" si="30"/>
        <v>0.32719518560401034</v>
      </c>
      <c r="J194" s="54">
        <f t="shared" ca="1" si="31"/>
        <v>0.22722388739695593</v>
      </c>
      <c r="K194" s="54">
        <f t="shared" ca="1" si="32"/>
        <v>0.13306041767623494</v>
      </c>
      <c r="L194" s="54">
        <f t="shared" ca="1" si="33"/>
        <v>0.13043130856271681</v>
      </c>
      <c r="M194" s="54">
        <f ca="1">MIN(100,MAX(0,MCDA_Prioritisation!$F$2+(RAND()-0.5)*2*$B$7))</f>
        <v>91.548274698324548</v>
      </c>
      <c r="N194" s="54">
        <f ca="1">MIN(100,MAX(0,MCDA_Prioritisation!$F$3+(RAND()-0.5)*2*$B$7))</f>
        <v>100</v>
      </c>
      <c r="O194" s="54">
        <f ca="1">MIN(100,MAX(0,MCDA_Prioritisation!$F$4+(RAND()-0.5)*2*$B$7))</f>
        <v>86.556989095905905</v>
      </c>
      <c r="P194" s="54">
        <f ca="1">MIN(100,MAX(0,MCDA_Prioritisation!$F$5+(RAND()-0.5)*2*$B$7))</f>
        <v>81.310612291803906</v>
      </c>
      <c r="Q194" s="54">
        <f ca="1">MIN(100,MAX(0,MCDA_Prioritisation!$G$2+(RAND()-0.5)*2*$B$7))</f>
        <v>84.455298502546697</v>
      </c>
      <c r="R194" s="54">
        <f ca="1">MIN(100,MAX(0,MCDA_Prioritisation!$G$3+(RAND()-0.5)*2*$B$7))</f>
        <v>93.566546303510506</v>
      </c>
      <c r="S194" s="54">
        <f ca="1">MIN(100,MAX(0,MCDA_Prioritisation!$G$4+(RAND()-0.5)*2*$B$7))</f>
        <v>80.514382517543879</v>
      </c>
      <c r="T194" s="54">
        <f ca="1">MIN(100,MAX(0,MCDA_Prioritisation!$G$5+(RAND()-0.5)*2*$B$7))</f>
        <v>77.64285651625309</v>
      </c>
      <c r="U194" s="54">
        <f ca="1">MIN(100,MAX(0,MCDA_Prioritisation!$H$2+(RAND()-0.5)*2*$B$7))</f>
        <v>67.447142683155022</v>
      </c>
      <c r="V194" s="54">
        <f ca="1">MIN(100,MAX(0,MCDA_Prioritisation!$H$3+(RAND()-0.5)*2*$B$7))</f>
        <v>50.233861790302115</v>
      </c>
      <c r="W194" s="54">
        <f ca="1">MIN(100,MAX(0,MCDA_Prioritisation!$H$4+(RAND()-0.5)*2*$B$7))</f>
        <v>77.171191596931834</v>
      </c>
      <c r="X194" s="54">
        <f ca="1">MIN(100,MAX(0,MCDA_Prioritisation!$H$5+(RAND()-0.5)*2*$B$7))</f>
        <v>73.981678276543462</v>
      </c>
      <c r="Y194" s="54">
        <f ca="1">H194*MCDA_Prioritisation!$D$2+I194*MCDA_Prioritisation!$E$2+J194*M194+K194*Q194+L194*U194</f>
        <v>91.765269870547058</v>
      </c>
      <c r="Z194" s="54">
        <f ca="1">H194*MCDA_Prioritisation!$D$3+I194*MCDA_Prioritisation!$E$3+J194*N194+K194*R194+L194*V194</f>
        <v>81.434494907106597</v>
      </c>
      <c r="AA194" s="54">
        <f ca="1">H194*MCDA_Prioritisation!$D$4+I194*MCDA_Prioritisation!$E$4+J194*O194+K194*S194+L194*W194</f>
        <v>70.973264048909272</v>
      </c>
      <c r="AB194" s="54">
        <f ca="1">H194*MCDA_Prioritisation!$D$5+I194*MCDA_Prioritisation!$E$5+J194*P194+K194*T194+L194*X194</f>
        <v>75.635118401373873</v>
      </c>
      <c r="AC194" s="54">
        <f t="shared" ca="1" si="34"/>
        <v>1</v>
      </c>
      <c r="AD194" s="54">
        <f t="shared" ca="1" si="35"/>
        <v>2</v>
      </c>
      <c r="AE194" s="54">
        <f t="shared" ca="1" si="36"/>
        <v>4</v>
      </c>
      <c r="AF194" s="54">
        <f t="shared" ca="1" si="37"/>
        <v>3</v>
      </c>
      <c r="AG194" s="54">
        <f t="shared" ca="1" si="38"/>
        <v>1</v>
      </c>
      <c r="AH194" s="54">
        <f t="shared" ca="1" si="39"/>
        <v>1</v>
      </c>
      <c r="AI194" s="54">
        <f t="shared" ca="1" si="40"/>
        <v>0</v>
      </c>
      <c r="AJ194" s="54">
        <f t="shared" ca="1" si="41"/>
        <v>1</v>
      </c>
    </row>
    <row r="195" spans="1:36" x14ac:dyDescent="0.2">
      <c r="A195" s="54">
        <v>172</v>
      </c>
      <c r="B195" s="54">
        <f ca="1">MAX(0.02,MCDA_Prioritisation!$B$9+(RAND()-0.5)*2*$B$6)</f>
        <v>0.21815381772732911</v>
      </c>
      <c r="C195" s="54">
        <f ca="1">MAX(0.02,MCDA_Prioritisation!$B$10+(RAND()-0.5)*2*$B$6)</f>
        <v>0.28522781683163068</v>
      </c>
      <c r="D195" s="54">
        <f ca="1">MAX(0.02,MCDA_Prioritisation!$B$11+(RAND()-0.5)*2*$B$6)</f>
        <v>0.1743303088049683</v>
      </c>
      <c r="E195" s="54">
        <f ca="1">MAX(0.02,MCDA_Prioritisation!$B$12+(RAND()-0.5)*2*$B$6)</f>
        <v>0.1274903489399728</v>
      </c>
      <c r="F195" s="54">
        <f ca="1">MAX(0.02,MCDA_Prioritisation!$B$13+(RAND()-0.5)*2*$B$6)</f>
        <v>0.11887094113564881</v>
      </c>
      <c r="G195" s="54">
        <f t="shared" ca="1" si="28"/>
        <v>0.92407323343954961</v>
      </c>
      <c r="H195" s="54">
        <f t="shared" ca="1" si="29"/>
        <v>0.23607849446664028</v>
      </c>
      <c r="I195" s="54">
        <f t="shared" ca="1" si="30"/>
        <v>0.3086636497087647</v>
      </c>
      <c r="J195" s="54">
        <f t="shared" ca="1" si="31"/>
        <v>0.18865421321217452</v>
      </c>
      <c r="K195" s="54">
        <f t="shared" ca="1" si="32"/>
        <v>0.137965633378897</v>
      </c>
      <c r="L195" s="54">
        <f t="shared" ca="1" si="33"/>
        <v>0.12863800923352361</v>
      </c>
      <c r="M195" s="54">
        <f ca="1">MIN(100,MAX(0,MCDA_Prioritisation!$F$2+(RAND()-0.5)*2*$B$7))</f>
        <v>80.46985088925851</v>
      </c>
      <c r="N195" s="54">
        <f ca="1">MIN(100,MAX(0,MCDA_Prioritisation!$F$3+(RAND()-0.5)*2*$B$7))</f>
        <v>93.75226606418309</v>
      </c>
      <c r="O195" s="54">
        <f ca="1">MIN(100,MAX(0,MCDA_Prioritisation!$F$4+(RAND()-0.5)*2*$B$7))</f>
        <v>89.3636950322838</v>
      </c>
      <c r="P195" s="54">
        <f ca="1">MIN(100,MAX(0,MCDA_Prioritisation!$F$5+(RAND()-0.5)*2*$B$7))</f>
        <v>80.569905435628584</v>
      </c>
      <c r="Q195" s="54">
        <f ca="1">MIN(100,MAX(0,MCDA_Prioritisation!$G$2+(RAND()-0.5)*2*$B$7))</f>
        <v>80.450979106958101</v>
      </c>
      <c r="R195" s="54">
        <f ca="1">MIN(100,MAX(0,MCDA_Prioritisation!$G$3+(RAND()-0.5)*2*$B$7))</f>
        <v>100</v>
      </c>
      <c r="S195" s="54">
        <f ca="1">MIN(100,MAX(0,MCDA_Prioritisation!$G$4+(RAND()-0.5)*2*$B$7))</f>
        <v>79.251221341922943</v>
      </c>
      <c r="T195" s="54">
        <f ca="1">MIN(100,MAX(0,MCDA_Prioritisation!$G$5+(RAND()-0.5)*2*$B$7))</f>
        <v>74.438756907680386</v>
      </c>
      <c r="U195" s="54">
        <f ca="1">MIN(100,MAX(0,MCDA_Prioritisation!$H$2+(RAND()-0.5)*2*$B$7))</f>
        <v>68.960518830830765</v>
      </c>
      <c r="V195" s="54">
        <f ca="1">MIN(100,MAX(0,MCDA_Prioritisation!$H$3+(RAND()-0.5)*2*$B$7))</f>
        <v>62.603678019621995</v>
      </c>
      <c r="W195" s="54">
        <f ca="1">MIN(100,MAX(0,MCDA_Prioritisation!$H$4+(RAND()-0.5)*2*$B$7))</f>
        <v>71.309725401917433</v>
      </c>
      <c r="X195" s="54">
        <f ca="1">MIN(100,MAX(0,MCDA_Prioritisation!$H$5+(RAND()-0.5)*2*$B$7))</f>
        <v>80.870442081574907</v>
      </c>
      <c r="Y195" s="54">
        <f ca="1">H195*MCDA_Prioritisation!$D$2+I195*MCDA_Prioritisation!$E$2+J195*M195+K195*Q195+L195*U195</f>
        <v>89.625604970907432</v>
      </c>
      <c r="Z195" s="54">
        <f ca="1">H195*MCDA_Prioritisation!$D$3+I195*MCDA_Prioritisation!$E$3+J195*N195+K195*R195+L195*V195</f>
        <v>82.617315507224234</v>
      </c>
      <c r="AA195" s="54">
        <f ca="1">H195*MCDA_Prioritisation!$D$4+I195*MCDA_Prioritisation!$E$4+J195*O195+K195*S195+L195*W195</f>
        <v>70.241241257729158</v>
      </c>
      <c r="AB195" s="54">
        <f ca="1">H195*MCDA_Prioritisation!$D$5+I195*MCDA_Prioritisation!$E$5+J195*P195+K195*T195+L195*X195</f>
        <v>74.358738107398153</v>
      </c>
      <c r="AC195" s="54">
        <f t="shared" ca="1" si="34"/>
        <v>1</v>
      </c>
      <c r="AD195" s="54">
        <f t="shared" ca="1" si="35"/>
        <v>2</v>
      </c>
      <c r="AE195" s="54">
        <f t="shared" ca="1" si="36"/>
        <v>4</v>
      </c>
      <c r="AF195" s="54">
        <f t="shared" ca="1" si="37"/>
        <v>3</v>
      </c>
      <c r="AG195" s="54">
        <f t="shared" ca="1" si="38"/>
        <v>1</v>
      </c>
      <c r="AH195" s="54">
        <f t="shared" ca="1" si="39"/>
        <v>1</v>
      </c>
      <c r="AI195" s="54">
        <f t="shared" ca="1" si="40"/>
        <v>0</v>
      </c>
      <c r="AJ195" s="54">
        <f t="shared" ca="1" si="41"/>
        <v>1</v>
      </c>
    </row>
    <row r="196" spans="1:36" x14ac:dyDescent="0.2">
      <c r="A196" s="54">
        <v>173</v>
      </c>
      <c r="B196" s="54">
        <f ca="1">MAX(0.02,MCDA_Prioritisation!$B$9+(RAND()-0.5)*2*$B$6)</f>
        <v>0.1559816736015954</v>
      </c>
      <c r="C196" s="54">
        <f ca="1">MAX(0.02,MCDA_Prioritisation!$B$10+(RAND()-0.5)*2*$B$6)</f>
        <v>0.31903287815471304</v>
      </c>
      <c r="D196" s="54">
        <f ca="1">MAX(0.02,MCDA_Prioritisation!$B$11+(RAND()-0.5)*2*$B$6)</f>
        <v>0.29213370426875773</v>
      </c>
      <c r="E196" s="54">
        <f ca="1">MAX(0.02,MCDA_Prioritisation!$B$12+(RAND()-0.5)*2*$B$6)</f>
        <v>0.1542077656475532</v>
      </c>
      <c r="F196" s="54">
        <f ca="1">MAX(0.02,MCDA_Prioritisation!$B$13+(RAND()-0.5)*2*$B$6)</f>
        <v>0.11203277845861292</v>
      </c>
      <c r="G196" s="54">
        <f t="shared" ca="1" si="28"/>
        <v>1.0333888001312324</v>
      </c>
      <c r="H196" s="54">
        <f t="shared" ca="1" si="29"/>
        <v>0.15094190452014472</v>
      </c>
      <c r="I196" s="54">
        <f t="shared" ca="1" si="30"/>
        <v>0.30872492339204599</v>
      </c>
      <c r="J196" s="54">
        <f t="shared" ca="1" si="31"/>
        <v>0.28269486202256017</v>
      </c>
      <c r="K196" s="54">
        <f t="shared" ca="1" si="32"/>
        <v>0.14922531154582866</v>
      </c>
      <c r="L196" s="54">
        <f t="shared" ca="1" si="33"/>
        <v>0.10841299851942041</v>
      </c>
      <c r="M196" s="54">
        <f ca="1">MIN(100,MAX(0,MCDA_Prioritisation!$F$2+(RAND()-0.5)*2*$B$7))</f>
        <v>91.115116744330365</v>
      </c>
      <c r="N196" s="54">
        <f ca="1">MIN(100,MAX(0,MCDA_Prioritisation!$F$3+(RAND()-0.5)*2*$B$7))</f>
        <v>97.728165278264754</v>
      </c>
      <c r="O196" s="54">
        <f ca="1">MIN(100,MAX(0,MCDA_Prioritisation!$F$4+(RAND()-0.5)*2*$B$7))</f>
        <v>83.935825832842042</v>
      </c>
      <c r="P196" s="54">
        <f ca="1">MIN(100,MAX(0,MCDA_Prioritisation!$F$5+(RAND()-0.5)*2*$B$7))</f>
        <v>75.591194660359932</v>
      </c>
      <c r="Q196" s="54">
        <f ca="1">MIN(100,MAX(0,MCDA_Prioritisation!$G$2+(RAND()-0.5)*2*$B$7))</f>
        <v>74.792019747929572</v>
      </c>
      <c r="R196" s="54">
        <f ca="1">MIN(100,MAX(0,MCDA_Prioritisation!$G$3+(RAND()-0.5)*2*$B$7))</f>
        <v>85.501652617679014</v>
      </c>
      <c r="S196" s="54">
        <f ca="1">MIN(100,MAX(0,MCDA_Prioritisation!$G$4+(RAND()-0.5)*2*$B$7))</f>
        <v>77.183693426742735</v>
      </c>
      <c r="T196" s="54">
        <f ca="1">MIN(100,MAX(0,MCDA_Prioritisation!$G$5+(RAND()-0.5)*2*$B$7))</f>
        <v>62.253646034828137</v>
      </c>
      <c r="U196" s="54">
        <f ca="1">MIN(100,MAX(0,MCDA_Prioritisation!$H$2+(RAND()-0.5)*2*$B$7))</f>
        <v>63.285791447933711</v>
      </c>
      <c r="V196" s="54">
        <f ca="1">MIN(100,MAX(0,MCDA_Prioritisation!$H$3+(RAND()-0.5)*2*$B$7))</f>
        <v>60.362611359918894</v>
      </c>
      <c r="W196" s="54">
        <f ca="1">MIN(100,MAX(0,MCDA_Prioritisation!$H$4+(RAND()-0.5)*2*$B$7))</f>
        <v>70.792421113540954</v>
      </c>
      <c r="X196" s="54">
        <f ca="1">MIN(100,MAX(0,MCDA_Prioritisation!$H$5+(RAND()-0.5)*2*$B$7))</f>
        <v>73.467025882414163</v>
      </c>
      <c r="Y196" s="54">
        <f ca="1">H196*MCDA_Prioritisation!$D$2+I196*MCDA_Prioritisation!$E$2+J196*M196+K196*Q196+L196*U196</f>
        <v>89.746323009998747</v>
      </c>
      <c r="Z196" s="54">
        <f ca="1">H196*MCDA_Prioritisation!$D$3+I196*MCDA_Prioritisation!$E$3+J196*N196+K196*R196+L196*V196</f>
        <v>82.574919712782318</v>
      </c>
      <c r="AA196" s="54">
        <f ca="1">H196*MCDA_Prioritisation!$D$4+I196*MCDA_Prioritisation!$E$4+J196*O196+K196*S196+L196*W196</f>
        <v>70.271054225337963</v>
      </c>
      <c r="AB196" s="54">
        <f ca="1">H196*MCDA_Prioritisation!$D$5+I196*MCDA_Prioritisation!$E$5+J196*P196+K196*T196+L196*X196</f>
        <v>72.596177998126933</v>
      </c>
      <c r="AC196" s="54">
        <f t="shared" ca="1" si="34"/>
        <v>1</v>
      </c>
      <c r="AD196" s="54">
        <f t="shared" ca="1" si="35"/>
        <v>2</v>
      </c>
      <c r="AE196" s="54">
        <f t="shared" ca="1" si="36"/>
        <v>4</v>
      </c>
      <c r="AF196" s="54">
        <f t="shared" ca="1" si="37"/>
        <v>3</v>
      </c>
      <c r="AG196" s="54">
        <f t="shared" ca="1" si="38"/>
        <v>1</v>
      </c>
      <c r="AH196" s="54">
        <f t="shared" ca="1" si="39"/>
        <v>1</v>
      </c>
      <c r="AI196" s="54">
        <f t="shared" ca="1" si="40"/>
        <v>0</v>
      </c>
      <c r="AJ196" s="54">
        <f t="shared" ca="1" si="41"/>
        <v>1</v>
      </c>
    </row>
    <row r="197" spans="1:36" x14ac:dyDescent="0.2">
      <c r="A197" s="54">
        <v>174</v>
      </c>
      <c r="B197" s="54">
        <f ca="1">MAX(0.02,MCDA_Prioritisation!$B$9+(RAND()-0.5)*2*$B$6)</f>
        <v>0.18167397613772168</v>
      </c>
      <c r="C197" s="54">
        <f ca="1">MAX(0.02,MCDA_Prioritisation!$B$10+(RAND()-0.5)*2*$B$6)</f>
        <v>0.22432344368661897</v>
      </c>
      <c r="D197" s="54">
        <f ca="1">MAX(0.02,MCDA_Prioritisation!$B$11+(RAND()-0.5)*2*$B$6)</f>
        <v>0.30728312486995008</v>
      </c>
      <c r="E197" s="54">
        <f ca="1">MAX(0.02,MCDA_Prioritisation!$B$12+(RAND()-0.5)*2*$B$6)</f>
        <v>0.16093483956431073</v>
      </c>
      <c r="F197" s="54">
        <f ca="1">MAX(0.02,MCDA_Prioritisation!$B$13+(RAND()-0.5)*2*$B$6)</f>
        <v>0.12577295364971613</v>
      </c>
      <c r="G197" s="54">
        <f t="shared" ca="1" si="28"/>
        <v>0.99998833790831765</v>
      </c>
      <c r="H197" s="54">
        <f t="shared" ca="1" si="29"/>
        <v>0.18167609486099645</v>
      </c>
      <c r="I197" s="54">
        <f t="shared" ca="1" si="30"/>
        <v>0.22432605979769507</v>
      </c>
      <c r="J197" s="54">
        <f t="shared" ca="1" si="31"/>
        <v>0.3072867084757171</v>
      </c>
      <c r="K197" s="54">
        <f t="shared" ca="1" si="32"/>
        <v>0.16093671642305271</v>
      </c>
      <c r="L197" s="54">
        <f t="shared" ca="1" si="33"/>
        <v>0.12577442044253864</v>
      </c>
      <c r="M197" s="54">
        <f ca="1">MIN(100,MAX(0,MCDA_Prioritisation!$F$2+(RAND()-0.5)*2*$B$7))</f>
        <v>85.606221793168189</v>
      </c>
      <c r="N197" s="54">
        <f ca="1">MIN(100,MAX(0,MCDA_Prioritisation!$F$3+(RAND()-0.5)*2*$B$7))</f>
        <v>91.626605025010434</v>
      </c>
      <c r="O197" s="54">
        <f ca="1">MIN(100,MAX(0,MCDA_Prioritisation!$F$4+(RAND()-0.5)*2*$B$7))</f>
        <v>83.236225772484957</v>
      </c>
      <c r="P197" s="54">
        <f ca="1">MIN(100,MAX(0,MCDA_Prioritisation!$F$5+(RAND()-0.5)*2*$B$7))</f>
        <v>68.451168823157872</v>
      </c>
      <c r="Q197" s="54">
        <f ca="1">MIN(100,MAX(0,MCDA_Prioritisation!$G$2+(RAND()-0.5)*2*$B$7))</f>
        <v>83.097787650470792</v>
      </c>
      <c r="R197" s="54">
        <f ca="1">MIN(100,MAX(0,MCDA_Prioritisation!$G$3+(RAND()-0.5)*2*$B$7))</f>
        <v>100</v>
      </c>
      <c r="S197" s="54">
        <f ca="1">MIN(100,MAX(0,MCDA_Prioritisation!$G$4+(RAND()-0.5)*2*$B$7))</f>
        <v>82.781868370176156</v>
      </c>
      <c r="T197" s="54">
        <f ca="1">MIN(100,MAX(0,MCDA_Prioritisation!$G$5+(RAND()-0.5)*2*$B$7))</f>
        <v>67.594270796968829</v>
      </c>
      <c r="U197" s="54">
        <f ca="1">MIN(100,MAX(0,MCDA_Prioritisation!$H$2+(RAND()-0.5)*2*$B$7))</f>
        <v>67.235190493014727</v>
      </c>
      <c r="V197" s="54">
        <f ca="1">MIN(100,MAX(0,MCDA_Prioritisation!$H$3+(RAND()-0.5)*2*$B$7))</f>
        <v>50.581622245824292</v>
      </c>
      <c r="W197" s="54">
        <f ca="1">MIN(100,MAX(0,MCDA_Prioritisation!$H$4+(RAND()-0.5)*2*$B$7))</f>
        <v>75.087449563500385</v>
      </c>
      <c r="X197" s="54">
        <f ca="1">MIN(100,MAX(0,MCDA_Prioritisation!$H$5+(RAND()-0.5)*2*$B$7))</f>
        <v>82.903597174981087</v>
      </c>
      <c r="Y197" s="54">
        <f ca="1">H197*MCDA_Prioritisation!$D$2+I197*MCDA_Prioritisation!$E$2+J197*M197+K197*Q197+L197*U197</f>
        <v>88.73582178982349</v>
      </c>
      <c r="Z197" s="54">
        <f ca="1">H197*MCDA_Prioritisation!$D$3+I197*MCDA_Prioritisation!$E$3+J197*N197+K197*R197+L197*V197</f>
        <v>82.803722722940904</v>
      </c>
      <c r="AA197" s="54">
        <f ca="1">H197*MCDA_Prioritisation!$D$4+I197*MCDA_Prioritisation!$E$4+J197*O197+K197*S197+L197*W197</f>
        <v>73.230930512762043</v>
      </c>
      <c r="AB197" s="54">
        <f ca="1">H197*MCDA_Prioritisation!$D$5+I197*MCDA_Prioritisation!$E$5+J197*P197+K197*T197+L197*X197</f>
        <v>70.846088932618144</v>
      </c>
      <c r="AC197" s="54">
        <f t="shared" ca="1" si="34"/>
        <v>1</v>
      </c>
      <c r="AD197" s="54">
        <f t="shared" ca="1" si="35"/>
        <v>2</v>
      </c>
      <c r="AE197" s="54">
        <f t="shared" ca="1" si="36"/>
        <v>3</v>
      </c>
      <c r="AF197" s="54">
        <f t="shared" ca="1" si="37"/>
        <v>4</v>
      </c>
      <c r="AG197" s="54">
        <f t="shared" ca="1" si="38"/>
        <v>1</v>
      </c>
      <c r="AH197" s="54">
        <f t="shared" ca="1" si="39"/>
        <v>1</v>
      </c>
      <c r="AI197" s="54">
        <f t="shared" ca="1" si="40"/>
        <v>1</v>
      </c>
      <c r="AJ197" s="54">
        <f t="shared" ca="1" si="41"/>
        <v>1</v>
      </c>
    </row>
    <row r="198" spans="1:36" x14ac:dyDescent="0.2">
      <c r="A198" s="54">
        <v>175</v>
      </c>
      <c r="B198" s="54">
        <f ca="1">MAX(0.02,MCDA_Prioritisation!$B$9+(RAND()-0.5)*2*$B$6)</f>
        <v>0.22223823935818349</v>
      </c>
      <c r="C198" s="54">
        <f ca="1">MAX(0.02,MCDA_Prioritisation!$B$10+(RAND()-0.5)*2*$B$6)</f>
        <v>0.24729929484490629</v>
      </c>
      <c r="D198" s="54">
        <f ca="1">MAX(0.02,MCDA_Prioritisation!$B$11+(RAND()-0.5)*2*$B$6)</f>
        <v>0.30590822266412843</v>
      </c>
      <c r="E198" s="54">
        <f ca="1">MAX(0.02,MCDA_Prioritisation!$B$12+(RAND()-0.5)*2*$B$6)</f>
        <v>0.16075773409201971</v>
      </c>
      <c r="F198" s="54">
        <f ca="1">MAX(0.02,MCDA_Prioritisation!$B$13+(RAND()-0.5)*2*$B$6)</f>
        <v>7.877470979193546E-2</v>
      </c>
      <c r="G198" s="54">
        <f t="shared" ca="1" si="28"/>
        <v>1.0149782007511732</v>
      </c>
      <c r="H198" s="54">
        <f t="shared" ca="1" si="29"/>
        <v>0.21895863299695267</v>
      </c>
      <c r="I198" s="54">
        <f t="shared" ca="1" si="30"/>
        <v>0.24364985835349276</v>
      </c>
      <c r="J198" s="54">
        <f t="shared" ca="1" si="31"/>
        <v>0.30139388455607169</v>
      </c>
      <c r="K198" s="54">
        <f t="shared" ca="1" si="32"/>
        <v>0.15838540568954568</v>
      </c>
      <c r="L198" s="54">
        <f t="shared" ca="1" si="33"/>
        <v>7.7612218403937394E-2</v>
      </c>
      <c r="M198" s="54">
        <f ca="1">MIN(100,MAX(0,MCDA_Prioritisation!$F$2+(RAND()-0.5)*2*$B$7))</f>
        <v>87.520615463600777</v>
      </c>
      <c r="N198" s="54">
        <f ca="1">MIN(100,MAX(0,MCDA_Prioritisation!$F$3+(RAND()-0.5)*2*$B$7))</f>
        <v>86.309959079925363</v>
      </c>
      <c r="O198" s="54">
        <f ca="1">MIN(100,MAX(0,MCDA_Prioritisation!$F$4+(RAND()-0.5)*2*$B$7))</f>
        <v>82.175780952279055</v>
      </c>
      <c r="P198" s="54">
        <f ca="1">MIN(100,MAX(0,MCDA_Prioritisation!$F$5+(RAND()-0.5)*2*$B$7))</f>
        <v>71.531948371161562</v>
      </c>
      <c r="Q198" s="54">
        <f ca="1">MIN(100,MAX(0,MCDA_Prioritisation!$G$2+(RAND()-0.5)*2*$B$7))</f>
        <v>76.645826867724793</v>
      </c>
      <c r="R198" s="54">
        <f ca="1">MIN(100,MAX(0,MCDA_Prioritisation!$G$3+(RAND()-0.5)*2*$B$7))</f>
        <v>99.913504523328811</v>
      </c>
      <c r="S198" s="54">
        <f ca="1">MIN(100,MAX(0,MCDA_Prioritisation!$G$4+(RAND()-0.5)*2*$B$7))</f>
        <v>81.280115792287916</v>
      </c>
      <c r="T198" s="54">
        <f ca="1">MIN(100,MAX(0,MCDA_Prioritisation!$G$5+(RAND()-0.5)*2*$B$7))</f>
        <v>63.019127253012492</v>
      </c>
      <c r="U198" s="54">
        <f ca="1">MIN(100,MAX(0,MCDA_Prioritisation!$H$2+(RAND()-0.5)*2*$B$7))</f>
        <v>59.790246086382751</v>
      </c>
      <c r="V198" s="54">
        <f ca="1">MIN(100,MAX(0,MCDA_Prioritisation!$H$3+(RAND()-0.5)*2*$B$7))</f>
        <v>57.782964477341451</v>
      </c>
      <c r="W198" s="54">
        <f ca="1">MIN(100,MAX(0,MCDA_Prioritisation!$H$4+(RAND()-0.5)*2*$B$7))</f>
        <v>71.157106628206733</v>
      </c>
      <c r="X198" s="54">
        <f ca="1">MIN(100,MAX(0,MCDA_Prioritisation!$H$5+(RAND()-0.5)*2*$B$7))</f>
        <v>80.903779113375663</v>
      </c>
      <c r="Y198" s="54">
        <f ca="1">H198*MCDA_Prioritisation!$D$2+I198*MCDA_Prioritisation!$E$2+J198*M198+K198*Q198+L198*U198</f>
        <v>89.419061428894153</v>
      </c>
      <c r="Z198" s="54">
        <f ca="1">H198*MCDA_Prioritisation!$D$3+I198*MCDA_Prioritisation!$E$3+J198*N198+K198*R198+L198*V198</f>
        <v>83.179081000857536</v>
      </c>
      <c r="AA198" s="54">
        <f ca="1">H198*MCDA_Prioritisation!$D$4+I198*MCDA_Prioritisation!$E$4+J198*O198+K198*S198+L198*W198</f>
        <v>71.700507157893469</v>
      </c>
      <c r="AB198" s="54">
        <f ca="1">H198*MCDA_Prioritisation!$D$5+I198*MCDA_Prioritisation!$E$5+J198*P198+K198*T198+L198*X198</f>
        <v>69.929885969173327</v>
      </c>
      <c r="AC198" s="54">
        <f t="shared" ca="1" si="34"/>
        <v>1</v>
      </c>
      <c r="AD198" s="54">
        <f t="shared" ca="1" si="35"/>
        <v>2</v>
      </c>
      <c r="AE198" s="54">
        <f t="shared" ca="1" si="36"/>
        <v>3</v>
      </c>
      <c r="AF198" s="54">
        <f t="shared" ca="1" si="37"/>
        <v>4</v>
      </c>
      <c r="AG198" s="54">
        <f t="shared" ca="1" si="38"/>
        <v>1</v>
      </c>
      <c r="AH198" s="54">
        <f t="shared" ca="1" si="39"/>
        <v>1</v>
      </c>
      <c r="AI198" s="54">
        <f t="shared" ca="1" si="40"/>
        <v>1</v>
      </c>
      <c r="AJ198" s="54">
        <f t="shared" ca="1" si="41"/>
        <v>1</v>
      </c>
    </row>
    <row r="199" spans="1:36" x14ac:dyDescent="0.2">
      <c r="A199" s="54">
        <v>176</v>
      </c>
      <c r="B199" s="54">
        <f ca="1">MAX(0.02,MCDA_Prioritisation!$B$9+(RAND()-0.5)*2*$B$6)</f>
        <v>0.25267313046268758</v>
      </c>
      <c r="C199" s="54">
        <f ca="1">MAX(0.02,MCDA_Prioritisation!$B$10+(RAND()-0.5)*2*$B$6)</f>
        <v>0.26029410361880323</v>
      </c>
      <c r="D199" s="54">
        <f ca="1">MAX(0.02,MCDA_Prioritisation!$B$11+(RAND()-0.5)*2*$B$6)</f>
        <v>0.17498442863155583</v>
      </c>
      <c r="E199" s="54">
        <f ca="1">MAX(0.02,MCDA_Prioritisation!$B$12+(RAND()-0.5)*2*$B$6)</f>
        <v>0.18555240723001631</v>
      </c>
      <c r="F199" s="54">
        <f ca="1">MAX(0.02,MCDA_Prioritisation!$B$13+(RAND()-0.5)*2*$B$6)</f>
        <v>0.15489748103193327</v>
      </c>
      <c r="G199" s="54">
        <f t="shared" ca="1" si="28"/>
        <v>1.0284015509749962</v>
      </c>
      <c r="H199" s="54">
        <f t="shared" ca="1" si="29"/>
        <v>0.24569501108116365</v>
      </c>
      <c r="I199" s="54">
        <f t="shared" ca="1" si="30"/>
        <v>0.25310551444815144</v>
      </c>
      <c r="J199" s="54">
        <f t="shared" ca="1" si="31"/>
        <v>0.17015185212980127</v>
      </c>
      <c r="K199" s="54">
        <f t="shared" ca="1" si="32"/>
        <v>0.18042797295871416</v>
      </c>
      <c r="L199" s="54">
        <f t="shared" ca="1" si="33"/>
        <v>0.15061964938216951</v>
      </c>
      <c r="M199" s="54">
        <f ca="1">MIN(100,MAX(0,MCDA_Prioritisation!$F$2+(RAND()-0.5)*2*$B$7))</f>
        <v>86.325642496140304</v>
      </c>
      <c r="N199" s="54">
        <f ca="1">MIN(100,MAX(0,MCDA_Prioritisation!$F$3+(RAND()-0.5)*2*$B$7))</f>
        <v>92.330330228295665</v>
      </c>
      <c r="O199" s="54">
        <f ca="1">MIN(100,MAX(0,MCDA_Prioritisation!$F$4+(RAND()-0.5)*2*$B$7))</f>
        <v>94.500774712980558</v>
      </c>
      <c r="P199" s="54">
        <f ca="1">MIN(100,MAX(0,MCDA_Prioritisation!$F$5+(RAND()-0.5)*2*$B$7))</f>
        <v>65.584123747428407</v>
      </c>
      <c r="Q199" s="54">
        <f ca="1">MIN(100,MAX(0,MCDA_Prioritisation!$G$2+(RAND()-0.5)*2*$B$7))</f>
        <v>78.593545227719162</v>
      </c>
      <c r="R199" s="54">
        <f ca="1">MIN(100,MAX(0,MCDA_Prioritisation!$G$3+(RAND()-0.5)*2*$B$7))</f>
        <v>86.906643326416116</v>
      </c>
      <c r="S199" s="54">
        <f ca="1">MIN(100,MAX(0,MCDA_Prioritisation!$G$4+(RAND()-0.5)*2*$B$7))</f>
        <v>92.536396615775075</v>
      </c>
      <c r="T199" s="54">
        <f ca="1">MIN(100,MAX(0,MCDA_Prioritisation!$G$5+(RAND()-0.5)*2*$B$7))</f>
        <v>69.608084630570247</v>
      </c>
      <c r="U199" s="54">
        <f ca="1">MIN(100,MAX(0,MCDA_Prioritisation!$H$2+(RAND()-0.5)*2*$B$7))</f>
        <v>70.627297686141091</v>
      </c>
      <c r="V199" s="54">
        <f ca="1">MIN(100,MAX(0,MCDA_Prioritisation!$H$3+(RAND()-0.5)*2*$B$7))</f>
        <v>65.812432735458955</v>
      </c>
      <c r="W199" s="54">
        <f ca="1">MIN(100,MAX(0,MCDA_Prioritisation!$H$4+(RAND()-0.5)*2*$B$7))</f>
        <v>83.075007541490436</v>
      </c>
      <c r="X199" s="54">
        <f ca="1">MIN(100,MAX(0,MCDA_Prioritisation!$H$5+(RAND()-0.5)*2*$B$7))</f>
        <v>78.663471742241512</v>
      </c>
      <c r="Y199" s="54">
        <f ca="1">H199*MCDA_Prioritisation!$D$2+I199*MCDA_Prioritisation!$E$2+J199*M199+K199*Q199+L199*U199</f>
        <v>89.386853377317934</v>
      </c>
      <c r="Z199" s="54">
        <f ca="1">H199*MCDA_Prioritisation!$D$3+I199*MCDA_Prioritisation!$E$3+J199*N199+K199*R199+L199*V199</f>
        <v>81.18385290021412</v>
      </c>
      <c r="AA199" s="54">
        <f ca="1">H199*MCDA_Prioritisation!$D$4+I199*MCDA_Prioritisation!$E$4+J199*O199+K199*S199+L199*W199</f>
        <v>76.202876382109523</v>
      </c>
      <c r="AB199" s="54">
        <f ca="1">H199*MCDA_Prioritisation!$D$5+I199*MCDA_Prioritisation!$E$5+J199*P199+K199*T199+L199*X199</f>
        <v>69.89112441415547</v>
      </c>
      <c r="AC199" s="54">
        <f t="shared" ca="1" si="34"/>
        <v>1</v>
      </c>
      <c r="AD199" s="54">
        <f t="shared" ca="1" si="35"/>
        <v>2</v>
      </c>
      <c r="AE199" s="54">
        <f t="shared" ca="1" si="36"/>
        <v>3</v>
      </c>
      <c r="AF199" s="54">
        <f t="shared" ca="1" si="37"/>
        <v>4</v>
      </c>
      <c r="AG199" s="54">
        <f t="shared" ca="1" si="38"/>
        <v>1</v>
      </c>
      <c r="AH199" s="54">
        <f t="shared" ca="1" si="39"/>
        <v>1</v>
      </c>
      <c r="AI199" s="54">
        <f t="shared" ca="1" si="40"/>
        <v>1</v>
      </c>
      <c r="AJ199" s="54">
        <f t="shared" ca="1" si="41"/>
        <v>1</v>
      </c>
    </row>
    <row r="200" spans="1:36" x14ac:dyDescent="0.2">
      <c r="A200" s="54">
        <v>177</v>
      </c>
      <c r="B200" s="54">
        <f ca="1">MAX(0.02,MCDA_Prioritisation!$B$9+(RAND()-0.5)*2*$B$6)</f>
        <v>0.2275764298029071</v>
      </c>
      <c r="C200" s="54">
        <f ca="1">MAX(0.02,MCDA_Prioritisation!$B$10+(RAND()-0.5)*2*$B$6)</f>
        <v>0.2679931225503529</v>
      </c>
      <c r="D200" s="54">
        <f ca="1">MAX(0.02,MCDA_Prioritisation!$B$11+(RAND()-0.5)*2*$B$6)</f>
        <v>0.24872665096612917</v>
      </c>
      <c r="E200" s="54">
        <f ca="1">MAX(0.02,MCDA_Prioritisation!$B$12+(RAND()-0.5)*2*$B$6)</f>
        <v>0.11307578225153768</v>
      </c>
      <c r="F200" s="54">
        <f ca="1">MAX(0.02,MCDA_Prioritisation!$B$13+(RAND()-0.5)*2*$B$6)</f>
        <v>0.15049316612087535</v>
      </c>
      <c r="G200" s="54">
        <f t="shared" ca="1" si="28"/>
        <v>1.0078651516918022</v>
      </c>
      <c r="H200" s="54">
        <f t="shared" ca="1" si="29"/>
        <v>0.22580047481639517</v>
      </c>
      <c r="I200" s="54">
        <f t="shared" ca="1" si="30"/>
        <v>0.26590176483480921</v>
      </c>
      <c r="J200" s="54">
        <f t="shared" ca="1" si="31"/>
        <v>0.24678564443727086</v>
      </c>
      <c r="K200" s="54">
        <f t="shared" ca="1" si="32"/>
        <v>0.11219336442154855</v>
      </c>
      <c r="L200" s="54">
        <f t="shared" ca="1" si="33"/>
        <v>0.14931875148997617</v>
      </c>
      <c r="M200" s="54">
        <f ca="1">MIN(100,MAX(0,MCDA_Prioritisation!$F$2+(RAND()-0.5)*2*$B$7))</f>
        <v>93.107195741132983</v>
      </c>
      <c r="N200" s="54">
        <f ca="1">MIN(100,MAX(0,MCDA_Prioritisation!$F$3+(RAND()-0.5)*2*$B$7))</f>
        <v>100</v>
      </c>
      <c r="O200" s="54">
        <f ca="1">MIN(100,MAX(0,MCDA_Prioritisation!$F$4+(RAND()-0.5)*2*$B$7))</f>
        <v>90.335292729905476</v>
      </c>
      <c r="P200" s="54">
        <f ca="1">MIN(100,MAX(0,MCDA_Prioritisation!$F$5+(RAND()-0.5)*2*$B$7))</f>
        <v>65.946024264853691</v>
      </c>
      <c r="Q200" s="54">
        <f ca="1">MIN(100,MAX(0,MCDA_Prioritisation!$G$2+(RAND()-0.5)*2*$B$7))</f>
        <v>72.62997681894565</v>
      </c>
      <c r="R200" s="54">
        <f ca="1">MIN(100,MAX(0,MCDA_Prioritisation!$G$3+(RAND()-0.5)*2*$B$7))</f>
        <v>95.878897366647081</v>
      </c>
      <c r="S200" s="54">
        <f ca="1">MIN(100,MAX(0,MCDA_Prioritisation!$G$4+(RAND()-0.5)*2*$B$7))</f>
        <v>75.949538196872695</v>
      </c>
      <c r="T200" s="54">
        <f ca="1">MIN(100,MAX(0,MCDA_Prioritisation!$G$5+(RAND()-0.5)*2*$B$7))</f>
        <v>62.094524354926591</v>
      </c>
      <c r="U200" s="54">
        <f ca="1">MIN(100,MAX(0,MCDA_Prioritisation!$H$2+(RAND()-0.5)*2*$B$7))</f>
        <v>61.817602932494779</v>
      </c>
      <c r="V200" s="54">
        <f ca="1">MIN(100,MAX(0,MCDA_Prioritisation!$H$3+(RAND()-0.5)*2*$B$7))</f>
        <v>66.986432040240487</v>
      </c>
      <c r="W200" s="54">
        <f ca="1">MIN(100,MAX(0,MCDA_Prioritisation!$H$4+(RAND()-0.5)*2*$B$7))</f>
        <v>73.090370051876491</v>
      </c>
      <c r="X200" s="54">
        <f ca="1">MIN(100,MAX(0,MCDA_Prioritisation!$H$5+(RAND()-0.5)*2*$B$7))</f>
        <v>77.93899029614083</v>
      </c>
      <c r="Y200" s="54">
        <f ca="1">H200*MCDA_Prioritisation!$D$2+I200*MCDA_Prioritisation!$E$2+J200*M200+K200*Q200+L200*U200</f>
        <v>89.52687201500288</v>
      </c>
      <c r="Z200" s="54">
        <f ca="1">H200*MCDA_Prioritisation!$D$3+I200*MCDA_Prioritisation!$E$3+J200*N200+K200*R200+L200*V200</f>
        <v>84.51042888748988</v>
      </c>
      <c r="AA200" s="54">
        <f ca="1">H200*MCDA_Prioritisation!$D$4+I200*MCDA_Prioritisation!$E$4+J200*O200+K200*S200+L200*W200</f>
        <v>71.95540075319451</v>
      </c>
      <c r="AB200" s="54">
        <f ca="1">H200*MCDA_Prioritisation!$D$5+I200*MCDA_Prioritisation!$E$5+J200*P200+K200*T200+L200*X200</f>
        <v>69.223360676132813</v>
      </c>
      <c r="AC200" s="54">
        <f t="shared" ca="1" si="34"/>
        <v>1</v>
      </c>
      <c r="AD200" s="54">
        <f t="shared" ca="1" si="35"/>
        <v>2</v>
      </c>
      <c r="AE200" s="54">
        <f t="shared" ca="1" si="36"/>
        <v>3</v>
      </c>
      <c r="AF200" s="54">
        <f t="shared" ca="1" si="37"/>
        <v>4</v>
      </c>
      <c r="AG200" s="54">
        <f t="shared" ca="1" si="38"/>
        <v>1</v>
      </c>
      <c r="AH200" s="54">
        <f t="shared" ca="1" si="39"/>
        <v>1</v>
      </c>
      <c r="AI200" s="54">
        <f t="shared" ca="1" si="40"/>
        <v>1</v>
      </c>
      <c r="AJ200" s="54">
        <f t="shared" ca="1" si="41"/>
        <v>1</v>
      </c>
    </row>
    <row r="201" spans="1:36" x14ac:dyDescent="0.2">
      <c r="A201" s="54">
        <v>178</v>
      </c>
      <c r="B201" s="54">
        <f ca="1">MAX(0.02,MCDA_Prioritisation!$B$9+(RAND()-0.5)*2*$B$6)</f>
        <v>0.17245433623339676</v>
      </c>
      <c r="C201" s="54">
        <f ca="1">MAX(0.02,MCDA_Prioritisation!$B$10+(RAND()-0.5)*2*$B$6)</f>
        <v>0.18536894437294926</v>
      </c>
      <c r="D201" s="54">
        <f ca="1">MAX(0.02,MCDA_Prioritisation!$B$11+(RAND()-0.5)*2*$B$6)</f>
        <v>0.17706551719324204</v>
      </c>
      <c r="E201" s="54">
        <f ca="1">MAX(0.02,MCDA_Prioritisation!$B$12+(RAND()-0.5)*2*$B$6)</f>
        <v>0.22516448452333915</v>
      </c>
      <c r="F201" s="54">
        <f ca="1">MAX(0.02,MCDA_Prioritisation!$B$13+(RAND()-0.5)*2*$B$6)</f>
        <v>0.12152525780930437</v>
      </c>
      <c r="G201" s="54">
        <f t="shared" ca="1" si="28"/>
        <v>0.88157854013223158</v>
      </c>
      <c r="H201" s="54">
        <f t="shared" ca="1" si="29"/>
        <v>0.19561993445023018</v>
      </c>
      <c r="I201" s="54">
        <f t="shared" ca="1" si="30"/>
        <v>0.21026934746522416</v>
      </c>
      <c r="J201" s="54">
        <f t="shared" ca="1" si="31"/>
        <v>0.20085053019403495</v>
      </c>
      <c r="K201" s="54">
        <f t="shared" ca="1" si="32"/>
        <v>0.2554105780405746</v>
      </c>
      <c r="L201" s="54">
        <f t="shared" ca="1" si="33"/>
        <v>0.13784960984993611</v>
      </c>
      <c r="M201" s="54">
        <f ca="1">MIN(100,MAX(0,MCDA_Prioritisation!$F$2+(RAND()-0.5)*2*$B$7))</f>
        <v>93.566542180385426</v>
      </c>
      <c r="N201" s="54">
        <f ca="1">MIN(100,MAX(0,MCDA_Prioritisation!$F$3+(RAND()-0.5)*2*$B$7))</f>
        <v>96.039360979866288</v>
      </c>
      <c r="O201" s="54">
        <f ca="1">MIN(100,MAX(0,MCDA_Prioritisation!$F$4+(RAND()-0.5)*2*$B$7))</f>
        <v>84.514426828552558</v>
      </c>
      <c r="P201" s="54">
        <f ca="1">MIN(100,MAX(0,MCDA_Prioritisation!$F$5+(RAND()-0.5)*2*$B$7))</f>
        <v>65.038374013896416</v>
      </c>
      <c r="Q201" s="54">
        <f ca="1">MIN(100,MAX(0,MCDA_Prioritisation!$G$2+(RAND()-0.5)*2*$B$7))</f>
        <v>89.377032367565477</v>
      </c>
      <c r="R201" s="54">
        <f ca="1">MIN(100,MAX(0,MCDA_Prioritisation!$G$3+(RAND()-0.5)*2*$B$7))</f>
        <v>88.797664963911316</v>
      </c>
      <c r="S201" s="54">
        <f ca="1">MIN(100,MAX(0,MCDA_Prioritisation!$G$4+(RAND()-0.5)*2*$B$7))</f>
        <v>88.318161703566886</v>
      </c>
      <c r="T201" s="54">
        <f ca="1">MIN(100,MAX(0,MCDA_Prioritisation!$G$5+(RAND()-0.5)*2*$B$7))</f>
        <v>64.424178783861791</v>
      </c>
      <c r="U201" s="54">
        <f ca="1">MIN(100,MAX(0,MCDA_Prioritisation!$H$2+(RAND()-0.5)*2*$B$7))</f>
        <v>59.36895862474146</v>
      </c>
      <c r="V201" s="54">
        <f ca="1">MIN(100,MAX(0,MCDA_Prioritisation!$H$3+(RAND()-0.5)*2*$B$7))</f>
        <v>62.494004662754307</v>
      </c>
      <c r="W201" s="54">
        <f ca="1">MIN(100,MAX(0,MCDA_Prioritisation!$H$4+(RAND()-0.5)*2*$B$7))</f>
        <v>79.446418662597765</v>
      </c>
      <c r="X201" s="54">
        <f ca="1">MIN(100,MAX(0,MCDA_Prioritisation!$H$5+(RAND()-0.5)*2*$B$7))</f>
        <v>79.941257305000363</v>
      </c>
      <c r="Y201" s="54">
        <f ca="1">H201*MCDA_Prioritisation!$D$2+I201*MCDA_Prioritisation!$E$2+J201*M201+K201*Q201+L201*U201</f>
        <v>90.393645081067035</v>
      </c>
      <c r="Z201" s="54">
        <f ca="1">H201*MCDA_Prioritisation!$D$3+I201*MCDA_Prioritisation!$E$3+J201*N201+K201*R201+L201*V201</f>
        <v>82.973073816587089</v>
      </c>
      <c r="AA201" s="54">
        <f ca="1">H201*MCDA_Prioritisation!$D$4+I201*MCDA_Prioritisation!$E$4+J201*O201+K201*S201+L201*W201</f>
        <v>75.574877384477915</v>
      </c>
      <c r="AB201" s="54">
        <f ca="1">H201*MCDA_Prioritisation!$D$5+I201*MCDA_Prioritisation!$E$5+J201*P201+K201*T201+L201*X201</f>
        <v>68.601922447171503</v>
      </c>
      <c r="AC201" s="54">
        <f t="shared" ca="1" si="34"/>
        <v>1</v>
      </c>
      <c r="AD201" s="54">
        <f t="shared" ca="1" si="35"/>
        <v>2</v>
      </c>
      <c r="AE201" s="54">
        <f t="shared" ca="1" si="36"/>
        <v>3</v>
      </c>
      <c r="AF201" s="54">
        <f t="shared" ca="1" si="37"/>
        <v>4</v>
      </c>
      <c r="AG201" s="54">
        <f t="shared" ca="1" si="38"/>
        <v>1</v>
      </c>
      <c r="AH201" s="54">
        <f t="shared" ca="1" si="39"/>
        <v>1</v>
      </c>
      <c r="AI201" s="54">
        <f t="shared" ca="1" si="40"/>
        <v>1</v>
      </c>
      <c r="AJ201" s="54">
        <f t="shared" ca="1" si="41"/>
        <v>1</v>
      </c>
    </row>
    <row r="202" spans="1:36" x14ac:dyDescent="0.2">
      <c r="A202" s="54">
        <v>179</v>
      </c>
      <c r="B202" s="54">
        <f ca="1">MAX(0.02,MCDA_Prioritisation!$B$9+(RAND()-0.5)*2*$B$6)</f>
        <v>0.20479718419173676</v>
      </c>
      <c r="C202" s="54">
        <f ca="1">MAX(0.02,MCDA_Prioritisation!$B$10+(RAND()-0.5)*2*$B$6)</f>
        <v>0.29216067353639347</v>
      </c>
      <c r="D202" s="54">
        <f ca="1">MAX(0.02,MCDA_Prioritisation!$B$11+(RAND()-0.5)*2*$B$6)</f>
        <v>0.19250078164140105</v>
      </c>
      <c r="E202" s="54">
        <f ca="1">MAX(0.02,MCDA_Prioritisation!$B$12+(RAND()-0.5)*2*$B$6)</f>
        <v>0.12048556533491288</v>
      </c>
      <c r="F202" s="54">
        <f ca="1">MAX(0.02,MCDA_Prioritisation!$B$13+(RAND()-0.5)*2*$B$6)</f>
        <v>8.851047086246687E-2</v>
      </c>
      <c r="G202" s="54">
        <f t="shared" ca="1" si="28"/>
        <v>0.89845467556691094</v>
      </c>
      <c r="H202" s="54">
        <f t="shared" ca="1" si="29"/>
        <v>0.22794381259412214</v>
      </c>
      <c r="I202" s="54">
        <f t="shared" ca="1" si="30"/>
        <v>0.32518131574310594</v>
      </c>
      <c r="J202" s="54">
        <f t="shared" ca="1" si="31"/>
        <v>0.21425764356998425</v>
      </c>
      <c r="K202" s="54">
        <f t="shared" ca="1" si="32"/>
        <v>0.13410310905098063</v>
      </c>
      <c r="L202" s="54">
        <f t="shared" ca="1" si="33"/>
        <v>9.8514119041807124E-2</v>
      </c>
      <c r="M202" s="54">
        <f ca="1">MIN(100,MAX(0,MCDA_Prioritisation!$F$2+(RAND()-0.5)*2*$B$7))</f>
        <v>89.599450016051875</v>
      </c>
      <c r="N202" s="54">
        <f ca="1">MIN(100,MAX(0,MCDA_Prioritisation!$F$3+(RAND()-0.5)*2*$B$7))</f>
        <v>92.318724363914313</v>
      </c>
      <c r="O202" s="54">
        <f ca="1">MIN(100,MAX(0,MCDA_Prioritisation!$F$4+(RAND()-0.5)*2*$B$7))</f>
        <v>92.717619008259106</v>
      </c>
      <c r="P202" s="54">
        <f ca="1">MIN(100,MAX(0,MCDA_Prioritisation!$F$5+(RAND()-0.5)*2*$B$7))</f>
        <v>72.849165760645505</v>
      </c>
      <c r="Q202" s="54">
        <f ca="1">MIN(100,MAX(0,MCDA_Prioritisation!$G$2+(RAND()-0.5)*2*$B$7))</f>
        <v>73.061803336651636</v>
      </c>
      <c r="R202" s="54">
        <f ca="1">MIN(100,MAX(0,MCDA_Prioritisation!$G$3+(RAND()-0.5)*2*$B$7))</f>
        <v>97.740120678316828</v>
      </c>
      <c r="S202" s="54">
        <f ca="1">MIN(100,MAX(0,MCDA_Prioritisation!$G$4+(RAND()-0.5)*2*$B$7))</f>
        <v>81.60235800929712</v>
      </c>
      <c r="T202" s="54">
        <f ca="1">MIN(100,MAX(0,MCDA_Prioritisation!$G$5+(RAND()-0.5)*2*$B$7))</f>
        <v>66.62115348869601</v>
      </c>
      <c r="U202" s="54">
        <f ca="1">MIN(100,MAX(0,MCDA_Prioritisation!$H$2+(RAND()-0.5)*2*$B$7))</f>
        <v>70.938815319852495</v>
      </c>
      <c r="V202" s="54">
        <f ca="1">MIN(100,MAX(0,MCDA_Prioritisation!$H$3+(RAND()-0.5)*2*$B$7))</f>
        <v>58.755894022032571</v>
      </c>
      <c r="W202" s="54">
        <f ca="1">MIN(100,MAX(0,MCDA_Prioritisation!$H$4+(RAND()-0.5)*2*$B$7))</f>
        <v>77.113204695076789</v>
      </c>
      <c r="X202" s="54">
        <f ca="1">MIN(100,MAX(0,MCDA_Prioritisation!$H$5+(RAND()-0.5)*2*$B$7))</f>
        <v>75.107363296058097</v>
      </c>
      <c r="Y202" s="54">
        <f ca="1">H202*MCDA_Prioritisation!$D$2+I202*MCDA_Prioritisation!$E$2+J202*M202+K202*Q202+L202*U202</f>
        <v>91.296169736749675</v>
      </c>
      <c r="Z202" s="54">
        <f ca="1">H202*MCDA_Prioritisation!$D$3+I202*MCDA_Prioritisation!$E$3+J202*N202+K202*R202+L202*V202</f>
        <v>82.24665052512502</v>
      </c>
      <c r="AA202" s="54">
        <f ca="1">H202*MCDA_Prioritisation!$D$4+I202*MCDA_Prioritisation!$E$4+J202*O202+K202*S202+L202*W202</f>
        <v>72.015157703409429</v>
      </c>
      <c r="AB202" s="54">
        <f ca="1">H202*MCDA_Prioritisation!$D$5+I202*MCDA_Prioritisation!$E$5+J202*P202+K202*T202+L202*X202</f>
        <v>71.384843275007924</v>
      </c>
      <c r="AC202" s="54">
        <f t="shared" ca="1" si="34"/>
        <v>1</v>
      </c>
      <c r="AD202" s="54">
        <f t="shared" ca="1" si="35"/>
        <v>2</v>
      </c>
      <c r="AE202" s="54">
        <f t="shared" ca="1" si="36"/>
        <v>3</v>
      </c>
      <c r="AF202" s="54">
        <f t="shared" ca="1" si="37"/>
        <v>4</v>
      </c>
      <c r="AG202" s="54">
        <f t="shared" ca="1" si="38"/>
        <v>1</v>
      </c>
      <c r="AH202" s="54">
        <f t="shared" ca="1" si="39"/>
        <v>1</v>
      </c>
      <c r="AI202" s="54">
        <f t="shared" ca="1" si="40"/>
        <v>1</v>
      </c>
      <c r="AJ202" s="54">
        <f t="shared" ca="1" si="41"/>
        <v>1</v>
      </c>
    </row>
    <row r="203" spans="1:36" x14ac:dyDescent="0.2">
      <c r="A203" s="54">
        <v>180</v>
      </c>
      <c r="B203" s="54">
        <f ca="1">MAX(0.02,MCDA_Prioritisation!$B$9+(RAND()-0.5)*2*$B$6)</f>
        <v>0.23637874135928261</v>
      </c>
      <c r="C203" s="54">
        <f ca="1">MAX(0.02,MCDA_Prioritisation!$B$10+(RAND()-0.5)*2*$B$6)</f>
        <v>0.29773214690431293</v>
      </c>
      <c r="D203" s="54">
        <f ca="1">MAX(0.02,MCDA_Prioritisation!$B$11+(RAND()-0.5)*2*$B$6)</f>
        <v>0.25016080175611916</v>
      </c>
      <c r="E203" s="54">
        <f ca="1">MAX(0.02,MCDA_Prioritisation!$B$12+(RAND()-0.5)*2*$B$6)</f>
        <v>0.1796696768135678</v>
      </c>
      <c r="F203" s="54">
        <f ca="1">MAX(0.02,MCDA_Prioritisation!$B$13+(RAND()-0.5)*2*$B$6)</f>
        <v>0.22160313161670231</v>
      </c>
      <c r="G203" s="54">
        <f t="shared" ca="1" si="28"/>
        <v>1.1855444984499848</v>
      </c>
      <c r="H203" s="54">
        <f t="shared" ca="1" si="29"/>
        <v>0.1993841156264746</v>
      </c>
      <c r="I203" s="54">
        <f t="shared" ca="1" si="30"/>
        <v>0.25113536210034848</v>
      </c>
      <c r="J203" s="54">
        <f t="shared" ca="1" si="31"/>
        <v>0.21100920470145712</v>
      </c>
      <c r="K203" s="54">
        <f t="shared" ca="1" si="32"/>
        <v>0.15155034420763888</v>
      </c>
      <c r="L203" s="54">
        <f t="shared" ca="1" si="33"/>
        <v>0.18692097336408095</v>
      </c>
      <c r="M203" s="54">
        <f ca="1">MIN(100,MAX(0,MCDA_Prioritisation!$F$2+(RAND()-0.5)*2*$B$7))</f>
        <v>94.689730862144813</v>
      </c>
      <c r="N203" s="54">
        <f ca="1">MIN(100,MAX(0,MCDA_Prioritisation!$F$3+(RAND()-0.5)*2*$B$7))</f>
        <v>93.19239310026181</v>
      </c>
      <c r="O203" s="54">
        <f ca="1">MIN(100,MAX(0,MCDA_Prioritisation!$F$4+(RAND()-0.5)*2*$B$7))</f>
        <v>95.847625199080269</v>
      </c>
      <c r="P203" s="54">
        <f ca="1">MIN(100,MAX(0,MCDA_Prioritisation!$F$5+(RAND()-0.5)*2*$B$7))</f>
        <v>65.162754963738593</v>
      </c>
      <c r="Q203" s="54">
        <f ca="1">MIN(100,MAX(0,MCDA_Prioritisation!$G$2+(RAND()-0.5)*2*$B$7))</f>
        <v>75.123086689867478</v>
      </c>
      <c r="R203" s="54">
        <f ca="1">MIN(100,MAX(0,MCDA_Prioritisation!$G$3+(RAND()-0.5)*2*$B$7))</f>
        <v>93.165990560254215</v>
      </c>
      <c r="S203" s="54">
        <f ca="1">MIN(100,MAX(0,MCDA_Prioritisation!$G$4+(RAND()-0.5)*2*$B$7))</f>
        <v>83.337159080943181</v>
      </c>
      <c r="T203" s="54">
        <f ca="1">MIN(100,MAX(0,MCDA_Prioritisation!$G$5+(RAND()-0.5)*2*$B$7))</f>
        <v>68.47036542682855</v>
      </c>
      <c r="U203" s="54">
        <f ca="1">MIN(100,MAX(0,MCDA_Prioritisation!$H$2+(RAND()-0.5)*2*$B$7))</f>
        <v>57.45516941154748</v>
      </c>
      <c r="V203" s="54">
        <f ca="1">MIN(100,MAX(0,MCDA_Prioritisation!$H$3+(RAND()-0.5)*2*$B$7))</f>
        <v>50.610734761758351</v>
      </c>
      <c r="W203" s="54">
        <f ca="1">MIN(100,MAX(0,MCDA_Prioritisation!$H$4+(RAND()-0.5)*2*$B$7))</f>
        <v>76.435022856580645</v>
      </c>
      <c r="X203" s="54">
        <f ca="1">MIN(100,MAX(0,MCDA_Prioritisation!$H$5+(RAND()-0.5)*2*$B$7))</f>
        <v>73.686139463061266</v>
      </c>
      <c r="Y203" s="54">
        <f ca="1">H203*MCDA_Prioritisation!$D$2+I203*MCDA_Prioritisation!$E$2+J203*M203+K203*Q203+L203*U203</f>
        <v>87.156858412292834</v>
      </c>
      <c r="Z203" s="54">
        <f ca="1">H203*MCDA_Prioritisation!$D$3+I203*MCDA_Prioritisation!$E$3+J203*N203+K203*R203+L203*V203</f>
        <v>78.933929969832121</v>
      </c>
      <c r="AA203" s="54">
        <f ca="1">H203*MCDA_Prioritisation!$D$4+I203*MCDA_Prioritisation!$E$4+J203*O203+K203*S203+L203*W203</f>
        <v>74.72404537208817</v>
      </c>
      <c r="AB203" s="54">
        <f ca="1">H203*MCDA_Prioritisation!$D$5+I203*MCDA_Prioritisation!$E$5+J203*P203+K203*T203+L203*X203</f>
        <v>69.600823718499058</v>
      </c>
      <c r="AC203" s="54">
        <f t="shared" ca="1" si="34"/>
        <v>1</v>
      </c>
      <c r="AD203" s="54">
        <f t="shared" ca="1" si="35"/>
        <v>2</v>
      </c>
      <c r="AE203" s="54">
        <f t="shared" ca="1" si="36"/>
        <v>3</v>
      </c>
      <c r="AF203" s="54">
        <f t="shared" ca="1" si="37"/>
        <v>4</v>
      </c>
      <c r="AG203" s="54">
        <f t="shared" ca="1" si="38"/>
        <v>1</v>
      </c>
      <c r="AH203" s="54">
        <f t="shared" ca="1" si="39"/>
        <v>1</v>
      </c>
      <c r="AI203" s="54">
        <f t="shared" ca="1" si="40"/>
        <v>1</v>
      </c>
      <c r="AJ203" s="54">
        <f t="shared" ca="1" si="41"/>
        <v>1</v>
      </c>
    </row>
    <row r="204" spans="1:36" x14ac:dyDescent="0.2">
      <c r="A204" s="54">
        <v>181</v>
      </c>
      <c r="B204" s="54">
        <f ca="1">MAX(0.02,MCDA_Prioritisation!$B$9+(RAND()-0.5)*2*$B$6)</f>
        <v>0.20575637094453617</v>
      </c>
      <c r="C204" s="54">
        <f ca="1">MAX(0.02,MCDA_Prioritisation!$B$10+(RAND()-0.5)*2*$B$6)</f>
        <v>0.25018291164978923</v>
      </c>
      <c r="D204" s="54">
        <f ca="1">MAX(0.02,MCDA_Prioritisation!$B$11+(RAND()-0.5)*2*$B$6)</f>
        <v>0.24400242113393841</v>
      </c>
      <c r="E204" s="54">
        <f ca="1">MAX(0.02,MCDA_Prioritisation!$B$12+(RAND()-0.5)*2*$B$6)</f>
        <v>8.6468901040736568E-2</v>
      </c>
      <c r="F204" s="54">
        <f ca="1">MAX(0.02,MCDA_Prioritisation!$B$13+(RAND()-0.5)*2*$B$6)</f>
        <v>0.11202095917928701</v>
      </c>
      <c r="G204" s="54">
        <f t="shared" ca="1" si="28"/>
        <v>0.89843156394828738</v>
      </c>
      <c r="H204" s="54">
        <f t="shared" ca="1" si="29"/>
        <v>0.22901729992689709</v>
      </c>
      <c r="I204" s="54">
        <f t="shared" ca="1" si="30"/>
        <v>0.27846629803423673</v>
      </c>
      <c r="J204" s="54">
        <f t="shared" ca="1" si="31"/>
        <v>0.2715870979216653</v>
      </c>
      <c r="K204" s="54">
        <f t="shared" ca="1" si="32"/>
        <v>9.6244282269799697E-2</v>
      </c>
      <c r="L204" s="54">
        <f t="shared" ca="1" si="33"/>
        <v>0.12468502184740116</v>
      </c>
      <c r="M204" s="54">
        <f ca="1">MIN(100,MAX(0,MCDA_Prioritisation!$F$2+(RAND()-0.5)*2*$B$7))</f>
        <v>91.643133975124115</v>
      </c>
      <c r="N204" s="54">
        <f ca="1">MIN(100,MAX(0,MCDA_Prioritisation!$F$3+(RAND()-0.5)*2*$B$7))</f>
        <v>100</v>
      </c>
      <c r="O204" s="54">
        <f ca="1">MIN(100,MAX(0,MCDA_Prioritisation!$F$4+(RAND()-0.5)*2*$B$7))</f>
        <v>92.189712444167753</v>
      </c>
      <c r="P204" s="54">
        <f ca="1">MIN(100,MAX(0,MCDA_Prioritisation!$F$5+(RAND()-0.5)*2*$B$7))</f>
        <v>74.756014439166719</v>
      </c>
      <c r="Q204" s="54">
        <f ca="1">MIN(100,MAX(0,MCDA_Prioritisation!$G$2+(RAND()-0.5)*2*$B$7))</f>
        <v>84.167945132566885</v>
      </c>
      <c r="R204" s="54">
        <f ca="1">MIN(100,MAX(0,MCDA_Prioritisation!$G$3+(RAND()-0.5)*2*$B$7))</f>
        <v>94.381973717277887</v>
      </c>
      <c r="S204" s="54">
        <f ca="1">MIN(100,MAX(0,MCDA_Prioritisation!$G$4+(RAND()-0.5)*2*$B$7))</f>
        <v>89.642147264524638</v>
      </c>
      <c r="T204" s="54">
        <f ca="1">MIN(100,MAX(0,MCDA_Prioritisation!$G$5+(RAND()-0.5)*2*$B$7))</f>
        <v>75.296039013696813</v>
      </c>
      <c r="U204" s="54">
        <f ca="1">MIN(100,MAX(0,MCDA_Prioritisation!$H$2+(RAND()-0.5)*2*$B$7))</f>
        <v>57.726769469330584</v>
      </c>
      <c r="V204" s="54">
        <f ca="1">MIN(100,MAX(0,MCDA_Prioritisation!$H$3+(RAND()-0.5)*2*$B$7))</f>
        <v>53.050803129733943</v>
      </c>
      <c r="W204" s="54">
        <f ca="1">MIN(100,MAX(0,MCDA_Prioritisation!$H$4+(RAND()-0.5)*2*$B$7))</f>
        <v>89.26177192952926</v>
      </c>
      <c r="X204" s="54">
        <f ca="1">MIN(100,MAX(0,MCDA_Prioritisation!$H$5+(RAND()-0.5)*2*$B$7))</f>
        <v>84.78178701647569</v>
      </c>
      <c r="Y204" s="54">
        <f ca="1">H204*MCDA_Prioritisation!$D$2+I204*MCDA_Prioritisation!$E$2+J204*M204+K204*Q204+L204*U204</f>
        <v>90.935799578734873</v>
      </c>
      <c r="Z204" s="54">
        <f ca="1">H204*MCDA_Prioritisation!$D$3+I204*MCDA_Prioritisation!$E$3+J204*N204+K204*R204+L204*V204</f>
        <v>83.124558210995119</v>
      </c>
      <c r="AA204" s="54">
        <f ca="1">H204*MCDA_Prioritisation!$D$4+I204*MCDA_Prioritisation!$E$4+J204*O204+K204*S204+L204*W204</f>
        <v>75.931175836251512</v>
      </c>
      <c r="AB204" s="54">
        <f ca="1">H204*MCDA_Prioritisation!$D$5+I204*MCDA_Prioritisation!$E$5+J204*P204+K204*T204+L204*X204</f>
        <v>73.692382343861226</v>
      </c>
      <c r="AC204" s="54">
        <f t="shared" ca="1" si="34"/>
        <v>1</v>
      </c>
      <c r="AD204" s="54">
        <f t="shared" ca="1" si="35"/>
        <v>2</v>
      </c>
      <c r="AE204" s="54">
        <f t="shared" ca="1" si="36"/>
        <v>3</v>
      </c>
      <c r="AF204" s="54">
        <f t="shared" ca="1" si="37"/>
        <v>4</v>
      </c>
      <c r="AG204" s="54">
        <f t="shared" ca="1" si="38"/>
        <v>1</v>
      </c>
      <c r="AH204" s="54">
        <f t="shared" ca="1" si="39"/>
        <v>1</v>
      </c>
      <c r="AI204" s="54">
        <f t="shared" ca="1" si="40"/>
        <v>1</v>
      </c>
      <c r="AJ204" s="54">
        <f t="shared" ca="1" si="41"/>
        <v>1</v>
      </c>
    </row>
    <row r="205" spans="1:36" x14ac:dyDescent="0.2">
      <c r="A205" s="54">
        <v>182</v>
      </c>
      <c r="B205" s="54">
        <f ca="1">MAX(0.02,MCDA_Prioritisation!$B$9+(RAND()-0.5)*2*$B$6)</f>
        <v>0.21879758663209875</v>
      </c>
      <c r="C205" s="54">
        <f ca="1">MAX(0.02,MCDA_Prioritisation!$B$10+(RAND()-0.5)*2*$B$6)</f>
        <v>0.28734611385318426</v>
      </c>
      <c r="D205" s="54">
        <f ca="1">MAX(0.02,MCDA_Prioritisation!$B$11+(RAND()-0.5)*2*$B$6)</f>
        <v>0.22953540400673009</v>
      </c>
      <c r="E205" s="54">
        <f ca="1">MAX(0.02,MCDA_Prioritisation!$B$12+(RAND()-0.5)*2*$B$6)</f>
        <v>8.8947401583542113E-2</v>
      </c>
      <c r="F205" s="54">
        <f ca="1">MAX(0.02,MCDA_Prioritisation!$B$13+(RAND()-0.5)*2*$B$6)</f>
        <v>0.17663068292937001</v>
      </c>
      <c r="G205" s="54">
        <f t="shared" ca="1" si="28"/>
        <v>1.0012571890049253</v>
      </c>
      <c r="H205" s="54">
        <f t="shared" ca="1" si="29"/>
        <v>0.21852286209255117</v>
      </c>
      <c r="I205" s="54">
        <f t="shared" ca="1" si="30"/>
        <v>0.28698531906548014</v>
      </c>
      <c r="J205" s="54">
        <f t="shared" ca="1" si="31"/>
        <v>0.22924719695131293</v>
      </c>
      <c r="K205" s="54">
        <f t="shared" ca="1" si="32"/>
        <v>8.8835718295256674E-2</v>
      </c>
      <c r="L205" s="54">
        <f t="shared" ca="1" si="33"/>
        <v>0.17640890359539893</v>
      </c>
      <c r="M205" s="54">
        <f ca="1">MIN(100,MAX(0,MCDA_Prioritisation!$F$2+(RAND()-0.5)*2*$B$7))</f>
        <v>90.589234923893102</v>
      </c>
      <c r="N205" s="54">
        <f ca="1">MIN(100,MAX(0,MCDA_Prioritisation!$F$3+(RAND()-0.5)*2*$B$7))</f>
        <v>95.545790755813442</v>
      </c>
      <c r="O205" s="54">
        <f ca="1">MIN(100,MAX(0,MCDA_Prioritisation!$F$4+(RAND()-0.5)*2*$B$7))</f>
        <v>81.429329104352291</v>
      </c>
      <c r="P205" s="54">
        <f ca="1">MIN(100,MAX(0,MCDA_Prioritisation!$F$5+(RAND()-0.5)*2*$B$7))</f>
        <v>75.34139177057277</v>
      </c>
      <c r="Q205" s="54">
        <f ca="1">MIN(100,MAX(0,MCDA_Prioritisation!$G$2+(RAND()-0.5)*2*$B$7))</f>
        <v>85.463906732069901</v>
      </c>
      <c r="R205" s="54">
        <f ca="1">MIN(100,MAX(0,MCDA_Prioritisation!$G$3+(RAND()-0.5)*2*$B$7))</f>
        <v>90.64499438653408</v>
      </c>
      <c r="S205" s="54">
        <f ca="1">MIN(100,MAX(0,MCDA_Prioritisation!$G$4+(RAND()-0.5)*2*$B$7))</f>
        <v>89.576950347799695</v>
      </c>
      <c r="T205" s="54">
        <f ca="1">MIN(100,MAX(0,MCDA_Prioritisation!$G$5+(RAND()-0.5)*2*$B$7))</f>
        <v>68.918179634943471</v>
      </c>
      <c r="U205" s="54">
        <f ca="1">MIN(100,MAX(0,MCDA_Prioritisation!$H$2+(RAND()-0.5)*2*$B$7))</f>
        <v>64.138827415484727</v>
      </c>
      <c r="V205" s="54">
        <f ca="1">MIN(100,MAX(0,MCDA_Prioritisation!$H$3+(RAND()-0.5)*2*$B$7))</f>
        <v>58.307781752741747</v>
      </c>
      <c r="W205" s="54">
        <f ca="1">MIN(100,MAX(0,MCDA_Prioritisation!$H$4+(RAND()-0.5)*2*$B$7))</f>
        <v>71.09918222319159</v>
      </c>
      <c r="X205" s="54">
        <f ca="1">MIN(100,MAX(0,MCDA_Prioritisation!$H$5+(RAND()-0.5)*2*$B$7))</f>
        <v>81.311872654246429</v>
      </c>
      <c r="Y205" s="54">
        <f ca="1">H205*MCDA_Prioritisation!$D$2+I205*MCDA_Prioritisation!$E$2+J205*M205+K205*Q205+L205*U205</f>
        <v>90.225054061192026</v>
      </c>
      <c r="Z205" s="54">
        <f ca="1">H205*MCDA_Prioritisation!$D$3+I205*MCDA_Prioritisation!$E$3+J205*N205+K205*R205+L205*V205</f>
        <v>80.211996768870875</v>
      </c>
      <c r="AA205" s="54">
        <f ca="1">H205*MCDA_Prioritisation!$D$4+I205*MCDA_Prioritisation!$E$4+J205*O205+K205*S205+L205*W205</f>
        <v>70.037999139961201</v>
      </c>
      <c r="AB205" s="54">
        <f ca="1">H205*MCDA_Prioritisation!$D$5+I205*MCDA_Prioritisation!$E$5+J205*P205+K205*T205+L205*X205</f>
        <v>73.469488901449253</v>
      </c>
      <c r="AC205" s="54">
        <f t="shared" ca="1" si="34"/>
        <v>1</v>
      </c>
      <c r="AD205" s="54">
        <f t="shared" ca="1" si="35"/>
        <v>2</v>
      </c>
      <c r="AE205" s="54">
        <f t="shared" ca="1" si="36"/>
        <v>4</v>
      </c>
      <c r="AF205" s="54">
        <f t="shared" ca="1" si="37"/>
        <v>3</v>
      </c>
      <c r="AG205" s="54">
        <f t="shared" ca="1" si="38"/>
        <v>1</v>
      </c>
      <c r="AH205" s="54">
        <f t="shared" ca="1" si="39"/>
        <v>1</v>
      </c>
      <c r="AI205" s="54">
        <f t="shared" ca="1" si="40"/>
        <v>0</v>
      </c>
      <c r="AJ205" s="54">
        <f t="shared" ca="1" si="41"/>
        <v>1</v>
      </c>
    </row>
    <row r="206" spans="1:36" x14ac:dyDescent="0.2">
      <c r="A206" s="54">
        <v>183</v>
      </c>
      <c r="B206" s="54">
        <f ca="1">MAX(0.02,MCDA_Prioritisation!$B$9+(RAND()-0.5)*2*$B$6)</f>
        <v>0.15603814265606417</v>
      </c>
      <c r="C206" s="54">
        <f ca="1">MAX(0.02,MCDA_Prioritisation!$B$10+(RAND()-0.5)*2*$B$6)</f>
        <v>0.18957077102260764</v>
      </c>
      <c r="D206" s="54">
        <f ca="1">MAX(0.02,MCDA_Prioritisation!$B$11+(RAND()-0.5)*2*$B$6)</f>
        <v>0.30074144248656759</v>
      </c>
      <c r="E206" s="54">
        <f ca="1">MAX(0.02,MCDA_Prioritisation!$B$12+(RAND()-0.5)*2*$B$6)</f>
        <v>0.13453853710050137</v>
      </c>
      <c r="F206" s="54">
        <f ca="1">MAX(0.02,MCDA_Prioritisation!$B$13+(RAND()-0.5)*2*$B$6)</f>
        <v>9.8971462655297424E-2</v>
      </c>
      <c r="G206" s="54">
        <f t="shared" ca="1" si="28"/>
        <v>0.87986035592103817</v>
      </c>
      <c r="H206" s="54">
        <f t="shared" ca="1" si="29"/>
        <v>0.17734421332431027</v>
      </c>
      <c r="I206" s="54">
        <f t="shared" ca="1" si="30"/>
        <v>0.21545552057992756</v>
      </c>
      <c r="J206" s="54">
        <f t="shared" ca="1" si="31"/>
        <v>0.34180587915198352</v>
      </c>
      <c r="K206" s="54">
        <f t="shared" ca="1" si="32"/>
        <v>0.15290896583204544</v>
      </c>
      <c r="L206" s="54">
        <f t="shared" ca="1" si="33"/>
        <v>0.11248542111173318</v>
      </c>
      <c r="M206" s="54">
        <f ca="1">MIN(100,MAX(0,MCDA_Prioritisation!$F$2+(RAND()-0.5)*2*$B$7))</f>
        <v>81.522192363683033</v>
      </c>
      <c r="N206" s="54">
        <f ca="1">MIN(100,MAX(0,MCDA_Prioritisation!$F$3+(RAND()-0.5)*2*$B$7))</f>
        <v>85.648171897512967</v>
      </c>
      <c r="O206" s="54">
        <f ca="1">MIN(100,MAX(0,MCDA_Prioritisation!$F$4+(RAND()-0.5)*2*$B$7))</f>
        <v>94.834803464187203</v>
      </c>
      <c r="P206" s="54">
        <f ca="1">MIN(100,MAX(0,MCDA_Prioritisation!$F$5+(RAND()-0.5)*2*$B$7))</f>
        <v>67.641152450319098</v>
      </c>
      <c r="Q206" s="54">
        <f ca="1">MIN(100,MAX(0,MCDA_Prioritisation!$G$2+(RAND()-0.5)*2*$B$7))</f>
        <v>81.991887165670505</v>
      </c>
      <c r="R206" s="54">
        <f ca="1">MIN(100,MAX(0,MCDA_Prioritisation!$G$3+(RAND()-0.5)*2*$B$7))</f>
        <v>100</v>
      </c>
      <c r="S206" s="54">
        <f ca="1">MIN(100,MAX(0,MCDA_Prioritisation!$G$4+(RAND()-0.5)*2*$B$7))</f>
        <v>84.812526526087026</v>
      </c>
      <c r="T206" s="54">
        <f ca="1">MIN(100,MAX(0,MCDA_Prioritisation!$G$5+(RAND()-0.5)*2*$B$7))</f>
        <v>75.502211268055163</v>
      </c>
      <c r="U206" s="54">
        <f ca="1">MIN(100,MAX(0,MCDA_Prioritisation!$H$2+(RAND()-0.5)*2*$B$7))</f>
        <v>65.218120958117723</v>
      </c>
      <c r="V206" s="54">
        <f ca="1">MIN(100,MAX(0,MCDA_Prioritisation!$H$3+(RAND()-0.5)*2*$B$7))</f>
        <v>62.860093138717737</v>
      </c>
      <c r="W206" s="54">
        <f ca="1">MIN(100,MAX(0,MCDA_Prioritisation!$H$4+(RAND()-0.5)*2*$B$7))</f>
        <v>78.39534267233276</v>
      </c>
      <c r="X206" s="54">
        <f ca="1">MIN(100,MAX(0,MCDA_Prioritisation!$H$5+(RAND()-0.5)*2*$B$7))</f>
        <v>73.573068847056888</v>
      </c>
      <c r="Y206" s="54">
        <f ca="1">H206*MCDA_Prioritisation!$D$2+I206*MCDA_Prioritisation!$E$2+J206*M206+K206*Q206+L206*U206</f>
        <v>87.018120494899847</v>
      </c>
      <c r="Z206" s="54">
        <f ca="1">H206*MCDA_Prioritisation!$D$3+I206*MCDA_Prioritisation!$E$3+J206*N206+K206*R206+L206*V206</f>
        <v>82.805605435625765</v>
      </c>
      <c r="AA206" s="54">
        <f ca="1">H206*MCDA_Prioritisation!$D$4+I206*MCDA_Prioritisation!$E$4+J206*O206+K206*S206+L206*W206</f>
        <v>78.303350011149504</v>
      </c>
      <c r="AB206" s="54">
        <f ca="1">H206*MCDA_Prioritisation!$D$5+I206*MCDA_Prioritisation!$E$5+J206*P206+K206*T206+L206*X206</f>
        <v>70.471558776072868</v>
      </c>
      <c r="AC206" s="54">
        <f t="shared" ca="1" si="34"/>
        <v>1</v>
      </c>
      <c r="AD206" s="54">
        <f t="shared" ca="1" si="35"/>
        <v>2</v>
      </c>
      <c r="AE206" s="54">
        <f t="shared" ca="1" si="36"/>
        <v>3</v>
      </c>
      <c r="AF206" s="54">
        <f t="shared" ca="1" si="37"/>
        <v>4</v>
      </c>
      <c r="AG206" s="54">
        <f t="shared" ca="1" si="38"/>
        <v>1</v>
      </c>
      <c r="AH206" s="54">
        <f t="shared" ca="1" si="39"/>
        <v>1</v>
      </c>
      <c r="AI206" s="54">
        <f t="shared" ca="1" si="40"/>
        <v>1</v>
      </c>
      <c r="AJ206" s="54">
        <f t="shared" ca="1" si="41"/>
        <v>1</v>
      </c>
    </row>
    <row r="207" spans="1:36" x14ac:dyDescent="0.2">
      <c r="A207" s="54">
        <v>184</v>
      </c>
      <c r="B207" s="54">
        <f ca="1">MAX(0.02,MCDA_Prioritisation!$B$9+(RAND()-0.5)*2*$B$6)</f>
        <v>0.20984003327751222</v>
      </c>
      <c r="C207" s="54">
        <f ca="1">MAX(0.02,MCDA_Prioritisation!$B$10+(RAND()-0.5)*2*$B$6)</f>
        <v>0.18126438201395262</v>
      </c>
      <c r="D207" s="54">
        <f ca="1">MAX(0.02,MCDA_Prioritisation!$B$11+(RAND()-0.5)*2*$B$6)</f>
        <v>0.27579614904158656</v>
      </c>
      <c r="E207" s="54">
        <f ca="1">MAX(0.02,MCDA_Prioritisation!$B$12+(RAND()-0.5)*2*$B$6)</f>
        <v>0.146809959910814</v>
      </c>
      <c r="F207" s="54">
        <f ca="1">MAX(0.02,MCDA_Prioritisation!$B$13+(RAND()-0.5)*2*$B$6)</f>
        <v>0.19492351580979675</v>
      </c>
      <c r="G207" s="54">
        <f t="shared" ca="1" si="28"/>
        <v>1.0086340400536622</v>
      </c>
      <c r="H207" s="54">
        <f t="shared" ca="1" si="29"/>
        <v>0.20804377499132207</v>
      </c>
      <c r="I207" s="54">
        <f t="shared" ca="1" si="30"/>
        <v>0.17971273506128035</v>
      </c>
      <c r="J207" s="54">
        <f t="shared" ca="1" si="31"/>
        <v>0.27343529772891012</v>
      </c>
      <c r="K207" s="54">
        <f t="shared" ca="1" si="32"/>
        <v>0.14555324734331124</v>
      </c>
      <c r="L207" s="54">
        <f t="shared" ca="1" si="33"/>
        <v>0.19325494487517619</v>
      </c>
      <c r="M207" s="54">
        <f ca="1">MIN(100,MAX(0,MCDA_Prioritisation!$F$2+(RAND()-0.5)*2*$B$7))</f>
        <v>88.029491833548704</v>
      </c>
      <c r="N207" s="54">
        <f ca="1">MIN(100,MAX(0,MCDA_Prioritisation!$F$3+(RAND()-0.5)*2*$B$7))</f>
        <v>86.688924872576095</v>
      </c>
      <c r="O207" s="54">
        <f ca="1">MIN(100,MAX(0,MCDA_Prioritisation!$F$4+(RAND()-0.5)*2*$B$7))</f>
        <v>97.403746698099638</v>
      </c>
      <c r="P207" s="54">
        <f ca="1">MIN(100,MAX(0,MCDA_Prioritisation!$F$5+(RAND()-0.5)*2*$B$7))</f>
        <v>81.892089803187844</v>
      </c>
      <c r="Q207" s="54">
        <f ca="1">MIN(100,MAX(0,MCDA_Prioritisation!$G$2+(RAND()-0.5)*2*$B$7))</f>
        <v>77.896004043491331</v>
      </c>
      <c r="R207" s="54">
        <f ca="1">MIN(100,MAX(0,MCDA_Prioritisation!$G$3+(RAND()-0.5)*2*$B$7))</f>
        <v>87.16828754280921</v>
      </c>
      <c r="S207" s="54">
        <f ca="1">MIN(100,MAX(0,MCDA_Prioritisation!$G$4+(RAND()-0.5)*2*$B$7))</f>
        <v>92.425847823230455</v>
      </c>
      <c r="T207" s="54">
        <f ca="1">MIN(100,MAX(0,MCDA_Prioritisation!$G$5+(RAND()-0.5)*2*$B$7))</f>
        <v>63.610430334830042</v>
      </c>
      <c r="U207" s="54">
        <f ca="1">MIN(100,MAX(0,MCDA_Prioritisation!$H$2+(RAND()-0.5)*2*$B$7))</f>
        <v>67.198956548853317</v>
      </c>
      <c r="V207" s="54">
        <f ca="1">MIN(100,MAX(0,MCDA_Prioritisation!$H$3+(RAND()-0.5)*2*$B$7))</f>
        <v>56.142575541638436</v>
      </c>
      <c r="W207" s="54">
        <f ca="1">MIN(100,MAX(0,MCDA_Prioritisation!$H$4+(RAND()-0.5)*2*$B$7))</f>
        <v>73.146824799514931</v>
      </c>
      <c r="X207" s="54">
        <f ca="1">MIN(100,MAX(0,MCDA_Prioritisation!$H$5+(RAND()-0.5)*2*$B$7))</f>
        <v>78.438706497932074</v>
      </c>
      <c r="Y207" s="54">
        <f ca="1">H207*MCDA_Prioritisation!$D$2+I207*MCDA_Prioritisation!$E$2+J207*M207+K207*Q207+L207*U207</f>
        <v>87.170568300807176</v>
      </c>
      <c r="Z207" s="54">
        <f ca="1">H207*MCDA_Prioritisation!$D$3+I207*MCDA_Prioritisation!$E$3+J207*N207+K207*R207+L207*V207</f>
        <v>78.493655098308977</v>
      </c>
      <c r="AA207" s="54">
        <f ca="1">H207*MCDA_Prioritisation!$D$4+I207*MCDA_Prioritisation!$E$4+J207*O207+K207*S207+L207*W207</f>
        <v>78.511948667518666</v>
      </c>
      <c r="AB207" s="54">
        <f ca="1">H207*MCDA_Prioritisation!$D$5+I207*MCDA_Prioritisation!$E$5+J207*P207+K207*T207+L207*X207</f>
        <v>72.963876303531578</v>
      </c>
      <c r="AC207" s="54">
        <f t="shared" ca="1" si="34"/>
        <v>1</v>
      </c>
      <c r="AD207" s="54">
        <f t="shared" ca="1" si="35"/>
        <v>3</v>
      </c>
      <c r="AE207" s="54">
        <f t="shared" ca="1" si="36"/>
        <v>2</v>
      </c>
      <c r="AF207" s="54">
        <f t="shared" ca="1" si="37"/>
        <v>4</v>
      </c>
      <c r="AG207" s="54">
        <f t="shared" ca="1" si="38"/>
        <v>1</v>
      </c>
      <c r="AH207" s="54">
        <f t="shared" ca="1" si="39"/>
        <v>0</v>
      </c>
      <c r="AI207" s="54">
        <f t="shared" ca="1" si="40"/>
        <v>0</v>
      </c>
      <c r="AJ207" s="54">
        <f t="shared" ca="1" si="41"/>
        <v>0</v>
      </c>
    </row>
    <row r="208" spans="1:36" x14ac:dyDescent="0.2">
      <c r="A208" s="54">
        <v>185</v>
      </c>
      <c r="B208" s="54">
        <f ca="1">MAX(0.02,MCDA_Prioritisation!$B$9+(RAND()-0.5)*2*$B$6)</f>
        <v>0.20848681613161713</v>
      </c>
      <c r="C208" s="54">
        <f ca="1">MAX(0.02,MCDA_Prioritisation!$B$10+(RAND()-0.5)*2*$B$6)</f>
        <v>0.25356630756408266</v>
      </c>
      <c r="D208" s="54">
        <f ca="1">MAX(0.02,MCDA_Prioritisation!$B$11+(RAND()-0.5)*2*$B$6)</f>
        <v>0.31557595418204648</v>
      </c>
      <c r="E208" s="54">
        <f ca="1">MAX(0.02,MCDA_Prioritisation!$B$12+(RAND()-0.5)*2*$B$6)</f>
        <v>0.13278869128966525</v>
      </c>
      <c r="F208" s="54">
        <f ca="1">MAX(0.02,MCDA_Prioritisation!$B$13+(RAND()-0.5)*2*$B$6)</f>
        <v>8.0105772932285518E-2</v>
      </c>
      <c r="G208" s="54">
        <f t="shared" ca="1" si="28"/>
        <v>0.99052354209969706</v>
      </c>
      <c r="H208" s="54">
        <f t="shared" ca="1" si="29"/>
        <v>0.2104814345852597</v>
      </c>
      <c r="I208" s="54">
        <f t="shared" ca="1" si="30"/>
        <v>0.25599220693591651</v>
      </c>
      <c r="J208" s="54">
        <f t="shared" ca="1" si="31"/>
        <v>0.31859510730365204</v>
      </c>
      <c r="K208" s="54">
        <f t="shared" ca="1" si="32"/>
        <v>0.13405909667546292</v>
      </c>
      <c r="L208" s="54">
        <f t="shared" ca="1" si="33"/>
        <v>8.0872154499708804E-2</v>
      </c>
      <c r="M208" s="54">
        <f ca="1">MIN(100,MAX(0,MCDA_Prioritisation!$F$2+(RAND()-0.5)*2*$B$7))</f>
        <v>82.061878828786149</v>
      </c>
      <c r="N208" s="54">
        <f ca="1">MIN(100,MAX(0,MCDA_Prioritisation!$F$3+(RAND()-0.5)*2*$B$7))</f>
        <v>90.136222907433691</v>
      </c>
      <c r="O208" s="54">
        <f ca="1">MIN(100,MAX(0,MCDA_Prioritisation!$F$4+(RAND()-0.5)*2*$B$7))</f>
        <v>83.499024295472111</v>
      </c>
      <c r="P208" s="54">
        <f ca="1">MIN(100,MAX(0,MCDA_Prioritisation!$F$5+(RAND()-0.5)*2*$B$7))</f>
        <v>81.776780818196755</v>
      </c>
      <c r="Q208" s="54">
        <f ca="1">MIN(100,MAX(0,MCDA_Prioritisation!$G$2+(RAND()-0.5)*2*$B$7))</f>
        <v>77.47258284274568</v>
      </c>
      <c r="R208" s="54">
        <f ca="1">MIN(100,MAX(0,MCDA_Prioritisation!$G$3+(RAND()-0.5)*2*$B$7))</f>
        <v>98.163788097794779</v>
      </c>
      <c r="S208" s="54">
        <f ca="1">MIN(100,MAX(0,MCDA_Prioritisation!$G$4+(RAND()-0.5)*2*$B$7))</f>
        <v>82.175752516505042</v>
      </c>
      <c r="T208" s="54">
        <f ca="1">MIN(100,MAX(0,MCDA_Prioritisation!$G$5+(RAND()-0.5)*2*$B$7))</f>
        <v>72.185863459739124</v>
      </c>
      <c r="U208" s="54">
        <f ca="1">MIN(100,MAX(0,MCDA_Prioritisation!$H$2+(RAND()-0.5)*2*$B$7))</f>
        <v>63.851825278457561</v>
      </c>
      <c r="V208" s="54">
        <f ca="1">MIN(100,MAX(0,MCDA_Prioritisation!$H$3+(RAND()-0.5)*2*$B$7))</f>
        <v>50.613232271761362</v>
      </c>
      <c r="W208" s="54">
        <f ca="1">MIN(100,MAX(0,MCDA_Prioritisation!$H$4+(RAND()-0.5)*2*$B$7))</f>
        <v>83.692734336133938</v>
      </c>
      <c r="X208" s="54">
        <f ca="1">MIN(100,MAX(0,MCDA_Prioritisation!$H$5+(RAND()-0.5)*2*$B$7))</f>
        <v>79.068282398786209</v>
      </c>
      <c r="Y208" s="54">
        <f ca="1">H208*MCDA_Prioritisation!$D$2+I208*MCDA_Prioritisation!$E$2+J208*M208+K208*Q208+L208*U208</f>
        <v>88.341616395135318</v>
      </c>
      <c r="Z208" s="54">
        <f ca="1">H208*MCDA_Prioritisation!$D$3+I208*MCDA_Prioritisation!$E$3+J208*N208+K208*R208+L208*V208</f>
        <v>82.982936663319919</v>
      </c>
      <c r="AA208" s="54">
        <f ca="1">H208*MCDA_Prioritisation!$D$4+I208*MCDA_Prioritisation!$E$4+J208*O208+K208*S208+L208*W208</f>
        <v>73.007100553532169</v>
      </c>
      <c r="AB208" s="54">
        <f ca="1">H208*MCDA_Prioritisation!$D$5+I208*MCDA_Prioritisation!$E$5+J208*P208+K208*T208+L208*X208</f>
        <v>74.823383091072671</v>
      </c>
      <c r="AC208" s="54">
        <f t="shared" ca="1" si="34"/>
        <v>1</v>
      </c>
      <c r="AD208" s="54">
        <f t="shared" ca="1" si="35"/>
        <v>2</v>
      </c>
      <c r="AE208" s="54">
        <f t="shared" ca="1" si="36"/>
        <v>4</v>
      </c>
      <c r="AF208" s="54">
        <f t="shared" ca="1" si="37"/>
        <v>3</v>
      </c>
      <c r="AG208" s="54">
        <f t="shared" ca="1" si="38"/>
        <v>1</v>
      </c>
      <c r="AH208" s="54">
        <f t="shared" ca="1" si="39"/>
        <v>1</v>
      </c>
      <c r="AI208" s="54">
        <f t="shared" ca="1" si="40"/>
        <v>0</v>
      </c>
      <c r="AJ208" s="54">
        <f t="shared" ca="1" si="41"/>
        <v>1</v>
      </c>
    </row>
    <row r="209" spans="1:36" x14ac:dyDescent="0.2">
      <c r="A209" s="54">
        <v>186</v>
      </c>
      <c r="B209" s="54">
        <f ca="1">MAX(0.02,MCDA_Prioritisation!$B$9+(RAND()-0.5)*2*$B$6)</f>
        <v>0.14117815270973866</v>
      </c>
      <c r="C209" s="54">
        <f ca="1">MAX(0.02,MCDA_Prioritisation!$B$10+(RAND()-0.5)*2*$B$6)</f>
        <v>0.19412781258230111</v>
      </c>
      <c r="D209" s="54">
        <f ca="1">MAX(0.02,MCDA_Prioritisation!$B$11+(RAND()-0.5)*2*$B$6)</f>
        <v>0.17947378553284699</v>
      </c>
      <c r="E209" s="54">
        <f ca="1">MAX(0.02,MCDA_Prioritisation!$B$12+(RAND()-0.5)*2*$B$6)</f>
        <v>0.17931558395449712</v>
      </c>
      <c r="F209" s="54">
        <f ca="1">MAX(0.02,MCDA_Prioritisation!$B$13+(RAND()-0.5)*2*$B$6)</f>
        <v>9.3948150271127184E-2</v>
      </c>
      <c r="G209" s="54">
        <f t="shared" ca="1" si="28"/>
        <v>0.78804348505051114</v>
      </c>
      <c r="H209" s="54">
        <f t="shared" ca="1" si="29"/>
        <v>0.17915020603296983</v>
      </c>
      <c r="I209" s="54">
        <f t="shared" ca="1" si="30"/>
        <v>0.246341497982003</v>
      </c>
      <c r="J209" s="54">
        <f t="shared" ca="1" si="31"/>
        <v>0.22774604312773841</v>
      </c>
      <c r="K209" s="54">
        <f t="shared" ca="1" si="32"/>
        <v>0.22754529078176891</v>
      </c>
      <c r="L209" s="54">
        <f t="shared" ca="1" si="33"/>
        <v>0.11921696207551973</v>
      </c>
      <c r="M209" s="54">
        <f ca="1">MIN(100,MAX(0,MCDA_Prioritisation!$F$2+(RAND()-0.5)*2*$B$7))</f>
        <v>92.531518187737092</v>
      </c>
      <c r="N209" s="54">
        <f ca="1">MIN(100,MAX(0,MCDA_Prioritisation!$F$3+(RAND()-0.5)*2*$B$7))</f>
        <v>100</v>
      </c>
      <c r="O209" s="54">
        <f ca="1">MIN(100,MAX(0,MCDA_Prioritisation!$F$4+(RAND()-0.5)*2*$B$7))</f>
        <v>90.805585025828591</v>
      </c>
      <c r="P209" s="54">
        <f ca="1">MIN(100,MAX(0,MCDA_Prioritisation!$F$5+(RAND()-0.5)*2*$B$7))</f>
        <v>67.205266110084779</v>
      </c>
      <c r="Q209" s="54">
        <f ca="1">MIN(100,MAX(0,MCDA_Prioritisation!$G$2+(RAND()-0.5)*2*$B$7))</f>
        <v>89.783470809389826</v>
      </c>
      <c r="R209" s="54">
        <f ca="1">MIN(100,MAX(0,MCDA_Prioritisation!$G$3+(RAND()-0.5)*2*$B$7))</f>
        <v>100</v>
      </c>
      <c r="S209" s="54">
        <f ca="1">MIN(100,MAX(0,MCDA_Prioritisation!$G$4+(RAND()-0.5)*2*$B$7))</f>
        <v>76.075792599122678</v>
      </c>
      <c r="T209" s="54">
        <f ca="1">MIN(100,MAX(0,MCDA_Prioritisation!$G$5+(RAND()-0.5)*2*$B$7))</f>
        <v>73.342991454852978</v>
      </c>
      <c r="U209" s="54">
        <f ca="1">MIN(100,MAX(0,MCDA_Prioritisation!$H$2+(RAND()-0.5)*2*$B$7))</f>
        <v>57.86087110888257</v>
      </c>
      <c r="V209" s="54">
        <f ca="1">MIN(100,MAX(0,MCDA_Prioritisation!$H$3+(RAND()-0.5)*2*$B$7))</f>
        <v>53.680077182296237</v>
      </c>
      <c r="W209" s="54">
        <f ca="1">MIN(100,MAX(0,MCDA_Prioritisation!$H$4+(RAND()-0.5)*2*$B$7))</f>
        <v>82.789940198342663</v>
      </c>
      <c r="X209" s="54">
        <f ca="1">MIN(100,MAX(0,MCDA_Prioritisation!$H$5+(RAND()-0.5)*2*$B$7))</f>
        <v>80.621823179928256</v>
      </c>
      <c r="Y209" s="54">
        <f ca="1">H209*MCDA_Prioritisation!$D$2+I209*MCDA_Prioritisation!$E$2+J209*M209+K209*Q209+L209*U209</f>
        <v>90.950660782720021</v>
      </c>
      <c r="Z209" s="54">
        <f ca="1">H209*MCDA_Prioritisation!$D$3+I209*MCDA_Prioritisation!$E$3+J209*N209+K209*R209+L209*V209</f>
        <v>85.501616184436159</v>
      </c>
      <c r="AA209" s="54">
        <f ca="1">H209*MCDA_Prioritisation!$D$4+I209*MCDA_Prioritisation!$E$4+J209*O209+K209*S209+L209*W209</f>
        <v>73.773042369275771</v>
      </c>
      <c r="AB209" s="54">
        <f ca="1">H209*MCDA_Prioritisation!$D$5+I209*MCDA_Prioritisation!$E$5+J209*P209+K209*T209+L209*X209</f>
        <v>71.829711696907793</v>
      </c>
      <c r="AC209" s="54">
        <f t="shared" ca="1" si="34"/>
        <v>1</v>
      </c>
      <c r="AD209" s="54">
        <f t="shared" ca="1" si="35"/>
        <v>2</v>
      </c>
      <c r="AE209" s="54">
        <f t="shared" ca="1" si="36"/>
        <v>3</v>
      </c>
      <c r="AF209" s="54">
        <f t="shared" ca="1" si="37"/>
        <v>4</v>
      </c>
      <c r="AG209" s="54">
        <f t="shared" ca="1" si="38"/>
        <v>1</v>
      </c>
      <c r="AH209" s="54">
        <f t="shared" ca="1" si="39"/>
        <v>1</v>
      </c>
      <c r="AI209" s="54">
        <f t="shared" ca="1" si="40"/>
        <v>1</v>
      </c>
      <c r="AJ209" s="54">
        <f t="shared" ca="1" si="41"/>
        <v>1</v>
      </c>
    </row>
    <row r="210" spans="1:36" x14ac:dyDescent="0.2">
      <c r="A210" s="54">
        <v>187</v>
      </c>
      <c r="B210" s="54">
        <f ca="1">MAX(0.02,MCDA_Prioritisation!$B$9+(RAND()-0.5)*2*$B$6)</f>
        <v>0.14432847041633456</v>
      </c>
      <c r="C210" s="54">
        <f ca="1">MAX(0.02,MCDA_Prioritisation!$B$10+(RAND()-0.5)*2*$B$6)</f>
        <v>0.18911183047279134</v>
      </c>
      <c r="D210" s="54">
        <f ca="1">MAX(0.02,MCDA_Prioritisation!$B$11+(RAND()-0.5)*2*$B$6)</f>
        <v>0.17886370299937998</v>
      </c>
      <c r="E210" s="54">
        <f ca="1">MAX(0.02,MCDA_Prioritisation!$B$12+(RAND()-0.5)*2*$B$6)</f>
        <v>0.21142685108987624</v>
      </c>
      <c r="F210" s="54">
        <f ca="1">MAX(0.02,MCDA_Prioritisation!$B$13+(RAND()-0.5)*2*$B$6)</f>
        <v>0.18740703804426001</v>
      </c>
      <c r="G210" s="54">
        <f t="shared" ca="1" si="28"/>
        <v>0.91113789302264214</v>
      </c>
      <c r="H210" s="54">
        <f t="shared" ca="1" si="29"/>
        <v>0.1584046405287064</v>
      </c>
      <c r="I210" s="54">
        <f t="shared" ca="1" si="30"/>
        <v>0.20755566409978279</v>
      </c>
      <c r="J210" s="54">
        <f t="shared" ca="1" si="31"/>
        <v>0.1963080499330469</v>
      </c>
      <c r="K210" s="54">
        <f t="shared" ca="1" si="32"/>
        <v>0.23204703998039317</v>
      </c>
      <c r="L210" s="54">
        <f t="shared" ca="1" si="33"/>
        <v>0.20568460545807074</v>
      </c>
      <c r="M210" s="54">
        <f ca="1">MIN(100,MAX(0,MCDA_Prioritisation!$F$2+(RAND()-0.5)*2*$B$7))</f>
        <v>77.562615799990951</v>
      </c>
      <c r="N210" s="54">
        <f ca="1">MIN(100,MAX(0,MCDA_Prioritisation!$F$3+(RAND()-0.5)*2*$B$7))</f>
        <v>100</v>
      </c>
      <c r="O210" s="54">
        <f ca="1">MIN(100,MAX(0,MCDA_Prioritisation!$F$4+(RAND()-0.5)*2*$B$7))</f>
        <v>85.42774606222585</v>
      </c>
      <c r="P210" s="54">
        <f ca="1">MIN(100,MAX(0,MCDA_Prioritisation!$F$5+(RAND()-0.5)*2*$B$7))</f>
        <v>70.689292314087211</v>
      </c>
      <c r="Q210" s="54">
        <f ca="1">MIN(100,MAX(0,MCDA_Prioritisation!$G$2+(RAND()-0.5)*2*$B$7))</f>
        <v>77.651938567988296</v>
      </c>
      <c r="R210" s="54">
        <f ca="1">MIN(100,MAX(0,MCDA_Prioritisation!$G$3+(RAND()-0.5)*2*$B$7))</f>
        <v>96.994190835934759</v>
      </c>
      <c r="S210" s="54">
        <f ca="1">MIN(100,MAX(0,MCDA_Prioritisation!$G$4+(RAND()-0.5)*2*$B$7))</f>
        <v>79.999946195910056</v>
      </c>
      <c r="T210" s="54">
        <f ca="1">MIN(100,MAX(0,MCDA_Prioritisation!$G$5+(RAND()-0.5)*2*$B$7))</f>
        <v>62.909904543139859</v>
      </c>
      <c r="U210" s="54">
        <f ca="1">MIN(100,MAX(0,MCDA_Prioritisation!$H$2+(RAND()-0.5)*2*$B$7))</f>
        <v>69.826914819365058</v>
      </c>
      <c r="V210" s="54">
        <f ca="1">MIN(100,MAX(0,MCDA_Prioritisation!$H$3+(RAND()-0.5)*2*$B$7))</f>
        <v>51.414545423436358</v>
      </c>
      <c r="W210" s="54">
        <f ca="1">MIN(100,MAX(0,MCDA_Prioritisation!$H$4+(RAND()-0.5)*2*$B$7))</f>
        <v>75.613342080539823</v>
      </c>
      <c r="X210" s="54">
        <f ca="1">MIN(100,MAX(0,MCDA_Prioritisation!$H$5+(RAND()-0.5)*2*$B$7))</f>
        <v>69.942145208195484</v>
      </c>
      <c r="Y210" s="54">
        <f ca="1">H210*MCDA_Prioritisation!$D$2+I210*MCDA_Prioritisation!$E$2+J210*M210+K210*Q210+L210*U210</f>
        <v>84.203420236667711</v>
      </c>
      <c r="Z210" s="54">
        <f ca="1">H210*MCDA_Prioritisation!$D$3+I210*MCDA_Prioritisation!$E$3+J210*N210+K210*R210+L210*V210</f>
        <v>81.652222657695106</v>
      </c>
      <c r="AA210" s="54">
        <f ca="1">H210*MCDA_Prioritisation!$D$4+I210*MCDA_Prioritisation!$E$4+J210*O210+K210*S210+L210*W210</f>
        <v>73.237991396814181</v>
      </c>
      <c r="AB210" s="54">
        <f ca="1">H210*MCDA_Prioritisation!$D$5+I210*MCDA_Prioritisation!$E$5+J210*P210+K210*T210+L210*X210</f>
        <v>68.721968531137293</v>
      </c>
      <c r="AC210" s="54">
        <f t="shared" ca="1" si="34"/>
        <v>1</v>
      </c>
      <c r="AD210" s="54">
        <f t="shared" ca="1" si="35"/>
        <v>2</v>
      </c>
      <c r="AE210" s="54">
        <f t="shared" ca="1" si="36"/>
        <v>3</v>
      </c>
      <c r="AF210" s="54">
        <f t="shared" ca="1" si="37"/>
        <v>4</v>
      </c>
      <c r="AG210" s="54">
        <f t="shared" ca="1" si="38"/>
        <v>1</v>
      </c>
      <c r="AH210" s="54">
        <f t="shared" ca="1" si="39"/>
        <v>1</v>
      </c>
      <c r="AI210" s="54">
        <f t="shared" ca="1" si="40"/>
        <v>1</v>
      </c>
      <c r="AJ210" s="54">
        <f t="shared" ca="1" si="41"/>
        <v>1</v>
      </c>
    </row>
    <row r="211" spans="1:36" x14ac:dyDescent="0.2">
      <c r="A211" s="54">
        <v>188</v>
      </c>
      <c r="B211" s="54">
        <f ca="1">MAX(0.02,MCDA_Prioritisation!$B$9+(RAND()-0.5)*2*$B$6)</f>
        <v>0.12461109271856034</v>
      </c>
      <c r="C211" s="54">
        <f ca="1">MAX(0.02,MCDA_Prioritisation!$B$10+(RAND()-0.5)*2*$B$6)</f>
        <v>0.24662152333118009</v>
      </c>
      <c r="D211" s="54">
        <f ca="1">MAX(0.02,MCDA_Prioritisation!$B$11+(RAND()-0.5)*2*$B$6)</f>
        <v>0.29889859822072301</v>
      </c>
      <c r="E211" s="54">
        <f ca="1">MAX(0.02,MCDA_Prioritisation!$B$12+(RAND()-0.5)*2*$B$6)</f>
        <v>0.19417926789365372</v>
      </c>
      <c r="F211" s="54">
        <f ca="1">MAX(0.02,MCDA_Prioritisation!$B$13+(RAND()-0.5)*2*$B$6)</f>
        <v>0.17081429353526748</v>
      </c>
      <c r="G211" s="54">
        <f t="shared" ca="1" si="28"/>
        <v>1.0351247756993847</v>
      </c>
      <c r="H211" s="54">
        <f t="shared" ca="1" si="29"/>
        <v>0.1203826781504351</v>
      </c>
      <c r="I211" s="54">
        <f t="shared" ca="1" si="30"/>
        <v>0.23825294217747772</v>
      </c>
      <c r="J211" s="54">
        <f t="shared" ca="1" si="31"/>
        <v>0.2887561048075305</v>
      </c>
      <c r="K211" s="54">
        <f t="shared" ca="1" si="32"/>
        <v>0.18759020405289403</v>
      </c>
      <c r="L211" s="54">
        <f t="shared" ca="1" si="33"/>
        <v>0.16501807081166264</v>
      </c>
      <c r="M211" s="54">
        <f ca="1">MIN(100,MAX(0,MCDA_Prioritisation!$F$2+(RAND()-0.5)*2*$B$7))</f>
        <v>79.806832209812796</v>
      </c>
      <c r="N211" s="54">
        <f ca="1">MIN(100,MAX(0,MCDA_Prioritisation!$F$3+(RAND()-0.5)*2*$B$7))</f>
        <v>91.578911137611044</v>
      </c>
      <c r="O211" s="54">
        <f ca="1">MIN(100,MAX(0,MCDA_Prioritisation!$F$4+(RAND()-0.5)*2*$B$7))</f>
        <v>91.859585266915559</v>
      </c>
      <c r="P211" s="54">
        <f ca="1">MIN(100,MAX(0,MCDA_Prioritisation!$F$5+(RAND()-0.5)*2*$B$7))</f>
        <v>77.27244745899452</v>
      </c>
      <c r="Q211" s="54">
        <f ca="1">MIN(100,MAX(0,MCDA_Prioritisation!$G$2+(RAND()-0.5)*2*$B$7))</f>
        <v>79.188347523154079</v>
      </c>
      <c r="R211" s="54">
        <f ca="1">MIN(100,MAX(0,MCDA_Prioritisation!$G$3+(RAND()-0.5)*2*$B$7))</f>
        <v>96.520027096619458</v>
      </c>
      <c r="S211" s="54">
        <f ca="1">MIN(100,MAX(0,MCDA_Prioritisation!$G$4+(RAND()-0.5)*2*$B$7))</f>
        <v>84.200636376388076</v>
      </c>
      <c r="T211" s="54">
        <f ca="1">MIN(100,MAX(0,MCDA_Prioritisation!$G$5+(RAND()-0.5)*2*$B$7))</f>
        <v>67.557543955762043</v>
      </c>
      <c r="U211" s="54">
        <f ca="1">MIN(100,MAX(0,MCDA_Prioritisation!$H$2+(RAND()-0.5)*2*$B$7))</f>
        <v>60.650930916940922</v>
      </c>
      <c r="V211" s="54">
        <f ca="1">MIN(100,MAX(0,MCDA_Prioritisation!$H$3+(RAND()-0.5)*2*$B$7))</f>
        <v>67.164046003841037</v>
      </c>
      <c r="W211" s="54">
        <f ca="1">MIN(100,MAX(0,MCDA_Prioritisation!$H$4+(RAND()-0.5)*2*$B$7))</f>
        <v>71.396206408012333</v>
      </c>
      <c r="X211" s="54">
        <f ca="1">MIN(100,MAX(0,MCDA_Prioritisation!$H$5+(RAND()-0.5)*2*$B$7))</f>
        <v>80.126337670508249</v>
      </c>
      <c r="Y211" s="54">
        <f ca="1">H211*MCDA_Prioritisation!$D$2+I211*MCDA_Prioritisation!$E$2+J211*M211+K211*Q211+L211*U211</f>
        <v>83.771729922049957</v>
      </c>
      <c r="Z211" s="54">
        <f ca="1">H211*MCDA_Prioritisation!$D$3+I211*MCDA_Prioritisation!$E$3+J211*N211+K211*R211+L211*V211</f>
        <v>83.482014816129436</v>
      </c>
      <c r="AA211" s="54">
        <f ca="1">H211*MCDA_Prioritisation!$D$4+I211*MCDA_Prioritisation!$E$4+J211*O211+K211*S211+L211*W211</f>
        <v>75.480251887435259</v>
      </c>
      <c r="AB211" s="54">
        <f ca="1">H211*MCDA_Prioritisation!$D$5+I211*MCDA_Prioritisation!$E$5+J211*P211+K211*T211+L211*X211</f>
        <v>74.632642320027372</v>
      </c>
      <c r="AC211" s="54">
        <f t="shared" ca="1" si="34"/>
        <v>1</v>
      </c>
      <c r="AD211" s="54">
        <f t="shared" ca="1" si="35"/>
        <v>2</v>
      </c>
      <c r="AE211" s="54">
        <f t="shared" ca="1" si="36"/>
        <v>3</v>
      </c>
      <c r="AF211" s="54">
        <f t="shared" ca="1" si="37"/>
        <v>4</v>
      </c>
      <c r="AG211" s="54">
        <f t="shared" ca="1" si="38"/>
        <v>1</v>
      </c>
      <c r="AH211" s="54">
        <f t="shared" ca="1" si="39"/>
        <v>1</v>
      </c>
      <c r="AI211" s="54">
        <f t="shared" ca="1" si="40"/>
        <v>1</v>
      </c>
      <c r="AJ211" s="54">
        <f t="shared" ca="1" si="41"/>
        <v>1</v>
      </c>
    </row>
    <row r="212" spans="1:36" x14ac:dyDescent="0.2">
      <c r="A212" s="54">
        <v>189</v>
      </c>
      <c r="B212" s="54">
        <f ca="1">MAX(0.02,MCDA_Prioritisation!$B$9+(RAND()-0.5)*2*$B$6)</f>
        <v>0.23273008926595457</v>
      </c>
      <c r="C212" s="54">
        <f ca="1">MAX(0.02,MCDA_Prioritisation!$B$10+(RAND()-0.5)*2*$B$6)</f>
        <v>0.26910754010147353</v>
      </c>
      <c r="D212" s="54">
        <f ca="1">MAX(0.02,MCDA_Prioritisation!$B$11+(RAND()-0.5)*2*$B$6)</f>
        <v>0.19220410555399589</v>
      </c>
      <c r="E212" s="54">
        <f ca="1">MAX(0.02,MCDA_Prioritisation!$B$12+(RAND()-0.5)*2*$B$6)</f>
        <v>0.15486372166147777</v>
      </c>
      <c r="F212" s="54">
        <f ca="1">MAX(0.02,MCDA_Prioritisation!$B$13+(RAND()-0.5)*2*$B$6)</f>
        <v>0.2050120758458468</v>
      </c>
      <c r="G212" s="54">
        <f t="shared" ca="1" si="28"/>
        <v>1.0539175324287484</v>
      </c>
      <c r="H212" s="54">
        <f t="shared" ca="1" si="29"/>
        <v>0.22082381410775953</v>
      </c>
      <c r="I212" s="54">
        <f t="shared" ca="1" si="30"/>
        <v>0.25534022522741068</v>
      </c>
      <c r="J212" s="54">
        <f t="shared" ca="1" si="31"/>
        <v>0.18237110555610775</v>
      </c>
      <c r="K212" s="54">
        <f t="shared" ca="1" si="32"/>
        <v>0.14694102422282984</v>
      </c>
      <c r="L212" s="54">
        <f t="shared" ca="1" si="33"/>
        <v>0.19452383088589231</v>
      </c>
      <c r="M212" s="54">
        <f ca="1">MIN(100,MAX(0,MCDA_Prioritisation!$F$2+(RAND()-0.5)*2*$B$7))</f>
        <v>77.842956763695057</v>
      </c>
      <c r="N212" s="54">
        <f ca="1">MIN(100,MAX(0,MCDA_Prioritisation!$F$3+(RAND()-0.5)*2*$B$7))</f>
        <v>89.081993783902647</v>
      </c>
      <c r="O212" s="54">
        <f ca="1">MIN(100,MAX(0,MCDA_Prioritisation!$F$4+(RAND()-0.5)*2*$B$7))</f>
        <v>82.601953200959386</v>
      </c>
      <c r="P212" s="54">
        <f ca="1">MIN(100,MAX(0,MCDA_Prioritisation!$F$5+(RAND()-0.5)*2*$B$7))</f>
        <v>81.903750649577219</v>
      </c>
      <c r="Q212" s="54">
        <f ca="1">MIN(100,MAX(0,MCDA_Prioritisation!$G$2+(RAND()-0.5)*2*$B$7))</f>
        <v>75.75587523556284</v>
      </c>
      <c r="R212" s="54">
        <f ca="1">MIN(100,MAX(0,MCDA_Prioritisation!$G$3+(RAND()-0.5)*2*$B$7))</f>
        <v>88.981966738099786</v>
      </c>
      <c r="S212" s="54">
        <f ca="1">MIN(100,MAX(0,MCDA_Prioritisation!$G$4+(RAND()-0.5)*2*$B$7))</f>
        <v>93.868251368236599</v>
      </c>
      <c r="T212" s="54">
        <f ca="1">MIN(100,MAX(0,MCDA_Prioritisation!$G$5+(RAND()-0.5)*2*$B$7))</f>
        <v>78.186616554273982</v>
      </c>
      <c r="U212" s="54">
        <f ca="1">MIN(100,MAX(0,MCDA_Prioritisation!$H$2+(RAND()-0.5)*2*$B$7))</f>
        <v>74.397875041476112</v>
      </c>
      <c r="V212" s="54">
        <f ca="1">MIN(100,MAX(0,MCDA_Prioritisation!$H$3+(RAND()-0.5)*2*$B$7))</f>
        <v>59.248504190734749</v>
      </c>
      <c r="W212" s="54">
        <f ca="1">MIN(100,MAX(0,MCDA_Prioritisation!$H$4+(RAND()-0.5)*2*$B$7))</f>
        <v>86.919679971927891</v>
      </c>
      <c r="X212" s="54">
        <f ca="1">MIN(100,MAX(0,MCDA_Prioritisation!$H$5+(RAND()-0.5)*2*$B$7))</f>
        <v>69.570255796712459</v>
      </c>
      <c r="Y212" s="54">
        <f ca="1">H212*MCDA_Prioritisation!$D$2+I212*MCDA_Prioritisation!$E$2+J212*M212+K212*Q212+L212*U212</f>
        <v>87.416515579116748</v>
      </c>
      <c r="Z212" s="54">
        <f ca="1">H212*MCDA_Prioritisation!$D$3+I212*MCDA_Prioritisation!$E$3+J212*N212+K212*R212+L212*V212</f>
        <v>78.715830615513724</v>
      </c>
      <c r="AA212" s="54">
        <f ca="1">H212*MCDA_Prioritisation!$D$4+I212*MCDA_Prioritisation!$E$4+J212*O212+K212*S212+L212*W212</f>
        <v>75.069776580147334</v>
      </c>
      <c r="AB212" s="54">
        <f ca="1">H212*MCDA_Prioritisation!$D$5+I212*MCDA_Prioritisation!$E$5+J212*P212+K212*T212+L212*X212</f>
        <v>73.150983839918666</v>
      </c>
      <c r="AC212" s="54">
        <f t="shared" ca="1" si="34"/>
        <v>1</v>
      </c>
      <c r="AD212" s="54">
        <f t="shared" ca="1" si="35"/>
        <v>2</v>
      </c>
      <c r="AE212" s="54">
        <f t="shared" ca="1" si="36"/>
        <v>3</v>
      </c>
      <c r="AF212" s="54">
        <f t="shared" ca="1" si="37"/>
        <v>4</v>
      </c>
      <c r="AG212" s="54">
        <f t="shared" ca="1" si="38"/>
        <v>1</v>
      </c>
      <c r="AH212" s="54">
        <f t="shared" ca="1" si="39"/>
        <v>1</v>
      </c>
      <c r="AI212" s="54">
        <f t="shared" ca="1" si="40"/>
        <v>1</v>
      </c>
      <c r="AJ212" s="54">
        <f t="shared" ca="1" si="41"/>
        <v>1</v>
      </c>
    </row>
    <row r="213" spans="1:36" x14ac:dyDescent="0.2">
      <c r="A213" s="54">
        <v>190</v>
      </c>
      <c r="B213" s="54">
        <f ca="1">MAX(0.02,MCDA_Prioritisation!$B$9+(RAND()-0.5)*2*$B$6)</f>
        <v>0.12126714934070822</v>
      </c>
      <c r="C213" s="54">
        <f ca="1">MAX(0.02,MCDA_Prioritisation!$B$10+(RAND()-0.5)*2*$B$6)</f>
        <v>0.23912198087391809</v>
      </c>
      <c r="D213" s="54">
        <f ca="1">MAX(0.02,MCDA_Prioritisation!$B$11+(RAND()-0.5)*2*$B$6)</f>
        <v>0.30310144563314501</v>
      </c>
      <c r="E213" s="54">
        <f ca="1">MAX(0.02,MCDA_Prioritisation!$B$12+(RAND()-0.5)*2*$B$6)</f>
        <v>0.12637414837016159</v>
      </c>
      <c r="F213" s="54">
        <f ca="1">MAX(0.02,MCDA_Prioritisation!$B$13+(RAND()-0.5)*2*$B$6)</f>
        <v>9.1428236159031659E-2</v>
      </c>
      <c r="G213" s="54">
        <f t="shared" ca="1" si="28"/>
        <v>0.88129296037696458</v>
      </c>
      <c r="H213" s="54">
        <f t="shared" ca="1" si="29"/>
        <v>0.13760140474608734</v>
      </c>
      <c r="I213" s="54">
        <f t="shared" ca="1" si="30"/>
        <v>0.27133086456475947</v>
      </c>
      <c r="J213" s="54">
        <f t="shared" ca="1" si="31"/>
        <v>0.34392813656822618</v>
      </c>
      <c r="K213" s="54">
        <f t="shared" ca="1" si="32"/>
        <v>0.14339629845234014</v>
      </c>
      <c r="L213" s="54">
        <f t="shared" ca="1" si="33"/>
        <v>0.10374329566858688</v>
      </c>
      <c r="M213" s="54">
        <f ca="1">MIN(100,MAX(0,MCDA_Prioritisation!$F$2+(RAND()-0.5)*2*$B$7))</f>
        <v>82.342001005521155</v>
      </c>
      <c r="N213" s="54">
        <f ca="1">MIN(100,MAX(0,MCDA_Prioritisation!$F$3+(RAND()-0.5)*2*$B$7))</f>
        <v>85.913428122497194</v>
      </c>
      <c r="O213" s="54">
        <f ca="1">MIN(100,MAX(0,MCDA_Prioritisation!$F$4+(RAND()-0.5)*2*$B$7))</f>
        <v>95.679685339227078</v>
      </c>
      <c r="P213" s="54">
        <f ca="1">MIN(100,MAX(0,MCDA_Prioritisation!$F$5+(RAND()-0.5)*2*$B$7))</f>
        <v>82.635806520595722</v>
      </c>
      <c r="Q213" s="54">
        <f ca="1">MIN(100,MAX(0,MCDA_Prioritisation!$G$2+(RAND()-0.5)*2*$B$7))</f>
        <v>80.78951108347654</v>
      </c>
      <c r="R213" s="54">
        <f ca="1">MIN(100,MAX(0,MCDA_Prioritisation!$G$3+(RAND()-0.5)*2*$B$7))</f>
        <v>87.899928537028387</v>
      </c>
      <c r="S213" s="54">
        <f ca="1">MIN(100,MAX(0,MCDA_Prioritisation!$G$4+(RAND()-0.5)*2*$B$7))</f>
        <v>76.043821119841624</v>
      </c>
      <c r="T213" s="54">
        <f ca="1">MIN(100,MAX(0,MCDA_Prioritisation!$G$5+(RAND()-0.5)*2*$B$7))</f>
        <v>66.445908286008759</v>
      </c>
      <c r="U213" s="54">
        <f ca="1">MIN(100,MAX(0,MCDA_Prioritisation!$H$2+(RAND()-0.5)*2*$B$7))</f>
        <v>61.070557095389965</v>
      </c>
      <c r="V213" s="54">
        <f ca="1">MIN(100,MAX(0,MCDA_Prioritisation!$H$3+(RAND()-0.5)*2*$B$7))</f>
        <v>59.459636997283944</v>
      </c>
      <c r="W213" s="54">
        <f ca="1">MIN(100,MAX(0,MCDA_Prioritisation!$H$4+(RAND()-0.5)*2*$B$7))</f>
        <v>82.388722130162392</v>
      </c>
      <c r="X213" s="54">
        <f ca="1">MIN(100,MAX(0,MCDA_Prioritisation!$H$5+(RAND()-0.5)*2*$B$7))</f>
        <v>66.101325748672451</v>
      </c>
      <c r="Y213" s="54">
        <f ca="1">H213*MCDA_Prioritisation!$D$2+I213*MCDA_Prioritisation!$E$2+J213*M213+K213*Q213+L213*U213</f>
        <v>87.133535602749774</v>
      </c>
      <c r="Z213" s="54">
        <f ca="1">H213*MCDA_Prioritisation!$D$3+I213*MCDA_Prioritisation!$E$3+J213*N213+K213*R213+L213*V213</f>
        <v>80.080189967215105</v>
      </c>
      <c r="AA213" s="54">
        <f ca="1">H213*MCDA_Prioritisation!$D$4+I213*MCDA_Prioritisation!$E$4+J213*O213+K213*S213+L213*W213</f>
        <v>76.740234177330308</v>
      </c>
      <c r="AB213" s="54">
        <f ca="1">H213*MCDA_Prioritisation!$D$5+I213*MCDA_Prioritisation!$E$5+J213*P213+K213*T213+L213*X213</f>
        <v>74.926221690495396</v>
      </c>
      <c r="AC213" s="54">
        <f t="shared" ca="1" si="34"/>
        <v>1</v>
      </c>
      <c r="AD213" s="54">
        <f t="shared" ca="1" si="35"/>
        <v>2</v>
      </c>
      <c r="AE213" s="54">
        <f t="shared" ca="1" si="36"/>
        <v>3</v>
      </c>
      <c r="AF213" s="54">
        <f t="shared" ca="1" si="37"/>
        <v>4</v>
      </c>
      <c r="AG213" s="54">
        <f t="shared" ca="1" si="38"/>
        <v>1</v>
      </c>
      <c r="AH213" s="54">
        <f t="shared" ca="1" si="39"/>
        <v>1</v>
      </c>
      <c r="AI213" s="54">
        <f t="shared" ca="1" si="40"/>
        <v>1</v>
      </c>
      <c r="AJ213" s="54">
        <f t="shared" ca="1" si="41"/>
        <v>1</v>
      </c>
    </row>
    <row r="214" spans="1:36" x14ac:dyDescent="0.2">
      <c r="A214" s="54">
        <v>191</v>
      </c>
      <c r="B214" s="54">
        <f ca="1">MAX(0.02,MCDA_Prioritisation!$B$9+(RAND()-0.5)*2*$B$6)</f>
        <v>0.1465422372691331</v>
      </c>
      <c r="C214" s="54">
        <f ca="1">MAX(0.02,MCDA_Prioritisation!$B$10+(RAND()-0.5)*2*$B$6)</f>
        <v>0.31124400469749247</v>
      </c>
      <c r="D214" s="54">
        <f ca="1">MAX(0.02,MCDA_Prioritisation!$B$11+(RAND()-0.5)*2*$B$6)</f>
        <v>0.31216677434744655</v>
      </c>
      <c r="E214" s="54">
        <f ca="1">MAX(0.02,MCDA_Prioritisation!$B$12+(RAND()-0.5)*2*$B$6)</f>
        <v>0.1790062681717543</v>
      </c>
      <c r="F214" s="54">
        <f ca="1">MAX(0.02,MCDA_Prioritisation!$B$13+(RAND()-0.5)*2*$B$6)</f>
        <v>0.11531918833164276</v>
      </c>
      <c r="G214" s="54">
        <f t="shared" ca="1" si="28"/>
        <v>1.064278472817469</v>
      </c>
      <c r="H214" s="54">
        <f t="shared" ca="1" si="29"/>
        <v>0.13769162959877521</v>
      </c>
      <c r="I214" s="54">
        <f t="shared" ca="1" si="30"/>
        <v>0.29244602108086887</v>
      </c>
      <c r="J214" s="54">
        <f t="shared" ca="1" si="31"/>
        <v>0.29331305886611247</v>
      </c>
      <c r="K214" s="54">
        <f t="shared" ca="1" si="32"/>
        <v>0.1681949534296886</v>
      </c>
      <c r="L214" s="54">
        <f t="shared" ca="1" si="33"/>
        <v>0.10835433702455502</v>
      </c>
      <c r="M214" s="54">
        <f ca="1">MIN(100,MAX(0,MCDA_Prioritisation!$F$2+(RAND()-0.5)*2*$B$7))</f>
        <v>78.273298485568688</v>
      </c>
      <c r="N214" s="54">
        <f ca="1">MIN(100,MAX(0,MCDA_Prioritisation!$F$3+(RAND()-0.5)*2*$B$7))</f>
        <v>90.40537760886923</v>
      </c>
      <c r="O214" s="54">
        <f ca="1">MIN(100,MAX(0,MCDA_Prioritisation!$F$4+(RAND()-0.5)*2*$B$7))</f>
        <v>99.369704121786285</v>
      </c>
      <c r="P214" s="54">
        <f ca="1">MIN(100,MAX(0,MCDA_Prioritisation!$F$5+(RAND()-0.5)*2*$B$7))</f>
        <v>74.279385376912742</v>
      </c>
      <c r="Q214" s="54">
        <f ca="1">MIN(100,MAX(0,MCDA_Prioritisation!$G$2+(RAND()-0.5)*2*$B$7))</f>
        <v>85.399770773105161</v>
      </c>
      <c r="R214" s="54">
        <f ca="1">MIN(100,MAX(0,MCDA_Prioritisation!$G$3+(RAND()-0.5)*2*$B$7))</f>
        <v>97.542248566935683</v>
      </c>
      <c r="S214" s="54">
        <f ca="1">MIN(100,MAX(0,MCDA_Prioritisation!$G$4+(RAND()-0.5)*2*$B$7))</f>
        <v>87.72471464061779</v>
      </c>
      <c r="T214" s="54">
        <f ca="1">MIN(100,MAX(0,MCDA_Prioritisation!$G$5+(RAND()-0.5)*2*$B$7))</f>
        <v>69.777038536254523</v>
      </c>
      <c r="U214" s="54">
        <f ca="1">MIN(100,MAX(0,MCDA_Prioritisation!$H$2+(RAND()-0.5)*2*$B$7))</f>
        <v>56.253066243216878</v>
      </c>
      <c r="V214" s="54">
        <f ca="1">MIN(100,MAX(0,MCDA_Prioritisation!$H$3+(RAND()-0.5)*2*$B$7))</f>
        <v>61.754725658448081</v>
      </c>
      <c r="W214" s="54">
        <f ca="1">MIN(100,MAX(0,MCDA_Prioritisation!$H$4+(RAND()-0.5)*2*$B$7))</f>
        <v>78.607172475010842</v>
      </c>
      <c r="X214" s="54">
        <f ca="1">MIN(100,MAX(0,MCDA_Prioritisation!$H$5+(RAND()-0.5)*2*$B$7))</f>
        <v>67.820692526866708</v>
      </c>
      <c r="Y214" s="54">
        <f ca="1">H214*MCDA_Prioritisation!$D$2+I214*MCDA_Prioritisation!$E$2+J214*M214+K214*Q214+L214*U214</f>
        <v>86.431419840777451</v>
      </c>
      <c r="Z214" s="54">
        <f ca="1">H214*MCDA_Prioritisation!$D$3+I214*MCDA_Prioritisation!$E$3+J214*N214+K214*R214+L214*V214</f>
        <v>82.917198909039669</v>
      </c>
      <c r="AA214" s="54">
        <f ca="1">H214*MCDA_Prioritisation!$D$4+I214*MCDA_Prioritisation!$E$4+J214*O214+K214*S214+L214*W214</f>
        <v>77.958351028124696</v>
      </c>
      <c r="AB214" s="54">
        <f ca="1">H214*MCDA_Prioritisation!$D$5+I214*MCDA_Prioritisation!$E$5+J214*P214+K214*T214+L214*X214</f>
        <v>72.772083192642739</v>
      </c>
      <c r="AC214" s="54">
        <f t="shared" ca="1" si="34"/>
        <v>1</v>
      </c>
      <c r="AD214" s="54">
        <f t="shared" ca="1" si="35"/>
        <v>2</v>
      </c>
      <c r="AE214" s="54">
        <f t="shared" ca="1" si="36"/>
        <v>3</v>
      </c>
      <c r="AF214" s="54">
        <f t="shared" ca="1" si="37"/>
        <v>4</v>
      </c>
      <c r="AG214" s="54">
        <f t="shared" ca="1" si="38"/>
        <v>1</v>
      </c>
      <c r="AH214" s="54">
        <f t="shared" ca="1" si="39"/>
        <v>1</v>
      </c>
      <c r="AI214" s="54">
        <f t="shared" ca="1" si="40"/>
        <v>1</v>
      </c>
      <c r="AJ214" s="54">
        <f t="shared" ca="1" si="41"/>
        <v>1</v>
      </c>
    </row>
    <row r="215" spans="1:36" x14ac:dyDescent="0.2">
      <c r="A215" s="54">
        <v>192</v>
      </c>
      <c r="B215" s="54">
        <f ca="1">MAX(0.02,MCDA_Prioritisation!$B$9+(RAND()-0.5)*2*$B$6)</f>
        <v>0.27000408928041753</v>
      </c>
      <c r="C215" s="54">
        <f ca="1">MAX(0.02,MCDA_Prioritisation!$B$10+(RAND()-0.5)*2*$B$6)</f>
        <v>0.31086933336347877</v>
      </c>
      <c r="D215" s="54">
        <f ca="1">MAX(0.02,MCDA_Prioritisation!$B$11+(RAND()-0.5)*2*$B$6)</f>
        <v>0.29534054393646586</v>
      </c>
      <c r="E215" s="54">
        <f ca="1">MAX(0.02,MCDA_Prioritisation!$B$12+(RAND()-0.5)*2*$B$6)</f>
        <v>0.12788241511416176</v>
      </c>
      <c r="F215" s="54">
        <f ca="1">MAX(0.02,MCDA_Prioritisation!$B$13+(RAND()-0.5)*2*$B$6)</f>
        <v>0.16461979729385379</v>
      </c>
      <c r="G215" s="54">
        <f t="shared" ca="1" si="28"/>
        <v>1.1687161789883778</v>
      </c>
      <c r="H215" s="54">
        <f t="shared" ca="1" si="29"/>
        <v>0.23102622701272843</v>
      </c>
      <c r="I215" s="54">
        <f t="shared" ca="1" si="30"/>
        <v>0.26599215357193251</v>
      </c>
      <c r="J215" s="54">
        <f t="shared" ca="1" si="31"/>
        <v>0.25270510432405235</v>
      </c>
      <c r="K215" s="54">
        <f t="shared" ca="1" si="32"/>
        <v>0.10942127559563243</v>
      </c>
      <c r="L215" s="54">
        <f t="shared" ca="1" si="33"/>
        <v>0.14085523949565418</v>
      </c>
      <c r="M215" s="54">
        <f ca="1">MIN(100,MAX(0,MCDA_Prioritisation!$F$2+(RAND()-0.5)*2*$B$7))</f>
        <v>91.665447013009114</v>
      </c>
      <c r="N215" s="54">
        <f ca="1">MIN(100,MAX(0,MCDA_Prioritisation!$F$3+(RAND()-0.5)*2*$B$7))</f>
        <v>92.932123126783395</v>
      </c>
      <c r="O215" s="54">
        <f ca="1">MIN(100,MAX(0,MCDA_Prioritisation!$F$4+(RAND()-0.5)*2*$B$7))</f>
        <v>88.0567502315468</v>
      </c>
      <c r="P215" s="54">
        <f ca="1">MIN(100,MAX(0,MCDA_Prioritisation!$F$5+(RAND()-0.5)*2*$B$7))</f>
        <v>81.75916467907237</v>
      </c>
      <c r="Q215" s="54">
        <f ca="1">MIN(100,MAX(0,MCDA_Prioritisation!$G$2+(RAND()-0.5)*2*$B$7))</f>
        <v>72.016284160765508</v>
      </c>
      <c r="R215" s="54">
        <f ca="1">MIN(100,MAX(0,MCDA_Prioritisation!$G$3+(RAND()-0.5)*2*$B$7))</f>
        <v>100</v>
      </c>
      <c r="S215" s="54">
        <f ca="1">MIN(100,MAX(0,MCDA_Prioritisation!$G$4+(RAND()-0.5)*2*$B$7))</f>
        <v>92.982431367024816</v>
      </c>
      <c r="T215" s="54">
        <f ca="1">MIN(100,MAX(0,MCDA_Prioritisation!$G$5+(RAND()-0.5)*2*$B$7))</f>
        <v>79.104993785518545</v>
      </c>
      <c r="U215" s="54">
        <f ca="1">MIN(100,MAX(0,MCDA_Prioritisation!$H$2+(RAND()-0.5)*2*$B$7))</f>
        <v>55.257547820057418</v>
      </c>
      <c r="V215" s="54">
        <f ca="1">MIN(100,MAX(0,MCDA_Prioritisation!$H$3+(RAND()-0.5)*2*$B$7))</f>
        <v>56.998795587651522</v>
      </c>
      <c r="W215" s="54">
        <f ca="1">MIN(100,MAX(0,MCDA_Prioritisation!$H$4+(RAND()-0.5)*2*$B$7))</f>
        <v>70.950933475617376</v>
      </c>
      <c r="X215" s="54">
        <f ca="1">MIN(100,MAX(0,MCDA_Prioritisation!$H$5+(RAND()-0.5)*2*$B$7))</f>
        <v>65.127218952813934</v>
      </c>
      <c r="Y215" s="54">
        <f ca="1">H215*MCDA_Prioritisation!$D$2+I215*MCDA_Prioritisation!$E$2+J215*M215+K215*Q215+L215*U215</f>
        <v>88.529593217464694</v>
      </c>
      <c r="Z215" s="54">
        <f ca="1">H215*MCDA_Prioritisation!$D$3+I215*MCDA_Prioritisation!$E$3+J215*N215+K215*R215+L215*V215</f>
        <v>81.990974356040198</v>
      </c>
      <c r="AA215" s="54">
        <f ca="1">H215*MCDA_Prioritisation!$D$4+I215*MCDA_Prioritisation!$E$4+J215*O215+K215*S215+L215*W215</f>
        <v>73.016428489365055</v>
      </c>
      <c r="AB215" s="54">
        <f ca="1">H215*MCDA_Prioritisation!$D$5+I215*MCDA_Prioritisation!$E$5+J215*P215+K215*T215+L215*X215</f>
        <v>73.119682164748866</v>
      </c>
      <c r="AC215" s="54">
        <f t="shared" ca="1" si="34"/>
        <v>1</v>
      </c>
      <c r="AD215" s="54">
        <f t="shared" ca="1" si="35"/>
        <v>2</v>
      </c>
      <c r="AE215" s="54">
        <f t="shared" ca="1" si="36"/>
        <v>4</v>
      </c>
      <c r="AF215" s="54">
        <f t="shared" ca="1" si="37"/>
        <v>3</v>
      </c>
      <c r="AG215" s="54">
        <f t="shared" ca="1" si="38"/>
        <v>1</v>
      </c>
      <c r="AH215" s="54">
        <f t="shared" ca="1" si="39"/>
        <v>1</v>
      </c>
      <c r="AI215" s="54">
        <f t="shared" ca="1" si="40"/>
        <v>0</v>
      </c>
      <c r="AJ215" s="54">
        <f t="shared" ca="1" si="41"/>
        <v>1</v>
      </c>
    </row>
    <row r="216" spans="1:36" x14ac:dyDescent="0.2">
      <c r="A216" s="54">
        <v>193</v>
      </c>
      <c r="B216" s="54">
        <f ca="1">MAX(0.02,MCDA_Prioritisation!$B$9+(RAND()-0.5)*2*$B$6)</f>
        <v>0.23772029932771738</v>
      </c>
      <c r="C216" s="54">
        <f ca="1">MAX(0.02,MCDA_Prioritisation!$B$10+(RAND()-0.5)*2*$B$6)</f>
        <v>0.31432911530049112</v>
      </c>
      <c r="D216" s="54">
        <f ca="1">MAX(0.02,MCDA_Prioritisation!$B$11+(RAND()-0.5)*2*$B$6)</f>
        <v>0.18930070799341583</v>
      </c>
      <c r="E216" s="54">
        <f ca="1">MAX(0.02,MCDA_Prioritisation!$B$12+(RAND()-0.5)*2*$B$6)</f>
        <v>8.2346097322009398E-2</v>
      </c>
      <c r="F216" s="54">
        <f ca="1">MAX(0.02,MCDA_Prioritisation!$B$13+(RAND()-0.5)*2*$B$6)</f>
        <v>0.16518187538310003</v>
      </c>
      <c r="G216" s="54">
        <f t="shared" ref="G216:G279" ca="1" si="42">SUM(B216:F216)</f>
        <v>0.98887809532673365</v>
      </c>
      <c r="H216" s="54">
        <f t="shared" ref="H216:H279" ca="1" si="43">B216/$G216</f>
        <v>0.2403939377878247</v>
      </c>
      <c r="I216" s="54">
        <f t="shared" ref="I216:I279" ca="1" si="44">C216/$G216</f>
        <v>0.31786437255103134</v>
      </c>
      <c r="J216" s="54">
        <f t="shared" ref="J216:J279" ca="1" si="45">D216/$G216</f>
        <v>0.19142977166550473</v>
      </c>
      <c r="K216" s="54">
        <f t="shared" ref="K216:K279" ca="1" si="46">E216/$G216</f>
        <v>8.3272243273627727E-2</v>
      </c>
      <c r="L216" s="54">
        <f t="shared" ref="L216:L279" ca="1" si="47">F216/$G216</f>
        <v>0.16703967472201167</v>
      </c>
      <c r="M216" s="54">
        <f ca="1">MIN(100,MAX(0,MCDA_Prioritisation!$F$2+(RAND()-0.5)*2*$B$7))</f>
        <v>88.408692817925711</v>
      </c>
      <c r="N216" s="54">
        <f ca="1">MIN(100,MAX(0,MCDA_Prioritisation!$F$3+(RAND()-0.5)*2*$B$7))</f>
        <v>98.875500175503461</v>
      </c>
      <c r="O216" s="54">
        <f ca="1">MIN(100,MAX(0,MCDA_Prioritisation!$F$4+(RAND()-0.5)*2*$B$7))</f>
        <v>96.325990993324567</v>
      </c>
      <c r="P216" s="54">
        <f ca="1">MIN(100,MAX(0,MCDA_Prioritisation!$F$5+(RAND()-0.5)*2*$B$7))</f>
        <v>84.375427537354881</v>
      </c>
      <c r="Q216" s="54">
        <f ca="1">MIN(100,MAX(0,MCDA_Prioritisation!$G$2+(RAND()-0.5)*2*$B$7))</f>
        <v>70.131469614866731</v>
      </c>
      <c r="R216" s="54">
        <f ca="1">MIN(100,MAX(0,MCDA_Prioritisation!$G$3+(RAND()-0.5)*2*$B$7))</f>
        <v>92.741846850768596</v>
      </c>
      <c r="S216" s="54">
        <f ca="1">MIN(100,MAX(0,MCDA_Prioritisation!$G$4+(RAND()-0.5)*2*$B$7))</f>
        <v>82.461356771179481</v>
      </c>
      <c r="T216" s="54">
        <f ca="1">MIN(100,MAX(0,MCDA_Prioritisation!$G$5+(RAND()-0.5)*2*$B$7))</f>
        <v>64.497630753749561</v>
      </c>
      <c r="U216" s="54">
        <f ca="1">MIN(100,MAX(0,MCDA_Prioritisation!$H$2+(RAND()-0.5)*2*$B$7))</f>
        <v>57.310729558495126</v>
      </c>
      <c r="V216" s="54">
        <f ca="1">MIN(100,MAX(0,MCDA_Prioritisation!$H$3+(RAND()-0.5)*2*$B$7))</f>
        <v>55.548732028915452</v>
      </c>
      <c r="W216" s="54">
        <f ca="1">MIN(100,MAX(0,MCDA_Prioritisation!$H$4+(RAND()-0.5)*2*$B$7))</f>
        <v>81.130491799051882</v>
      </c>
      <c r="X216" s="54">
        <f ca="1">MIN(100,MAX(0,MCDA_Prioritisation!$H$5+(RAND()-0.5)*2*$B$7))</f>
        <v>82.333583230051971</v>
      </c>
      <c r="Y216" s="54">
        <f ca="1">H216*MCDA_Prioritisation!$D$2+I216*MCDA_Prioritisation!$E$2+J216*M216+K216*Q216+L216*U216</f>
        <v>88.16305733570529</v>
      </c>
      <c r="Z216" s="54">
        <f ca="1">H216*MCDA_Prioritisation!$D$3+I216*MCDA_Prioritisation!$E$3+J216*N216+K216*R216+L216*V216</f>
        <v>80.056457436553671</v>
      </c>
      <c r="AA216" s="54">
        <f ca="1">H216*MCDA_Prioritisation!$D$4+I216*MCDA_Prioritisation!$E$4+J216*O216+K216*S216+L216*W216</f>
        <v>72.936092915376349</v>
      </c>
      <c r="AB216" s="54">
        <f ca="1">H216*MCDA_Prioritisation!$D$5+I216*MCDA_Prioritisation!$E$5+J216*P216+K216*T216+L216*X216</f>
        <v>74.764432399092584</v>
      </c>
      <c r="AC216" s="54">
        <f t="shared" ref="AC216:AC279" ca="1" si="48">SUMPRODUCT(--($Y216:$AB216&gt;Y216))+1</f>
        <v>1</v>
      </c>
      <c r="AD216" s="54">
        <f t="shared" ref="AD216:AD279" ca="1" si="49">SUMPRODUCT(--($Y216:$AB216&gt;Z216))+1</f>
        <v>2</v>
      </c>
      <c r="AE216" s="54">
        <f t="shared" ref="AE216:AE279" ca="1" si="50">SUMPRODUCT(--($Y216:$AB216&gt;AA216))+1</f>
        <v>4</v>
      </c>
      <c r="AF216" s="54">
        <f t="shared" ref="AF216:AF279" ca="1" si="51">SUMPRODUCT(--($Y216:$AB216&gt;AB216))+1</f>
        <v>3</v>
      </c>
      <c r="AG216" s="54">
        <f t="shared" ref="AG216:AG279" ca="1" si="52">IF(AC216=1,1,0)</f>
        <v>1</v>
      </c>
      <c r="AH216" s="54">
        <f t="shared" ref="AH216:AH279" ca="1" si="53">IF(AD216=2,1,0)</f>
        <v>1</v>
      </c>
      <c r="AI216" s="54">
        <f t="shared" ref="AI216:AI279" ca="1" si="54">IF(AND(AC216=1,AD216=2,AE216=3,AF216=4),1,0)</f>
        <v>0</v>
      </c>
      <c r="AJ216" s="54">
        <f t="shared" ref="AJ216:AJ279" ca="1" si="55">IF(AND(AC216&lt;=2,AD216&lt;=2),1,0)</f>
        <v>1</v>
      </c>
    </row>
    <row r="217" spans="1:36" x14ac:dyDescent="0.2">
      <c r="A217" s="54">
        <v>194</v>
      </c>
      <c r="B217" s="54">
        <f ca="1">MAX(0.02,MCDA_Prioritisation!$B$9+(RAND()-0.5)*2*$B$6)</f>
        <v>0.12985492226675199</v>
      </c>
      <c r="C217" s="54">
        <f ca="1">MAX(0.02,MCDA_Prioritisation!$B$10+(RAND()-0.5)*2*$B$6)</f>
        <v>0.25631509211791581</v>
      </c>
      <c r="D217" s="54">
        <f ca="1">MAX(0.02,MCDA_Prioritisation!$B$11+(RAND()-0.5)*2*$B$6)</f>
        <v>0.18705348679139935</v>
      </c>
      <c r="E217" s="54">
        <f ca="1">MAX(0.02,MCDA_Prioritisation!$B$12+(RAND()-0.5)*2*$B$6)</f>
        <v>0.16491772225904358</v>
      </c>
      <c r="F217" s="54">
        <f ca="1">MAX(0.02,MCDA_Prioritisation!$B$13+(RAND()-0.5)*2*$B$6)</f>
        <v>0.13369383375188973</v>
      </c>
      <c r="G217" s="54">
        <f t="shared" ca="1" si="42"/>
        <v>0.87183505718700038</v>
      </c>
      <c r="H217" s="54">
        <f t="shared" ca="1" si="43"/>
        <v>0.14894436877284156</v>
      </c>
      <c r="I217" s="54">
        <f t="shared" ca="1" si="44"/>
        <v>0.29399493631848606</v>
      </c>
      <c r="J217" s="54">
        <f t="shared" ca="1" si="45"/>
        <v>0.21455146274449269</v>
      </c>
      <c r="K217" s="54">
        <f t="shared" ca="1" si="46"/>
        <v>0.18916160906760862</v>
      </c>
      <c r="L217" s="54">
        <f t="shared" ca="1" si="47"/>
        <v>0.15334762309657118</v>
      </c>
      <c r="M217" s="54">
        <f ca="1">MIN(100,MAX(0,MCDA_Prioritisation!$F$2+(RAND()-0.5)*2*$B$7))</f>
        <v>83.348369093812721</v>
      </c>
      <c r="N217" s="54">
        <f ca="1">MIN(100,MAX(0,MCDA_Prioritisation!$F$3+(RAND()-0.5)*2*$B$7))</f>
        <v>96.063551982335085</v>
      </c>
      <c r="O217" s="54">
        <f ca="1">MIN(100,MAX(0,MCDA_Prioritisation!$F$4+(RAND()-0.5)*2*$B$7))</f>
        <v>80.22449277814691</v>
      </c>
      <c r="P217" s="54">
        <f ca="1">MIN(100,MAX(0,MCDA_Prioritisation!$F$5+(RAND()-0.5)*2*$B$7))</f>
        <v>77.4331068995821</v>
      </c>
      <c r="Q217" s="54">
        <f ca="1">MIN(100,MAX(0,MCDA_Prioritisation!$G$2+(RAND()-0.5)*2*$B$7))</f>
        <v>81.532031455356744</v>
      </c>
      <c r="R217" s="54">
        <f ca="1">MIN(100,MAX(0,MCDA_Prioritisation!$G$3+(RAND()-0.5)*2*$B$7))</f>
        <v>89.858101504599219</v>
      </c>
      <c r="S217" s="54">
        <f ca="1">MIN(100,MAX(0,MCDA_Prioritisation!$G$4+(RAND()-0.5)*2*$B$7))</f>
        <v>79.934042242870234</v>
      </c>
      <c r="T217" s="54">
        <f ca="1">MIN(100,MAX(0,MCDA_Prioritisation!$G$5+(RAND()-0.5)*2*$B$7))</f>
        <v>69.439543661044752</v>
      </c>
      <c r="U217" s="54">
        <f ca="1">MIN(100,MAX(0,MCDA_Prioritisation!$H$2+(RAND()-0.5)*2*$B$7))</f>
        <v>55.315997815002824</v>
      </c>
      <c r="V217" s="54">
        <f ca="1">MIN(100,MAX(0,MCDA_Prioritisation!$H$3+(RAND()-0.5)*2*$B$7))</f>
        <v>64.700196371119716</v>
      </c>
      <c r="W217" s="54">
        <f ca="1">MIN(100,MAX(0,MCDA_Prioritisation!$H$4+(RAND()-0.5)*2*$B$7))</f>
        <v>72.802215802813137</v>
      </c>
      <c r="X217" s="54">
        <f ca="1">MIN(100,MAX(0,MCDA_Prioritisation!$H$5+(RAND()-0.5)*2*$B$7))</f>
        <v>82.067424313032788</v>
      </c>
      <c r="Y217" s="54">
        <f ca="1">H217*MCDA_Prioritisation!$D$2+I217*MCDA_Prioritisation!$E$2+J217*M217+K217*Q217+L217*U217</f>
        <v>86.081752060370121</v>
      </c>
      <c r="Z217" s="54">
        <f ca="1">H217*MCDA_Prioritisation!$D$3+I217*MCDA_Prioritisation!$E$3+J217*N217+K217*R217+L217*V217</f>
        <v>81.928616960391366</v>
      </c>
      <c r="AA217" s="54">
        <f ca="1">H217*MCDA_Prioritisation!$D$4+I217*MCDA_Prioritisation!$E$4+J217*O217+K217*S217+L217*W217</f>
        <v>69.904478765388774</v>
      </c>
      <c r="AB217" s="54">
        <f ca="1">H217*MCDA_Prioritisation!$D$5+I217*MCDA_Prioritisation!$E$5+J217*P217+K217*T217+L217*X217</f>
        <v>74.961182983777618</v>
      </c>
      <c r="AC217" s="54">
        <f t="shared" ca="1" si="48"/>
        <v>1</v>
      </c>
      <c r="AD217" s="54">
        <f t="shared" ca="1" si="49"/>
        <v>2</v>
      </c>
      <c r="AE217" s="54">
        <f t="shared" ca="1" si="50"/>
        <v>4</v>
      </c>
      <c r="AF217" s="54">
        <f t="shared" ca="1" si="51"/>
        <v>3</v>
      </c>
      <c r="AG217" s="54">
        <f t="shared" ca="1" si="52"/>
        <v>1</v>
      </c>
      <c r="AH217" s="54">
        <f t="shared" ca="1" si="53"/>
        <v>1</v>
      </c>
      <c r="AI217" s="54">
        <f t="shared" ca="1" si="54"/>
        <v>0</v>
      </c>
      <c r="AJ217" s="54">
        <f t="shared" ca="1" si="55"/>
        <v>1</v>
      </c>
    </row>
    <row r="218" spans="1:36" x14ac:dyDescent="0.2">
      <c r="A218" s="54">
        <v>195</v>
      </c>
      <c r="B218" s="54">
        <f ca="1">MAX(0.02,MCDA_Prioritisation!$B$9+(RAND()-0.5)*2*$B$6)</f>
        <v>0.2568721495380647</v>
      </c>
      <c r="C218" s="54">
        <f ca="1">MAX(0.02,MCDA_Prioritisation!$B$10+(RAND()-0.5)*2*$B$6)</f>
        <v>0.26739811309551909</v>
      </c>
      <c r="D218" s="54">
        <f ca="1">MAX(0.02,MCDA_Prioritisation!$B$11+(RAND()-0.5)*2*$B$6)</f>
        <v>0.20901463347778707</v>
      </c>
      <c r="E218" s="54">
        <f ca="1">MAX(0.02,MCDA_Prioritisation!$B$12+(RAND()-0.5)*2*$B$6)</f>
        <v>8.6418945229714134E-2</v>
      </c>
      <c r="F218" s="54">
        <f ca="1">MAX(0.02,MCDA_Prioritisation!$B$13+(RAND()-0.5)*2*$B$6)</f>
        <v>7.1245095031154879E-2</v>
      </c>
      <c r="G218" s="54">
        <f t="shared" ca="1" si="42"/>
        <v>0.89094893637223982</v>
      </c>
      <c r="H218" s="54">
        <f t="shared" ca="1" si="43"/>
        <v>0.2883129874805116</v>
      </c>
      <c r="I218" s="54">
        <f t="shared" ca="1" si="44"/>
        <v>0.30012731614486127</v>
      </c>
      <c r="J218" s="54">
        <f t="shared" ca="1" si="45"/>
        <v>0.23459776979907682</v>
      </c>
      <c r="K218" s="54">
        <f t="shared" ca="1" si="46"/>
        <v>9.6996518769744813E-2</v>
      </c>
      <c r="L218" s="54">
        <f t="shared" ca="1" si="47"/>
        <v>7.9965407805805577E-2</v>
      </c>
      <c r="M218" s="54">
        <f ca="1">MIN(100,MAX(0,MCDA_Prioritisation!$F$2+(RAND()-0.5)*2*$B$7))</f>
        <v>85.676189454930721</v>
      </c>
      <c r="N218" s="54">
        <f ca="1">MIN(100,MAX(0,MCDA_Prioritisation!$F$3+(RAND()-0.5)*2*$B$7))</f>
        <v>92.711897803691059</v>
      </c>
      <c r="O218" s="54">
        <f ca="1">MIN(100,MAX(0,MCDA_Prioritisation!$F$4+(RAND()-0.5)*2*$B$7))</f>
        <v>96.695360090515223</v>
      </c>
      <c r="P218" s="54">
        <f ca="1">MIN(100,MAX(0,MCDA_Prioritisation!$F$5+(RAND()-0.5)*2*$B$7))</f>
        <v>76.464152711849209</v>
      </c>
      <c r="Q218" s="54">
        <f ca="1">MIN(100,MAX(0,MCDA_Prioritisation!$G$2+(RAND()-0.5)*2*$B$7))</f>
        <v>72.673934752589432</v>
      </c>
      <c r="R218" s="54">
        <f ca="1">MIN(100,MAX(0,MCDA_Prioritisation!$G$3+(RAND()-0.5)*2*$B$7))</f>
        <v>100</v>
      </c>
      <c r="S218" s="54">
        <f ca="1">MIN(100,MAX(0,MCDA_Prioritisation!$G$4+(RAND()-0.5)*2*$B$7))</f>
        <v>84.609351400143709</v>
      </c>
      <c r="T218" s="54">
        <f ca="1">MIN(100,MAX(0,MCDA_Prioritisation!$G$5+(RAND()-0.5)*2*$B$7))</f>
        <v>72.037222423035018</v>
      </c>
      <c r="U218" s="54">
        <f ca="1">MIN(100,MAX(0,MCDA_Prioritisation!$H$2+(RAND()-0.5)*2*$B$7))</f>
        <v>64.826664349208755</v>
      </c>
      <c r="V218" s="54">
        <f ca="1">MIN(100,MAX(0,MCDA_Prioritisation!$H$3+(RAND()-0.5)*2*$B$7))</f>
        <v>69.922845314005201</v>
      </c>
      <c r="W218" s="54">
        <f ca="1">MIN(100,MAX(0,MCDA_Prioritisation!$H$4+(RAND()-0.5)*2*$B$7))</f>
        <v>79.205440287011612</v>
      </c>
      <c r="X218" s="54">
        <f ca="1">MIN(100,MAX(0,MCDA_Prioritisation!$H$5+(RAND()-0.5)*2*$B$7))</f>
        <v>79.178060025929852</v>
      </c>
      <c r="Y218" s="54">
        <f ca="1">H218*MCDA_Prioritisation!$D$2+I218*MCDA_Prioritisation!$E$2+J218*M218+K218*Q218+L218*U218</f>
        <v>91.176482661222522</v>
      </c>
      <c r="Z218" s="54">
        <f ca="1">H218*MCDA_Prioritisation!$D$3+I218*MCDA_Prioritisation!$E$3+J218*N218+K218*R218+L218*V218</f>
        <v>84.066150173599354</v>
      </c>
      <c r="AA218" s="54">
        <f ca="1">H218*MCDA_Prioritisation!$D$4+I218*MCDA_Prioritisation!$E$4+J218*O218+K218*S218+L218*W218</f>
        <v>73.672026153191197</v>
      </c>
      <c r="AB218" s="54">
        <f ca="1">H218*MCDA_Prioritisation!$D$5+I218*MCDA_Prioritisation!$E$5+J218*P218+K218*T218+L218*X218</f>
        <v>71.797632567255945</v>
      </c>
      <c r="AC218" s="54">
        <f t="shared" ca="1" si="48"/>
        <v>1</v>
      </c>
      <c r="AD218" s="54">
        <f t="shared" ca="1" si="49"/>
        <v>2</v>
      </c>
      <c r="AE218" s="54">
        <f t="shared" ca="1" si="50"/>
        <v>3</v>
      </c>
      <c r="AF218" s="54">
        <f t="shared" ca="1" si="51"/>
        <v>4</v>
      </c>
      <c r="AG218" s="54">
        <f t="shared" ca="1" si="52"/>
        <v>1</v>
      </c>
      <c r="AH218" s="54">
        <f t="shared" ca="1" si="53"/>
        <v>1</v>
      </c>
      <c r="AI218" s="54">
        <f t="shared" ca="1" si="54"/>
        <v>1</v>
      </c>
      <c r="AJ218" s="54">
        <f t="shared" ca="1" si="55"/>
        <v>1</v>
      </c>
    </row>
    <row r="219" spans="1:36" x14ac:dyDescent="0.2">
      <c r="A219" s="54">
        <v>196</v>
      </c>
      <c r="B219" s="54">
        <f ca="1">MAX(0.02,MCDA_Prioritisation!$B$9+(RAND()-0.5)*2*$B$6)</f>
        <v>0.22515734179410937</v>
      </c>
      <c r="C219" s="54">
        <f ca="1">MAX(0.02,MCDA_Prioritisation!$B$10+(RAND()-0.5)*2*$B$6)</f>
        <v>0.24696125290129303</v>
      </c>
      <c r="D219" s="54">
        <f ca="1">MAX(0.02,MCDA_Prioritisation!$B$11+(RAND()-0.5)*2*$B$6)</f>
        <v>0.18458118614393187</v>
      </c>
      <c r="E219" s="54">
        <f ca="1">MAX(0.02,MCDA_Prioritisation!$B$12+(RAND()-0.5)*2*$B$6)</f>
        <v>0.15553642894557743</v>
      </c>
      <c r="F219" s="54">
        <f ca="1">MAX(0.02,MCDA_Prioritisation!$B$13+(RAND()-0.5)*2*$B$6)</f>
        <v>0.18674876546256147</v>
      </c>
      <c r="G219" s="54">
        <f t="shared" ca="1" si="42"/>
        <v>0.99898497524747309</v>
      </c>
      <c r="H219" s="54">
        <f t="shared" ca="1" si="43"/>
        <v>0.22538611427897839</v>
      </c>
      <c r="I219" s="54">
        <f t="shared" ca="1" si="44"/>
        <v>0.24721217938249238</v>
      </c>
      <c r="J219" s="54">
        <f t="shared" ca="1" si="45"/>
        <v>0.18476873097936891</v>
      </c>
      <c r="K219" s="54">
        <f t="shared" ca="1" si="46"/>
        <v>0.15569446267902801</v>
      </c>
      <c r="L219" s="54">
        <f t="shared" ca="1" si="47"/>
        <v>0.18693851268013237</v>
      </c>
      <c r="M219" s="54">
        <f ca="1">MIN(100,MAX(0,MCDA_Prioritisation!$F$2+(RAND()-0.5)*2*$B$7))</f>
        <v>81.752461207303028</v>
      </c>
      <c r="N219" s="54">
        <f ca="1">MIN(100,MAX(0,MCDA_Prioritisation!$F$3+(RAND()-0.5)*2*$B$7))</f>
        <v>89.876825111828524</v>
      </c>
      <c r="O219" s="54">
        <f ca="1">MIN(100,MAX(0,MCDA_Prioritisation!$F$4+(RAND()-0.5)*2*$B$7))</f>
        <v>97.109861935288635</v>
      </c>
      <c r="P219" s="54">
        <f ca="1">MIN(100,MAX(0,MCDA_Prioritisation!$F$5+(RAND()-0.5)*2*$B$7))</f>
        <v>77.096916373885563</v>
      </c>
      <c r="Q219" s="54">
        <f ca="1">MIN(100,MAX(0,MCDA_Prioritisation!$G$2+(RAND()-0.5)*2*$B$7))</f>
        <v>77.454064692466446</v>
      </c>
      <c r="R219" s="54">
        <f ca="1">MIN(100,MAX(0,MCDA_Prioritisation!$G$3+(RAND()-0.5)*2*$B$7))</f>
        <v>95.839282077607081</v>
      </c>
      <c r="S219" s="54">
        <f ca="1">MIN(100,MAX(0,MCDA_Prioritisation!$G$4+(RAND()-0.5)*2*$B$7))</f>
        <v>81.353055163571156</v>
      </c>
      <c r="T219" s="54">
        <f ca="1">MIN(100,MAX(0,MCDA_Prioritisation!$G$5+(RAND()-0.5)*2*$B$7))</f>
        <v>68.917250083515398</v>
      </c>
      <c r="U219" s="54">
        <f ca="1">MIN(100,MAX(0,MCDA_Prioritisation!$H$2+(RAND()-0.5)*2*$B$7))</f>
        <v>58.469693612987854</v>
      </c>
      <c r="V219" s="54">
        <f ca="1">MIN(100,MAX(0,MCDA_Prioritisation!$H$3+(RAND()-0.5)*2*$B$7))</f>
        <v>60.85652772010738</v>
      </c>
      <c r="W219" s="54">
        <f ca="1">MIN(100,MAX(0,MCDA_Prioritisation!$H$4+(RAND()-0.5)*2*$B$7))</f>
        <v>72.107881598641868</v>
      </c>
      <c r="X219" s="54">
        <f ca="1">MIN(100,MAX(0,MCDA_Prioritisation!$H$5+(RAND()-0.5)*2*$B$7))</f>
        <v>75.951695607932677</v>
      </c>
      <c r="Y219" s="54">
        <f ca="1">H219*MCDA_Prioritisation!$D$2+I219*MCDA_Prioritisation!$E$2+J219*M219+K219*Q219+L219*U219</f>
        <v>85.354534423335764</v>
      </c>
      <c r="Z219" s="54">
        <f ca="1">H219*MCDA_Prioritisation!$D$3+I219*MCDA_Prioritisation!$E$3+J219*N219+K219*R219+L219*V219</f>
        <v>80.58160281837705</v>
      </c>
      <c r="AA219" s="54">
        <f ca="1">H219*MCDA_Prioritisation!$D$4+I219*MCDA_Prioritisation!$E$4+J219*O219+K219*S219+L219*W219</f>
        <v>73.267691041950087</v>
      </c>
      <c r="AB219" s="54">
        <f ca="1">H219*MCDA_Prioritisation!$D$5+I219*MCDA_Prioritisation!$E$5+J219*P219+K219*T219+L219*X219</f>
        <v>71.924296105838422</v>
      </c>
      <c r="AC219" s="54">
        <f t="shared" ca="1" si="48"/>
        <v>1</v>
      </c>
      <c r="AD219" s="54">
        <f t="shared" ca="1" si="49"/>
        <v>2</v>
      </c>
      <c r="AE219" s="54">
        <f t="shared" ca="1" si="50"/>
        <v>3</v>
      </c>
      <c r="AF219" s="54">
        <f t="shared" ca="1" si="51"/>
        <v>4</v>
      </c>
      <c r="AG219" s="54">
        <f t="shared" ca="1" si="52"/>
        <v>1</v>
      </c>
      <c r="AH219" s="54">
        <f t="shared" ca="1" si="53"/>
        <v>1</v>
      </c>
      <c r="AI219" s="54">
        <f t="shared" ca="1" si="54"/>
        <v>1</v>
      </c>
      <c r="AJ219" s="54">
        <f t="shared" ca="1" si="55"/>
        <v>1</v>
      </c>
    </row>
    <row r="220" spans="1:36" x14ac:dyDescent="0.2">
      <c r="A220" s="54">
        <v>197</v>
      </c>
      <c r="B220" s="54">
        <f ca="1">MAX(0.02,MCDA_Prioritisation!$B$9+(RAND()-0.5)*2*$B$6)</f>
        <v>0.21687486645196555</v>
      </c>
      <c r="C220" s="54">
        <f ca="1">MAX(0.02,MCDA_Prioritisation!$B$10+(RAND()-0.5)*2*$B$6)</f>
        <v>0.30202772591673038</v>
      </c>
      <c r="D220" s="54">
        <f ca="1">MAX(0.02,MCDA_Prioritisation!$B$11+(RAND()-0.5)*2*$B$6)</f>
        <v>0.21500974915312046</v>
      </c>
      <c r="E220" s="54">
        <f ca="1">MAX(0.02,MCDA_Prioritisation!$B$12+(RAND()-0.5)*2*$B$6)</f>
        <v>0.12174921927669682</v>
      </c>
      <c r="F220" s="54">
        <f ca="1">MAX(0.02,MCDA_Prioritisation!$B$13+(RAND()-0.5)*2*$B$6)</f>
        <v>0.13408262391396644</v>
      </c>
      <c r="G220" s="54">
        <f t="shared" ca="1" si="42"/>
        <v>0.9897441847124796</v>
      </c>
      <c r="H220" s="54">
        <f t="shared" ca="1" si="43"/>
        <v>0.21912214267262164</v>
      </c>
      <c r="I220" s="54">
        <f t="shared" ca="1" si="44"/>
        <v>0.30515736347010652</v>
      </c>
      <c r="J220" s="54">
        <f t="shared" ca="1" si="45"/>
        <v>0.21723769886617797</v>
      </c>
      <c r="K220" s="54">
        <f t="shared" ca="1" si="46"/>
        <v>0.12301079527137099</v>
      </c>
      <c r="L220" s="54">
        <f t="shared" ca="1" si="47"/>
        <v>0.13547199971972293</v>
      </c>
      <c r="M220" s="54">
        <f ca="1">MIN(100,MAX(0,MCDA_Prioritisation!$F$2+(RAND()-0.5)*2*$B$7))</f>
        <v>75.818259670139241</v>
      </c>
      <c r="N220" s="54">
        <f ca="1">MIN(100,MAX(0,MCDA_Prioritisation!$F$3+(RAND()-0.5)*2*$B$7))</f>
        <v>89.624381281540167</v>
      </c>
      <c r="O220" s="54">
        <f ca="1">MIN(100,MAX(0,MCDA_Prioritisation!$F$4+(RAND()-0.5)*2*$B$7))</f>
        <v>92.939550456849616</v>
      </c>
      <c r="P220" s="54">
        <f ca="1">MIN(100,MAX(0,MCDA_Prioritisation!$F$5+(RAND()-0.5)*2*$B$7))</f>
        <v>66.670914026220444</v>
      </c>
      <c r="Q220" s="54">
        <f ca="1">MIN(100,MAX(0,MCDA_Prioritisation!$G$2+(RAND()-0.5)*2*$B$7))</f>
        <v>87.854993389244839</v>
      </c>
      <c r="R220" s="54">
        <f ca="1">MIN(100,MAX(0,MCDA_Prioritisation!$G$3+(RAND()-0.5)*2*$B$7))</f>
        <v>90.09005477216246</v>
      </c>
      <c r="S220" s="54">
        <f ca="1">MIN(100,MAX(0,MCDA_Prioritisation!$G$4+(RAND()-0.5)*2*$B$7))</f>
        <v>94.923797476089533</v>
      </c>
      <c r="T220" s="54">
        <f ca="1">MIN(100,MAX(0,MCDA_Prioritisation!$G$5+(RAND()-0.5)*2*$B$7))</f>
        <v>62.939585181711188</v>
      </c>
      <c r="U220" s="54">
        <f ca="1">MIN(100,MAX(0,MCDA_Prioritisation!$H$2+(RAND()-0.5)*2*$B$7))</f>
        <v>62.202523419411442</v>
      </c>
      <c r="V220" s="54">
        <f ca="1">MIN(100,MAX(0,MCDA_Prioritisation!$H$3+(RAND()-0.5)*2*$B$7))</f>
        <v>64.629616205261414</v>
      </c>
      <c r="W220" s="54">
        <f ca="1">MIN(100,MAX(0,MCDA_Prioritisation!$H$4+(RAND()-0.5)*2*$B$7))</f>
        <v>86.968651532226673</v>
      </c>
      <c r="X220" s="54">
        <f ca="1">MIN(100,MAX(0,MCDA_Prioritisation!$H$5+(RAND()-0.5)*2*$B$7))</f>
        <v>78.350979644017173</v>
      </c>
      <c r="Y220" s="54">
        <f ca="1">H220*MCDA_Prioritisation!$D$2+I220*MCDA_Prioritisation!$E$2+J220*M220+K220*Q220+L220*U220</f>
        <v>88.132347717664828</v>
      </c>
      <c r="Z220" s="54">
        <f ca="1">H220*MCDA_Prioritisation!$D$3+I220*MCDA_Prioritisation!$E$3+J220*N220+K220*R220+L220*V220</f>
        <v>80.65119246319793</v>
      </c>
      <c r="AA220" s="54">
        <f ca="1">H220*MCDA_Prioritisation!$D$4+I220*MCDA_Prioritisation!$E$4+J220*O220+K220*S220+L220*W220</f>
        <v>75.551768011143778</v>
      </c>
      <c r="AB220" s="54">
        <f ca="1">H220*MCDA_Prioritisation!$D$5+I220*MCDA_Prioritisation!$E$5+J220*P220+K220*T220+L220*X220</f>
        <v>70.131111075991996</v>
      </c>
      <c r="AC220" s="54">
        <f t="shared" ca="1" si="48"/>
        <v>1</v>
      </c>
      <c r="AD220" s="54">
        <f t="shared" ca="1" si="49"/>
        <v>2</v>
      </c>
      <c r="AE220" s="54">
        <f t="shared" ca="1" si="50"/>
        <v>3</v>
      </c>
      <c r="AF220" s="54">
        <f t="shared" ca="1" si="51"/>
        <v>4</v>
      </c>
      <c r="AG220" s="54">
        <f t="shared" ca="1" si="52"/>
        <v>1</v>
      </c>
      <c r="AH220" s="54">
        <f t="shared" ca="1" si="53"/>
        <v>1</v>
      </c>
      <c r="AI220" s="54">
        <f t="shared" ca="1" si="54"/>
        <v>1</v>
      </c>
      <c r="AJ220" s="54">
        <f t="shared" ca="1" si="55"/>
        <v>1</v>
      </c>
    </row>
    <row r="221" spans="1:36" x14ac:dyDescent="0.2">
      <c r="A221" s="54">
        <v>198</v>
      </c>
      <c r="B221" s="54">
        <f ca="1">MAX(0.02,MCDA_Prioritisation!$B$9+(RAND()-0.5)*2*$B$6)</f>
        <v>0.26608260711758047</v>
      </c>
      <c r="C221" s="54">
        <f ca="1">MAX(0.02,MCDA_Prioritisation!$B$10+(RAND()-0.5)*2*$B$6)</f>
        <v>0.20218474387048341</v>
      </c>
      <c r="D221" s="54">
        <f ca="1">MAX(0.02,MCDA_Prioritisation!$B$11+(RAND()-0.5)*2*$B$6)</f>
        <v>0.2763640650603878</v>
      </c>
      <c r="E221" s="54">
        <f ca="1">MAX(0.02,MCDA_Prioritisation!$B$12+(RAND()-0.5)*2*$B$6)</f>
        <v>0.1580397325870459</v>
      </c>
      <c r="F221" s="54">
        <f ca="1">MAX(0.02,MCDA_Prioritisation!$B$13+(RAND()-0.5)*2*$B$6)</f>
        <v>0.11006256687059343</v>
      </c>
      <c r="G221" s="54">
        <f t="shared" ca="1" si="42"/>
        <v>1.0127337155060911</v>
      </c>
      <c r="H221" s="54">
        <f t="shared" ca="1" si="43"/>
        <v>0.26273698904613996</v>
      </c>
      <c r="I221" s="54">
        <f t="shared" ca="1" si="44"/>
        <v>0.19964255240524512</v>
      </c>
      <c r="J221" s="54">
        <f t="shared" ca="1" si="45"/>
        <v>0.27288917197970547</v>
      </c>
      <c r="K221" s="54">
        <f t="shared" ca="1" si="46"/>
        <v>0.15605260313474315</v>
      </c>
      <c r="L221" s="54">
        <f t="shared" ca="1" si="47"/>
        <v>0.10867868343416622</v>
      </c>
      <c r="M221" s="54">
        <f ca="1">MIN(100,MAX(0,MCDA_Prioritisation!$F$2+(RAND()-0.5)*2*$B$7))</f>
        <v>75.650178081219877</v>
      </c>
      <c r="N221" s="54">
        <f ca="1">MIN(100,MAX(0,MCDA_Prioritisation!$F$3+(RAND()-0.5)*2*$B$7))</f>
        <v>100</v>
      </c>
      <c r="O221" s="54">
        <f ca="1">MIN(100,MAX(0,MCDA_Prioritisation!$F$4+(RAND()-0.5)*2*$B$7))</f>
        <v>85.845025182959475</v>
      </c>
      <c r="P221" s="54">
        <f ca="1">MIN(100,MAX(0,MCDA_Prioritisation!$F$5+(RAND()-0.5)*2*$B$7))</f>
        <v>80.549601469442621</v>
      </c>
      <c r="Q221" s="54">
        <f ca="1">MIN(100,MAX(0,MCDA_Prioritisation!$G$2+(RAND()-0.5)*2*$B$7))</f>
        <v>74.033276656733406</v>
      </c>
      <c r="R221" s="54">
        <f ca="1">MIN(100,MAX(0,MCDA_Prioritisation!$G$3+(RAND()-0.5)*2*$B$7))</f>
        <v>90.886040585452093</v>
      </c>
      <c r="S221" s="54">
        <f ca="1">MIN(100,MAX(0,MCDA_Prioritisation!$G$4+(RAND()-0.5)*2*$B$7))</f>
        <v>93.101474816222662</v>
      </c>
      <c r="T221" s="54">
        <f ca="1">MIN(100,MAX(0,MCDA_Prioritisation!$G$5+(RAND()-0.5)*2*$B$7))</f>
        <v>67.432568672643356</v>
      </c>
      <c r="U221" s="54">
        <f ca="1">MIN(100,MAX(0,MCDA_Prioritisation!$H$2+(RAND()-0.5)*2*$B$7))</f>
        <v>72.533312288574294</v>
      </c>
      <c r="V221" s="54">
        <f ca="1">MIN(100,MAX(0,MCDA_Prioritisation!$H$3+(RAND()-0.5)*2*$B$7))</f>
        <v>59.168419710388235</v>
      </c>
      <c r="W221" s="54">
        <f ca="1">MIN(100,MAX(0,MCDA_Prioritisation!$H$4+(RAND()-0.5)*2*$B$7))</f>
        <v>81.268107523851185</v>
      </c>
      <c r="X221" s="54">
        <f ca="1">MIN(100,MAX(0,MCDA_Prioritisation!$H$5+(RAND()-0.5)*2*$B$7))</f>
        <v>70.317421541940831</v>
      </c>
      <c r="Y221" s="54">
        <f ca="1">H221*MCDA_Prioritisation!$D$2+I221*MCDA_Prioritisation!$E$2+J221*M221+K221*Q221+L221*U221</f>
        <v>86.3179790273592</v>
      </c>
      <c r="Z221" s="54">
        <f ca="1">H221*MCDA_Prioritisation!$D$3+I221*MCDA_Prioritisation!$E$3+J221*N221+K221*R221+L221*V221</f>
        <v>85.384107130999595</v>
      </c>
      <c r="AA221" s="54">
        <f ca="1">H221*MCDA_Prioritisation!$D$4+I221*MCDA_Prioritisation!$E$4+J221*O221+K221*S221+L221*W221</f>
        <v>75.972069431297186</v>
      </c>
      <c r="AB221" s="54">
        <f ca="1">H221*MCDA_Prioritisation!$D$5+I221*MCDA_Prioritisation!$E$5+J221*P221+K221*T221+L221*X221</f>
        <v>70.879269929105192</v>
      </c>
      <c r="AC221" s="54">
        <f t="shared" ca="1" si="48"/>
        <v>1</v>
      </c>
      <c r="AD221" s="54">
        <f t="shared" ca="1" si="49"/>
        <v>2</v>
      </c>
      <c r="AE221" s="54">
        <f t="shared" ca="1" si="50"/>
        <v>3</v>
      </c>
      <c r="AF221" s="54">
        <f t="shared" ca="1" si="51"/>
        <v>4</v>
      </c>
      <c r="AG221" s="54">
        <f t="shared" ca="1" si="52"/>
        <v>1</v>
      </c>
      <c r="AH221" s="54">
        <f t="shared" ca="1" si="53"/>
        <v>1</v>
      </c>
      <c r="AI221" s="54">
        <f t="shared" ca="1" si="54"/>
        <v>1</v>
      </c>
      <c r="AJ221" s="54">
        <f t="shared" ca="1" si="55"/>
        <v>1</v>
      </c>
    </row>
    <row r="222" spans="1:36" x14ac:dyDescent="0.2">
      <c r="A222" s="54">
        <v>199</v>
      </c>
      <c r="B222" s="54">
        <f ca="1">MAX(0.02,MCDA_Prioritisation!$B$9+(RAND()-0.5)*2*$B$6)</f>
        <v>0.14499576395469405</v>
      </c>
      <c r="C222" s="54">
        <f ca="1">MAX(0.02,MCDA_Prioritisation!$B$10+(RAND()-0.5)*2*$B$6)</f>
        <v>0.20099000473768708</v>
      </c>
      <c r="D222" s="54">
        <f ca="1">MAX(0.02,MCDA_Prioritisation!$B$11+(RAND()-0.5)*2*$B$6)</f>
        <v>0.30035185539130232</v>
      </c>
      <c r="E222" s="54">
        <f ca="1">MAX(0.02,MCDA_Prioritisation!$B$12+(RAND()-0.5)*2*$B$6)</f>
        <v>8.7566650060554391E-2</v>
      </c>
      <c r="F222" s="54">
        <f ca="1">MAX(0.02,MCDA_Prioritisation!$B$13+(RAND()-0.5)*2*$B$6)</f>
        <v>9.5869771415101127E-2</v>
      </c>
      <c r="G222" s="54">
        <f t="shared" ca="1" si="42"/>
        <v>0.82977404555933898</v>
      </c>
      <c r="H222" s="54">
        <f t="shared" ca="1" si="43"/>
        <v>0.17474126207087431</v>
      </c>
      <c r="I222" s="54">
        <f t="shared" ca="1" si="44"/>
        <v>0.24222257349855111</v>
      </c>
      <c r="J222" s="54">
        <f t="shared" ca="1" si="45"/>
        <v>0.36196824545028927</v>
      </c>
      <c r="K222" s="54">
        <f t="shared" ca="1" si="46"/>
        <v>0.10553071710205993</v>
      </c>
      <c r="L222" s="54">
        <f t="shared" ca="1" si="47"/>
        <v>0.11553720187822537</v>
      </c>
      <c r="M222" s="54">
        <f ca="1">MIN(100,MAX(0,MCDA_Prioritisation!$F$2+(RAND()-0.5)*2*$B$7))</f>
        <v>85.889117517603182</v>
      </c>
      <c r="N222" s="54">
        <f ca="1">MIN(100,MAX(0,MCDA_Prioritisation!$F$3+(RAND()-0.5)*2*$B$7))</f>
        <v>91.407322833304207</v>
      </c>
      <c r="O222" s="54">
        <f ca="1">MIN(100,MAX(0,MCDA_Prioritisation!$F$4+(RAND()-0.5)*2*$B$7))</f>
        <v>87.685932537818701</v>
      </c>
      <c r="P222" s="54">
        <f ca="1">MIN(100,MAX(0,MCDA_Prioritisation!$F$5+(RAND()-0.5)*2*$B$7))</f>
        <v>79.479802532591791</v>
      </c>
      <c r="Q222" s="54">
        <f ca="1">MIN(100,MAX(0,MCDA_Prioritisation!$G$2+(RAND()-0.5)*2*$B$7))</f>
        <v>78.45457726638368</v>
      </c>
      <c r="R222" s="54">
        <f ca="1">MIN(100,MAX(0,MCDA_Prioritisation!$G$3+(RAND()-0.5)*2*$B$7))</f>
        <v>100</v>
      </c>
      <c r="S222" s="54">
        <f ca="1">MIN(100,MAX(0,MCDA_Prioritisation!$G$4+(RAND()-0.5)*2*$B$7))</f>
        <v>85.047895883333155</v>
      </c>
      <c r="T222" s="54">
        <f ca="1">MIN(100,MAX(0,MCDA_Prioritisation!$G$5+(RAND()-0.5)*2*$B$7))</f>
        <v>78.638868552706683</v>
      </c>
      <c r="U222" s="54">
        <f ca="1">MIN(100,MAX(0,MCDA_Prioritisation!$H$2+(RAND()-0.5)*2*$B$7))</f>
        <v>56.134197586935073</v>
      </c>
      <c r="V222" s="54">
        <f ca="1">MIN(100,MAX(0,MCDA_Prioritisation!$H$3+(RAND()-0.5)*2*$B$7))</f>
        <v>52.074609704190578</v>
      </c>
      <c r="W222" s="54">
        <f ca="1">MIN(100,MAX(0,MCDA_Prioritisation!$H$4+(RAND()-0.5)*2*$B$7))</f>
        <v>75.049963288188934</v>
      </c>
      <c r="X222" s="54">
        <f ca="1">MIN(100,MAX(0,MCDA_Prioritisation!$H$5+(RAND()-0.5)*2*$B$7))</f>
        <v>77.701914542908128</v>
      </c>
      <c r="Y222" s="54">
        <f ca="1">H222*MCDA_Prioritisation!$D$2+I222*MCDA_Prioritisation!$E$2+J222*M222+K222*Q222+L222*U222</f>
        <v>87.550472645797413</v>
      </c>
      <c r="Z222" s="54">
        <f ca="1">H222*MCDA_Prioritisation!$D$3+I222*MCDA_Prioritisation!$E$3+J222*N222+K222*R222+L222*V222</f>
        <v>82.544195828428357</v>
      </c>
      <c r="AA222" s="54">
        <f ca="1">H222*MCDA_Prioritisation!$D$4+I222*MCDA_Prioritisation!$E$4+J222*O222+K222*S222+L222*W222</f>
        <v>74.765845980531694</v>
      </c>
      <c r="AB222" s="54">
        <f ca="1">H222*MCDA_Prioritisation!$D$5+I222*MCDA_Prioritisation!$E$5+J222*P222+K222*T222+L222*X222</f>
        <v>75.68870702962414</v>
      </c>
      <c r="AC222" s="54">
        <f t="shared" ca="1" si="48"/>
        <v>1</v>
      </c>
      <c r="AD222" s="54">
        <f t="shared" ca="1" si="49"/>
        <v>2</v>
      </c>
      <c r="AE222" s="54">
        <f t="shared" ca="1" si="50"/>
        <v>4</v>
      </c>
      <c r="AF222" s="54">
        <f t="shared" ca="1" si="51"/>
        <v>3</v>
      </c>
      <c r="AG222" s="54">
        <f t="shared" ca="1" si="52"/>
        <v>1</v>
      </c>
      <c r="AH222" s="54">
        <f t="shared" ca="1" si="53"/>
        <v>1</v>
      </c>
      <c r="AI222" s="54">
        <f t="shared" ca="1" si="54"/>
        <v>0</v>
      </c>
      <c r="AJ222" s="54">
        <f t="shared" ca="1" si="55"/>
        <v>1</v>
      </c>
    </row>
    <row r="223" spans="1:36" x14ac:dyDescent="0.2">
      <c r="A223" s="54">
        <v>200</v>
      </c>
      <c r="B223" s="54">
        <f ca="1">MAX(0.02,MCDA_Prioritisation!$B$9+(RAND()-0.5)*2*$B$6)</f>
        <v>0.21131770418911008</v>
      </c>
      <c r="C223" s="54">
        <f ca="1">MAX(0.02,MCDA_Prioritisation!$B$10+(RAND()-0.5)*2*$B$6)</f>
        <v>0.22479005118600473</v>
      </c>
      <c r="D223" s="54">
        <f ca="1">MAX(0.02,MCDA_Prioritisation!$B$11+(RAND()-0.5)*2*$B$6)</f>
        <v>0.22703848379917624</v>
      </c>
      <c r="E223" s="54">
        <f ca="1">MAX(0.02,MCDA_Prioritisation!$B$12+(RAND()-0.5)*2*$B$6)</f>
        <v>8.4637327319974448E-2</v>
      </c>
      <c r="F223" s="54">
        <f ca="1">MAX(0.02,MCDA_Prioritisation!$B$13+(RAND()-0.5)*2*$B$6)</f>
        <v>0.14528855641316166</v>
      </c>
      <c r="G223" s="54">
        <f t="shared" ca="1" si="42"/>
        <v>0.8930721229074271</v>
      </c>
      <c r="H223" s="54">
        <f t="shared" ca="1" si="43"/>
        <v>0.23661885615817679</v>
      </c>
      <c r="I223" s="54">
        <f t="shared" ca="1" si="44"/>
        <v>0.25170425256830653</v>
      </c>
      <c r="J223" s="54">
        <f t="shared" ca="1" si="45"/>
        <v>0.25422189090400071</v>
      </c>
      <c r="K223" s="54">
        <f t="shared" ca="1" si="46"/>
        <v>9.4770987862026992E-2</v>
      </c>
      <c r="L223" s="54">
        <f t="shared" ca="1" si="47"/>
        <v>0.16268401250748904</v>
      </c>
      <c r="M223" s="54">
        <f ca="1">MIN(100,MAX(0,MCDA_Prioritisation!$F$2+(RAND()-0.5)*2*$B$7))</f>
        <v>77.60177323032039</v>
      </c>
      <c r="N223" s="54">
        <f ca="1">MIN(100,MAX(0,MCDA_Prioritisation!$F$3+(RAND()-0.5)*2*$B$7))</f>
        <v>90.736427141588251</v>
      </c>
      <c r="O223" s="54">
        <f ca="1">MIN(100,MAX(0,MCDA_Prioritisation!$F$4+(RAND()-0.5)*2*$B$7))</f>
        <v>95.271634306784122</v>
      </c>
      <c r="P223" s="54">
        <f ca="1">MIN(100,MAX(0,MCDA_Prioritisation!$F$5+(RAND()-0.5)*2*$B$7))</f>
        <v>72.853433426226275</v>
      </c>
      <c r="Q223" s="54">
        <f ca="1">MIN(100,MAX(0,MCDA_Prioritisation!$G$2+(RAND()-0.5)*2*$B$7))</f>
        <v>76.52183994872351</v>
      </c>
      <c r="R223" s="54">
        <f ca="1">MIN(100,MAX(0,MCDA_Prioritisation!$G$3+(RAND()-0.5)*2*$B$7))</f>
        <v>100</v>
      </c>
      <c r="S223" s="54">
        <f ca="1">MIN(100,MAX(0,MCDA_Prioritisation!$G$4+(RAND()-0.5)*2*$B$7))</f>
        <v>84.123418321692881</v>
      </c>
      <c r="T223" s="54">
        <f ca="1">MIN(100,MAX(0,MCDA_Prioritisation!$G$5+(RAND()-0.5)*2*$B$7))</f>
        <v>77.27000531793243</v>
      </c>
      <c r="U223" s="54">
        <f ca="1">MIN(100,MAX(0,MCDA_Prioritisation!$H$2+(RAND()-0.5)*2*$B$7))</f>
        <v>58.571209789815725</v>
      </c>
      <c r="V223" s="54">
        <f ca="1">MIN(100,MAX(0,MCDA_Prioritisation!$H$3+(RAND()-0.5)*2*$B$7))</f>
        <v>67.064168786712543</v>
      </c>
      <c r="W223" s="54">
        <f ca="1">MIN(100,MAX(0,MCDA_Prioritisation!$H$4+(RAND()-0.5)*2*$B$7))</f>
        <v>80.586889789178571</v>
      </c>
      <c r="X223" s="54">
        <f ca="1">MIN(100,MAX(0,MCDA_Prioritisation!$H$5+(RAND()-0.5)*2*$B$7))</f>
        <v>78.962573118810312</v>
      </c>
      <c r="Y223" s="54">
        <f ca="1">H223*MCDA_Prioritisation!$D$2+I223*MCDA_Prioritisation!$E$2+J223*M223+K223*Q223+L223*U223</f>
        <v>85.341030191749439</v>
      </c>
      <c r="Z223" s="54">
        <f ca="1">H223*MCDA_Prioritisation!$D$3+I223*MCDA_Prioritisation!$E$3+J223*N223+K223*R223+L223*V223</f>
        <v>82.440056902391532</v>
      </c>
      <c r="AA223" s="54">
        <f ca="1">H223*MCDA_Prioritisation!$D$4+I223*MCDA_Prioritisation!$E$4+J223*O223+K223*S223+L223*W223</f>
        <v>75.508862088531046</v>
      </c>
      <c r="AB223" s="54">
        <f ca="1">H223*MCDA_Prioritisation!$D$5+I223*MCDA_Prioritisation!$E$5+J223*P223+K223*T223+L223*X223</f>
        <v>72.414636333170961</v>
      </c>
      <c r="AC223" s="54">
        <f t="shared" ca="1" si="48"/>
        <v>1</v>
      </c>
      <c r="AD223" s="54">
        <f t="shared" ca="1" si="49"/>
        <v>2</v>
      </c>
      <c r="AE223" s="54">
        <f t="shared" ca="1" si="50"/>
        <v>3</v>
      </c>
      <c r="AF223" s="54">
        <f t="shared" ca="1" si="51"/>
        <v>4</v>
      </c>
      <c r="AG223" s="54">
        <f t="shared" ca="1" si="52"/>
        <v>1</v>
      </c>
      <c r="AH223" s="54">
        <f t="shared" ca="1" si="53"/>
        <v>1</v>
      </c>
      <c r="AI223" s="54">
        <f t="shared" ca="1" si="54"/>
        <v>1</v>
      </c>
      <c r="AJ223" s="54">
        <f t="shared" ca="1" si="55"/>
        <v>1</v>
      </c>
    </row>
    <row r="224" spans="1:36" x14ac:dyDescent="0.2">
      <c r="A224" s="54">
        <v>201</v>
      </c>
      <c r="B224" s="54">
        <f ca="1">MAX(0.02,MCDA_Prioritisation!$B$9+(RAND()-0.5)*2*$B$6)</f>
        <v>0.26782286481318968</v>
      </c>
      <c r="C224" s="54">
        <f ca="1">MAX(0.02,MCDA_Prioritisation!$B$10+(RAND()-0.5)*2*$B$6)</f>
        <v>0.21981738792336103</v>
      </c>
      <c r="D224" s="54">
        <f ca="1">MAX(0.02,MCDA_Prioritisation!$B$11+(RAND()-0.5)*2*$B$6)</f>
        <v>0.25574900570791148</v>
      </c>
      <c r="E224" s="54">
        <f ca="1">MAX(0.02,MCDA_Prioritisation!$B$12+(RAND()-0.5)*2*$B$6)</f>
        <v>0.1415727353345872</v>
      </c>
      <c r="F224" s="54">
        <f ca="1">MAX(0.02,MCDA_Prioritisation!$B$13+(RAND()-0.5)*2*$B$6)</f>
        <v>0.16101184201447222</v>
      </c>
      <c r="G224" s="54">
        <f t="shared" ca="1" si="42"/>
        <v>1.0459738357935215</v>
      </c>
      <c r="H224" s="54">
        <f t="shared" ca="1" si="43"/>
        <v>0.25605120859453195</v>
      </c>
      <c r="I224" s="54">
        <f t="shared" ca="1" si="44"/>
        <v>0.21015572321328471</v>
      </c>
      <c r="J224" s="54">
        <f t="shared" ca="1" si="45"/>
        <v>0.24450803352446104</v>
      </c>
      <c r="K224" s="54">
        <f t="shared" ca="1" si="46"/>
        <v>0.13535016889517501</v>
      </c>
      <c r="L224" s="54">
        <f t="shared" ca="1" si="47"/>
        <v>0.15393486577254734</v>
      </c>
      <c r="M224" s="54">
        <f ca="1">MIN(100,MAX(0,MCDA_Prioritisation!$F$2+(RAND()-0.5)*2*$B$7))</f>
        <v>78.909347442923817</v>
      </c>
      <c r="N224" s="54">
        <f ca="1">MIN(100,MAX(0,MCDA_Prioritisation!$F$3+(RAND()-0.5)*2*$B$7))</f>
        <v>88.713925544684741</v>
      </c>
      <c r="O224" s="54">
        <f ca="1">MIN(100,MAX(0,MCDA_Prioritisation!$F$4+(RAND()-0.5)*2*$B$7))</f>
        <v>90.060655090198864</v>
      </c>
      <c r="P224" s="54">
        <f ca="1">MIN(100,MAX(0,MCDA_Prioritisation!$F$5+(RAND()-0.5)*2*$B$7))</f>
        <v>75.896412584124064</v>
      </c>
      <c r="Q224" s="54">
        <f ca="1">MIN(100,MAX(0,MCDA_Prioritisation!$G$2+(RAND()-0.5)*2*$B$7))</f>
        <v>76.458933901714417</v>
      </c>
      <c r="R224" s="54">
        <f ca="1">MIN(100,MAX(0,MCDA_Prioritisation!$G$3+(RAND()-0.5)*2*$B$7))</f>
        <v>99.470335460783033</v>
      </c>
      <c r="S224" s="54">
        <f ca="1">MIN(100,MAX(0,MCDA_Prioritisation!$G$4+(RAND()-0.5)*2*$B$7))</f>
        <v>84.299284526179264</v>
      </c>
      <c r="T224" s="54">
        <f ca="1">MIN(100,MAX(0,MCDA_Prioritisation!$G$5+(RAND()-0.5)*2*$B$7))</f>
        <v>77.207483578729722</v>
      </c>
      <c r="U224" s="54">
        <f ca="1">MIN(100,MAX(0,MCDA_Prioritisation!$H$2+(RAND()-0.5)*2*$B$7))</f>
        <v>73.101616661680282</v>
      </c>
      <c r="V224" s="54">
        <f ca="1">MIN(100,MAX(0,MCDA_Prioritisation!$H$3+(RAND()-0.5)*2*$B$7))</f>
        <v>67.161602680736038</v>
      </c>
      <c r="W224" s="54">
        <f ca="1">MIN(100,MAX(0,MCDA_Prioritisation!$H$4+(RAND()-0.5)*2*$B$7))</f>
        <v>78.154457259815175</v>
      </c>
      <c r="X224" s="54">
        <f ca="1">MIN(100,MAX(0,MCDA_Prioritisation!$H$5+(RAND()-0.5)*2*$B$7))</f>
        <v>84.417582639560578</v>
      </c>
      <c r="Y224" s="54">
        <f ca="1">H224*MCDA_Prioritisation!$D$2+I224*MCDA_Prioritisation!$E$2+J224*M224+K224*Q224+L224*U224</f>
        <v>87.516279716463458</v>
      </c>
      <c r="Z224" s="54">
        <f ca="1">H224*MCDA_Prioritisation!$D$3+I224*MCDA_Prioritisation!$E$3+J224*N224+K224*R224+L224*V224</f>
        <v>83.155225396753636</v>
      </c>
      <c r="AA224" s="54">
        <f ca="1">H224*MCDA_Prioritisation!$D$4+I224*MCDA_Prioritisation!$E$4+J224*O224+K224*S224+L224*W224</f>
        <v>74.754112351936271</v>
      </c>
      <c r="AB224" s="54">
        <f ca="1">H224*MCDA_Prioritisation!$D$5+I224*MCDA_Prioritisation!$E$5+J224*P224+K224*T224+L224*X224</f>
        <v>73.264469339097019</v>
      </c>
      <c r="AC224" s="54">
        <f t="shared" ca="1" si="48"/>
        <v>1</v>
      </c>
      <c r="AD224" s="54">
        <f t="shared" ca="1" si="49"/>
        <v>2</v>
      </c>
      <c r="AE224" s="54">
        <f t="shared" ca="1" si="50"/>
        <v>3</v>
      </c>
      <c r="AF224" s="54">
        <f t="shared" ca="1" si="51"/>
        <v>4</v>
      </c>
      <c r="AG224" s="54">
        <f t="shared" ca="1" si="52"/>
        <v>1</v>
      </c>
      <c r="AH224" s="54">
        <f t="shared" ca="1" si="53"/>
        <v>1</v>
      </c>
      <c r="AI224" s="54">
        <f t="shared" ca="1" si="54"/>
        <v>1</v>
      </c>
      <c r="AJ224" s="54">
        <f t="shared" ca="1" si="55"/>
        <v>1</v>
      </c>
    </row>
    <row r="225" spans="1:36" x14ac:dyDescent="0.2">
      <c r="A225" s="54">
        <v>202</v>
      </c>
      <c r="B225" s="54">
        <f ca="1">MAX(0.02,MCDA_Prioritisation!$B$9+(RAND()-0.5)*2*$B$6)</f>
        <v>0.14872798395951681</v>
      </c>
      <c r="C225" s="54">
        <f ca="1">MAX(0.02,MCDA_Prioritisation!$B$10+(RAND()-0.5)*2*$B$6)</f>
        <v>0.30220750221371145</v>
      </c>
      <c r="D225" s="54">
        <f ca="1">MAX(0.02,MCDA_Prioritisation!$B$11+(RAND()-0.5)*2*$B$6)</f>
        <v>0.23538691494570885</v>
      </c>
      <c r="E225" s="54">
        <f ca="1">MAX(0.02,MCDA_Prioritisation!$B$12+(RAND()-0.5)*2*$B$6)</f>
        <v>0.15617906443209315</v>
      </c>
      <c r="F225" s="54">
        <f ca="1">MAX(0.02,MCDA_Prioritisation!$B$13+(RAND()-0.5)*2*$B$6)</f>
        <v>0.22924028712787953</v>
      </c>
      <c r="G225" s="54">
        <f t="shared" ca="1" si="42"/>
        <v>1.0717417526789097</v>
      </c>
      <c r="H225" s="54">
        <f t="shared" ca="1" si="43"/>
        <v>0.13877222156154553</v>
      </c>
      <c r="I225" s="54">
        <f t="shared" ca="1" si="44"/>
        <v>0.28197791255059168</v>
      </c>
      <c r="J225" s="54">
        <f t="shared" ca="1" si="45"/>
        <v>0.2196302554765075</v>
      </c>
      <c r="K225" s="54">
        <f t="shared" ca="1" si="46"/>
        <v>0.14572453115847198</v>
      </c>
      <c r="L225" s="54">
        <f t="shared" ca="1" si="47"/>
        <v>0.21389507925288337</v>
      </c>
      <c r="M225" s="54">
        <f ca="1">MIN(100,MAX(0,MCDA_Prioritisation!$F$2+(RAND()-0.5)*2*$B$7))</f>
        <v>83.671095348714005</v>
      </c>
      <c r="N225" s="54">
        <f ca="1">MIN(100,MAX(0,MCDA_Prioritisation!$F$3+(RAND()-0.5)*2*$B$7))</f>
        <v>91.235717604484861</v>
      </c>
      <c r="O225" s="54">
        <f ca="1">MIN(100,MAX(0,MCDA_Prioritisation!$F$4+(RAND()-0.5)*2*$B$7))</f>
        <v>86.047523722795233</v>
      </c>
      <c r="P225" s="54">
        <f ca="1">MIN(100,MAX(0,MCDA_Prioritisation!$F$5+(RAND()-0.5)*2*$B$7))</f>
        <v>68.63859231096049</v>
      </c>
      <c r="Q225" s="54">
        <f ca="1">MIN(100,MAX(0,MCDA_Prioritisation!$G$2+(RAND()-0.5)*2*$B$7))</f>
        <v>82.122690811401668</v>
      </c>
      <c r="R225" s="54">
        <f ca="1">MIN(100,MAX(0,MCDA_Prioritisation!$G$3+(RAND()-0.5)*2*$B$7))</f>
        <v>95.365368955239148</v>
      </c>
      <c r="S225" s="54">
        <f ca="1">MIN(100,MAX(0,MCDA_Prioritisation!$G$4+(RAND()-0.5)*2*$B$7))</f>
        <v>82.933376274838068</v>
      </c>
      <c r="T225" s="54">
        <f ca="1">MIN(100,MAX(0,MCDA_Prioritisation!$G$5+(RAND()-0.5)*2*$B$7))</f>
        <v>62.073411844219414</v>
      </c>
      <c r="U225" s="54">
        <f ca="1">MIN(100,MAX(0,MCDA_Prioritisation!$H$2+(RAND()-0.5)*2*$B$7))</f>
        <v>66.306244636775304</v>
      </c>
      <c r="V225" s="54">
        <f ca="1">MIN(100,MAX(0,MCDA_Prioritisation!$H$3+(RAND()-0.5)*2*$B$7))</f>
        <v>60.890747007920723</v>
      </c>
      <c r="W225" s="54">
        <f ca="1">MIN(100,MAX(0,MCDA_Prioritisation!$H$4+(RAND()-0.5)*2*$B$7))</f>
        <v>76.125646283105183</v>
      </c>
      <c r="X225" s="54">
        <f ca="1">MIN(100,MAX(0,MCDA_Prioritisation!$H$5+(RAND()-0.5)*2*$B$7))</f>
        <v>78.862619636307514</v>
      </c>
      <c r="Y225" s="54">
        <f ca="1">H225*MCDA_Prioritisation!$D$2+I225*MCDA_Prioritisation!$E$2+J225*M225+K225*Q225+L225*U225</f>
        <v>86.601587526158795</v>
      </c>
      <c r="Z225" s="54">
        <f ca="1">H225*MCDA_Prioritisation!$D$3+I225*MCDA_Prioritisation!$E$3+J225*N225+K225*R225+L225*V225</f>
        <v>79.595166893533573</v>
      </c>
      <c r="AA225" s="54">
        <f ca="1">H225*MCDA_Prioritisation!$D$4+I225*MCDA_Prioritisation!$E$4+J225*O225+K225*S225+L225*W225</f>
        <v>72.310863273230609</v>
      </c>
      <c r="AB225" s="54">
        <f ca="1">H225*MCDA_Prioritisation!$D$5+I225*MCDA_Prioritisation!$E$5+J225*P225+K225*T225+L225*X225</f>
        <v>72.066294832276682</v>
      </c>
      <c r="AC225" s="54">
        <f t="shared" ca="1" si="48"/>
        <v>1</v>
      </c>
      <c r="AD225" s="54">
        <f t="shared" ca="1" si="49"/>
        <v>2</v>
      </c>
      <c r="AE225" s="54">
        <f t="shared" ca="1" si="50"/>
        <v>3</v>
      </c>
      <c r="AF225" s="54">
        <f t="shared" ca="1" si="51"/>
        <v>4</v>
      </c>
      <c r="AG225" s="54">
        <f t="shared" ca="1" si="52"/>
        <v>1</v>
      </c>
      <c r="AH225" s="54">
        <f t="shared" ca="1" si="53"/>
        <v>1</v>
      </c>
      <c r="AI225" s="54">
        <f t="shared" ca="1" si="54"/>
        <v>1</v>
      </c>
      <c r="AJ225" s="54">
        <f t="shared" ca="1" si="55"/>
        <v>1</v>
      </c>
    </row>
    <row r="226" spans="1:36" x14ac:dyDescent="0.2">
      <c r="A226" s="54">
        <v>203</v>
      </c>
      <c r="B226" s="54">
        <f ca="1">MAX(0.02,MCDA_Prioritisation!$B$9+(RAND()-0.5)*2*$B$6)</f>
        <v>0.21308987383795369</v>
      </c>
      <c r="C226" s="54">
        <f ca="1">MAX(0.02,MCDA_Prioritisation!$B$10+(RAND()-0.5)*2*$B$6)</f>
        <v>0.19568040765946149</v>
      </c>
      <c r="D226" s="54">
        <f ca="1">MAX(0.02,MCDA_Prioritisation!$B$11+(RAND()-0.5)*2*$B$6)</f>
        <v>0.1920714658340496</v>
      </c>
      <c r="E226" s="54">
        <f ca="1">MAX(0.02,MCDA_Prioritisation!$B$12+(RAND()-0.5)*2*$B$6)</f>
        <v>0.11239146492154796</v>
      </c>
      <c r="F226" s="54">
        <f ca="1">MAX(0.02,MCDA_Prioritisation!$B$13+(RAND()-0.5)*2*$B$6)</f>
        <v>0.18748970858956188</v>
      </c>
      <c r="G226" s="54">
        <f t="shared" ca="1" si="42"/>
        <v>0.90072292084257466</v>
      </c>
      <c r="H226" s="54">
        <f t="shared" ca="1" si="43"/>
        <v>0.23657649750782442</v>
      </c>
      <c r="I226" s="54">
        <f t="shared" ca="1" si="44"/>
        <v>0.2172481715869001</v>
      </c>
      <c r="J226" s="54">
        <f t="shared" ca="1" si="45"/>
        <v>0.21324145460224078</v>
      </c>
      <c r="K226" s="54">
        <f t="shared" ca="1" si="46"/>
        <v>0.12477917717072436</v>
      </c>
      <c r="L226" s="54">
        <f t="shared" ca="1" si="47"/>
        <v>0.2081546991323103</v>
      </c>
      <c r="M226" s="54">
        <f ca="1">MIN(100,MAX(0,MCDA_Prioritisation!$F$2+(RAND()-0.5)*2*$B$7))</f>
        <v>89.052530085082793</v>
      </c>
      <c r="N226" s="54">
        <f ca="1">MIN(100,MAX(0,MCDA_Prioritisation!$F$3+(RAND()-0.5)*2*$B$7))</f>
        <v>86.068830863139453</v>
      </c>
      <c r="O226" s="54">
        <f ca="1">MIN(100,MAX(0,MCDA_Prioritisation!$F$4+(RAND()-0.5)*2*$B$7))</f>
        <v>93.062833875010071</v>
      </c>
      <c r="P226" s="54">
        <f ca="1">MIN(100,MAX(0,MCDA_Prioritisation!$F$5+(RAND()-0.5)*2*$B$7))</f>
        <v>71.249917294382641</v>
      </c>
      <c r="Q226" s="54">
        <f ca="1">MIN(100,MAX(0,MCDA_Prioritisation!$G$2+(RAND()-0.5)*2*$B$7))</f>
        <v>89.736077863727175</v>
      </c>
      <c r="R226" s="54">
        <f ca="1">MIN(100,MAX(0,MCDA_Prioritisation!$G$3+(RAND()-0.5)*2*$B$7))</f>
        <v>89.871099785821883</v>
      </c>
      <c r="S226" s="54">
        <f ca="1">MIN(100,MAX(0,MCDA_Prioritisation!$G$4+(RAND()-0.5)*2*$B$7))</f>
        <v>83.000453408295925</v>
      </c>
      <c r="T226" s="54">
        <f ca="1">MIN(100,MAX(0,MCDA_Prioritisation!$G$5+(RAND()-0.5)*2*$B$7))</f>
        <v>79.131372158156566</v>
      </c>
      <c r="U226" s="54">
        <f ca="1">MIN(100,MAX(0,MCDA_Prioritisation!$H$2+(RAND()-0.5)*2*$B$7))</f>
        <v>73.254512487823462</v>
      </c>
      <c r="V226" s="54">
        <f ca="1">MIN(100,MAX(0,MCDA_Prioritisation!$H$3+(RAND()-0.5)*2*$B$7))</f>
        <v>52.004474918243233</v>
      </c>
      <c r="W226" s="54">
        <f ca="1">MIN(100,MAX(0,MCDA_Prioritisation!$H$4+(RAND()-0.5)*2*$B$7))</f>
        <v>87.879270669053668</v>
      </c>
      <c r="X226" s="54">
        <f ca="1">MIN(100,MAX(0,MCDA_Prioritisation!$H$5+(RAND()-0.5)*2*$B$7))</f>
        <v>75.286025357220637</v>
      </c>
      <c r="Y226" s="54">
        <f ca="1">H226*MCDA_Prioritisation!$D$2+I226*MCDA_Prioritisation!$E$2+J226*M226+K226*Q226+L226*U226</f>
        <v>90.817622926176199</v>
      </c>
      <c r="Z226" s="54">
        <f ca="1">H226*MCDA_Prioritisation!$D$3+I226*MCDA_Prioritisation!$E$3+J226*N226+K226*R226+L226*V226</f>
        <v>76.868365551889113</v>
      </c>
      <c r="AA226" s="54">
        <f ca="1">H226*MCDA_Prioritisation!$D$4+I226*MCDA_Prioritisation!$E$4+J226*O226+K226*S226+L226*W226</f>
        <v>76.817762308161193</v>
      </c>
      <c r="AB226" s="54">
        <f ca="1">H226*MCDA_Prioritisation!$D$5+I226*MCDA_Prioritisation!$E$5+J226*P226+K226*T226+L226*X226</f>
        <v>71.563627830771239</v>
      </c>
      <c r="AC226" s="54">
        <f t="shared" ca="1" si="48"/>
        <v>1</v>
      </c>
      <c r="AD226" s="54">
        <f t="shared" ca="1" si="49"/>
        <v>2</v>
      </c>
      <c r="AE226" s="54">
        <f t="shared" ca="1" si="50"/>
        <v>3</v>
      </c>
      <c r="AF226" s="54">
        <f t="shared" ca="1" si="51"/>
        <v>4</v>
      </c>
      <c r="AG226" s="54">
        <f t="shared" ca="1" si="52"/>
        <v>1</v>
      </c>
      <c r="AH226" s="54">
        <f t="shared" ca="1" si="53"/>
        <v>1</v>
      </c>
      <c r="AI226" s="54">
        <f t="shared" ca="1" si="54"/>
        <v>1</v>
      </c>
      <c r="AJ226" s="54">
        <f t="shared" ca="1" si="55"/>
        <v>1</v>
      </c>
    </row>
    <row r="227" spans="1:36" x14ac:dyDescent="0.2">
      <c r="A227" s="54">
        <v>204</v>
      </c>
      <c r="B227" s="54">
        <f ca="1">MAX(0.02,MCDA_Prioritisation!$B$9+(RAND()-0.5)*2*$B$6)</f>
        <v>0.14194955989467739</v>
      </c>
      <c r="C227" s="54">
        <f ca="1">MAX(0.02,MCDA_Prioritisation!$B$10+(RAND()-0.5)*2*$B$6)</f>
        <v>0.26514000328710802</v>
      </c>
      <c r="D227" s="54">
        <f ca="1">MAX(0.02,MCDA_Prioritisation!$B$11+(RAND()-0.5)*2*$B$6)</f>
        <v>0.19562241134227165</v>
      </c>
      <c r="E227" s="54">
        <f ca="1">MAX(0.02,MCDA_Prioritisation!$B$12+(RAND()-0.5)*2*$B$6)</f>
        <v>0.21042135187466224</v>
      </c>
      <c r="F227" s="54">
        <f ca="1">MAX(0.02,MCDA_Prioritisation!$B$13+(RAND()-0.5)*2*$B$6)</f>
        <v>0.19359967968384911</v>
      </c>
      <c r="G227" s="54">
        <f t="shared" ca="1" si="42"/>
        <v>1.0067330060825683</v>
      </c>
      <c r="H227" s="54">
        <f t="shared" ca="1" si="43"/>
        <v>0.14100020465906454</v>
      </c>
      <c r="I227" s="54">
        <f t="shared" ca="1" si="44"/>
        <v>0.26336675333495746</v>
      </c>
      <c r="J227" s="54">
        <f t="shared" ca="1" si="45"/>
        <v>0.1943140933696848</v>
      </c>
      <c r="K227" s="54">
        <f t="shared" ca="1" si="46"/>
        <v>0.209014058944447</v>
      </c>
      <c r="L227" s="54">
        <f t="shared" ca="1" si="47"/>
        <v>0.19230488969184628</v>
      </c>
      <c r="M227" s="54">
        <f ca="1">MIN(100,MAX(0,MCDA_Prioritisation!$F$2+(RAND()-0.5)*2*$B$7))</f>
        <v>91.825845010169289</v>
      </c>
      <c r="N227" s="54">
        <f ca="1">MIN(100,MAX(0,MCDA_Prioritisation!$F$3+(RAND()-0.5)*2*$B$7))</f>
        <v>100</v>
      </c>
      <c r="O227" s="54">
        <f ca="1">MIN(100,MAX(0,MCDA_Prioritisation!$F$4+(RAND()-0.5)*2*$B$7))</f>
        <v>86.874329079311337</v>
      </c>
      <c r="P227" s="54">
        <f ca="1">MIN(100,MAX(0,MCDA_Prioritisation!$F$5+(RAND()-0.5)*2*$B$7))</f>
        <v>66.443008781042423</v>
      </c>
      <c r="Q227" s="54">
        <f ca="1">MIN(100,MAX(0,MCDA_Prioritisation!$G$2+(RAND()-0.5)*2*$B$7))</f>
        <v>73.584141544821748</v>
      </c>
      <c r="R227" s="54">
        <f ca="1">MIN(100,MAX(0,MCDA_Prioritisation!$G$3+(RAND()-0.5)*2*$B$7))</f>
        <v>100</v>
      </c>
      <c r="S227" s="54">
        <f ca="1">MIN(100,MAX(0,MCDA_Prioritisation!$G$4+(RAND()-0.5)*2*$B$7))</f>
        <v>75.766571054976794</v>
      </c>
      <c r="T227" s="54">
        <f ca="1">MIN(100,MAX(0,MCDA_Prioritisation!$G$5+(RAND()-0.5)*2*$B$7))</f>
        <v>79.397426075063564</v>
      </c>
      <c r="U227" s="54">
        <f ca="1">MIN(100,MAX(0,MCDA_Prioritisation!$H$2+(RAND()-0.5)*2*$B$7))</f>
        <v>59.034288197740423</v>
      </c>
      <c r="V227" s="54">
        <f ca="1">MIN(100,MAX(0,MCDA_Prioritisation!$H$3+(RAND()-0.5)*2*$B$7))</f>
        <v>58.134103655849572</v>
      </c>
      <c r="W227" s="54">
        <f ca="1">MIN(100,MAX(0,MCDA_Prioritisation!$H$4+(RAND()-0.5)*2*$B$7))</f>
        <v>83.037449035805764</v>
      </c>
      <c r="X227" s="54">
        <f ca="1">MIN(100,MAX(0,MCDA_Prioritisation!$H$5+(RAND()-0.5)*2*$B$7))</f>
        <v>67.603496118121299</v>
      </c>
      <c r="Y227" s="54">
        <f ca="1">H227*MCDA_Prioritisation!$D$2+I227*MCDA_Prioritisation!$E$2+J227*M227+K227*Q227+L227*U227</f>
        <v>85.012453998587475</v>
      </c>
      <c r="Z227" s="54">
        <f ca="1">H227*MCDA_Prioritisation!$D$3+I227*MCDA_Prioritisation!$E$3+J227*N227+K227*R227+L227*V227</f>
        <v>82.989205541581995</v>
      </c>
      <c r="AA227" s="54">
        <f ca="1">H227*MCDA_Prioritisation!$D$4+I227*MCDA_Prioritisation!$E$4+J227*O227+K227*S227+L227*W227</f>
        <v>72.869577159156933</v>
      </c>
      <c r="AB227" s="54">
        <f ca="1">H227*MCDA_Prioritisation!$D$5+I227*MCDA_Prioritisation!$E$5+J227*P227+K227*T227+L227*X227</f>
        <v>72.136935209110945</v>
      </c>
      <c r="AC227" s="54">
        <f t="shared" ca="1" si="48"/>
        <v>1</v>
      </c>
      <c r="AD227" s="54">
        <f t="shared" ca="1" si="49"/>
        <v>2</v>
      </c>
      <c r="AE227" s="54">
        <f t="shared" ca="1" si="50"/>
        <v>3</v>
      </c>
      <c r="AF227" s="54">
        <f t="shared" ca="1" si="51"/>
        <v>4</v>
      </c>
      <c r="AG227" s="54">
        <f t="shared" ca="1" si="52"/>
        <v>1</v>
      </c>
      <c r="AH227" s="54">
        <f t="shared" ca="1" si="53"/>
        <v>1</v>
      </c>
      <c r="AI227" s="54">
        <f t="shared" ca="1" si="54"/>
        <v>1</v>
      </c>
      <c r="AJ227" s="54">
        <f t="shared" ca="1" si="55"/>
        <v>1</v>
      </c>
    </row>
    <row r="228" spans="1:36" x14ac:dyDescent="0.2">
      <c r="A228" s="54">
        <v>205</v>
      </c>
      <c r="B228" s="54">
        <f ca="1">MAX(0.02,MCDA_Prioritisation!$B$9+(RAND()-0.5)*2*$B$6)</f>
        <v>0.24893514854247561</v>
      </c>
      <c r="C228" s="54">
        <f ca="1">MAX(0.02,MCDA_Prioritisation!$B$10+(RAND()-0.5)*2*$B$6)</f>
        <v>0.26434178925233959</v>
      </c>
      <c r="D228" s="54">
        <f ca="1">MAX(0.02,MCDA_Prioritisation!$B$11+(RAND()-0.5)*2*$B$6)</f>
        <v>0.32255000034818165</v>
      </c>
      <c r="E228" s="54">
        <f ca="1">MAX(0.02,MCDA_Prioritisation!$B$12+(RAND()-0.5)*2*$B$6)</f>
        <v>0.12287162937518141</v>
      </c>
      <c r="F228" s="54">
        <f ca="1">MAX(0.02,MCDA_Prioritisation!$B$13+(RAND()-0.5)*2*$B$6)</f>
        <v>8.6488998546578696E-2</v>
      </c>
      <c r="G228" s="54">
        <f t="shared" ca="1" si="42"/>
        <v>1.0451875660647569</v>
      </c>
      <c r="H228" s="54">
        <f t="shared" ca="1" si="43"/>
        <v>0.2381727037566502</v>
      </c>
      <c r="I228" s="54">
        <f t="shared" ca="1" si="44"/>
        <v>0.25291325484057825</v>
      </c>
      <c r="J228" s="54">
        <f t="shared" ca="1" si="45"/>
        <v>0.3086048962126644</v>
      </c>
      <c r="K228" s="54">
        <f t="shared" ca="1" si="46"/>
        <v>0.11755940595218353</v>
      </c>
      <c r="L228" s="54">
        <f t="shared" ca="1" si="47"/>
        <v>8.2749739237923614E-2</v>
      </c>
      <c r="M228" s="54">
        <f ca="1">MIN(100,MAX(0,MCDA_Prioritisation!$F$2+(RAND()-0.5)*2*$B$7))</f>
        <v>79.496376796993275</v>
      </c>
      <c r="N228" s="54">
        <f ca="1">MIN(100,MAX(0,MCDA_Prioritisation!$F$3+(RAND()-0.5)*2*$B$7))</f>
        <v>97.772887737381893</v>
      </c>
      <c r="O228" s="54">
        <f ca="1">MIN(100,MAX(0,MCDA_Prioritisation!$F$4+(RAND()-0.5)*2*$B$7))</f>
        <v>93.591751478507533</v>
      </c>
      <c r="P228" s="54">
        <f ca="1">MIN(100,MAX(0,MCDA_Prioritisation!$F$5+(RAND()-0.5)*2*$B$7))</f>
        <v>77.564578543293521</v>
      </c>
      <c r="Q228" s="54">
        <f ca="1">MIN(100,MAX(0,MCDA_Prioritisation!$G$2+(RAND()-0.5)*2*$B$7))</f>
        <v>75.561295243717012</v>
      </c>
      <c r="R228" s="54">
        <f ca="1">MIN(100,MAX(0,MCDA_Prioritisation!$G$3+(RAND()-0.5)*2*$B$7))</f>
        <v>85.373134749068569</v>
      </c>
      <c r="S228" s="54">
        <f ca="1">MIN(100,MAX(0,MCDA_Prioritisation!$G$4+(RAND()-0.5)*2*$B$7))</f>
        <v>75.271867899216616</v>
      </c>
      <c r="T228" s="54">
        <f ca="1">MIN(100,MAX(0,MCDA_Prioritisation!$G$5+(RAND()-0.5)*2*$B$7))</f>
        <v>73.398528122190712</v>
      </c>
      <c r="U228" s="54">
        <f ca="1">MIN(100,MAX(0,MCDA_Prioritisation!$H$2+(RAND()-0.5)*2*$B$7))</f>
        <v>57.204425483434818</v>
      </c>
      <c r="V228" s="54">
        <f ca="1">MIN(100,MAX(0,MCDA_Prioritisation!$H$3+(RAND()-0.5)*2*$B$7))</f>
        <v>69.074596340051173</v>
      </c>
      <c r="W228" s="54">
        <f ca="1">MIN(100,MAX(0,MCDA_Prioritisation!$H$4+(RAND()-0.5)*2*$B$7))</f>
        <v>84.627390418884275</v>
      </c>
      <c r="X228" s="54">
        <f ca="1">MIN(100,MAX(0,MCDA_Prioritisation!$H$5+(RAND()-0.5)*2*$B$7))</f>
        <v>82.799906298042401</v>
      </c>
      <c r="Y228" s="54">
        <f ca="1">H228*MCDA_Prioritisation!$D$2+I228*MCDA_Prioritisation!$E$2+J228*M228+K228*Q228+L228*U228</f>
        <v>87.258159244280208</v>
      </c>
      <c r="Z228" s="54">
        <f ca="1">H228*MCDA_Prioritisation!$D$3+I228*MCDA_Prioritisation!$E$3+J228*N228+K228*R228+L228*V228</f>
        <v>85.13474448054842</v>
      </c>
      <c r="AA228" s="54">
        <f ca="1">H228*MCDA_Prioritisation!$D$4+I228*MCDA_Prioritisation!$E$4+J228*O228+K228*S228+L228*W228</f>
        <v>75.114898729340041</v>
      </c>
      <c r="AB228" s="54">
        <f ca="1">H228*MCDA_Prioritisation!$D$5+I228*MCDA_Prioritisation!$E$5+J228*P228+K228*T228+L228*X228</f>
        <v>73.326100433872256</v>
      </c>
      <c r="AC228" s="54">
        <f t="shared" ca="1" si="48"/>
        <v>1</v>
      </c>
      <c r="AD228" s="54">
        <f t="shared" ca="1" si="49"/>
        <v>2</v>
      </c>
      <c r="AE228" s="54">
        <f t="shared" ca="1" si="50"/>
        <v>3</v>
      </c>
      <c r="AF228" s="54">
        <f t="shared" ca="1" si="51"/>
        <v>4</v>
      </c>
      <c r="AG228" s="54">
        <f t="shared" ca="1" si="52"/>
        <v>1</v>
      </c>
      <c r="AH228" s="54">
        <f t="shared" ca="1" si="53"/>
        <v>1</v>
      </c>
      <c r="AI228" s="54">
        <f t="shared" ca="1" si="54"/>
        <v>1</v>
      </c>
      <c r="AJ228" s="54">
        <f t="shared" ca="1" si="55"/>
        <v>1</v>
      </c>
    </row>
    <row r="229" spans="1:36" x14ac:dyDescent="0.2">
      <c r="A229" s="54">
        <v>206</v>
      </c>
      <c r="B229" s="54">
        <f ca="1">MAX(0.02,MCDA_Prioritisation!$B$9+(RAND()-0.5)*2*$B$6)</f>
        <v>0.27327045139599576</v>
      </c>
      <c r="C229" s="54">
        <f ca="1">MAX(0.02,MCDA_Prioritisation!$B$10+(RAND()-0.5)*2*$B$6)</f>
        <v>0.19039424587108408</v>
      </c>
      <c r="D229" s="54">
        <f ca="1">MAX(0.02,MCDA_Prioritisation!$B$11+(RAND()-0.5)*2*$B$6)</f>
        <v>0.25902185100458797</v>
      </c>
      <c r="E229" s="54">
        <f ca="1">MAX(0.02,MCDA_Prioritisation!$B$12+(RAND()-0.5)*2*$B$6)</f>
        <v>9.7691547762321251E-2</v>
      </c>
      <c r="F229" s="54">
        <f ca="1">MAX(0.02,MCDA_Prioritisation!$B$13+(RAND()-0.5)*2*$B$6)</f>
        <v>0.18463038089640954</v>
      </c>
      <c r="G229" s="54">
        <f t="shared" ca="1" si="42"/>
        <v>1.0050084769303986</v>
      </c>
      <c r="H229" s="54">
        <f t="shared" ca="1" si="43"/>
        <v>0.27190860342854695</v>
      </c>
      <c r="I229" s="54">
        <f t="shared" ca="1" si="44"/>
        <v>0.18944541289104941</v>
      </c>
      <c r="J229" s="54">
        <f t="shared" ca="1" si="45"/>
        <v>0.25773101118084041</v>
      </c>
      <c r="K229" s="54">
        <f t="shared" ca="1" si="46"/>
        <v>9.7204700263525068E-2</v>
      </c>
      <c r="L229" s="54">
        <f t="shared" ca="1" si="47"/>
        <v>0.18371027223603809</v>
      </c>
      <c r="M229" s="54">
        <f ca="1">MIN(100,MAX(0,MCDA_Prioritisation!$F$2+(RAND()-0.5)*2*$B$7))</f>
        <v>80.382353420212709</v>
      </c>
      <c r="N229" s="54">
        <f ca="1">MIN(100,MAX(0,MCDA_Prioritisation!$F$3+(RAND()-0.5)*2*$B$7))</f>
        <v>100</v>
      </c>
      <c r="O229" s="54">
        <f ca="1">MIN(100,MAX(0,MCDA_Prioritisation!$F$4+(RAND()-0.5)*2*$B$7))</f>
        <v>81.489073017630716</v>
      </c>
      <c r="P229" s="54">
        <f ca="1">MIN(100,MAX(0,MCDA_Prioritisation!$F$5+(RAND()-0.5)*2*$B$7))</f>
        <v>66.890258934957288</v>
      </c>
      <c r="Q229" s="54">
        <f ca="1">MIN(100,MAX(0,MCDA_Prioritisation!$G$2+(RAND()-0.5)*2*$B$7))</f>
        <v>89.361616516630576</v>
      </c>
      <c r="R229" s="54">
        <f ca="1">MIN(100,MAX(0,MCDA_Prioritisation!$G$3+(RAND()-0.5)*2*$B$7))</f>
        <v>100</v>
      </c>
      <c r="S229" s="54">
        <f ca="1">MIN(100,MAX(0,MCDA_Prioritisation!$G$4+(RAND()-0.5)*2*$B$7))</f>
        <v>83.120710763695456</v>
      </c>
      <c r="T229" s="54">
        <f ca="1">MIN(100,MAX(0,MCDA_Prioritisation!$G$5+(RAND()-0.5)*2*$B$7))</f>
        <v>61.781556343975964</v>
      </c>
      <c r="U229" s="54">
        <f ca="1">MIN(100,MAX(0,MCDA_Prioritisation!$H$2+(RAND()-0.5)*2*$B$7))</f>
        <v>56.430430279875523</v>
      </c>
      <c r="V229" s="54">
        <f ca="1">MIN(100,MAX(0,MCDA_Prioritisation!$H$3+(RAND()-0.5)*2*$B$7))</f>
        <v>62.686988807482884</v>
      </c>
      <c r="W229" s="54">
        <f ca="1">MIN(100,MAX(0,MCDA_Prioritisation!$H$4+(RAND()-0.5)*2*$B$7))</f>
        <v>83.553647910945315</v>
      </c>
      <c r="X229" s="54">
        <f ca="1">MIN(100,MAX(0,MCDA_Prioritisation!$H$5+(RAND()-0.5)*2*$B$7))</f>
        <v>73.950877851398261</v>
      </c>
      <c r="Y229" s="54">
        <f ca="1">H229*MCDA_Prioritisation!$D$2+I229*MCDA_Prioritisation!$E$2+J229*M229+K229*Q229+L229*U229</f>
        <v>85.905645717722592</v>
      </c>
      <c r="Z229" s="54">
        <f ca="1">H229*MCDA_Prioritisation!$D$3+I229*MCDA_Prioritisation!$E$3+J229*N229+K229*R229+L229*V229</f>
        <v>84.551615641417385</v>
      </c>
      <c r="AA229" s="54">
        <f ca="1">H229*MCDA_Prioritisation!$D$4+I229*MCDA_Prioritisation!$E$4+J229*O229+K229*S229+L229*W229</f>
        <v>73.699151226909777</v>
      </c>
      <c r="AB229" s="54">
        <f ca="1">H229*MCDA_Prioritisation!$D$5+I229*MCDA_Prioritisation!$E$5+J229*P229+K229*T229+L229*X229</f>
        <v>67.193115712154935</v>
      </c>
      <c r="AC229" s="54">
        <f t="shared" ca="1" si="48"/>
        <v>1</v>
      </c>
      <c r="AD229" s="54">
        <f t="shared" ca="1" si="49"/>
        <v>2</v>
      </c>
      <c r="AE229" s="54">
        <f t="shared" ca="1" si="50"/>
        <v>3</v>
      </c>
      <c r="AF229" s="54">
        <f t="shared" ca="1" si="51"/>
        <v>4</v>
      </c>
      <c r="AG229" s="54">
        <f t="shared" ca="1" si="52"/>
        <v>1</v>
      </c>
      <c r="AH229" s="54">
        <f t="shared" ca="1" si="53"/>
        <v>1</v>
      </c>
      <c r="AI229" s="54">
        <f t="shared" ca="1" si="54"/>
        <v>1</v>
      </c>
      <c r="AJ229" s="54">
        <f t="shared" ca="1" si="55"/>
        <v>1</v>
      </c>
    </row>
    <row r="230" spans="1:36" x14ac:dyDescent="0.2">
      <c r="A230" s="54">
        <v>207</v>
      </c>
      <c r="B230" s="54">
        <f ca="1">MAX(0.02,MCDA_Prioritisation!$B$9+(RAND()-0.5)*2*$B$6)</f>
        <v>0.15978840413793033</v>
      </c>
      <c r="C230" s="54">
        <f ca="1">MAX(0.02,MCDA_Prioritisation!$B$10+(RAND()-0.5)*2*$B$6)</f>
        <v>0.21285445450145965</v>
      </c>
      <c r="D230" s="54">
        <f ca="1">MAX(0.02,MCDA_Prioritisation!$B$11+(RAND()-0.5)*2*$B$6)</f>
        <v>0.31520175567768538</v>
      </c>
      <c r="E230" s="54">
        <f ca="1">MAX(0.02,MCDA_Prioritisation!$B$12+(RAND()-0.5)*2*$B$6)</f>
        <v>0.15562017704852679</v>
      </c>
      <c r="F230" s="54">
        <f ca="1">MAX(0.02,MCDA_Prioritisation!$B$13+(RAND()-0.5)*2*$B$6)</f>
        <v>0.19357724098318846</v>
      </c>
      <c r="G230" s="54">
        <f t="shared" ca="1" si="42"/>
        <v>1.0370420323487906</v>
      </c>
      <c r="H230" s="54">
        <f t="shared" ca="1" si="43"/>
        <v>0.15408093322507527</v>
      </c>
      <c r="I230" s="54">
        <f t="shared" ca="1" si="44"/>
        <v>0.20525152102019126</v>
      </c>
      <c r="J230" s="54">
        <f t="shared" ca="1" si="45"/>
        <v>0.30394308605195752</v>
      </c>
      <c r="K230" s="54">
        <f t="shared" ca="1" si="46"/>
        <v>0.15006159074966666</v>
      </c>
      <c r="L230" s="54">
        <f t="shared" ca="1" si="47"/>
        <v>0.18666286895310932</v>
      </c>
      <c r="M230" s="54">
        <f ca="1">MIN(100,MAX(0,MCDA_Prioritisation!$F$2+(RAND()-0.5)*2*$B$7))</f>
        <v>78.181208741210568</v>
      </c>
      <c r="N230" s="54">
        <f ca="1">MIN(100,MAX(0,MCDA_Prioritisation!$F$3+(RAND()-0.5)*2*$B$7))</f>
        <v>97.723247343710767</v>
      </c>
      <c r="O230" s="54">
        <f ca="1">MIN(100,MAX(0,MCDA_Prioritisation!$F$4+(RAND()-0.5)*2*$B$7))</f>
        <v>87.128798492551766</v>
      </c>
      <c r="P230" s="54">
        <f ca="1">MIN(100,MAX(0,MCDA_Prioritisation!$F$5+(RAND()-0.5)*2*$B$7))</f>
        <v>75.778462407031512</v>
      </c>
      <c r="Q230" s="54">
        <f ca="1">MIN(100,MAX(0,MCDA_Prioritisation!$G$2+(RAND()-0.5)*2*$B$7))</f>
        <v>77.944218226650349</v>
      </c>
      <c r="R230" s="54">
        <f ca="1">MIN(100,MAX(0,MCDA_Prioritisation!$G$3+(RAND()-0.5)*2*$B$7))</f>
        <v>100</v>
      </c>
      <c r="S230" s="54">
        <f ca="1">MIN(100,MAX(0,MCDA_Prioritisation!$G$4+(RAND()-0.5)*2*$B$7))</f>
        <v>94.925696660371344</v>
      </c>
      <c r="T230" s="54">
        <f ca="1">MIN(100,MAX(0,MCDA_Prioritisation!$G$5+(RAND()-0.5)*2*$B$7))</f>
        <v>70.446864451692335</v>
      </c>
      <c r="U230" s="54">
        <f ca="1">MIN(100,MAX(0,MCDA_Prioritisation!$H$2+(RAND()-0.5)*2*$B$7))</f>
        <v>72.354965579146238</v>
      </c>
      <c r="V230" s="54">
        <f ca="1">MIN(100,MAX(0,MCDA_Prioritisation!$H$3+(RAND()-0.5)*2*$B$7))</f>
        <v>56.775594988155369</v>
      </c>
      <c r="W230" s="54">
        <f ca="1">MIN(100,MAX(0,MCDA_Prioritisation!$H$4+(RAND()-0.5)*2*$B$7))</f>
        <v>77.86332116172629</v>
      </c>
      <c r="X230" s="54">
        <f ca="1">MIN(100,MAX(0,MCDA_Prioritisation!$H$5+(RAND()-0.5)*2*$B$7))</f>
        <v>72.517382463027644</v>
      </c>
      <c r="Y230" s="54">
        <f ca="1">H230*MCDA_Prioritisation!$D$2+I230*MCDA_Prioritisation!$E$2+J230*M230+K230*Q230+L230*U230</f>
        <v>84.898302115439691</v>
      </c>
      <c r="Z230" s="54">
        <f ca="1">H230*MCDA_Prioritisation!$D$3+I230*MCDA_Prioritisation!$E$3+J230*N230+K230*R230+L230*V230</f>
        <v>83.699929799659913</v>
      </c>
      <c r="AA230" s="54">
        <f ca="1">H230*MCDA_Prioritisation!$D$4+I230*MCDA_Prioritisation!$E$4+J230*O230+K230*S230+L230*W230</f>
        <v>77.185915775685061</v>
      </c>
      <c r="AB230" s="54">
        <f ca="1">H230*MCDA_Prioritisation!$D$5+I230*MCDA_Prioritisation!$E$5+J230*P230+K230*T230+L230*X230</f>
        <v>72.57778055311158</v>
      </c>
      <c r="AC230" s="54">
        <f t="shared" ca="1" si="48"/>
        <v>1</v>
      </c>
      <c r="AD230" s="54">
        <f t="shared" ca="1" si="49"/>
        <v>2</v>
      </c>
      <c r="AE230" s="54">
        <f t="shared" ca="1" si="50"/>
        <v>3</v>
      </c>
      <c r="AF230" s="54">
        <f t="shared" ca="1" si="51"/>
        <v>4</v>
      </c>
      <c r="AG230" s="54">
        <f t="shared" ca="1" si="52"/>
        <v>1</v>
      </c>
      <c r="AH230" s="54">
        <f t="shared" ca="1" si="53"/>
        <v>1</v>
      </c>
      <c r="AI230" s="54">
        <f t="shared" ca="1" si="54"/>
        <v>1</v>
      </c>
      <c r="AJ230" s="54">
        <f t="shared" ca="1" si="55"/>
        <v>1</v>
      </c>
    </row>
    <row r="231" spans="1:36" x14ac:dyDescent="0.2">
      <c r="A231" s="54">
        <v>208</v>
      </c>
      <c r="B231" s="54">
        <f ca="1">MAX(0.02,MCDA_Prioritisation!$B$9+(RAND()-0.5)*2*$B$6)</f>
        <v>0.2370464709872917</v>
      </c>
      <c r="C231" s="54">
        <f ca="1">MAX(0.02,MCDA_Prioritisation!$B$10+(RAND()-0.5)*2*$B$6)</f>
        <v>0.32620568589595905</v>
      </c>
      <c r="D231" s="54">
        <f ca="1">MAX(0.02,MCDA_Prioritisation!$B$11+(RAND()-0.5)*2*$B$6)</f>
        <v>0.17119992118761773</v>
      </c>
      <c r="E231" s="54">
        <f ca="1">MAX(0.02,MCDA_Prioritisation!$B$12+(RAND()-0.5)*2*$B$6)</f>
        <v>0.2284466896567981</v>
      </c>
      <c r="F231" s="54">
        <f ca="1">MAX(0.02,MCDA_Prioritisation!$B$13+(RAND()-0.5)*2*$B$6)</f>
        <v>0.17056375000834745</v>
      </c>
      <c r="G231" s="54">
        <f t="shared" ca="1" si="42"/>
        <v>1.133462517736014</v>
      </c>
      <c r="H231" s="54">
        <f t="shared" ca="1" si="43"/>
        <v>0.20913481238071285</v>
      </c>
      <c r="I231" s="54">
        <f t="shared" ca="1" si="44"/>
        <v>0.28779574162498517</v>
      </c>
      <c r="J231" s="54">
        <f t="shared" ca="1" si="45"/>
        <v>0.15104153733250364</v>
      </c>
      <c r="K231" s="54">
        <f t="shared" ca="1" si="46"/>
        <v>0.20154763486409688</v>
      </c>
      <c r="L231" s="54">
        <f t="shared" ca="1" si="47"/>
        <v>0.15048027379770146</v>
      </c>
      <c r="M231" s="54">
        <f ca="1">MIN(100,MAX(0,MCDA_Prioritisation!$F$2+(RAND()-0.5)*2*$B$7))</f>
        <v>89.994533348734194</v>
      </c>
      <c r="N231" s="54">
        <f ca="1">MIN(100,MAX(0,MCDA_Prioritisation!$F$3+(RAND()-0.5)*2*$B$7))</f>
        <v>94.105487260345797</v>
      </c>
      <c r="O231" s="54">
        <f ca="1">MIN(100,MAX(0,MCDA_Prioritisation!$F$4+(RAND()-0.5)*2*$B$7))</f>
        <v>94.308355230781416</v>
      </c>
      <c r="P231" s="54">
        <f ca="1">MIN(100,MAX(0,MCDA_Prioritisation!$F$5+(RAND()-0.5)*2*$B$7))</f>
        <v>66.701777562389353</v>
      </c>
      <c r="Q231" s="54">
        <f ca="1">MIN(100,MAX(0,MCDA_Prioritisation!$G$2+(RAND()-0.5)*2*$B$7))</f>
        <v>84.67999873222027</v>
      </c>
      <c r="R231" s="54">
        <f ca="1">MIN(100,MAX(0,MCDA_Prioritisation!$G$3+(RAND()-0.5)*2*$B$7))</f>
        <v>100</v>
      </c>
      <c r="S231" s="54">
        <f ca="1">MIN(100,MAX(0,MCDA_Prioritisation!$G$4+(RAND()-0.5)*2*$B$7))</f>
        <v>79.666110150669738</v>
      </c>
      <c r="T231" s="54">
        <f ca="1">MIN(100,MAX(0,MCDA_Prioritisation!$G$5+(RAND()-0.5)*2*$B$7))</f>
        <v>71.507864858012582</v>
      </c>
      <c r="U231" s="54">
        <f ca="1">MIN(100,MAX(0,MCDA_Prioritisation!$H$2+(RAND()-0.5)*2*$B$7))</f>
        <v>59.529338816486536</v>
      </c>
      <c r="V231" s="54">
        <f ca="1">MIN(100,MAX(0,MCDA_Prioritisation!$H$3+(RAND()-0.5)*2*$B$7))</f>
        <v>51.656821490400219</v>
      </c>
      <c r="W231" s="54">
        <f ca="1">MIN(100,MAX(0,MCDA_Prioritisation!$H$4+(RAND()-0.5)*2*$B$7))</f>
        <v>82.199943067711871</v>
      </c>
      <c r="X231" s="54">
        <f ca="1">MIN(100,MAX(0,MCDA_Prioritisation!$H$5+(RAND()-0.5)*2*$B$7))</f>
        <v>68.99457882677352</v>
      </c>
      <c r="Y231" s="54">
        <f ca="1">H231*MCDA_Prioritisation!$D$2+I231*MCDA_Prioritisation!$E$2+J231*M231+K231*Q231+L231*U231</f>
        <v>89.311012737958634</v>
      </c>
      <c r="Z231" s="54">
        <f ca="1">H231*MCDA_Prioritisation!$D$3+I231*MCDA_Prioritisation!$E$3+J231*N231+K231*R231+L231*V231</f>
        <v>81.350254567236306</v>
      </c>
      <c r="AA231" s="54">
        <f ca="1">H231*MCDA_Prioritisation!$D$4+I231*MCDA_Prioritisation!$E$4+J231*O231+K231*S231+L231*W231</f>
        <v>72.931333433370796</v>
      </c>
      <c r="AB231" s="54">
        <f ca="1">H231*MCDA_Prioritisation!$D$5+I231*MCDA_Prioritisation!$E$5+J231*P231+K231*T231+L231*X231</f>
        <v>70.170324980125613</v>
      </c>
      <c r="AC231" s="54">
        <f t="shared" ca="1" si="48"/>
        <v>1</v>
      </c>
      <c r="AD231" s="54">
        <f t="shared" ca="1" si="49"/>
        <v>2</v>
      </c>
      <c r="AE231" s="54">
        <f t="shared" ca="1" si="50"/>
        <v>3</v>
      </c>
      <c r="AF231" s="54">
        <f t="shared" ca="1" si="51"/>
        <v>4</v>
      </c>
      <c r="AG231" s="54">
        <f t="shared" ca="1" si="52"/>
        <v>1</v>
      </c>
      <c r="AH231" s="54">
        <f t="shared" ca="1" si="53"/>
        <v>1</v>
      </c>
      <c r="AI231" s="54">
        <f t="shared" ca="1" si="54"/>
        <v>1</v>
      </c>
      <c r="AJ231" s="54">
        <f t="shared" ca="1" si="55"/>
        <v>1</v>
      </c>
    </row>
    <row r="232" spans="1:36" x14ac:dyDescent="0.2">
      <c r="A232" s="54">
        <v>209</v>
      </c>
      <c r="B232" s="54">
        <f ca="1">MAX(0.02,MCDA_Prioritisation!$B$9+(RAND()-0.5)*2*$B$6)</f>
        <v>0.2312701134189285</v>
      </c>
      <c r="C232" s="54">
        <f ca="1">MAX(0.02,MCDA_Prioritisation!$B$10+(RAND()-0.5)*2*$B$6)</f>
        <v>0.19777325728719605</v>
      </c>
      <c r="D232" s="54">
        <f ca="1">MAX(0.02,MCDA_Prioritisation!$B$11+(RAND()-0.5)*2*$B$6)</f>
        <v>0.2959824954531648</v>
      </c>
      <c r="E232" s="54">
        <f ca="1">MAX(0.02,MCDA_Prioritisation!$B$12+(RAND()-0.5)*2*$B$6)</f>
        <v>0.21156001072607983</v>
      </c>
      <c r="F232" s="54">
        <f ca="1">MAX(0.02,MCDA_Prioritisation!$B$13+(RAND()-0.5)*2*$B$6)</f>
        <v>0.12846679505740019</v>
      </c>
      <c r="G232" s="54">
        <f t="shared" ca="1" si="42"/>
        <v>1.0650526719427693</v>
      </c>
      <c r="H232" s="54">
        <f t="shared" ca="1" si="43"/>
        <v>0.21714429672014926</v>
      </c>
      <c r="I232" s="54">
        <f t="shared" ca="1" si="44"/>
        <v>0.18569340512186744</v>
      </c>
      <c r="J232" s="54">
        <f t="shared" ca="1" si="45"/>
        <v>0.27790409174154856</v>
      </c>
      <c r="K232" s="54">
        <f t="shared" ca="1" si="46"/>
        <v>0.19863807330784108</v>
      </c>
      <c r="L232" s="54">
        <f t="shared" ca="1" si="47"/>
        <v>0.12062013310859368</v>
      </c>
      <c r="M232" s="54">
        <f ca="1">MIN(100,MAX(0,MCDA_Prioritisation!$F$2+(RAND()-0.5)*2*$B$7))</f>
        <v>79.812933247814584</v>
      </c>
      <c r="N232" s="54">
        <f ca="1">MIN(100,MAX(0,MCDA_Prioritisation!$F$3+(RAND()-0.5)*2*$B$7))</f>
        <v>88.595692274768325</v>
      </c>
      <c r="O232" s="54">
        <f ca="1">MIN(100,MAX(0,MCDA_Prioritisation!$F$4+(RAND()-0.5)*2*$B$7))</f>
        <v>95.69780920232904</v>
      </c>
      <c r="P232" s="54">
        <f ca="1">MIN(100,MAX(0,MCDA_Prioritisation!$F$5+(RAND()-0.5)*2*$B$7))</f>
        <v>77.119443210256236</v>
      </c>
      <c r="Q232" s="54">
        <f ca="1">MIN(100,MAX(0,MCDA_Prioritisation!$G$2+(RAND()-0.5)*2*$B$7))</f>
        <v>81.31188389488716</v>
      </c>
      <c r="R232" s="54">
        <f ca="1">MIN(100,MAX(0,MCDA_Prioritisation!$G$3+(RAND()-0.5)*2*$B$7))</f>
        <v>98.397251653786952</v>
      </c>
      <c r="S232" s="54">
        <f ca="1">MIN(100,MAX(0,MCDA_Prioritisation!$G$4+(RAND()-0.5)*2*$B$7))</f>
        <v>93.544988798982473</v>
      </c>
      <c r="T232" s="54">
        <f ca="1">MIN(100,MAX(0,MCDA_Prioritisation!$G$5+(RAND()-0.5)*2*$B$7))</f>
        <v>78.52438069847318</v>
      </c>
      <c r="U232" s="54">
        <f ca="1">MIN(100,MAX(0,MCDA_Prioritisation!$H$2+(RAND()-0.5)*2*$B$7))</f>
        <v>66.692276901847947</v>
      </c>
      <c r="V232" s="54">
        <f ca="1">MIN(100,MAX(0,MCDA_Prioritisation!$H$3+(RAND()-0.5)*2*$B$7))</f>
        <v>65.105914051111284</v>
      </c>
      <c r="W232" s="54">
        <f ca="1">MIN(100,MAX(0,MCDA_Prioritisation!$H$4+(RAND()-0.5)*2*$B$7))</f>
        <v>73.332400204697748</v>
      </c>
      <c r="X232" s="54">
        <f ca="1">MIN(100,MAX(0,MCDA_Prioritisation!$H$5+(RAND()-0.5)*2*$B$7))</f>
        <v>65.370355921947379</v>
      </c>
      <c r="Y232" s="54">
        <f ca="1">H232*MCDA_Prioritisation!$D$2+I232*MCDA_Prioritisation!$E$2+J232*M232+K232*Q232+L232*U232</f>
        <v>86.660178178791767</v>
      </c>
      <c r="Z232" s="54">
        <f ca="1">H232*MCDA_Prioritisation!$D$3+I232*MCDA_Prioritisation!$E$3+J232*N232+K232*R232+L232*V232</f>
        <v>84.502330014749987</v>
      </c>
      <c r="AA232" s="54">
        <f ca="1">H232*MCDA_Prioritisation!$D$4+I232*MCDA_Prioritisation!$E$4+J232*O232+K232*S232+L232*W232</f>
        <v>79.271156471988206</v>
      </c>
      <c r="AB232" s="54">
        <f ca="1">H232*MCDA_Prioritisation!$D$5+I232*MCDA_Prioritisation!$E$5+J232*P232+K232*T232+L232*X232</f>
        <v>72.054975560302125</v>
      </c>
      <c r="AC232" s="54">
        <f t="shared" ca="1" si="48"/>
        <v>1</v>
      </c>
      <c r="AD232" s="54">
        <f t="shared" ca="1" si="49"/>
        <v>2</v>
      </c>
      <c r="AE232" s="54">
        <f t="shared" ca="1" si="50"/>
        <v>3</v>
      </c>
      <c r="AF232" s="54">
        <f t="shared" ca="1" si="51"/>
        <v>4</v>
      </c>
      <c r="AG232" s="54">
        <f t="shared" ca="1" si="52"/>
        <v>1</v>
      </c>
      <c r="AH232" s="54">
        <f t="shared" ca="1" si="53"/>
        <v>1</v>
      </c>
      <c r="AI232" s="54">
        <f t="shared" ca="1" si="54"/>
        <v>1</v>
      </c>
      <c r="AJ232" s="54">
        <f t="shared" ca="1" si="55"/>
        <v>1</v>
      </c>
    </row>
    <row r="233" spans="1:36" x14ac:dyDescent="0.2">
      <c r="A233" s="54">
        <v>210</v>
      </c>
      <c r="B233" s="54">
        <f ca="1">MAX(0.02,MCDA_Prioritisation!$B$9+(RAND()-0.5)*2*$B$6)</f>
        <v>0.19374232499754104</v>
      </c>
      <c r="C233" s="54">
        <f ca="1">MAX(0.02,MCDA_Prioritisation!$B$10+(RAND()-0.5)*2*$B$6)</f>
        <v>0.21439946163180273</v>
      </c>
      <c r="D233" s="54">
        <f ca="1">MAX(0.02,MCDA_Prioritisation!$B$11+(RAND()-0.5)*2*$B$6)</f>
        <v>0.31323550309368509</v>
      </c>
      <c r="E233" s="54">
        <f ca="1">MAX(0.02,MCDA_Prioritisation!$B$12+(RAND()-0.5)*2*$B$6)</f>
        <v>0.11862095871181261</v>
      </c>
      <c r="F233" s="54">
        <f ca="1">MAX(0.02,MCDA_Prioritisation!$B$13+(RAND()-0.5)*2*$B$6)</f>
        <v>8.0084862341452692E-2</v>
      </c>
      <c r="G233" s="54">
        <f t="shared" ca="1" si="42"/>
        <v>0.92008311077629412</v>
      </c>
      <c r="H233" s="54">
        <f t="shared" ca="1" si="43"/>
        <v>0.21057046122070042</v>
      </c>
      <c r="I233" s="54">
        <f t="shared" ca="1" si="44"/>
        <v>0.23302184239737783</v>
      </c>
      <c r="J233" s="54">
        <f t="shared" ca="1" si="45"/>
        <v>0.34044261809066517</v>
      </c>
      <c r="K233" s="54">
        <f t="shared" ca="1" si="46"/>
        <v>0.12892417796010788</v>
      </c>
      <c r="L233" s="54">
        <f t="shared" ca="1" si="47"/>
        <v>8.7040900331148724E-2</v>
      </c>
      <c r="M233" s="54">
        <f ca="1">MIN(100,MAX(0,MCDA_Prioritisation!$F$2+(RAND()-0.5)*2*$B$7))</f>
        <v>93.97611163051404</v>
      </c>
      <c r="N233" s="54">
        <f ca="1">MIN(100,MAX(0,MCDA_Prioritisation!$F$3+(RAND()-0.5)*2*$B$7))</f>
        <v>90.571295002661472</v>
      </c>
      <c r="O233" s="54">
        <f ca="1">MIN(100,MAX(0,MCDA_Prioritisation!$F$4+(RAND()-0.5)*2*$B$7))</f>
        <v>95.786014717904024</v>
      </c>
      <c r="P233" s="54">
        <f ca="1">MIN(100,MAX(0,MCDA_Prioritisation!$F$5+(RAND()-0.5)*2*$B$7))</f>
        <v>78.892337630044523</v>
      </c>
      <c r="Q233" s="54">
        <f ca="1">MIN(100,MAX(0,MCDA_Prioritisation!$G$2+(RAND()-0.5)*2*$B$7))</f>
        <v>75.486389108215931</v>
      </c>
      <c r="R233" s="54">
        <f ca="1">MIN(100,MAX(0,MCDA_Prioritisation!$G$3+(RAND()-0.5)*2*$B$7))</f>
        <v>96.691640592701773</v>
      </c>
      <c r="S233" s="54">
        <f ca="1">MIN(100,MAX(0,MCDA_Prioritisation!$G$4+(RAND()-0.5)*2*$B$7))</f>
        <v>93.286635842322838</v>
      </c>
      <c r="T233" s="54">
        <f ca="1">MIN(100,MAX(0,MCDA_Prioritisation!$G$5+(RAND()-0.5)*2*$B$7))</f>
        <v>79.051817318134368</v>
      </c>
      <c r="U233" s="54">
        <f ca="1">MIN(100,MAX(0,MCDA_Prioritisation!$H$2+(RAND()-0.5)*2*$B$7))</f>
        <v>64.879617547248458</v>
      </c>
      <c r="V233" s="54">
        <f ca="1">MIN(100,MAX(0,MCDA_Prioritisation!$H$3+(RAND()-0.5)*2*$B$7))</f>
        <v>53.547886204473741</v>
      </c>
      <c r="W233" s="54">
        <f ca="1">MIN(100,MAX(0,MCDA_Prioritisation!$H$4+(RAND()-0.5)*2*$B$7))</f>
        <v>78.891240220740428</v>
      </c>
      <c r="X233" s="54">
        <f ca="1">MIN(100,MAX(0,MCDA_Prioritisation!$H$5+(RAND()-0.5)*2*$B$7))</f>
        <v>78.854941562238153</v>
      </c>
      <c r="Y233" s="54">
        <f ca="1">H233*MCDA_Prioritisation!$D$2+I233*MCDA_Prioritisation!$E$2+J233*M233+K233*Q233+L233*U233</f>
        <v>91.731904830687313</v>
      </c>
      <c r="Z233" s="54">
        <f ca="1">H233*MCDA_Prioritisation!$D$3+I233*MCDA_Prioritisation!$E$3+J233*N233+K233*R233+L233*V233</f>
        <v>83.311311135308628</v>
      </c>
      <c r="AA233" s="54">
        <f ca="1">H233*MCDA_Prioritisation!$D$4+I233*MCDA_Prioritisation!$E$4+J233*O233+K233*S233+L233*W233</f>
        <v>78.876480417076507</v>
      </c>
      <c r="AB233" s="54">
        <f ca="1">H233*MCDA_Prioritisation!$D$5+I233*MCDA_Prioritisation!$E$5+J233*P233+K233*T233+L233*X233</f>
        <v>74.68484280791391</v>
      </c>
      <c r="AC233" s="54">
        <f t="shared" ca="1" si="48"/>
        <v>1</v>
      </c>
      <c r="AD233" s="54">
        <f t="shared" ca="1" si="49"/>
        <v>2</v>
      </c>
      <c r="AE233" s="54">
        <f t="shared" ca="1" si="50"/>
        <v>3</v>
      </c>
      <c r="AF233" s="54">
        <f t="shared" ca="1" si="51"/>
        <v>4</v>
      </c>
      <c r="AG233" s="54">
        <f t="shared" ca="1" si="52"/>
        <v>1</v>
      </c>
      <c r="AH233" s="54">
        <f t="shared" ca="1" si="53"/>
        <v>1</v>
      </c>
      <c r="AI233" s="54">
        <f t="shared" ca="1" si="54"/>
        <v>1</v>
      </c>
      <c r="AJ233" s="54">
        <f t="shared" ca="1" si="55"/>
        <v>1</v>
      </c>
    </row>
    <row r="234" spans="1:36" x14ac:dyDescent="0.2">
      <c r="A234" s="54">
        <v>211</v>
      </c>
      <c r="B234" s="54">
        <f ca="1">MAX(0.02,MCDA_Prioritisation!$B$9+(RAND()-0.5)*2*$B$6)</f>
        <v>0.1282616824850695</v>
      </c>
      <c r="C234" s="54">
        <f ca="1">MAX(0.02,MCDA_Prioritisation!$B$10+(RAND()-0.5)*2*$B$6)</f>
        <v>0.25013191646375382</v>
      </c>
      <c r="D234" s="54">
        <f ca="1">MAX(0.02,MCDA_Prioritisation!$B$11+(RAND()-0.5)*2*$B$6)</f>
        <v>0.22604264152026265</v>
      </c>
      <c r="E234" s="54">
        <f ca="1">MAX(0.02,MCDA_Prioritisation!$B$12+(RAND()-0.5)*2*$B$6)</f>
        <v>0.13829256693117045</v>
      </c>
      <c r="F234" s="54">
        <f ca="1">MAX(0.02,MCDA_Prioritisation!$B$13+(RAND()-0.5)*2*$B$6)</f>
        <v>0.21673247886317543</v>
      </c>
      <c r="G234" s="54">
        <f t="shared" ca="1" si="42"/>
        <v>0.95946128626343175</v>
      </c>
      <c r="H234" s="54">
        <f t="shared" ca="1" si="43"/>
        <v>0.13368093566815753</v>
      </c>
      <c r="I234" s="54">
        <f t="shared" ca="1" si="44"/>
        <v>0.2607003743088776</v>
      </c>
      <c r="J234" s="54">
        <f t="shared" ca="1" si="45"/>
        <v>0.23559329048134195</v>
      </c>
      <c r="K234" s="54">
        <f t="shared" ca="1" si="46"/>
        <v>0.14413564039643861</v>
      </c>
      <c r="L234" s="54">
        <f t="shared" ca="1" si="47"/>
        <v>0.22588975914518442</v>
      </c>
      <c r="M234" s="54">
        <f ca="1">MIN(100,MAX(0,MCDA_Prioritisation!$F$2+(RAND()-0.5)*2*$B$7))</f>
        <v>89.41307213205117</v>
      </c>
      <c r="N234" s="54">
        <f ca="1">MIN(100,MAX(0,MCDA_Prioritisation!$F$3+(RAND()-0.5)*2*$B$7))</f>
        <v>91.98636517891002</v>
      </c>
      <c r="O234" s="54">
        <f ca="1">MIN(100,MAX(0,MCDA_Prioritisation!$F$4+(RAND()-0.5)*2*$B$7))</f>
        <v>82.919240250828807</v>
      </c>
      <c r="P234" s="54">
        <f ca="1">MIN(100,MAX(0,MCDA_Prioritisation!$F$5+(RAND()-0.5)*2*$B$7))</f>
        <v>65.32735806529341</v>
      </c>
      <c r="Q234" s="54">
        <f ca="1">MIN(100,MAX(0,MCDA_Prioritisation!$G$2+(RAND()-0.5)*2*$B$7))</f>
        <v>79.632304570538949</v>
      </c>
      <c r="R234" s="54">
        <f ca="1">MIN(100,MAX(0,MCDA_Prioritisation!$G$3+(RAND()-0.5)*2*$B$7))</f>
        <v>92.55577669153864</v>
      </c>
      <c r="S234" s="54">
        <f ca="1">MIN(100,MAX(0,MCDA_Prioritisation!$G$4+(RAND()-0.5)*2*$B$7))</f>
        <v>85.454239224827091</v>
      </c>
      <c r="T234" s="54">
        <f ca="1">MIN(100,MAX(0,MCDA_Prioritisation!$G$5+(RAND()-0.5)*2*$B$7))</f>
        <v>68.133497189579444</v>
      </c>
      <c r="U234" s="54">
        <f ca="1">MIN(100,MAX(0,MCDA_Prioritisation!$H$2+(RAND()-0.5)*2*$B$7))</f>
        <v>72.834984478986783</v>
      </c>
      <c r="V234" s="54">
        <f ca="1">MIN(100,MAX(0,MCDA_Prioritisation!$H$3+(RAND()-0.5)*2*$B$7))</f>
        <v>63.062545953092048</v>
      </c>
      <c r="W234" s="54">
        <f ca="1">MIN(100,MAX(0,MCDA_Prioritisation!$H$4+(RAND()-0.5)*2*$B$7))</f>
        <v>70.764554761453681</v>
      </c>
      <c r="X234" s="54">
        <f ca="1">MIN(100,MAX(0,MCDA_Prioritisation!$H$5+(RAND()-0.5)*2*$B$7))</f>
        <v>75.338003967415418</v>
      </c>
      <c r="Y234" s="54">
        <f ca="1">H234*MCDA_Prioritisation!$D$2+I234*MCDA_Prioritisation!$E$2+J234*M234+K234*Q234+L234*U234</f>
        <v>88.433781190159479</v>
      </c>
      <c r="Z234" s="54">
        <f ca="1">H234*MCDA_Prioritisation!$D$3+I234*MCDA_Prioritisation!$E$3+J234*N234+K234*R234+L234*V234</f>
        <v>79.900458383342198</v>
      </c>
      <c r="AA234" s="54">
        <f ca="1">H234*MCDA_Prioritisation!$D$4+I234*MCDA_Prioritisation!$E$4+J234*O234+K234*S234+L234*W234</f>
        <v>71.365981301196399</v>
      </c>
      <c r="AB234" s="54">
        <f ca="1">H234*MCDA_Prioritisation!$D$5+I234*MCDA_Prioritisation!$E$5+J234*P234+K234*T234+L234*X234</f>
        <v>71.247002154380411</v>
      </c>
      <c r="AC234" s="54">
        <f t="shared" ca="1" si="48"/>
        <v>1</v>
      </c>
      <c r="AD234" s="54">
        <f t="shared" ca="1" si="49"/>
        <v>2</v>
      </c>
      <c r="AE234" s="54">
        <f t="shared" ca="1" si="50"/>
        <v>3</v>
      </c>
      <c r="AF234" s="54">
        <f t="shared" ca="1" si="51"/>
        <v>4</v>
      </c>
      <c r="AG234" s="54">
        <f t="shared" ca="1" si="52"/>
        <v>1</v>
      </c>
      <c r="AH234" s="54">
        <f t="shared" ca="1" si="53"/>
        <v>1</v>
      </c>
      <c r="AI234" s="54">
        <f t="shared" ca="1" si="54"/>
        <v>1</v>
      </c>
      <c r="AJ234" s="54">
        <f t="shared" ca="1" si="55"/>
        <v>1</v>
      </c>
    </row>
    <row r="235" spans="1:36" x14ac:dyDescent="0.2">
      <c r="A235" s="54">
        <v>212</v>
      </c>
      <c r="B235" s="54">
        <f ca="1">MAX(0.02,MCDA_Prioritisation!$B$9+(RAND()-0.5)*2*$B$6)</f>
        <v>0.22088134594349348</v>
      </c>
      <c r="C235" s="54">
        <f ca="1">MAX(0.02,MCDA_Prioritisation!$B$10+(RAND()-0.5)*2*$B$6)</f>
        <v>0.25580858617728613</v>
      </c>
      <c r="D235" s="54">
        <f ca="1">MAX(0.02,MCDA_Prioritisation!$B$11+(RAND()-0.5)*2*$B$6)</f>
        <v>0.19976147453169055</v>
      </c>
      <c r="E235" s="54">
        <f ca="1">MAX(0.02,MCDA_Prioritisation!$B$12+(RAND()-0.5)*2*$B$6)</f>
        <v>0.16952304771372628</v>
      </c>
      <c r="F235" s="54">
        <f ca="1">MAX(0.02,MCDA_Prioritisation!$B$13+(RAND()-0.5)*2*$B$6)</f>
        <v>7.7592042367294181E-2</v>
      </c>
      <c r="G235" s="54">
        <f t="shared" ca="1" si="42"/>
        <v>0.92356649673349067</v>
      </c>
      <c r="H235" s="54">
        <f t="shared" ca="1" si="43"/>
        <v>0.23916128045432142</v>
      </c>
      <c r="I235" s="54">
        <f t="shared" ca="1" si="44"/>
        <v>0.27697906656644738</v>
      </c>
      <c r="J235" s="54">
        <f t="shared" ca="1" si="45"/>
        <v>0.21629354815079957</v>
      </c>
      <c r="K235" s="54">
        <f t="shared" ca="1" si="46"/>
        <v>0.1835526172866844</v>
      </c>
      <c r="L235" s="54">
        <f t="shared" ca="1" si="47"/>
        <v>8.4013487541747159E-2</v>
      </c>
      <c r="M235" s="54">
        <f ca="1">MIN(100,MAX(0,MCDA_Prioritisation!$F$2+(RAND()-0.5)*2*$B$7))</f>
        <v>83.984919022463657</v>
      </c>
      <c r="N235" s="54">
        <f ca="1">MIN(100,MAX(0,MCDA_Prioritisation!$F$3+(RAND()-0.5)*2*$B$7))</f>
        <v>87.335644078935189</v>
      </c>
      <c r="O235" s="54">
        <f ca="1">MIN(100,MAX(0,MCDA_Prioritisation!$F$4+(RAND()-0.5)*2*$B$7))</f>
        <v>96.70060052681427</v>
      </c>
      <c r="P235" s="54">
        <f ca="1">MIN(100,MAX(0,MCDA_Prioritisation!$F$5+(RAND()-0.5)*2*$B$7))</f>
        <v>81.320365322744053</v>
      </c>
      <c r="Q235" s="54">
        <f ca="1">MIN(100,MAX(0,MCDA_Prioritisation!$G$2+(RAND()-0.5)*2*$B$7))</f>
        <v>73.179368535770394</v>
      </c>
      <c r="R235" s="54">
        <f ca="1">MIN(100,MAX(0,MCDA_Prioritisation!$G$3+(RAND()-0.5)*2*$B$7))</f>
        <v>95.695138445918531</v>
      </c>
      <c r="S235" s="54">
        <f ca="1">MIN(100,MAX(0,MCDA_Prioritisation!$G$4+(RAND()-0.5)*2*$B$7))</f>
        <v>91.791570863101114</v>
      </c>
      <c r="T235" s="54">
        <f ca="1">MIN(100,MAX(0,MCDA_Prioritisation!$G$5+(RAND()-0.5)*2*$B$7))</f>
        <v>78.846659878413902</v>
      </c>
      <c r="U235" s="54">
        <f ca="1">MIN(100,MAX(0,MCDA_Prioritisation!$H$2+(RAND()-0.5)*2*$B$7))</f>
        <v>71.513124107055688</v>
      </c>
      <c r="V235" s="54">
        <f ca="1">MIN(100,MAX(0,MCDA_Prioritisation!$H$3+(RAND()-0.5)*2*$B$7))</f>
        <v>67.98066511449818</v>
      </c>
      <c r="W235" s="54">
        <f ca="1">MIN(100,MAX(0,MCDA_Prioritisation!$H$4+(RAND()-0.5)*2*$B$7))</f>
        <v>87.704830749501951</v>
      </c>
      <c r="X235" s="54">
        <f ca="1">MIN(100,MAX(0,MCDA_Prioritisation!$H$5+(RAND()-0.5)*2*$B$7))</f>
        <v>75.441346182450914</v>
      </c>
      <c r="Y235" s="54">
        <f ca="1">H235*MCDA_Prioritisation!$D$2+I235*MCDA_Prioritisation!$E$2+J235*M235+K235*Q235+L235*U235</f>
        <v>89.219762415970152</v>
      </c>
      <c r="Z235" s="54">
        <f ca="1">H235*MCDA_Prioritisation!$D$3+I235*MCDA_Prioritisation!$E$3+J235*N235+K235*R235+L235*V235</f>
        <v>83.212394321898699</v>
      </c>
      <c r="AA235" s="54">
        <f ca="1">H235*MCDA_Prioritisation!$D$4+I235*MCDA_Prioritisation!$E$4+J235*O235+K235*S235+L235*W235</f>
        <v>76.894422501193517</v>
      </c>
      <c r="AB235" s="54">
        <f ca="1">H235*MCDA_Prioritisation!$D$5+I235*MCDA_Prioritisation!$E$5+J235*P235+K235*T235+L235*X235</f>
        <v>74.384791012971647</v>
      </c>
      <c r="AC235" s="54">
        <f t="shared" ca="1" si="48"/>
        <v>1</v>
      </c>
      <c r="AD235" s="54">
        <f t="shared" ca="1" si="49"/>
        <v>2</v>
      </c>
      <c r="AE235" s="54">
        <f t="shared" ca="1" si="50"/>
        <v>3</v>
      </c>
      <c r="AF235" s="54">
        <f t="shared" ca="1" si="51"/>
        <v>4</v>
      </c>
      <c r="AG235" s="54">
        <f t="shared" ca="1" si="52"/>
        <v>1</v>
      </c>
      <c r="AH235" s="54">
        <f t="shared" ca="1" si="53"/>
        <v>1</v>
      </c>
      <c r="AI235" s="54">
        <f t="shared" ca="1" si="54"/>
        <v>1</v>
      </c>
      <c r="AJ235" s="54">
        <f t="shared" ca="1" si="55"/>
        <v>1</v>
      </c>
    </row>
    <row r="236" spans="1:36" x14ac:dyDescent="0.2">
      <c r="A236" s="54">
        <v>213</v>
      </c>
      <c r="B236" s="54">
        <f ca="1">MAX(0.02,MCDA_Prioritisation!$B$9+(RAND()-0.5)*2*$B$6)</f>
        <v>0.25226758232105273</v>
      </c>
      <c r="C236" s="54">
        <f ca="1">MAX(0.02,MCDA_Prioritisation!$B$10+(RAND()-0.5)*2*$B$6)</f>
        <v>0.25925845209048898</v>
      </c>
      <c r="D236" s="54">
        <f ca="1">MAX(0.02,MCDA_Prioritisation!$B$11+(RAND()-0.5)*2*$B$6)</f>
        <v>0.18391524887056304</v>
      </c>
      <c r="E236" s="54">
        <f ca="1">MAX(0.02,MCDA_Prioritisation!$B$12+(RAND()-0.5)*2*$B$6)</f>
        <v>7.9724914320612836E-2</v>
      </c>
      <c r="F236" s="54">
        <f ca="1">MAX(0.02,MCDA_Prioritisation!$B$13+(RAND()-0.5)*2*$B$6)</f>
        <v>0.14004892383450063</v>
      </c>
      <c r="G236" s="54">
        <f t="shared" ca="1" si="42"/>
        <v>0.91521512143721828</v>
      </c>
      <c r="H236" s="54">
        <f t="shared" ca="1" si="43"/>
        <v>0.27563747190376564</v>
      </c>
      <c r="I236" s="54">
        <f t="shared" ca="1" si="44"/>
        <v>0.28327597088142464</v>
      </c>
      <c r="J236" s="54">
        <f t="shared" ca="1" si="45"/>
        <v>0.20095302684875843</v>
      </c>
      <c r="K236" s="54">
        <f t="shared" ca="1" si="46"/>
        <v>8.7110573736386615E-2</v>
      </c>
      <c r="L236" s="54">
        <f t="shared" ca="1" si="47"/>
        <v>0.15302295662966456</v>
      </c>
      <c r="M236" s="54">
        <f ca="1">MIN(100,MAX(0,MCDA_Prioritisation!$F$2+(RAND()-0.5)*2*$B$7))</f>
        <v>89.410809486575815</v>
      </c>
      <c r="N236" s="54">
        <f ca="1">MIN(100,MAX(0,MCDA_Prioritisation!$F$3+(RAND()-0.5)*2*$B$7))</f>
        <v>94.391677679228266</v>
      </c>
      <c r="O236" s="54">
        <f ca="1">MIN(100,MAX(0,MCDA_Prioritisation!$F$4+(RAND()-0.5)*2*$B$7))</f>
        <v>83.095222894965673</v>
      </c>
      <c r="P236" s="54">
        <f ca="1">MIN(100,MAX(0,MCDA_Prioritisation!$F$5+(RAND()-0.5)*2*$B$7))</f>
        <v>65.724975673255813</v>
      </c>
      <c r="Q236" s="54">
        <f ca="1">MIN(100,MAX(0,MCDA_Prioritisation!$G$2+(RAND()-0.5)*2*$B$7))</f>
        <v>82.298725265000201</v>
      </c>
      <c r="R236" s="54">
        <f ca="1">MIN(100,MAX(0,MCDA_Prioritisation!$G$3+(RAND()-0.5)*2*$B$7))</f>
        <v>89.12836221264476</v>
      </c>
      <c r="S236" s="54">
        <f ca="1">MIN(100,MAX(0,MCDA_Prioritisation!$G$4+(RAND()-0.5)*2*$B$7))</f>
        <v>87.926535414532694</v>
      </c>
      <c r="T236" s="54">
        <f ca="1">MIN(100,MAX(0,MCDA_Prioritisation!$G$5+(RAND()-0.5)*2*$B$7))</f>
        <v>63.141884793588417</v>
      </c>
      <c r="U236" s="54">
        <f ca="1">MIN(100,MAX(0,MCDA_Prioritisation!$H$2+(RAND()-0.5)*2*$B$7))</f>
        <v>71.15204601833419</v>
      </c>
      <c r="V236" s="54">
        <f ca="1">MIN(100,MAX(0,MCDA_Prioritisation!$H$3+(RAND()-0.5)*2*$B$7))</f>
        <v>50.955948097479016</v>
      </c>
      <c r="W236" s="54">
        <f ca="1">MIN(100,MAX(0,MCDA_Prioritisation!$H$4+(RAND()-0.5)*2*$B$7))</f>
        <v>86.889564223665943</v>
      </c>
      <c r="X236" s="54">
        <f ca="1">MIN(100,MAX(0,MCDA_Prioritisation!$H$5+(RAND()-0.5)*2*$B$7))</f>
        <v>74.255249909916614</v>
      </c>
      <c r="Y236" s="54">
        <f ca="1">H236*MCDA_Prioritisation!$D$2+I236*MCDA_Prioritisation!$E$2+J236*M236+K236*Q236+L236*U236</f>
        <v>91.915702705426995</v>
      </c>
      <c r="Z236" s="54">
        <f ca="1">H236*MCDA_Prioritisation!$D$3+I236*MCDA_Prioritisation!$E$3+J236*N236+K236*R236+L236*V236</f>
        <v>79.221478560614315</v>
      </c>
      <c r="AA236" s="54">
        <f ca="1">H236*MCDA_Prioritisation!$D$4+I236*MCDA_Prioritisation!$E$4+J236*O236+K236*S236+L236*W236</f>
        <v>72.298855296097614</v>
      </c>
      <c r="AB236" s="54">
        <f ca="1">H236*MCDA_Prioritisation!$D$5+I236*MCDA_Prioritisation!$E$5+J236*P236+K236*T236+L236*X236</f>
        <v>68.521354503322414</v>
      </c>
      <c r="AC236" s="54">
        <f t="shared" ca="1" si="48"/>
        <v>1</v>
      </c>
      <c r="AD236" s="54">
        <f t="shared" ca="1" si="49"/>
        <v>2</v>
      </c>
      <c r="AE236" s="54">
        <f t="shared" ca="1" si="50"/>
        <v>3</v>
      </c>
      <c r="AF236" s="54">
        <f t="shared" ca="1" si="51"/>
        <v>4</v>
      </c>
      <c r="AG236" s="54">
        <f t="shared" ca="1" si="52"/>
        <v>1</v>
      </c>
      <c r="AH236" s="54">
        <f t="shared" ca="1" si="53"/>
        <v>1</v>
      </c>
      <c r="AI236" s="54">
        <f t="shared" ca="1" si="54"/>
        <v>1</v>
      </c>
      <c r="AJ236" s="54">
        <f t="shared" ca="1" si="55"/>
        <v>1</v>
      </c>
    </row>
    <row r="237" spans="1:36" x14ac:dyDescent="0.2">
      <c r="A237" s="54">
        <v>214</v>
      </c>
      <c r="B237" s="54">
        <f ca="1">MAX(0.02,MCDA_Prioritisation!$B$9+(RAND()-0.5)*2*$B$6)</f>
        <v>0.26357034170127813</v>
      </c>
      <c r="C237" s="54">
        <f ca="1">MAX(0.02,MCDA_Prioritisation!$B$10+(RAND()-0.5)*2*$B$6)</f>
        <v>0.19247959717753008</v>
      </c>
      <c r="D237" s="54">
        <f ca="1">MAX(0.02,MCDA_Prioritisation!$B$11+(RAND()-0.5)*2*$B$6)</f>
        <v>0.23801353679828974</v>
      </c>
      <c r="E237" s="54">
        <f ca="1">MAX(0.02,MCDA_Prioritisation!$B$12+(RAND()-0.5)*2*$B$6)</f>
        <v>0.1017323445792043</v>
      </c>
      <c r="F237" s="54">
        <f ca="1">MAX(0.02,MCDA_Prioritisation!$B$13+(RAND()-0.5)*2*$B$6)</f>
        <v>8.7008720239272433E-2</v>
      </c>
      <c r="G237" s="54">
        <f t="shared" ca="1" si="42"/>
        <v>0.88280454049557466</v>
      </c>
      <c r="H237" s="54">
        <f t="shared" ca="1" si="43"/>
        <v>0.29856024704326878</v>
      </c>
      <c r="I237" s="54">
        <f t="shared" ca="1" si="44"/>
        <v>0.21803195197600475</v>
      </c>
      <c r="J237" s="54">
        <f t="shared" ca="1" si="45"/>
        <v>0.26961068490277307</v>
      </c>
      <c r="K237" s="54">
        <f t="shared" ca="1" si="46"/>
        <v>0.11523767709905006</v>
      </c>
      <c r="L237" s="54">
        <f t="shared" ca="1" si="47"/>
        <v>9.8559438978903388E-2</v>
      </c>
      <c r="M237" s="54">
        <f ca="1">MIN(100,MAX(0,MCDA_Prioritisation!$F$2+(RAND()-0.5)*2*$B$7))</f>
        <v>93.724524104930026</v>
      </c>
      <c r="N237" s="54">
        <f ca="1">MIN(100,MAX(0,MCDA_Prioritisation!$F$3+(RAND()-0.5)*2*$B$7))</f>
        <v>85.058482028447486</v>
      </c>
      <c r="O237" s="54">
        <f ca="1">MIN(100,MAX(0,MCDA_Prioritisation!$F$4+(RAND()-0.5)*2*$B$7))</f>
        <v>91.251643427067307</v>
      </c>
      <c r="P237" s="54">
        <f ca="1">MIN(100,MAX(0,MCDA_Prioritisation!$F$5+(RAND()-0.5)*2*$B$7))</f>
        <v>82.467514057180793</v>
      </c>
      <c r="Q237" s="54">
        <f ca="1">MIN(100,MAX(0,MCDA_Prioritisation!$G$2+(RAND()-0.5)*2*$B$7))</f>
        <v>78.733942473962998</v>
      </c>
      <c r="R237" s="54">
        <f ca="1">MIN(100,MAX(0,MCDA_Prioritisation!$G$3+(RAND()-0.5)*2*$B$7))</f>
        <v>88.363235599775521</v>
      </c>
      <c r="S237" s="54">
        <f ca="1">MIN(100,MAX(0,MCDA_Prioritisation!$G$4+(RAND()-0.5)*2*$B$7))</f>
        <v>75.1109055556594</v>
      </c>
      <c r="T237" s="54">
        <f ca="1">MIN(100,MAX(0,MCDA_Prioritisation!$G$5+(RAND()-0.5)*2*$B$7))</f>
        <v>67.559507546027376</v>
      </c>
      <c r="U237" s="54">
        <f ca="1">MIN(100,MAX(0,MCDA_Prioritisation!$H$2+(RAND()-0.5)*2*$B$7))</f>
        <v>70.135711559429254</v>
      </c>
      <c r="V237" s="54">
        <f ca="1">MIN(100,MAX(0,MCDA_Prioritisation!$H$3+(RAND()-0.5)*2*$B$7))</f>
        <v>66.575756809084083</v>
      </c>
      <c r="W237" s="54">
        <f ca="1">MIN(100,MAX(0,MCDA_Prioritisation!$H$4+(RAND()-0.5)*2*$B$7))</f>
        <v>75.768889052213297</v>
      </c>
      <c r="X237" s="54">
        <f ca="1">MIN(100,MAX(0,MCDA_Prioritisation!$H$5+(RAND()-0.5)*2*$B$7))</f>
        <v>81.524348184939782</v>
      </c>
      <c r="Y237" s="54">
        <f ca="1">H237*MCDA_Prioritisation!$D$2+I237*MCDA_Prioritisation!$E$2+J237*M237+K237*Q237+L237*U237</f>
        <v>92.914006061277249</v>
      </c>
      <c r="Z237" s="54">
        <f ca="1">H237*MCDA_Prioritisation!$D$3+I237*MCDA_Prioritisation!$E$3+J237*N237+K237*R237+L237*V237</f>
        <v>81.627210003523814</v>
      </c>
      <c r="AA237" s="54">
        <f ca="1">H237*MCDA_Prioritisation!$D$4+I237*MCDA_Prioritisation!$E$4+J237*O237+K237*S237+L237*W237</f>
        <v>73.408395974564144</v>
      </c>
      <c r="AB237" s="54">
        <f ca="1">H237*MCDA_Prioritisation!$D$5+I237*MCDA_Prioritisation!$E$5+J237*P237+K237*T237+L237*X237</f>
        <v>72.235373512752147</v>
      </c>
      <c r="AC237" s="54">
        <f t="shared" ca="1" si="48"/>
        <v>1</v>
      </c>
      <c r="AD237" s="54">
        <f t="shared" ca="1" si="49"/>
        <v>2</v>
      </c>
      <c r="AE237" s="54">
        <f t="shared" ca="1" si="50"/>
        <v>3</v>
      </c>
      <c r="AF237" s="54">
        <f t="shared" ca="1" si="51"/>
        <v>4</v>
      </c>
      <c r="AG237" s="54">
        <f t="shared" ca="1" si="52"/>
        <v>1</v>
      </c>
      <c r="AH237" s="54">
        <f t="shared" ca="1" si="53"/>
        <v>1</v>
      </c>
      <c r="AI237" s="54">
        <f t="shared" ca="1" si="54"/>
        <v>1</v>
      </c>
      <c r="AJ237" s="54">
        <f t="shared" ca="1" si="55"/>
        <v>1</v>
      </c>
    </row>
    <row r="238" spans="1:36" x14ac:dyDescent="0.2">
      <c r="A238" s="54">
        <v>215</v>
      </c>
      <c r="B238" s="54">
        <f ca="1">MAX(0.02,MCDA_Prioritisation!$B$9+(RAND()-0.5)*2*$B$6)</f>
        <v>0.27951306655141372</v>
      </c>
      <c r="C238" s="54">
        <f ca="1">MAX(0.02,MCDA_Prioritisation!$B$10+(RAND()-0.5)*2*$B$6)</f>
        <v>0.25237247632500542</v>
      </c>
      <c r="D238" s="54">
        <f ca="1">MAX(0.02,MCDA_Prioritisation!$B$11+(RAND()-0.5)*2*$B$6)</f>
        <v>0.2714287457287195</v>
      </c>
      <c r="E238" s="54">
        <f ca="1">MAX(0.02,MCDA_Prioritisation!$B$12+(RAND()-0.5)*2*$B$6)</f>
        <v>0.17319388836498523</v>
      </c>
      <c r="F238" s="54">
        <f ca="1">MAX(0.02,MCDA_Prioritisation!$B$13+(RAND()-0.5)*2*$B$6)</f>
        <v>0.22388215182567778</v>
      </c>
      <c r="G238" s="54">
        <f t="shared" ca="1" si="42"/>
        <v>1.2003903287958015</v>
      </c>
      <c r="H238" s="54">
        <f t="shared" ca="1" si="43"/>
        <v>0.23285181481911266</v>
      </c>
      <c r="I238" s="54">
        <f t="shared" ca="1" si="44"/>
        <v>0.21024201067845869</v>
      </c>
      <c r="J238" s="54">
        <f t="shared" ca="1" si="45"/>
        <v>0.22611707143709608</v>
      </c>
      <c r="K238" s="54">
        <f t="shared" ca="1" si="46"/>
        <v>0.14428130934604294</v>
      </c>
      <c r="L238" s="54">
        <f t="shared" ca="1" si="47"/>
        <v>0.18650779371928977</v>
      </c>
      <c r="M238" s="54">
        <f ca="1">MIN(100,MAX(0,MCDA_Prioritisation!$F$2+(RAND()-0.5)*2*$B$7))</f>
        <v>84.164405684863823</v>
      </c>
      <c r="N238" s="54">
        <f ca="1">MIN(100,MAX(0,MCDA_Prioritisation!$F$3+(RAND()-0.5)*2*$B$7))</f>
        <v>100</v>
      </c>
      <c r="O238" s="54">
        <f ca="1">MIN(100,MAX(0,MCDA_Prioritisation!$F$4+(RAND()-0.5)*2*$B$7))</f>
        <v>97.519160177895429</v>
      </c>
      <c r="P238" s="54">
        <f ca="1">MIN(100,MAX(0,MCDA_Prioritisation!$F$5+(RAND()-0.5)*2*$B$7))</f>
        <v>71.526208974468872</v>
      </c>
      <c r="Q238" s="54">
        <f ca="1">MIN(100,MAX(0,MCDA_Prioritisation!$G$2+(RAND()-0.5)*2*$B$7))</f>
        <v>89.893238616874314</v>
      </c>
      <c r="R238" s="54">
        <f ca="1">MIN(100,MAX(0,MCDA_Prioritisation!$G$3+(RAND()-0.5)*2*$B$7))</f>
        <v>90.205450259675757</v>
      </c>
      <c r="S238" s="54">
        <f ca="1">MIN(100,MAX(0,MCDA_Prioritisation!$G$4+(RAND()-0.5)*2*$B$7))</f>
        <v>87.794677504699564</v>
      </c>
      <c r="T238" s="54">
        <f ca="1">MIN(100,MAX(0,MCDA_Prioritisation!$G$5+(RAND()-0.5)*2*$B$7))</f>
        <v>64.095319381500914</v>
      </c>
      <c r="U238" s="54">
        <f ca="1">MIN(100,MAX(0,MCDA_Prioritisation!$H$2+(RAND()-0.5)*2*$B$7))</f>
        <v>60.315727601938228</v>
      </c>
      <c r="V238" s="54">
        <f ca="1">MIN(100,MAX(0,MCDA_Prioritisation!$H$3+(RAND()-0.5)*2*$B$7))</f>
        <v>63.035005438589906</v>
      </c>
      <c r="W238" s="54">
        <f ca="1">MIN(100,MAX(0,MCDA_Prioritisation!$H$4+(RAND()-0.5)*2*$B$7))</f>
        <v>80.896234526012009</v>
      </c>
      <c r="X238" s="54">
        <f ca="1">MIN(100,MAX(0,MCDA_Prioritisation!$H$5+(RAND()-0.5)*2*$B$7))</f>
        <v>77.8379613731163</v>
      </c>
      <c r="Y238" s="54">
        <f ca="1">H238*MCDA_Prioritisation!$D$2+I238*MCDA_Prioritisation!$E$2+J238*M238+K238*Q238+L238*U238</f>
        <v>87.559658933072285</v>
      </c>
      <c r="Z238" s="54">
        <f ca="1">H238*MCDA_Prioritisation!$D$3+I238*MCDA_Prioritisation!$E$3+J238*N238+K238*R238+L238*V238</f>
        <v>83.024028089236197</v>
      </c>
      <c r="AA238" s="54">
        <f ca="1">H238*MCDA_Prioritisation!$D$4+I238*MCDA_Prioritisation!$E$4+J238*O238+K238*S238+L238*W238</f>
        <v>77.487833732257087</v>
      </c>
      <c r="AB238" s="54">
        <f ca="1">H238*MCDA_Prioritisation!$D$5+I238*MCDA_Prioritisation!$E$5+J238*P238+K238*T238+L238*X238</f>
        <v>69.976699026135051</v>
      </c>
      <c r="AC238" s="54">
        <f t="shared" ca="1" si="48"/>
        <v>1</v>
      </c>
      <c r="AD238" s="54">
        <f t="shared" ca="1" si="49"/>
        <v>2</v>
      </c>
      <c r="AE238" s="54">
        <f t="shared" ca="1" si="50"/>
        <v>3</v>
      </c>
      <c r="AF238" s="54">
        <f t="shared" ca="1" si="51"/>
        <v>4</v>
      </c>
      <c r="AG238" s="54">
        <f t="shared" ca="1" si="52"/>
        <v>1</v>
      </c>
      <c r="AH238" s="54">
        <f t="shared" ca="1" si="53"/>
        <v>1</v>
      </c>
      <c r="AI238" s="54">
        <f t="shared" ca="1" si="54"/>
        <v>1</v>
      </c>
      <c r="AJ238" s="54">
        <f t="shared" ca="1" si="55"/>
        <v>1</v>
      </c>
    </row>
    <row r="239" spans="1:36" x14ac:dyDescent="0.2">
      <c r="A239" s="54">
        <v>216</v>
      </c>
      <c r="B239" s="54">
        <f ca="1">MAX(0.02,MCDA_Prioritisation!$B$9+(RAND()-0.5)*2*$B$6)</f>
        <v>0.23285173616384325</v>
      </c>
      <c r="C239" s="54">
        <f ca="1">MAX(0.02,MCDA_Prioritisation!$B$10+(RAND()-0.5)*2*$B$6)</f>
        <v>0.25107261254320551</v>
      </c>
      <c r="D239" s="54">
        <f ca="1">MAX(0.02,MCDA_Prioritisation!$B$11+(RAND()-0.5)*2*$B$6)</f>
        <v>0.20775651512691615</v>
      </c>
      <c r="E239" s="54">
        <f ca="1">MAX(0.02,MCDA_Prioritisation!$B$12+(RAND()-0.5)*2*$B$6)</f>
        <v>0.13190632620933454</v>
      </c>
      <c r="F239" s="54">
        <f ca="1">MAX(0.02,MCDA_Prioritisation!$B$13+(RAND()-0.5)*2*$B$6)</f>
        <v>0.13452995615269406</v>
      </c>
      <c r="G239" s="54">
        <f t="shared" ca="1" si="42"/>
        <v>0.95811714619599342</v>
      </c>
      <c r="H239" s="54">
        <f t="shared" ca="1" si="43"/>
        <v>0.24303054912265484</v>
      </c>
      <c r="I239" s="54">
        <f t="shared" ca="1" si="44"/>
        <v>0.26204792758384249</v>
      </c>
      <c r="J239" s="54">
        <f t="shared" ca="1" si="45"/>
        <v>0.21683832290421953</v>
      </c>
      <c r="K239" s="54">
        <f t="shared" ca="1" si="46"/>
        <v>0.13767244092545616</v>
      </c>
      <c r="L239" s="54">
        <f t="shared" ca="1" si="47"/>
        <v>0.14041075946382706</v>
      </c>
      <c r="M239" s="54">
        <f ca="1">MIN(100,MAX(0,MCDA_Prioritisation!$F$2+(RAND()-0.5)*2*$B$7))</f>
        <v>85.000728878854972</v>
      </c>
      <c r="N239" s="54">
        <f ca="1">MIN(100,MAX(0,MCDA_Prioritisation!$F$3+(RAND()-0.5)*2*$B$7))</f>
        <v>91.106174001128934</v>
      </c>
      <c r="O239" s="54">
        <f ca="1">MIN(100,MAX(0,MCDA_Prioritisation!$F$4+(RAND()-0.5)*2*$B$7))</f>
        <v>93.296848389407657</v>
      </c>
      <c r="P239" s="54">
        <f ca="1">MIN(100,MAX(0,MCDA_Prioritisation!$F$5+(RAND()-0.5)*2*$B$7))</f>
        <v>71.378010567400722</v>
      </c>
      <c r="Q239" s="54">
        <f ca="1">MIN(100,MAX(0,MCDA_Prioritisation!$G$2+(RAND()-0.5)*2*$B$7))</f>
        <v>75.197769328382833</v>
      </c>
      <c r="R239" s="54">
        <f ca="1">MIN(100,MAX(0,MCDA_Prioritisation!$G$3+(RAND()-0.5)*2*$B$7))</f>
        <v>95.080526331716257</v>
      </c>
      <c r="S239" s="54">
        <f ca="1">MIN(100,MAX(0,MCDA_Prioritisation!$G$4+(RAND()-0.5)*2*$B$7))</f>
        <v>85.282624309794031</v>
      </c>
      <c r="T239" s="54">
        <f ca="1">MIN(100,MAX(0,MCDA_Prioritisation!$G$5+(RAND()-0.5)*2*$B$7))</f>
        <v>60.73742771828897</v>
      </c>
      <c r="U239" s="54">
        <f ca="1">MIN(100,MAX(0,MCDA_Prioritisation!$H$2+(RAND()-0.5)*2*$B$7))</f>
        <v>72.942515061894923</v>
      </c>
      <c r="V239" s="54">
        <f ca="1">MIN(100,MAX(0,MCDA_Prioritisation!$H$3+(RAND()-0.5)*2*$B$7))</f>
        <v>60.834286640113987</v>
      </c>
      <c r="W239" s="54">
        <f ca="1">MIN(100,MAX(0,MCDA_Prioritisation!$H$4+(RAND()-0.5)*2*$B$7))</f>
        <v>84.813893758147785</v>
      </c>
      <c r="X239" s="54">
        <f ca="1">MIN(100,MAX(0,MCDA_Prioritisation!$H$5+(RAND()-0.5)*2*$B$7))</f>
        <v>79.378620410531752</v>
      </c>
      <c r="Y239" s="54">
        <f ca="1">H239*MCDA_Prioritisation!$D$2+I239*MCDA_Prioritisation!$E$2+J239*M239+K239*Q239+L239*U239</f>
        <v>89.533837559007083</v>
      </c>
      <c r="Z239" s="54">
        <f ca="1">H239*MCDA_Prioritisation!$D$3+I239*MCDA_Prioritisation!$E$3+J239*N239+K239*R239+L239*V239</f>
        <v>81.685199443704917</v>
      </c>
      <c r="AA239" s="54">
        <f ca="1">H239*MCDA_Prioritisation!$D$4+I239*MCDA_Prioritisation!$E$4+J239*O239+K239*S239+L239*W239</f>
        <v>75.096924514055416</v>
      </c>
      <c r="AB239" s="54">
        <f ca="1">H239*MCDA_Prioritisation!$D$5+I239*MCDA_Prioritisation!$E$5+J239*P239+K239*T239+L239*X239</f>
        <v>69.919881514708592</v>
      </c>
      <c r="AC239" s="54">
        <f t="shared" ca="1" si="48"/>
        <v>1</v>
      </c>
      <c r="AD239" s="54">
        <f t="shared" ca="1" si="49"/>
        <v>2</v>
      </c>
      <c r="AE239" s="54">
        <f t="shared" ca="1" si="50"/>
        <v>3</v>
      </c>
      <c r="AF239" s="54">
        <f t="shared" ca="1" si="51"/>
        <v>4</v>
      </c>
      <c r="AG239" s="54">
        <f t="shared" ca="1" si="52"/>
        <v>1</v>
      </c>
      <c r="AH239" s="54">
        <f t="shared" ca="1" si="53"/>
        <v>1</v>
      </c>
      <c r="AI239" s="54">
        <f t="shared" ca="1" si="54"/>
        <v>1</v>
      </c>
      <c r="AJ239" s="54">
        <f t="shared" ca="1" si="55"/>
        <v>1</v>
      </c>
    </row>
    <row r="240" spans="1:36" x14ac:dyDescent="0.2">
      <c r="A240" s="54">
        <v>217</v>
      </c>
      <c r="B240" s="54">
        <f ca="1">MAX(0.02,MCDA_Prioritisation!$B$9+(RAND()-0.5)*2*$B$6)</f>
        <v>0.17686695854534085</v>
      </c>
      <c r="C240" s="54">
        <f ca="1">MAX(0.02,MCDA_Prioritisation!$B$10+(RAND()-0.5)*2*$B$6)</f>
        <v>0.30966651442390419</v>
      </c>
      <c r="D240" s="54">
        <f ca="1">MAX(0.02,MCDA_Prioritisation!$B$11+(RAND()-0.5)*2*$B$6)</f>
        <v>0.29974035321137515</v>
      </c>
      <c r="E240" s="54">
        <f ca="1">MAX(0.02,MCDA_Prioritisation!$B$12+(RAND()-0.5)*2*$B$6)</f>
        <v>0.12248177156394605</v>
      </c>
      <c r="F240" s="54">
        <f ca="1">MAX(0.02,MCDA_Prioritisation!$B$13+(RAND()-0.5)*2*$B$6)</f>
        <v>0.14111551292463007</v>
      </c>
      <c r="G240" s="54">
        <f t="shared" ca="1" si="42"/>
        <v>1.0498711106691963</v>
      </c>
      <c r="H240" s="54">
        <f t="shared" ca="1" si="43"/>
        <v>0.16846540184595082</v>
      </c>
      <c r="I240" s="54">
        <f t="shared" ca="1" si="44"/>
        <v>0.29495669637630118</v>
      </c>
      <c r="J240" s="54">
        <f t="shared" ca="1" si="45"/>
        <v>0.28550204893276687</v>
      </c>
      <c r="K240" s="54">
        <f t="shared" ca="1" si="46"/>
        <v>0.11666362691499835</v>
      </c>
      <c r="L240" s="54">
        <f t="shared" ca="1" si="47"/>
        <v>0.13441222592998289</v>
      </c>
      <c r="M240" s="54">
        <f ca="1">MIN(100,MAX(0,MCDA_Prioritisation!$F$2+(RAND()-0.5)*2*$B$7))</f>
        <v>78.395578255685862</v>
      </c>
      <c r="N240" s="54">
        <f ca="1">MIN(100,MAX(0,MCDA_Prioritisation!$F$3+(RAND()-0.5)*2*$B$7))</f>
        <v>95.173064776956735</v>
      </c>
      <c r="O240" s="54">
        <f ca="1">MIN(100,MAX(0,MCDA_Prioritisation!$F$4+(RAND()-0.5)*2*$B$7))</f>
        <v>90.206414992903746</v>
      </c>
      <c r="P240" s="54">
        <f ca="1">MIN(100,MAX(0,MCDA_Prioritisation!$F$5+(RAND()-0.5)*2*$B$7))</f>
        <v>68.324039424372899</v>
      </c>
      <c r="Q240" s="54">
        <f ca="1">MIN(100,MAX(0,MCDA_Prioritisation!$G$2+(RAND()-0.5)*2*$B$7))</f>
        <v>72.680704105412417</v>
      </c>
      <c r="R240" s="54">
        <f ca="1">MIN(100,MAX(0,MCDA_Prioritisation!$G$3+(RAND()-0.5)*2*$B$7))</f>
        <v>89.791358870740481</v>
      </c>
      <c r="S240" s="54">
        <f ca="1">MIN(100,MAX(0,MCDA_Prioritisation!$G$4+(RAND()-0.5)*2*$B$7))</f>
        <v>79.800371143864851</v>
      </c>
      <c r="T240" s="54">
        <f ca="1">MIN(100,MAX(0,MCDA_Prioritisation!$G$5+(RAND()-0.5)*2*$B$7))</f>
        <v>75.098780788928735</v>
      </c>
      <c r="U240" s="54">
        <f ca="1">MIN(100,MAX(0,MCDA_Prioritisation!$H$2+(RAND()-0.5)*2*$B$7))</f>
        <v>59.84108204695967</v>
      </c>
      <c r="V240" s="54">
        <f ca="1">MIN(100,MAX(0,MCDA_Prioritisation!$H$3+(RAND()-0.5)*2*$B$7))</f>
        <v>55.059532816762996</v>
      </c>
      <c r="W240" s="54">
        <f ca="1">MIN(100,MAX(0,MCDA_Prioritisation!$H$4+(RAND()-0.5)*2*$B$7))</f>
        <v>82.135185860050484</v>
      </c>
      <c r="X240" s="54">
        <f ca="1">MIN(100,MAX(0,MCDA_Prioritisation!$H$5+(RAND()-0.5)*2*$B$7))</f>
        <v>77.301449125018507</v>
      </c>
      <c r="Y240" s="54">
        <f ca="1">H240*MCDA_Prioritisation!$D$2+I240*MCDA_Prioritisation!$E$2+J240*M240+K240*Q240+L240*U240</f>
        <v>85.246875629156378</v>
      </c>
      <c r="Z240" s="54">
        <f ca="1">H240*MCDA_Prioritisation!$D$3+I240*MCDA_Prioritisation!$E$3+J240*N240+K240*R240+L240*V240</f>
        <v>81.222904699173242</v>
      </c>
      <c r="AA240" s="54">
        <f ca="1">H240*MCDA_Prioritisation!$D$4+I240*MCDA_Prioritisation!$E$4+J240*O240+K240*S240+L240*W240</f>
        <v>73.923377511591411</v>
      </c>
      <c r="AB240" s="54">
        <f ca="1">H240*MCDA_Prioritisation!$D$5+I240*MCDA_Prioritisation!$E$5+J240*P240+K240*T240+L240*X240</f>
        <v>72.40283708316197</v>
      </c>
      <c r="AC240" s="54">
        <f t="shared" ca="1" si="48"/>
        <v>1</v>
      </c>
      <c r="AD240" s="54">
        <f t="shared" ca="1" si="49"/>
        <v>2</v>
      </c>
      <c r="AE240" s="54">
        <f t="shared" ca="1" si="50"/>
        <v>3</v>
      </c>
      <c r="AF240" s="54">
        <f t="shared" ca="1" si="51"/>
        <v>4</v>
      </c>
      <c r="AG240" s="54">
        <f t="shared" ca="1" si="52"/>
        <v>1</v>
      </c>
      <c r="AH240" s="54">
        <f t="shared" ca="1" si="53"/>
        <v>1</v>
      </c>
      <c r="AI240" s="54">
        <f t="shared" ca="1" si="54"/>
        <v>1</v>
      </c>
      <c r="AJ240" s="54">
        <f t="shared" ca="1" si="55"/>
        <v>1</v>
      </c>
    </row>
    <row r="241" spans="1:36" x14ac:dyDescent="0.2">
      <c r="A241" s="54">
        <v>218</v>
      </c>
      <c r="B241" s="54">
        <f ca="1">MAX(0.02,MCDA_Prioritisation!$B$9+(RAND()-0.5)*2*$B$6)</f>
        <v>0.13511849359689518</v>
      </c>
      <c r="C241" s="54">
        <f ca="1">MAX(0.02,MCDA_Prioritisation!$B$10+(RAND()-0.5)*2*$B$6)</f>
        <v>0.24618172102093308</v>
      </c>
      <c r="D241" s="54">
        <f ca="1">MAX(0.02,MCDA_Prioritisation!$B$11+(RAND()-0.5)*2*$B$6)</f>
        <v>0.25931251559881169</v>
      </c>
      <c r="E241" s="54">
        <f ca="1">MAX(0.02,MCDA_Prioritisation!$B$12+(RAND()-0.5)*2*$B$6)</f>
        <v>0.16266314329670112</v>
      </c>
      <c r="F241" s="54">
        <f ca="1">MAX(0.02,MCDA_Prioritisation!$B$13+(RAND()-0.5)*2*$B$6)</f>
        <v>0.21680403164977197</v>
      </c>
      <c r="G241" s="54">
        <f t="shared" ca="1" si="42"/>
        <v>1.0200799051631131</v>
      </c>
      <c r="H241" s="54">
        <f t="shared" ca="1" si="43"/>
        <v>0.1324587347647922</v>
      </c>
      <c r="I241" s="54">
        <f t="shared" ca="1" si="44"/>
        <v>0.24133572259868022</v>
      </c>
      <c r="J241" s="54">
        <f t="shared" ca="1" si="45"/>
        <v>0.25420804221934656</v>
      </c>
      <c r="K241" s="54">
        <f t="shared" ca="1" si="46"/>
        <v>0.15946117796594661</v>
      </c>
      <c r="L241" s="54">
        <f t="shared" ca="1" si="47"/>
        <v>0.21253632245123436</v>
      </c>
      <c r="M241" s="54">
        <f ca="1">MIN(100,MAX(0,MCDA_Prioritisation!$F$2+(RAND()-0.5)*2*$B$7))</f>
        <v>88.749968639884642</v>
      </c>
      <c r="N241" s="54">
        <f ca="1">MIN(100,MAX(0,MCDA_Prioritisation!$F$3+(RAND()-0.5)*2*$B$7))</f>
        <v>88.218851056293104</v>
      </c>
      <c r="O241" s="54">
        <f ca="1">MIN(100,MAX(0,MCDA_Prioritisation!$F$4+(RAND()-0.5)*2*$B$7))</f>
        <v>84.288112856831347</v>
      </c>
      <c r="P241" s="54">
        <f ca="1">MIN(100,MAX(0,MCDA_Prioritisation!$F$5+(RAND()-0.5)*2*$B$7))</f>
        <v>67.212627499376708</v>
      </c>
      <c r="Q241" s="54">
        <f ca="1">MIN(100,MAX(0,MCDA_Prioritisation!$G$2+(RAND()-0.5)*2*$B$7))</f>
        <v>75.344784617643072</v>
      </c>
      <c r="R241" s="54">
        <f ca="1">MIN(100,MAX(0,MCDA_Prioritisation!$G$3+(RAND()-0.5)*2*$B$7))</f>
        <v>98.638242542442427</v>
      </c>
      <c r="S241" s="54">
        <f ca="1">MIN(100,MAX(0,MCDA_Prioritisation!$G$4+(RAND()-0.5)*2*$B$7))</f>
        <v>91.004156277766072</v>
      </c>
      <c r="T241" s="54">
        <f ca="1">MIN(100,MAX(0,MCDA_Prioritisation!$G$5+(RAND()-0.5)*2*$B$7))</f>
        <v>64.786830748577032</v>
      </c>
      <c r="U241" s="54">
        <f ca="1">MIN(100,MAX(0,MCDA_Prioritisation!$H$2+(RAND()-0.5)*2*$B$7))</f>
        <v>68.105795491043182</v>
      </c>
      <c r="V241" s="54">
        <f ca="1">MIN(100,MAX(0,MCDA_Prioritisation!$H$3+(RAND()-0.5)*2*$B$7))</f>
        <v>53.304635260872338</v>
      </c>
      <c r="W241" s="54">
        <f ca="1">MIN(100,MAX(0,MCDA_Prioritisation!$H$4+(RAND()-0.5)*2*$B$7))</f>
        <v>84.152062413879634</v>
      </c>
      <c r="X241" s="54">
        <f ca="1">MIN(100,MAX(0,MCDA_Prioritisation!$H$5+(RAND()-0.5)*2*$B$7))</f>
        <v>80.641632609699599</v>
      </c>
      <c r="Y241" s="54">
        <f ca="1">H241*MCDA_Prioritisation!$D$2+I241*MCDA_Prioritisation!$E$2+J241*M241+K241*Q241+L241*U241</f>
        <v>86.429924931322788</v>
      </c>
      <c r="Z241" s="54">
        <f ca="1">H241*MCDA_Prioritisation!$D$3+I241*MCDA_Prioritisation!$E$3+J241*N241+K241*R241+L241*V241</f>
        <v>78.612246577201944</v>
      </c>
      <c r="AA241" s="54">
        <f ca="1">H241*MCDA_Prioritisation!$D$4+I241*MCDA_Prioritisation!$E$4+J241*O241+K241*S241+L241*W241</f>
        <v>76.211130287903103</v>
      </c>
      <c r="AB241" s="54">
        <f ca="1">H241*MCDA_Prioritisation!$D$5+I241*MCDA_Prioritisation!$E$5+J241*P241+K241*T241+L241*X241</f>
        <v>71.880756349963562</v>
      </c>
      <c r="AC241" s="54">
        <f t="shared" ca="1" si="48"/>
        <v>1</v>
      </c>
      <c r="AD241" s="54">
        <f t="shared" ca="1" si="49"/>
        <v>2</v>
      </c>
      <c r="AE241" s="54">
        <f t="shared" ca="1" si="50"/>
        <v>3</v>
      </c>
      <c r="AF241" s="54">
        <f t="shared" ca="1" si="51"/>
        <v>4</v>
      </c>
      <c r="AG241" s="54">
        <f t="shared" ca="1" si="52"/>
        <v>1</v>
      </c>
      <c r="AH241" s="54">
        <f t="shared" ca="1" si="53"/>
        <v>1</v>
      </c>
      <c r="AI241" s="54">
        <f t="shared" ca="1" si="54"/>
        <v>1</v>
      </c>
      <c r="AJ241" s="54">
        <f t="shared" ca="1" si="55"/>
        <v>1</v>
      </c>
    </row>
    <row r="242" spans="1:36" x14ac:dyDescent="0.2">
      <c r="A242" s="54">
        <v>219</v>
      </c>
      <c r="B242" s="54">
        <f ca="1">MAX(0.02,MCDA_Prioritisation!$B$9+(RAND()-0.5)*2*$B$6)</f>
        <v>0.24763565567784593</v>
      </c>
      <c r="C242" s="54">
        <f ca="1">MAX(0.02,MCDA_Prioritisation!$B$10+(RAND()-0.5)*2*$B$6)</f>
        <v>0.21373672591074144</v>
      </c>
      <c r="D242" s="54">
        <f ca="1">MAX(0.02,MCDA_Prioritisation!$B$11+(RAND()-0.5)*2*$B$6)</f>
        <v>0.31455862370162496</v>
      </c>
      <c r="E242" s="54">
        <f ca="1">MAX(0.02,MCDA_Prioritisation!$B$12+(RAND()-0.5)*2*$B$6)</f>
        <v>0.16921344845326428</v>
      </c>
      <c r="F242" s="54">
        <f ca="1">MAX(0.02,MCDA_Prioritisation!$B$13+(RAND()-0.5)*2*$B$6)</f>
        <v>8.529939669437929E-2</v>
      </c>
      <c r="G242" s="54">
        <f t="shared" ca="1" si="42"/>
        <v>1.0304438504378559</v>
      </c>
      <c r="H242" s="54">
        <f t="shared" ca="1" si="43"/>
        <v>0.24031940757627954</v>
      </c>
      <c r="I242" s="54">
        <f t="shared" ca="1" si="44"/>
        <v>0.207422001518977</v>
      </c>
      <c r="J242" s="54">
        <f t="shared" ca="1" si="45"/>
        <v>0.30526517632956207</v>
      </c>
      <c r="K242" s="54">
        <f t="shared" ca="1" si="46"/>
        <v>0.16421413780223168</v>
      </c>
      <c r="L242" s="54">
        <f t="shared" ca="1" si="47"/>
        <v>8.2779276772949731E-2</v>
      </c>
      <c r="M242" s="54">
        <f ca="1">MIN(100,MAX(0,MCDA_Prioritisation!$F$2+(RAND()-0.5)*2*$B$7))</f>
        <v>90.602210592199171</v>
      </c>
      <c r="N242" s="54">
        <f ca="1">MIN(100,MAX(0,MCDA_Prioritisation!$F$3+(RAND()-0.5)*2*$B$7))</f>
        <v>96.019183654027302</v>
      </c>
      <c r="O242" s="54">
        <f ca="1">MIN(100,MAX(0,MCDA_Prioritisation!$F$4+(RAND()-0.5)*2*$B$7))</f>
        <v>98.230542770639232</v>
      </c>
      <c r="P242" s="54">
        <f ca="1">MIN(100,MAX(0,MCDA_Prioritisation!$F$5+(RAND()-0.5)*2*$B$7))</f>
        <v>81.069990186271554</v>
      </c>
      <c r="Q242" s="54">
        <f ca="1">MIN(100,MAX(0,MCDA_Prioritisation!$G$2+(RAND()-0.5)*2*$B$7))</f>
        <v>77.707861055483363</v>
      </c>
      <c r="R242" s="54">
        <f ca="1">MIN(100,MAX(0,MCDA_Prioritisation!$G$3+(RAND()-0.5)*2*$B$7))</f>
        <v>89.397194301236212</v>
      </c>
      <c r="S242" s="54">
        <f ca="1">MIN(100,MAX(0,MCDA_Prioritisation!$G$4+(RAND()-0.5)*2*$B$7))</f>
        <v>76.238471842017475</v>
      </c>
      <c r="T242" s="54">
        <f ca="1">MIN(100,MAX(0,MCDA_Prioritisation!$G$5+(RAND()-0.5)*2*$B$7))</f>
        <v>73.275969884976277</v>
      </c>
      <c r="U242" s="54">
        <f ca="1">MIN(100,MAX(0,MCDA_Prioritisation!$H$2+(RAND()-0.5)*2*$B$7))</f>
        <v>72.671289585797922</v>
      </c>
      <c r="V242" s="54">
        <f ca="1">MIN(100,MAX(0,MCDA_Prioritisation!$H$3+(RAND()-0.5)*2*$B$7))</f>
        <v>52.490864513312587</v>
      </c>
      <c r="W242" s="54">
        <f ca="1">MIN(100,MAX(0,MCDA_Prioritisation!$H$4+(RAND()-0.5)*2*$B$7))</f>
        <v>81.831150167412503</v>
      </c>
      <c r="X242" s="54">
        <f ca="1">MIN(100,MAX(0,MCDA_Prioritisation!$H$5+(RAND()-0.5)*2*$B$7))</f>
        <v>81.528895280860297</v>
      </c>
      <c r="Y242" s="54">
        <f ca="1">H242*MCDA_Prioritisation!$D$2+I242*MCDA_Prioritisation!$E$2+J242*M242+K242*Q242+L242*U242</f>
        <v>91.208246899553217</v>
      </c>
      <c r="Z242" s="54">
        <f ca="1">H242*MCDA_Prioritisation!$D$3+I242*MCDA_Prioritisation!$E$3+J242*N242+K242*R242+L242*V242</f>
        <v>84.425145123980457</v>
      </c>
      <c r="AA242" s="54">
        <f ca="1">H242*MCDA_Prioritisation!$D$4+I242*MCDA_Prioritisation!$E$4+J242*O242+K242*S242+L242*W242</f>
        <v>77.328080466458871</v>
      </c>
      <c r="AB242" s="54">
        <f ca="1">H242*MCDA_Prioritisation!$D$5+I242*MCDA_Prioritisation!$E$5+J242*P242+K242*T242+L242*X242</f>
        <v>73.727169124734587</v>
      </c>
      <c r="AC242" s="54">
        <f t="shared" ca="1" si="48"/>
        <v>1</v>
      </c>
      <c r="AD242" s="54">
        <f t="shared" ca="1" si="49"/>
        <v>2</v>
      </c>
      <c r="AE242" s="54">
        <f t="shared" ca="1" si="50"/>
        <v>3</v>
      </c>
      <c r="AF242" s="54">
        <f t="shared" ca="1" si="51"/>
        <v>4</v>
      </c>
      <c r="AG242" s="54">
        <f t="shared" ca="1" si="52"/>
        <v>1</v>
      </c>
      <c r="AH242" s="54">
        <f t="shared" ca="1" si="53"/>
        <v>1</v>
      </c>
      <c r="AI242" s="54">
        <f t="shared" ca="1" si="54"/>
        <v>1</v>
      </c>
      <c r="AJ242" s="54">
        <f t="shared" ca="1" si="55"/>
        <v>1</v>
      </c>
    </row>
    <row r="243" spans="1:36" x14ac:dyDescent="0.2">
      <c r="A243" s="54">
        <v>220</v>
      </c>
      <c r="B243" s="54">
        <f ca="1">MAX(0.02,MCDA_Prioritisation!$B$9+(RAND()-0.5)*2*$B$6)</f>
        <v>0.21970388071438779</v>
      </c>
      <c r="C243" s="54">
        <f ca="1">MAX(0.02,MCDA_Prioritisation!$B$10+(RAND()-0.5)*2*$B$6)</f>
        <v>0.25536222360060518</v>
      </c>
      <c r="D243" s="54">
        <f ca="1">MAX(0.02,MCDA_Prioritisation!$B$11+(RAND()-0.5)*2*$B$6)</f>
        <v>0.20162120618412668</v>
      </c>
      <c r="E243" s="54">
        <f ca="1">MAX(0.02,MCDA_Prioritisation!$B$12+(RAND()-0.5)*2*$B$6)</f>
        <v>0.14827087553819521</v>
      </c>
      <c r="F243" s="54">
        <f ca="1">MAX(0.02,MCDA_Prioritisation!$B$13+(RAND()-0.5)*2*$B$6)</f>
        <v>0.21261542820695223</v>
      </c>
      <c r="G243" s="54">
        <f t="shared" ca="1" si="42"/>
        <v>1.0375736142442671</v>
      </c>
      <c r="H243" s="54">
        <f t="shared" ca="1" si="43"/>
        <v>0.21174775235048024</v>
      </c>
      <c r="I243" s="54">
        <f t="shared" ca="1" si="44"/>
        <v>0.24611480100773594</v>
      </c>
      <c r="J243" s="54">
        <f t="shared" ca="1" si="45"/>
        <v>0.19431990503245461</v>
      </c>
      <c r="K243" s="54">
        <f t="shared" ca="1" si="46"/>
        <v>0.1429015479024017</v>
      </c>
      <c r="L243" s="54">
        <f t="shared" ca="1" si="47"/>
        <v>0.20491599370692748</v>
      </c>
      <c r="M243" s="54">
        <f ca="1">MIN(100,MAX(0,MCDA_Prioritisation!$F$2+(RAND()-0.5)*2*$B$7))</f>
        <v>86.341791610473962</v>
      </c>
      <c r="N243" s="54">
        <f ca="1">MIN(100,MAX(0,MCDA_Prioritisation!$F$3+(RAND()-0.5)*2*$B$7))</f>
        <v>95.541645444823075</v>
      </c>
      <c r="O243" s="54">
        <f ca="1">MIN(100,MAX(0,MCDA_Prioritisation!$F$4+(RAND()-0.5)*2*$B$7))</f>
        <v>93.915837579565817</v>
      </c>
      <c r="P243" s="54">
        <f ca="1">MIN(100,MAX(0,MCDA_Prioritisation!$F$5+(RAND()-0.5)*2*$B$7))</f>
        <v>72.707746796116155</v>
      </c>
      <c r="Q243" s="54">
        <f ca="1">MIN(100,MAX(0,MCDA_Prioritisation!$G$2+(RAND()-0.5)*2*$B$7))</f>
        <v>87.105007992437493</v>
      </c>
      <c r="R243" s="54">
        <f ca="1">MIN(100,MAX(0,MCDA_Prioritisation!$G$3+(RAND()-0.5)*2*$B$7))</f>
        <v>85.586445103641822</v>
      </c>
      <c r="S243" s="54">
        <f ca="1">MIN(100,MAX(0,MCDA_Prioritisation!$G$4+(RAND()-0.5)*2*$B$7))</f>
        <v>77.186268928896126</v>
      </c>
      <c r="T243" s="54">
        <f ca="1">MIN(100,MAX(0,MCDA_Prioritisation!$G$5+(RAND()-0.5)*2*$B$7))</f>
        <v>71.584903886364287</v>
      </c>
      <c r="U243" s="54">
        <f ca="1">MIN(100,MAX(0,MCDA_Prioritisation!$H$2+(RAND()-0.5)*2*$B$7))</f>
        <v>72.91249790214502</v>
      </c>
      <c r="V243" s="54">
        <f ca="1">MIN(100,MAX(0,MCDA_Prioritisation!$H$3+(RAND()-0.5)*2*$B$7))</f>
        <v>65.033454785853763</v>
      </c>
      <c r="W243" s="54">
        <f ca="1">MIN(100,MAX(0,MCDA_Prioritisation!$H$4+(RAND()-0.5)*2*$B$7))</f>
        <v>87.435036446429407</v>
      </c>
      <c r="X243" s="54">
        <f ca="1">MIN(100,MAX(0,MCDA_Prioritisation!$H$5+(RAND()-0.5)*2*$B$7))</f>
        <v>72.554166848314651</v>
      </c>
      <c r="Y243" s="54">
        <f ca="1">H243*MCDA_Prioritisation!$D$2+I243*MCDA_Prioritisation!$E$2+J243*M243+K243*Q243+L243*U243</f>
        <v>89.952561515343604</v>
      </c>
      <c r="Z243" s="54">
        <f ca="1">H243*MCDA_Prioritisation!$D$3+I243*MCDA_Prioritisation!$E$3+J243*N243+K243*R243+L243*V243</f>
        <v>80.527816496833523</v>
      </c>
      <c r="AA243" s="54">
        <f ca="1">H243*MCDA_Prioritisation!$D$4+I243*MCDA_Prioritisation!$E$4+J243*O243+K243*S243+L243*W243</f>
        <v>75.365903709029482</v>
      </c>
      <c r="AB243" s="54">
        <f ca="1">H243*MCDA_Prioritisation!$D$5+I243*MCDA_Prioritisation!$E$5+J243*P243+K243*T243+L243*X243</f>
        <v>71.16038295289728</v>
      </c>
      <c r="AC243" s="54">
        <f t="shared" ca="1" si="48"/>
        <v>1</v>
      </c>
      <c r="AD243" s="54">
        <f t="shared" ca="1" si="49"/>
        <v>2</v>
      </c>
      <c r="AE243" s="54">
        <f t="shared" ca="1" si="50"/>
        <v>3</v>
      </c>
      <c r="AF243" s="54">
        <f t="shared" ca="1" si="51"/>
        <v>4</v>
      </c>
      <c r="AG243" s="54">
        <f t="shared" ca="1" si="52"/>
        <v>1</v>
      </c>
      <c r="AH243" s="54">
        <f t="shared" ca="1" si="53"/>
        <v>1</v>
      </c>
      <c r="AI243" s="54">
        <f t="shared" ca="1" si="54"/>
        <v>1</v>
      </c>
      <c r="AJ243" s="54">
        <f t="shared" ca="1" si="55"/>
        <v>1</v>
      </c>
    </row>
    <row r="244" spans="1:36" x14ac:dyDescent="0.2">
      <c r="A244" s="54">
        <v>221</v>
      </c>
      <c r="B244" s="54">
        <f ca="1">MAX(0.02,MCDA_Prioritisation!$B$9+(RAND()-0.5)*2*$B$6)</f>
        <v>0.23648221493178112</v>
      </c>
      <c r="C244" s="54">
        <f ca="1">MAX(0.02,MCDA_Prioritisation!$B$10+(RAND()-0.5)*2*$B$6)</f>
        <v>0.24131674555649191</v>
      </c>
      <c r="D244" s="54">
        <f ca="1">MAX(0.02,MCDA_Prioritisation!$B$11+(RAND()-0.5)*2*$B$6)</f>
        <v>0.29243415922233562</v>
      </c>
      <c r="E244" s="54">
        <f ca="1">MAX(0.02,MCDA_Prioritisation!$B$12+(RAND()-0.5)*2*$B$6)</f>
        <v>0.14238043327181032</v>
      </c>
      <c r="F244" s="54">
        <f ca="1">MAX(0.02,MCDA_Prioritisation!$B$13+(RAND()-0.5)*2*$B$6)</f>
        <v>0.10800106567623177</v>
      </c>
      <c r="G244" s="54">
        <f t="shared" ca="1" si="42"/>
        <v>1.0206146186586509</v>
      </c>
      <c r="H244" s="54">
        <f t="shared" ca="1" si="43"/>
        <v>0.2317056904814663</v>
      </c>
      <c r="I244" s="54">
        <f t="shared" ca="1" si="44"/>
        <v>0.23644257209802064</v>
      </c>
      <c r="J244" s="54">
        <f t="shared" ca="1" si="45"/>
        <v>0.28652750399231891</v>
      </c>
      <c r="K244" s="54">
        <f t="shared" ca="1" si="46"/>
        <v>0.13950459915901919</v>
      </c>
      <c r="L244" s="54">
        <f t="shared" ca="1" si="47"/>
        <v>0.10581963426917483</v>
      </c>
      <c r="M244" s="54">
        <f ca="1">MIN(100,MAX(0,MCDA_Prioritisation!$F$2+(RAND()-0.5)*2*$B$7))</f>
        <v>92.185874510666963</v>
      </c>
      <c r="N244" s="54">
        <f ca="1">MIN(100,MAX(0,MCDA_Prioritisation!$F$3+(RAND()-0.5)*2*$B$7))</f>
        <v>100</v>
      </c>
      <c r="O244" s="54">
        <f ca="1">MIN(100,MAX(0,MCDA_Prioritisation!$F$4+(RAND()-0.5)*2*$B$7))</f>
        <v>88.19905902085101</v>
      </c>
      <c r="P244" s="54">
        <f ca="1">MIN(100,MAX(0,MCDA_Prioritisation!$F$5+(RAND()-0.5)*2*$B$7))</f>
        <v>74.589445937618194</v>
      </c>
      <c r="Q244" s="54">
        <f ca="1">MIN(100,MAX(0,MCDA_Prioritisation!$G$2+(RAND()-0.5)*2*$B$7))</f>
        <v>78.469246770794769</v>
      </c>
      <c r="R244" s="54">
        <f ca="1">MIN(100,MAX(0,MCDA_Prioritisation!$G$3+(RAND()-0.5)*2*$B$7))</f>
        <v>100</v>
      </c>
      <c r="S244" s="54">
        <f ca="1">MIN(100,MAX(0,MCDA_Prioritisation!$G$4+(RAND()-0.5)*2*$B$7))</f>
        <v>76.734408649516354</v>
      </c>
      <c r="T244" s="54">
        <f ca="1">MIN(100,MAX(0,MCDA_Prioritisation!$G$5+(RAND()-0.5)*2*$B$7))</f>
        <v>67.311934345227542</v>
      </c>
      <c r="U244" s="54">
        <f ca="1">MIN(100,MAX(0,MCDA_Prioritisation!$H$2+(RAND()-0.5)*2*$B$7))</f>
        <v>67.551927795626867</v>
      </c>
      <c r="V244" s="54">
        <f ca="1">MIN(100,MAX(0,MCDA_Prioritisation!$H$3+(RAND()-0.5)*2*$B$7))</f>
        <v>55.430550670023152</v>
      </c>
      <c r="W244" s="54">
        <f ca="1">MIN(100,MAX(0,MCDA_Prioritisation!$H$4+(RAND()-0.5)*2*$B$7))</f>
        <v>77.983964365797561</v>
      </c>
      <c r="X244" s="54">
        <f ca="1">MIN(100,MAX(0,MCDA_Prioritisation!$H$5+(RAND()-0.5)*2*$B$7))</f>
        <v>83.788125115580513</v>
      </c>
      <c r="Y244" s="54">
        <f ca="1">H244*MCDA_Prioritisation!$D$2+I244*MCDA_Prioritisation!$E$2+J244*M244+K244*Q244+L244*U244</f>
        <v>91.323755895420064</v>
      </c>
      <c r="Z244" s="54">
        <f ca="1">H244*MCDA_Prioritisation!$D$3+I244*MCDA_Prioritisation!$E$3+J244*N244+K244*R244+L244*V244</f>
        <v>85.915019326309945</v>
      </c>
      <c r="AA244" s="54">
        <f ca="1">H244*MCDA_Prioritisation!$D$4+I244*MCDA_Prioritisation!$E$4+J244*O244+K244*S244+L244*W244</f>
        <v>73.259983493019433</v>
      </c>
      <c r="AB244" s="54">
        <f ca="1">H244*MCDA_Prioritisation!$D$5+I244*MCDA_Prioritisation!$E$5+J244*P244+K244*T244+L244*X244</f>
        <v>71.809337478559073</v>
      </c>
      <c r="AC244" s="54">
        <f t="shared" ca="1" si="48"/>
        <v>1</v>
      </c>
      <c r="AD244" s="54">
        <f t="shared" ca="1" si="49"/>
        <v>2</v>
      </c>
      <c r="AE244" s="54">
        <f t="shared" ca="1" si="50"/>
        <v>3</v>
      </c>
      <c r="AF244" s="54">
        <f t="shared" ca="1" si="51"/>
        <v>4</v>
      </c>
      <c r="AG244" s="54">
        <f t="shared" ca="1" si="52"/>
        <v>1</v>
      </c>
      <c r="AH244" s="54">
        <f t="shared" ca="1" si="53"/>
        <v>1</v>
      </c>
      <c r="AI244" s="54">
        <f t="shared" ca="1" si="54"/>
        <v>1</v>
      </c>
      <c r="AJ244" s="54">
        <f t="shared" ca="1" si="55"/>
        <v>1</v>
      </c>
    </row>
    <row r="245" spans="1:36" x14ac:dyDescent="0.2">
      <c r="A245" s="54">
        <v>222</v>
      </c>
      <c r="B245" s="54">
        <f ca="1">MAX(0.02,MCDA_Prioritisation!$B$9+(RAND()-0.5)*2*$B$6)</f>
        <v>0.15239810915826485</v>
      </c>
      <c r="C245" s="54">
        <f ca="1">MAX(0.02,MCDA_Prioritisation!$B$10+(RAND()-0.5)*2*$B$6)</f>
        <v>0.28936260359211069</v>
      </c>
      <c r="D245" s="54">
        <f ca="1">MAX(0.02,MCDA_Prioritisation!$B$11+(RAND()-0.5)*2*$B$6)</f>
        <v>0.18946660065237128</v>
      </c>
      <c r="E245" s="54">
        <f ca="1">MAX(0.02,MCDA_Prioritisation!$B$12+(RAND()-0.5)*2*$B$6)</f>
        <v>0.20173862009507215</v>
      </c>
      <c r="F245" s="54">
        <f ca="1">MAX(0.02,MCDA_Prioritisation!$B$13+(RAND()-0.5)*2*$B$6)</f>
        <v>0.1271493905964535</v>
      </c>
      <c r="G245" s="54">
        <f t="shared" ca="1" si="42"/>
        <v>0.96011532409427247</v>
      </c>
      <c r="H245" s="54">
        <f t="shared" ca="1" si="43"/>
        <v>0.15872896237962875</v>
      </c>
      <c r="I245" s="54">
        <f t="shared" ca="1" si="44"/>
        <v>0.30138317380266971</v>
      </c>
      <c r="J245" s="54">
        <f t="shared" ca="1" si="45"/>
        <v>0.19733733635707268</v>
      </c>
      <c r="K245" s="54">
        <f t="shared" ca="1" si="46"/>
        <v>0.21011915447280549</v>
      </c>
      <c r="L245" s="54">
        <f t="shared" ca="1" si="47"/>
        <v>0.13243137298782334</v>
      </c>
      <c r="M245" s="54">
        <f ca="1">MIN(100,MAX(0,MCDA_Prioritisation!$F$2+(RAND()-0.5)*2*$B$7))</f>
        <v>84.55718939274972</v>
      </c>
      <c r="N245" s="54">
        <f ca="1">MIN(100,MAX(0,MCDA_Prioritisation!$F$3+(RAND()-0.5)*2*$B$7))</f>
        <v>99.673282890285094</v>
      </c>
      <c r="O245" s="54">
        <f ca="1">MIN(100,MAX(0,MCDA_Prioritisation!$F$4+(RAND()-0.5)*2*$B$7))</f>
        <v>92.521292658126299</v>
      </c>
      <c r="P245" s="54">
        <f ca="1">MIN(100,MAX(0,MCDA_Prioritisation!$F$5+(RAND()-0.5)*2*$B$7))</f>
        <v>70.491823883007214</v>
      </c>
      <c r="Q245" s="54">
        <f ca="1">MIN(100,MAX(0,MCDA_Prioritisation!$G$2+(RAND()-0.5)*2*$B$7))</f>
        <v>74.740035359753648</v>
      </c>
      <c r="R245" s="54">
        <f ca="1">MIN(100,MAX(0,MCDA_Prioritisation!$G$3+(RAND()-0.5)*2*$B$7))</f>
        <v>100</v>
      </c>
      <c r="S245" s="54">
        <f ca="1">MIN(100,MAX(0,MCDA_Prioritisation!$G$4+(RAND()-0.5)*2*$B$7))</f>
        <v>84.682830943038368</v>
      </c>
      <c r="T245" s="54">
        <f ca="1">MIN(100,MAX(0,MCDA_Prioritisation!$G$5+(RAND()-0.5)*2*$B$7))</f>
        <v>75.765313305566792</v>
      </c>
      <c r="U245" s="54">
        <f ca="1">MIN(100,MAX(0,MCDA_Prioritisation!$H$2+(RAND()-0.5)*2*$B$7))</f>
        <v>62.076984773795864</v>
      </c>
      <c r="V245" s="54">
        <f ca="1">MIN(100,MAX(0,MCDA_Prioritisation!$H$3+(RAND()-0.5)*2*$B$7))</f>
        <v>50.396762148749175</v>
      </c>
      <c r="W245" s="54">
        <f ca="1">MIN(100,MAX(0,MCDA_Prioritisation!$H$4+(RAND()-0.5)*2*$B$7))</f>
        <v>82.667304819469905</v>
      </c>
      <c r="X245" s="54">
        <f ca="1">MIN(100,MAX(0,MCDA_Prioritisation!$H$5+(RAND()-0.5)*2*$B$7))</f>
        <v>68.709413730199813</v>
      </c>
      <c r="Y245" s="54">
        <f ca="1">H245*MCDA_Prioritisation!$D$2+I245*MCDA_Prioritisation!$E$2+J245*M245+K245*Q245+L245*U245</f>
        <v>86.622757502432606</v>
      </c>
      <c r="Z245" s="54">
        <f ca="1">H245*MCDA_Prioritisation!$D$3+I245*MCDA_Prioritisation!$E$3+J245*N245+K245*R245+L245*V245</f>
        <v>83.146473891863081</v>
      </c>
      <c r="AA245" s="54">
        <f ca="1">H245*MCDA_Prioritisation!$D$4+I245*MCDA_Prioritisation!$E$4+J245*O245+K245*S245+L245*W245</f>
        <v>74.49116900738899</v>
      </c>
      <c r="AB245" s="54">
        <f ca="1">H245*MCDA_Prioritisation!$D$5+I245*MCDA_Prioritisation!$E$5+J245*P245+K245*T245+L245*X245</f>
        <v>72.697960316202625</v>
      </c>
      <c r="AC245" s="54">
        <f t="shared" ca="1" si="48"/>
        <v>1</v>
      </c>
      <c r="AD245" s="54">
        <f t="shared" ca="1" si="49"/>
        <v>2</v>
      </c>
      <c r="AE245" s="54">
        <f t="shared" ca="1" si="50"/>
        <v>3</v>
      </c>
      <c r="AF245" s="54">
        <f t="shared" ca="1" si="51"/>
        <v>4</v>
      </c>
      <c r="AG245" s="54">
        <f t="shared" ca="1" si="52"/>
        <v>1</v>
      </c>
      <c r="AH245" s="54">
        <f t="shared" ca="1" si="53"/>
        <v>1</v>
      </c>
      <c r="AI245" s="54">
        <f t="shared" ca="1" si="54"/>
        <v>1</v>
      </c>
      <c r="AJ245" s="54">
        <f t="shared" ca="1" si="55"/>
        <v>1</v>
      </c>
    </row>
    <row r="246" spans="1:36" x14ac:dyDescent="0.2">
      <c r="A246" s="54">
        <v>223</v>
      </c>
      <c r="B246" s="54">
        <f ca="1">MAX(0.02,MCDA_Prioritisation!$B$9+(RAND()-0.5)*2*$B$6)</f>
        <v>0.13971891449403412</v>
      </c>
      <c r="C246" s="54">
        <f ca="1">MAX(0.02,MCDA_Prioritisation!$B$10+(RAND()-0.5)*2*$B$6)</f>
        <v>0.28073075308734835</v>
      </c>
      <c r="D246" s="54">
        <f ca="1">MAX(0.02,MCDA_Prioritisation!$B$11+(RAND()-0.5)*2*$B$6)</f>
        <v>0.31101036274093269</v>
      </c>
      <c r="E246" s="54">
        <f ca="1">MAX(0.02,MCDA_Prioritisation!$B$12+(RAND()-0.5)*2*$B$6)</f>
        <v>7.6015568448045689E-2</v>
      </c>
      <c r="F246" s="54">
        <f ca="1">MAX(0.02,MCDA_Prioritisation!$B$13+(RAND()-0.5)*2*$B$6)</f>
        <v>0.15554203935691555</v>
      </c>
      <c r="G246" s="54">
        <f t="shared" ca="1" si="42"/>
        <v>0.96301763812727637</v>
      </c>
      <c r="H246" s="54">
        <f t="shared" ca="1" si="43"/>
        <v>0.14508448128295684</v>
      </c>
      <c r="I246" s="54">
        <f t="shared" ca="1" si="44"/>
        <v>0.29151153828632764</v>
      </c>
      <c r="J246" s="54">
        <f t="shared" ca="1" si="45"/>
        <v>0.32295396307147212</v>
      </c>
      <c r="K246" s="54">
        <f t="shared" ca="1" si="46"/>
        <v>7.8934762395285601E-2</v>
      </c>
      <c r="L246" s="54">
        <f t="shared" ca="1" si="47"/>
        <v>0.16151525496395785</v>
      </c>
      <c r="M246" s="54">
        <f ca="1">MIN(100,MAX(0,MCDA_Prioritisation!$F$2+(RAND()-0.5)*2*$B$7))</f>
        <v>84.353490188838961</v>
      </c>
      <c r="N246" s="54">
        <f ca="1">MIN(100,MAX(0,MCDA_Prioritisation!$F$3+(RAND()-0.5)*2*$B$7))</f>
        <v>95.4544971810531</v>
      </c>
      <c r="O246" s="54">
        <f ca="1">MIN(100,MAX(0,MCDA_Prioritisation!$F$4+(RAND()-0.5)*2*$B$7))</f>
        <v>84.70447674560684</v>
      </c>
      <c r="P246" s="54">
        <f ca="1">MIN(100,MAX(0,MCDA_Prioritisation!$F$5+(RAND()-0.5)*2*$B$7))</f>
        <v>84.183547160224222</v>
      </c>
      <c r="Q246" s="54">
        <f ca="1">MIN(100,MAX(0,MCDA_Prioritisation!$G$2+(RAND()-0.5)*2*$B$7))</f>
        <v>76.545802270998379</v>
      </c>
      <c r="R246" s="54">
        <f ca="1">MIN(100,MAX(0,MCDA_Prioritisation!$G$3+(RAND()-0.5)*2*$B$7))</f>
        <v>88.303953106799625</v>
      </c>
      <c r="S246" s="54">
        <f ca="1">MIN(100,MAX(0,MCDA_Prioritisation!$G$4+(RAND()-0.5)*2*$B$7))</f>
        <v>76.907839723343159</v>
      </c>
      <c r="T246" s="54">
        <f ca="1">MIN(100,MAX(0,MCDA_Prioritisation!$G$5+(RAND()-0.5)*2*$B$7))</f>
        <v>66.565791613340792</v>
      </c>
      <c r="U246" s="54">
        <f ca="1">MIN(100,MAX(0,MCDA_Prioritisation!$H$2+(RAND()-0.5)*2*$B$7))</f>
        <v>71.300145468267132</v>
      </c>
      <c r="V246" s="54">
        <f ca="1">MIN(100,MAX(0,MCDA_Prioritisation!$H$3+(RAND()-0.5)*2*$B$7))</f>
        <v>66.462643108769271</v>
      </c>
      <c r="W246" s="54">
        <f ca="1">MIN(100,MAX(0,MCDA_Prioritisation!$H$4+(RAND()-0.5)*2*$B$7))</f>
        <v>84.864860885987781</v>
      </c>
      <c r="X246" s="54">
        <f ca="1">MIN(100,MAX(0,MCDA_Prioritisation!$H$5+(RAND()-0.5)*2*$B$7))</f>
        <v>82.877078956493619</v>
      </c>
      <c r="Y246" s="54">
        <f ca="1">H246*MCDA_Prioritisation!$D$2+I246*MCDA_Prioritisation!$E$2+J246*M246+K246*Q246+L246*U246</f>
        <v>88.460081801216759</v>
      </c>
      <c r="Z246" s="54">
        <f ca="1">H246*MCDA_Prioritisation!$D$3+I246*MCDA_Prioritisation!$E$3+J246*N246+K246*R246+L246*V246</f>
        <v>82.413154699853379</v>
      </c>
      <c r="AA246" s="54">
        <f ca="1">H246*MCDA_Prioritisation!$D$4+I246*MCDA_Prioritisation!$E$4+J246*O246+K246*S246+L246*W246</f>
        <v>73.136777897164805</v>
      </c>
      <c r="AB246" s="54">
        <f ca="1">H246*MCDA_Prioritisation!$D$5+I246*MCDA_Prioritisation!$E$5+J246*P246+K246*T246+L246*X246</f>
        <v>78.041635872207848</v>
      </c>
      <c r="AC246" s="54">
        <f t="shared" ca="1" si="48"/>
        <v>1</v>
      </c>
      <c r="AD246" s="54">
        <f t="shared" ca="1" si="49"/>
        <v>2</v>
      </c>
      <c r="AE246" s="54">
        <f t="shared" ca="1" si="50"/>
        <v>4</v>
      </c>
      <c r="AF246" s="54">
        <f t="shared" ca="1" si="51"/>
        <v>3</v>
      </c>
      <c r="AG246" s="54">
        <f t="shared" ca="1" si="52"/>
        <v>1</v>
      </c>
      <c r="AH246" s="54">
        <f t="shared" ca="1" si="53"/>
        <v>1</v>
      </c>
      <c r="AI246" s="54">
        <f t="shared" ca="1" si="54"/>
        <v>0</v>
      </c>
      <c r="AJ246" s="54">
        <f t="shared" ca="1" si="55"/>
        <v>1</v>
      </c>
    </row>
    <row r="247" spans="1:36" x14ac:dyDescent="0.2">
      <c r="A247" s="54">
        <v>224</v>
      </c>
      <c r="B247" s="54">
        <f ca="1">MAX(0.02,MCDA_Prioritisation!$B$9+(RAND()-0.5)*2*$B$6)</f>
        <v>0.1663571245431037</v>
      </c>
      <c r="C247" s="54">
        <f ca="1">MAX(0.02,MCDA_Prioritisation!$B$10+(RAND()-0.5)*2*$B$6)</f>
        <v>0.25515450165607328</v>
      </c>
      <c r="D247" s="54">
        <f ca="1">MAX(0.02,MCDA_Prioritisation!$B$11+(RAND()-0.5)*2*$B$6)</f>
        <v>0.32260563792788355</v>
      </c>
      <c r="E247" s="54">
        <f ca="1">MAX(0.02,MCDA_Prioritisation!$B$12+(RAND()-0.5)*2*$B$6)</f>
        <v>0.16958928367020334</v>
      </c>
      <c r="F247" s="54">
        <f ca="1">MAX(0.02,MCDA_Prioritisation!$B$13+(RAND()-0.5)*2*$B$6)</f>
        <v>8.134097220536346E-2</v>
      </c>
      <c r="G247" s="54">
        <f t="shared" ca="1" si="42"/>
        <v>0.99504752000262742</v>
      </c>
      <c r="H247" s="54">
        <f t="shared" ca="1" si="43"/>
        <v>0.16718510543362233</v>
      </c>
      <c r="I247" s="54">
        <f t="shared" ca="1" si="44"/>
        <v>0.25642443855887359</v>
      </c>
      <c r="J247" s="54">
        <f t="shared" ca="1" si="45"/>
        <v>0.32421128784586256</v>
      </c>
      <c r="K247" s="54">
        <f t="shared" ca="1" si="46"/>
        <v>0.17043335143406574</v>
      </c>
      <c r="L247" s="54">
        <f t="shared" ca="1" si="47"/>
        <v>8.1745816727575665E-2</v>
      </c>
      <c r="M247" s="54">
        <f ca="1">MIN(100,MAX(0,MCDA_Prioritisation!$F$2+(RAND()-0.5)*2*$B$7))</f>
        <v>79.961567136860126</v>
      </c>
      <c r="N247" s="54">
        <f ca="1">MIN(100,MAX(0,MCDA_Prioritisation!$F$3+(RAND()-0.5)*2*$B$7))</f>
        <v>95.127147446076492</v>
      </c>
      <c r="O247" s="54">
        <f ca="1">MIN(100,MAX(0,MCDA_Prioritisation!$F$4+(RAND()-0.5)*2*$B$7))</f>
        <v>83.534718369715236</v>
      </c>
      <c r="P247" s="54">
        <f ca="1">MIN(100,MAX(0,MCDA_Prioritisation!$F$5+(RAND()-0.5)*2*$B$7))</f>
        <v>70.00813018103274</v>
      </c>
      <c r="Q247" s="54">
        <f ca="1">MIN(100,MAX(0,MCDA_Prioritisation!$G$2+(RAND()-0.5)*2*$B$7))</f>
        <v>83.555036178385976</v>
      </c>
      <c r="R247" s="54">
        <f ca="1">MIN(100,MAX(0,MCDA_Prioritisation!$G$3+(RAND()-0.5)*2*$B$7))</f>
        <v>100</v>
      </c>
      <c r="S247" s="54">
        <f ca="1">MIN(100,MAX(0,MCDA_Prioritisation!$G$4+(RAND()-0.5)*2*$B$7))</f>
        <v>86.733826418811461</v>
      </c>
      <c r="T247" s="54">
        <f ca="1">MIN(100,MAX(0,MCDA_Prioritisation!$G$5+(RAND()-0.5)*2*$B$7))</f>
        <v>64.396183523782213</v>
      </c>
      <c r="U247" s="54">
        <f ca="1">MIN(100,MAX(0,MCDA_Prioritisation!$H$2+(RAND()-0.5)*2*$B$7))</f>
        <v>72.015700315131824</v>
      </c>
      <c r="V247" s="54">
        <f ca="1">MIN(100,MAX(0,MCDA_Prioritisation!$H$3+(RAND()-0.5)*2*$B$7))</f>
        <v>56.231993889279643</v>
      </c>
      <c r="W247" s="54">
        <f ca="1">MIN(100,MAX(0,MCDA_Prioritisation!$H$4+(RAND()-0.5)*2*$B$7))</f>
        <v>87.607859370017977</v>
      </c>
      <c r="X247" s="54">
        <f ca="1">MIN(100,MAX(0,MCDA_Prioritisation!$H$5+(RAND()-0.5)*2*$B$7))</f>
        <v>81.984558206914244</v>
      </c>
      <c r="Y247" s="54">
        <f ca="1">H247*MCDA_Prioritisation!$D$2+I247*MCDA_Prioritisation!$E$2+J247*M247+K247*Q247+L247*U247</f>
        <v>88.41294414341013</v>
      </c>
      <c r="Z247" s="54">
        <f ca="1">H247*MCDA_Prioritisation!$D$3+I247*MCDA_Prioritisation!$E$3+J247*N247+K247*R247+L247*V247</f>
        <v>85.741860255950769</v>
      </c>
      <c r="AA247" s="54">
        <f ca="1">H247*MCDA_Prioritisation!$D$4+I247*MCDA_Prioritisation!$E$4+J247*O247+K247*S247+L247*W247</f>
        <v>74.655386843393998</v>
      </c>
      <c r="AB247" s="54">
        <f ca="1">H247*MCDA_Prioritisation!$D$5+I247*MCDA_Prioritisation!$E$5+J247*P247+K247*T247+L247*X247</f>
        <v>70.811040480258114</v>
      </c>
      <c r="AC247" s="54">
        <f t="shared" ca="1" si="48"/>
        <v>1</v>
      </c>
      <c r="AD247" s="54">
        <f t="shared" ca="1" si="49"/>
        <v>2</v>
      </c>
      <c r="AE247" s="54">
        <f t="shared" ca="1" si="50"/>
        <v>3</v>
      </c>
      <c r="AF247" s="54">
        <f t="shared" ca="1" si="51"/>
        <v>4</v>
      </c>
      <c r="AG247" s="54">
        <f t="shared" ca="1" si="52"/>
        <v>1</v>
      </c>
      <c r="AH247" s="54">
        <f t="shared" ca="1" si="53"/>
        <v>1</v>
      </c>
      <c r="AI247" s="54">
        <f t="shared" ca="1" si="54"/>
        <v>1</v>
      </c>
      <c r="AJ247" s="54">
        <f t="shared" ca="1" si="55"/>
        <v>1</v>
      </c>
    </row>
    <row r="248" spans="1:36" x14ac:dyDescent="0.2">
      <c r="A248" s="54">
        <v>225</v>
      </c>
      <c r="B248" s="54">
        <f ca="1">MAX(0.02,MCDA_Prioritisation!$B$9+(RAND()-0.5)*2*$B$6)</f>
        <v>0.18372142542110287</v>
      </c>
      <c r="C248" s="54">
        <f ca="1">MAX(0.02,MCDA_Prioritisation!$B$10+(RAND()-0.5)*2*$B$6)</f>
        <v>0.27277963543435962</v>
      </c>
      <c r="D248" s="54">
        <f ca="1">MAX(0.02,MCDA_Prioritisation!$B$11+(RAND()-0.5)*2*$B$6)</f>
        <v>0.29176661811901766</v>
      </c>
      <c r="E248" s="54">
        <f ca="1">MAX(0.02,MCDA_Prioritisation!$B$12+(RAND()-0.5)*2*$B$6)</f>
        <v>0.10271052188116195</v>
      </c>
      <c r="F248" s="54">
        <f ca="1">MAX(0.02,MCDA_Prioritisation!$B$13+(RAND()-0.5)*2*$B$6)</f>
        <v>0.10256788211411216</v>
      </c>
      <c r="G248" s="54">
        <f t="shared" ca="1" si="42"/>
        <v>0.95354608296975429</v>
      </c>
      <c r="H248" s="54">
        <f t="shared" ca="1" si="43"/>
        <v>0.19267178451293618</v>
      </c>
      <c r="I248" s="54">
        <f t="shared" ca="1" si="44"/>
        <v>0.28606864451144937</v>
      </c>
      <c r="J248" s="54">
        <f t="shared" ca="1" si="45"/>
        <v>0.30598061628057915</v>
      </c>
      <c r="K248" s="54">
        <f t="shared" ca="1" si="46"/>
        <v>0.10771427172274362</v>
      </c>
      <c r="L248" s="54">
        <f t="shared" ca="1" si="47"/>
        <v>0.10756468297229169</v>
      </c>
      <c r="M248" s="54">
        <f ca="1">MIN(100,MAX(0,MCDA_Prioritisation!$F$2+(RAND()-0.5)*2*$B$7))</f>
        <v>85.97948211944734</v>
      </c>
      <c r="N248" s="54">
        <f ca="1">MIN(100,MAX(0,MCDA_Prioritisation!$F$3+(RAND()-0.5)*2*$B$7))</f>
        <v>86.685952025041274</v>
      </c>
      <c r="O248" s="54">
        <f ca="1">MIN(100,MAX(0,MCDA_Prioritisation!$F$4+(RAND()-0.5)*2*$B$7))</f>
        <v>85.963772187697373</v>
      </c>
      <c r="P248" s="54">
        <f ca="1">MIN(100,MAX(0,MCDA_Prioritisation!$F$5+(RAND()-0.5)*2*$B$7))</f>
        <v>73.176707991979399</v>
      </c>
      <c r="Q248" s="54">
        <f ca="1">MIN(100,MAX(0,MCDA_Prioritisation!$G$2+(RAND()-0.5)*2*$B$7))</f>
        <v>82.075742099784705</v>
      </c>
      <c r="R248" s="54">
        <f ca="1">MIN(100,MAX(0,MCDA_Prioritisation!$G$3+(RAND()-0.5)*2*$B$7))</f>
        <v>94.021630731221578</v>
      </c>
      <c r="S248" s="54">
        <f ca="1">MIN(100,MAX(0,MCDA_Prioritisation!$G$4+(RAND()-0.5)*2*$B$7))</f>
        <v>86.622216365940218</v>
      </c>
      <c r="T248" s="54">
        <f ca="1">MIN(100,MAX(0,MCDA_Prioritisation!$G$5+(RAND()-0.5)*2*$B$7))</f>
        <v>78.98453260250318</v>
      </c>
      <c r="U248" s="54">
        <f ca="1">MIN(100,MAX(0,MCDA_Prioritisation!$H$2+(RAND()-0.5)*2*$B$7))</f>
        <v>55.134015277505704</v>
      </c>
      <c r="V248" s="54">
        <f ca="1">MIN(100,MAX(0,MCDA_Prioritisation!$H$3+(RAND()-0.5)*2*$B$7))</f>
        <v>53.61937291743039</v>
      </c>
      <c r="W248" s="54">
        <f ca="1">MIN(100,MAX(0,MCDA_Prioritisation!$H$4+(RAND()-0.5)*2*$B$7))</f>
        <v>78.280820904482482</v>
      </c>
      <c r="X248" s="54">
        <f ca="1">MIN(100,MAX(0,MCDA_Prioritisation!$H$5+(RAND()-0.5)*2*$B$7))</f>
        <v>84.172038328538306</v>
      </c>
      <c r="Y248" s="54">
        <f ca="1">H248*MCDA_Prioritisation!$D$2+I248*MCDA_Prioritisation!$E$2+J248*M248+K248*Q248+L248*U248</f>
        <v>88.953299489528504</v>
      </c>
      <c r="Z248" s="54">
        <f ca="1">H248*MCDA_Prioritisation!$D$3+I248*MCDA_Prioritisation!$E$3+J248*N248+K248*R248+L248*V248</f>
        <v>80.063140662036048</v>
      </c>
      <c r="AA248" s="54">
        <f ca="1">H248*MCDA_Prioritisation!$D$4+I248*MCDA_Prioritisation!$E$4+J248*O248+K248*S248+L248*W248</f>
        <v>73.074223305154078</v>
      </c>
      <c r="AB248" s="54">
        <f ca="1">H248*MCDA_Prioritisation!$D$5+I248*MCDA_Prioritisation!$E$5+J248*P248+K248*T248+L248*X248</f>
        <v>74.23435301930877</v>
      </c>
      <c r="AC248" s="54">
        <f t="shared" ca="1" si="48"/>
        <v>1</v>
      </c>
      <c r="AD248" s="54">
        <f t="shared" ca="1" si="49"/>
        <v>2</v>
      </c>
      <c r="AE248" s="54">
        <f t="shared" ca="1" si="50"/>
        <v>4</v>
      </c>
      <c r="AF248" s="54">
        <f t="shared" ca="1" si="51"/>
        <v>3</v>
      </c>
      <c r="AG248" s="54">
        <f t="shared" ca="1" si="52"/>
        <v>1</v>
      </c>
      <c r="AH248" s="54">
        <f t="shared" ca="1" si="53"/>
        <v>1</v>
      </c>
      <c r="AI248" s="54">
        <f t="shared" ca="1" si="54"/>
        <v>0</v>
      </c>
      <c r="AJ248" s="54">
        <f t="shared" ca="1" si="55"/>
        <v>1</v>
      </c>
    </row>
    <row r="249" spans="1:36" x14ac:dyDescent="0.2">
      <c r="A249" s="54">
        <v>226</v>
      </c>
      <c r="B249" s="54">
        <f ca="1">MAX(0.02,MCDA_Prioritisation!$B$9+(RAND()-0.5)*2*$B$6)</f>
        <v>0.12684576398970968</v>
      </c>
      <c r="C249" s="54">
        <f ca="1">MAX(0.02,MCDA_Prioritisation!$B$10+(RAND()-0.5)*2*$B$6)</f>
        <v>0.22930997169748996</v>
      </c>
      <c r="D249" s="54">
        <f ca="1">MAX(0.02,MCDA_Prioritisation!$B$11+(RAND()-0.5)*2*$B$6)</f>
        <v>0.27633091750126387</v>
      </c>
      <c r="E249" s="54">
        <f ca="1">MAX(0.02,MCDA_Prioritisation!$B$12+(RAND()-0.5)*2*$B$6)</f>
        <v>0.14252454262827147</v>
      </c>
      <c r="F249" s="54">
        <f ca="1">MAX(0.02,MCDA_Prioritisation!$B$13+(RAND()-0.5)*2*$B$6)</f>
        <v>0.14405988444657869</v>
      </c>
      <c r="G249" s="54">
        <f t="shared" ca="1" si="42"/>
        <v>0.91907108026331363</v>
      </c>
      <c r="H249" s="54">
        <f t="shared" ca="1" si="43"/>
        <v>0.13801518371502713</v>
      </c>
      <c r="I249" s="54">
        <f t="shared" ca="1" si="44"/>
        <v>0.24950189013867427</v>
      </c>
      <c r="J249" s="54">
        <f t="shared" ca="1" si="45"/>
        <v>0.30066327124785075</v>
      </c>
      <c r="K249" s="54">
        <f t="shared" ca="1" si="46"/>
        <v>0.15507455918147073</v>
      </c>
      <c r="L249" s="54">
        <f t="shared" ca="1" si="47"/>
        <v>0.15674509571697715</v>
      </c>
      <c r="M249" s="54">
        <f ca="1">MIN(100,MAX(0,MCDA_Prioritisation!$F$2+(RAND()-0.5)*2*$B$7))</f>
        <v>91.910927934165272</v>
      </c>
      <c r="N249" s="54">
        <f ca="1">MIN(100,MAX(0,MCDA_Prioritisation!$F$3+(RAND()-0.5)*2*$B$7))</f>
        <v>94.672843025361445</v>
      </c>
      <c r="O249" s="54">
        <f ca="1">MIN(100,MAX(0,MCDA_Prioritisation!$F$4+(RAND()-0.5)*2*$B$7))</f>
        <v>95.629971949322155</v>
      </c>
      <c r="P249" s="54">
        <f ca="1">MIN(100,MAX(0,MCDA_Prioritisation!$F$5+(RAND()-0.5)*2*$B$7))</f>
        <v>77.320188396847456</v>
      </c>
      <c r="Q249" s="54">
        <f ca="1">MIN(100,MAX(0,MCDA_Prioritisation!$G$2+(RAND()-0.5)*2*$B$7))</f>
        <v>86.743309137734414</v>
      </c>
      <c r="R249" s="54">
        <f ca="1">MIN(100,MAX(0,MCDA_Prioritisation!$G$3+(RAND()-0.5)*2*$B$7))</f>
        <v>96.228402046614079</v>
      </c>
      <c r="S249" s="54">
        <f ca="1">MIN(100,MAX(0,MCDA_Prioritisation!$G$4+(RAND()-0.5)*2*$B$7))</f>
        <v>93.53402361530047</v>
      </c>
      <c r="T249" s="54">
        <f ca="1">MIN(100,MAX(0,MCDA_Prioritisation!$G$5+(RAND()-0.5)*2*$B$7))</f>
        <v>60.631844704868897</v>
      </c>
      <c r="U249" s="54">
        <f ca="1">MIN(100,MAX(0,MCDA_Prioritisation!$H$2+(RAND()-0.5)*2*$B$7))</f>
        <v>61.820605164052367</v>
      </c>
      <c r="V249" s="54">
        <f ca="1">MIN(100,MAX(0,MCDA_Prioritisation!$H$3+(RAND()-0.5)*2*$B$7))</f>
        <v>58.924314165675867</v>
      </c>
      <c r="W249" s="54">
        <f ca="1">MIN(100,MAX(0,MCDA_Prioritisation!$H$4+(RAND()-0.5)*2*$B$7))</f>
        <v>81.512059577395149</v>
      </c>
      <c r="X249" s="54">
        <f ca="1">MIN(100,MAX(0,MCDA_Prioritisation!$H$5+(RAND()-0.5)*2*$B$7))</f>
        <v>74.437351161350605</v>
      </c>
      <c r="Y249" s="54">
        <f ca="1">H249*MCDA_Prioritisation!$D$2+I249*MCDA_Prioritisation!$E$2+J249*M249+K249*Q249+L249*U249</f>
        <v>89.527704741678775</v>
      </c>
      <c r="Z249" s="54">
        <f ca="1">H249*MCDA_Prioritisation!$D$3+I249*MCDA_Prioritisation!$E$3+J249*N249+K249*R249+L249*V249</f>
        <v>82.831003811071824</v>
      </c>
      <c r="AA249" s="54">
        <f ca="1">H249*MCDA_Prioritisation!$D$4+I249*MCDA_Prioritisation!$E$4+J249*O249+K249*S249+L249*W249</f>
        <v>79.253543322117935</v>
      </c>
      <c r="AB249" s="54">
        <f ca="1">H249*MCDA_Prioritisation!$D$5+I249*MCDA_Prioritisation!$E$5+J249*P249+K249*T249+L249*X249</f>
        <v>72.623606545828665</v>
      </c>
      <c r="AC249" s="54">
        <f t="shared" ca="1" si="48"/>
        <v>1</v>
      </c>
      <c r="AD249" s="54">
        <f t="shared" ca="1" si="49"/>
        <v>2</v>
      </c>
      <c r="AE249" s="54">
        <f t="shared" ca="1" si="50"/>
        <v>3</v>
      </c>
      <c r="AF249" s="54">
        <f t="shared" ca="1" si="51"/>
        <v>4</v>
      </c>
      <c r="AG249" s="54">
        <f t="shared" ca="1" si="52"/>
        <v>1</v>
      </c>
      <c r="AH249" s="54">
        <f t="shared" ca="1" si="53"/>
        <v>1</v>
      </c>
      <c r="AI249" s="54">
        <f t="shared" ca="1" si="54"/>
        <v>1</v>
      </c>
      <c r="AJ249" s="54">
        <f t="shared" ca="1" si="55"/>
        <v>1</v>
      </c>
    </row>
    <row r="250" spans="1:36" x14ac:dyDescent="0.2">
      <c r="A250" s="54">
        <v>227</v>
      </c>
      <c r="B250" s="54">
        <f ca="1">MAX(0.02,MCDA_Prioritisation!$B$9+(RAND()-0.5)*2*$B$6)</f>
        <v>0.22913913136938494</v>
      </c>
      <c r="C250" s="54">
        <f ca="1">MAX(0.02,MCDA_Prioritisation!$B$10+(RAND()-0.5)*2*$B$6)</f>
        <v>0.3128352910828327</v>
      </c>
      <c r="D250" s="54">
        <f ca="1">MAX(0.02,MCDA_Prioritisation!$B$11+(RAND()-0.5)*2*$B$6)</f>
        <v>0.24121490864635522</v>
      </c>
      <c r="E250" s="54">
        <f ca="1">MAX(0.02,MCDA_Prioritisation!$B$12+(RAND()-0.5)*2*$B$6)</f>
        <v>0.20776200329188035</v>
      </c>
      <c r="F250" s="54">
        <f ca="1">MAX(0.02,MCDA_Prioritisation!$B$13+(RAND()-0.5)*2*$B$6)</f>
        <v>7.0573273341540718E-2</v>
      </c>
      <c r="G250" s="54">
        <f t="shared" ca="1" si="42"/>
        <v>1.0615246077319938</v>
      </c>
      <c r="H250" s="54">
        <f t="shared" ca="1" si="43"/>
        <v>0.21585852056595597</v>
      </c>
      <c r="I250" s="54">
        <f t="shared" ca="1" si="44"/>
        <v>0.29470375797620241</v>
      </c>
      <c r="J250" s="54">
        <f t="shared" ca="1" si="45"/>
        <v>0.22723440124645275</v>
      </c>
      <c r="K250" s="54">
        <f t="shared" ca="1" si="46"/>
        <v>0.19572038347351683</v>
      </c>
      <c r="L250" s="54">
        <f t="shared" ca="1" si="47"/>
        <v>6.6482936737872173E-2</v>
      </c>
      <c r="M250" s="54">
        <f ca="1">MIN(100,MAX(0,MCDA_Prioritisation!$F$2+(RAND()-0.5)*2*$B$7))</f>
        <v>83.16682109847045</v>
      </c>
      <c r="N250" s="54">
        <f ca="1">MIN(100,MAX(0,MCDA_Prioritisation!$F$3+(RAND()-0.5)*2*$B$7))</f>
        <v>86.700945307367022</v>
      </c>
      <c r="O250" s="54">
        <f ca="1">MIN(100,MAX(0,MCDA_Prioritisation!$F$4+(RAND()-0.5)*2*$B$7))</f>
        <v>90.073729965997529</v>
      </c>
      <c r="P250" s="54">
        <f ca="1">MIN(100,MAX(0,MCDA_Prioritisation!$F$5+(RAND()-0.5)*2*$B$7))</f>
        <v>75.791039269818512</v>
      </c>
      <c r="Q250" s="54">
        <f ca="1">MIN(100,MAX(0,MCDA_Prioritisation!$G$2+(RAND()-0.5)*2*$B$7))</f>
        <v>74.830538984626429</v>
      </c>
      <c r="R250" s="54">
        <f ca="1">MIN(100,MAX(0,MCDA_Prioritisation!$G$3+(RAND()-0.5)*2*$B$7))</f>
        <v>91.078904751232443</v>
      </c>
      <c r="S250" s="54">
        <f ca="1">MIN(100,MAX(0,MCDA_Prioritisation!$G$4+(RAND()-0.5)*2*$B$7))</f>
        <v>92.294712879970902</v>
      </c>
      <c r="T250" s="54">
        <f ca="1">MIN(100,MAX(0,MCDA_Prioritisation!$G$5+(RAND()-0.5)*2*$B$7))</f>
        <v>78.920145379843035</v>
      </c>
      <c r="U250" s="54">
        <f ca="1">MIN(100,MAX(0,MCDA_Prioritisation!$H$2+(RAND()-0.5)*2*$B$7))</f>
        <v>62.343072158655019</v>
      </c>
      <c r="V250" s="54">
        <f ca="1">MIN(100,MAX(0,MCDA_Prioritisation!$H$3+(RAND()-0.5)*2*$B$7))</f>
        <v>52.678053406135014</v>
      </c>
      <c r="W250" s="54">
        <f ca="1">MIN(100,MAX(0,MCDA_Prioritisation!$H$4+(RAND()-0.5)*2*$B$7))</f>
        <v>75.440830449695852</v>
      </c>
      <c r="X250" s="54">
        <f ca="1">MIN(100,MAX(0,MCDA_Prioritisation!$H$5+(RAND()-0.5)*2*$B$7))</f>
        <v>69.391136140923166</v>
      </c>
      <c r="Y250" s="54">
        <f ca="1">H250*MCDA_Prioritisation!$D$2+I250*MCDA_Prioritisation!$E$2+J250*M250+K250*Q250+L250*U250</f>
        <v>88.745202958067125</v>
      </c>
      <c r="Z250" s="54">
        <f ca="1">H250*MCDA_Prioritisation!$D$3+I250*MCDA_Prioritisation!$E$3+J250*N250+K250*R250+L250*V250</f>
        <v>81.327980255635623</v>
      </c>
      <c r="AA250" s="54">
        <f ca="1">H250*MCDA_Prioritisation!$D$4+I250*MCDA_Prioritisation!$E$4+J250*O250+K250*S250+L250*W250</f>
        <v>74.653203513792576</v>
      </c>
      <c r="AB250" s="54">
        <f ca="1">H250*MCDA_Prioritisation!$D$5+I250*MCDA_Prioritisation!$E$5+J250*P250+K250*T250+L250*X250</f>
        <v>73.520729035468889</v>
      </c>
      <c r="AC250" s="54">
        <f t="shared" ca="1" si="48"/>
        <v>1</v>
      </c>
      <c r="AD250" s="54">
        <f t="shared" ca="1" si="49"/>
        <v>2</v>
      </c>
      <c r="AE250" s="54">
        <f t="shared" ca="1" si="50"/>
        <v>3</v>
      </c>
      <c r="AF250" s="54">
        <f t="shared" ca="1" si="51"/>
        <v>4</v>
      </c>
      <c r="AG250" s="54">
        <f t="shared" ca="1" si="52"/>
        <v>1</v>
      </c>
      <c r="AH250" s="54">
        <f t="shared" ca="1" si="53"/>
        <v>1</v>
      </c>
      <c r="AI250" s="54">
        <f t="shared" ca="1" si="54"/>
        <v>1</v>
      </c>
      <c r="AJ250" s="54">
        <f t="shared" ca="1" si="55"/>
        <v>1</v>
      </c>
    </row>
    <row r="251" spans="1:36" x14ac:dyDescent="0.2">
      <c r="A251" s="54">
        <v>228</v>
      </c>
      <c r="B251" s="54">
        <f ca="1">MAX(0.02,MCDA_Prioritisation!$B$9+(RAND()-0.5)*2*$B$6)</f>
        <v>0.26055308235785274</v>
      </c>
      <c r="C251" s="54">
        <f ca="1">MAX(0.02,MCDA_Prioritisation!$B$10+(RAND()-0.5)*2*$B$6)</f>
        <v>0.18553954382862994</v>
      </c>
      <c r="D251" s="54">
        <f ca="1">MAX(0.02,MCDA_Prioritisation!$B$11+(RAND()-0.5)*2*$B$6)</f>
        <v>0.22236894476429594</v>
      </c>
      <c r="E251" s="54">
        <f ca="1">MAX(0.02,MCDA_Prioritisation!$B$12+(RAND()-0.5)*2*$B$6)</f>
        <v>0.20407813927117102</v>
      </c>
      <c r="F251" s="54">
        <f ca="1">MAX(0.02,MCDA_Prioritisation!$B$13+(RAND()-0.5)*2*$B$6)</f>
        <v>0.21345820994630785</v>
      </c>
      <c r="G251" s="54">
        <f t="shared" ca="1" si="42"/>
        <v>1.0859979201682575</v>
      </c>
      <c r="H251" s="54">
        <f t="shared" ca="1" si="43"/>
        <v>0.23992042481765005</v>
      </c>
      <c r="I251" s="54">
        <f t="shared" ca="1" si="44"/>
        <v>0.17084705263513181</v>
      </c>
      <c r="J251" s="54">
        <f t="shared" ca="1" si="45"/>
        <v>0.20476000978882497</v>
      </c>
      <c r="K251" s="54">
        <f t="shared" ca="1" si="46"/>
        <v>0.18791761520091355</v>
      </c>
      <c r="L251" s="54">
        <f t="shared" ca="1" si="47"/>
        <v>0.19655489755747968</v>
      </c>
      <c r="M251" s="54">
        <f ca="1">MIN(100,MAX(0,MCDA_Prioritisation!$F$2+(RAND()-0.5)*2*$B$7))</f>
        <v>76.169527035257872</v>
      </c>
      <c r="N251" s="54">
        <f ca="1">MIN(100,MAX(0,MCDA_Prioritisation!$F$3+(RAND()-0.5)*2*$B$7))</f>
        <v>100</v>
      </c>
      <c r="O251" s="54">
        <f ca="1">MIN(100,MAX(0,MCDA_Prioritisation!$F$4+(RAND()-0.5)*2*$B$7))</f>
        <v>97.393211155532029</v>
      </c>
      <c r="P251" s="54">
        <f ca="1">MIN(100,MAX(0,MCDA_Prioritisation!$F$5+(RAND()-0.5)*2*$B$7))</f>
        <v>77.930243254132819</v>
      </c>
      <c r="Q251" s="54">
        <f ca="1">MIN(100,MAX(0,MCDA_Prioritisation!$G$2+(RAND()-0.5)*2*$B$7))</f>
        <v>74.641083175697332</v>
      </c>
      <c r="R251" s="54">
        <f ca="1">MIN(100,MAX(0,MCDA_Prioritisation!$G$3+(RAND()-0.5)*2*$B$7))</f>
        <v>93.449301267964245</v>
      </c>
      <c r="S251" s="54">
        <f ca="1">MIN(100,MAX(0,MCDA_Prioritisation!$G$4+(RAND()-0.5)*2*$B$7))</f>
        <v>94.883627479533601</v>
      </c>
      <c r="T251" s="54">
        <f ca="1">MIN(100,MAX(0,MCDA_Prioritisation!$G$5+(RAND()-0.5)*2*$B$7))</f>
        <v>62.185352815438883</v>
      </c>
      <c r="U251" s="54">
        <f ca="1">MIN(100,MAX(0,MCDA_Prioritisation!$H$2+(RAND()-0.5)*2*$B$7))</f>
        <v>74.588593293120056</v>
      </c>
      <c r="V251" s="54">
        <f ca="1">MIN(100,MAX(0,MCDA_Prioritisation!$H$3+(RAND()-0.5)*2*$B$7))</f>
        <v>67.909949893835687</v>
      </c>
      <c r="W251" s="54">
        <f ca="1">MIN(100,MAX(0,MCDA_Prioritisation!$H$4+(RAND()-0.5)*2*$B$7))</f>
        <v>80.432987669677289</v>
      </c>
      <c r="X251" s="54">
        <f ca="1">MIN(100,MAX(0,MCDA_Prioritisation!$H$5+(RAND()-0.5)*2*$B$7))</f>
        <v>66.756683494470892</v>
      </c>
      <c r="Y251" s="54">
        <f ca="1">H251*MCDA_Prioritisation!$D$2+I251*MCDA_Prioritisation!$E$2+J251*M251+K251*Q251+L251*U251</f>
        <v>85.360348506703559</v>
      </c>
      <c r="Z251" s="54">
        <f ca="1">H251*MCDA_Prioritisation!$D$3+I251*MCDA_Prioritisation!$E$3+J251*N251+K251*R251+L251*V251</f>
        <v>84.778331054479821</v>
      </c>
      <c r="AA251" s="54">
        <f ca="1">H251*MCDA_Prioritisation!$D$4+I251*MCDA_Prioritisation!$E$4+J251*O251+K251*S251+L251*W251</f>
        <v>79.607615650473761</v>
      </c>
      <c r="AB251" s="54">
        <f ca="1">H251*MCDA_Prioritisation!$D$5+I251*MCDA_Prioritisation!$E$5+J251*P251+K251*T251+L251*X251</f>
        <v>67.864747663821049</v>
      </c>
      <c r="AC251" s="54">
        <f t="shared" ca="1" si="48"/>
        <v>1</v>
      </c>
      <c r="AD251" s="54">
        <f t="shared" ca="1" si="49"/>
        <v>2</v>
      </c>
      <c r="AE251" s="54">
        <f t="shared" ca="1" si="50"/>
        <v>3</v>
      </c>
      <c r="AF251" s="54">
        <f t="shared" ca="1" si="51"/>
        <v>4</v>
      </c>
      <c r="AG251" s="54">
        <f t="shared" ca="1" si="52"/>
        <v>1</v>
      </c>
      <c r="AH251" s="54">
        <f t="shared" ca="1" si="53"/>
        <v>1</v>
      </c>
      <c r="AI251" s="54">
        <f t="shared" ca="1" si="54"/>
        <v>1</v>
      </c>
      <c r="AJ251" s="54">
        <f t="shared" ca="1" si="55"/>
        <v>1</v>
      </c>
    </row>
    <row r="252" spans="1:36" x14ac:dyDescent="0.2">
      <c r="A252" s="54">
        <v>229</v>
      </c>
      <c r="B252" s="54">
        <f ca="1">MAX(0.02,MCDA_Prioritisation!$B$9+(RAND()-0.5)*2*$B$6)</f>
        <v>0.23148171442003981</v>
      </c>
      <c r="C252" s="54">
        <f ca="1">MAX(0.02,MCDA_Prioritisation!$B$10+(RAND()-0.5)*2*$B$6)</f>
        <v>0.25839297590337212</v>
      </c>
      <c r="D252" s="54">
        <f ca="1">MAX(0.02,MCDA_Prioritisation!$B$11+(RAND()-0.5)*2*$B$6)</f>
        <v>0.31869303826976791</v>
      </c>
      <c r="E252" s="54">
        <f ca="1">MAX(0.02,MCDA_Prioritisation!$B$12+(RAND()-0.5)*2*$B$6)</f>
        <v>0.14222442658150034</v>
      </c>
      <c r="F252" s="54">
        <f ca="1">MAX(0.02,MCDA_Prioritisation!$B$13+(RAND()-0.5)*2*$B$6)</f>
        <v>0.10917362482684828</v>
      </c>
      <c r="G252" s="54">
        <f t="shared" ca="1" si="42"/>
        <v>1.0599657800015285</v>
      </c>
      <c r="H252" s="54">
        <f t="shared" ca="1" si="43"/>
        <v>0.21838602602784593</v>
      </c>
      <c r="I252" s="54">
        <f t="shared" ca="1" si="44"/>
        <v>0.24377482818643401</v>
      </c>
      <c r="J252" s="54">
        <f t="shared" ca="1" si="45"/>
        <v>0.30066351601398711</v>
      </c>
      <c r="K252" s="54">
        <f t="shared" ca="1" si="46"/>
        <v>0.13417831902204921</v>
      </c>
      <c r="L252" s="54">
        <f t="shared" ca="1" si="47"/>
        <v>0.10299731074968368</v>
      </c>
      <c r="M252" s="54">
        <f ca="1">MIN(100,MAX(0,MCDA_Prioritisation!$F$2+(RAND()-0.5)*2*$B$7))</f>
        <v>91.112243864129738</v>
      </c>
      <c r="N252" s="54">
        <f ca="1">MIN(100,MAX(0,MCDA_Prioritisation!$F$3+(RAND()-0.5)*2*$B$7))</f>
        <v>100</v>
      </c>
      <c r="O252" s="54">
        <f ca="1">MIN(100,MAX(0,MCDA_Prioritisation!$F$4+(RAND()-0.5)*2*$B$7))</f>
        <v>95.066719882272864</v>
      </c>
      <c r="P252" s="54">
        <f ca="1">MIN(100,MAX(0,MCDA_Prioritisation!$F$5+(RAND()-0.5)*2*$B$7))</f>
        <v>71.167028898847349</v>
      </c>
      <c r="Q252" s="54">
        <f ca="1">MIN(100,MAX(0,MCDA_Prioritisation!$G$2+(RAND()-0.5)*2*$B$7))</f>
        <v>89.025144666254576</v>
      </c>
      <c r="R252" s="54">
        <f ca="1">MIN(100,MAX(0,MCDA_Prioritisation!$G$3+(RAND()-0.5)*2*$B$7))</f>
        <v>92.031567790670209</v>
      </c>
      <c r="S252" s="54">
        <f ca="1">MIN(100,MAX(0,MCDA_Prioritisation!$G$4+(RAND()-0.5)*2*$B$7))</f>
        <v>91.33412941765225</v>
      </c>
      <c r="T252" s="54">
        <f ca="1">MIN(100,MAX(0,MCDA_Prioritisation!$G$5+(RAND()-0.5)*2*$B$7))</f>
        <v>63.712933807230719</v>
      </c>
      <c r="U252" s="54">
        <f ca="1">MIN(100,MAX(0,MCDA_Prioritisation!$H$2+(RAND()-0.5)*2*$B$7))</f>
        <v>62.573154100549885</v>
      </c>
      <c r="V252" s="54">
        <f ca="1">MIN(100,MAX(0,MCDA_Prioritisation!$H$3+(RAND()-0.5)*2*$B$7))</f>
        <v>58.460946208699312</v>
      </c>
      <c r="W252" s="54">
        <f ca="1">MIN(100,MAX(0,MCDA_Prioritisation!$H$4+(RAND()-0.5)*2*$B$7))</f>
        <v>77.419632198796435</v>
      </c>
      <c r="X252" s="54">
        <f ca="1">MIN(100,MAX(0,MCDA_Prioritisation!$H$5+(RAND()-0.5)*2*$B$7))</f>
        <v>65.177859201123511</v>
      </c>
      <c r="Y252" s="54">
        <f ca="1">H252*MCDA_Prioritisation!$D$2+I252*MCDA_Prioritisation!$E$2+J252*M252+K252*Q252+L252*U252</f>
        <v>92.000323873036024</v>
      </c>
      <c r="Z252" s="54">
        <f ca="1">H252*MCDA_Prioritisation!$D$3+I252*MCDA_Prioritisation!$E$3+J252*N252+K252*R252+L252*V252</f>
        <v>85.251639734826554</v>
      </c>
      <c r="AA252" s="54">
        <f ca="1">H252*MCDA_Prioritisation!$D$4+I252*MCDA_Prioritisation!$E$4+J252*O252+K252*S252+L252*W252</f>
        <v>77.316095984552661</v>
      </c>
      <c r="AB252" s="54">
        <f ca="1">H252*MCDA_Prioritisation!$D$5+I252*MCDA_Prioritisation!$E$5+J252*P252+K252*T252+L252*X252</f>
        <v>68.749647281112345</v>
      </c>
      <c r="AC252" s="54">
        <f t="shared" ca="1" si="48"/>
        <v>1</v>
      </c>
      <c r="AD252" s="54">
        <f t="shared" ca="1" si="49"/>
        <v>2</v>
      </c>
      <c r="AE252" s="54">
        <f t="shared" ca="1" si="50"/>
        <v>3</v>
      </c>
      <c r="AF252" s="54">
        <f t="shared" ca="1" si="51"/>
        <v>4</v>
      </c>
      <c r="AG252" s="54">
        <f t="shared" ca="1" si="52"/>
        <v>1</v>
      </c>
      <c r="AH252" s="54">
        <f t="shared" ca="1" si="53"/>
        <v>1</v>
      </c>
      <c r="AI252" s="54">
        <f t="shared" ca="1" si="54"/>
        <v>1</v>
      </c>
      <c r="AJ252" s="54">
        <f t="shared" ca="1" si="55"/>
        <v>1</v>
      </c>
    </row>
    <row r="253" spans="1:36" x14ac:dyDescent="0.2">
      <c r="A253" s="54">
        <v>230</v>
      </c>
      <c r="B253" s="54">
        <f ca="1">MAX(0.02,MCDA_Prioritisation!$B$9+(RAND()-0.5)*2*$B$6)</f>
        <v>0.13360813711717912</v>
      </c>
      <c r="C253" s="54">
        <f ca="1">MAX(0.02,MCDA_Prioritisation!$B$10+(RAND()-0.5)*2*$B$6)</f>
        <v>0.2077010686002288</v>
      </c>
      <c r="D253" s="54">
        <f ca="1">MAX(0.02,MCDA_Prioritisation!$B$11+(RAND()-0.5)*2*$B$6)</f>
        <v>0.18604554247683039</v>
      </c>
      <c r="E253" s="54">
        <f ca="1">MAX(0.02,MCDA_Prioritisation!$B$12+(RAND()-0.5)*2*$B$6)</f>
        <v>7.3372166915703002E-2</v>
      </c>
      <c r="F253" s="54">
        <f ca="1">MAX(0.02,MCDA_Prioritisation!$B$13+(RAND()-0.5)*2*$B$6)</f>
        <v>0.16671783032517928</v>
      </c>
      <c r="G253" s="54">
        <f t="shared" ca="1" si="42"/>
        <v>0.76744474543512065</v>
      </c>
      <c r="H253" s="54">
        <f t="shared" ca="1" si="43"/>
        <v>0.17409479693737023</v>
      </c>
      <c r="I253" s="54">
        <f t="shared" ca="1" si="44"/>
        <v>0.27063976896795072</v>
      </c>
      <c r="J253" s="54">
        <f t="shared" ca="1" si="45"/>
        <v>0.24242206827717289</v>
      </c>
      <c r="K253" s="54">
        <f t="shared" ca="1" si="46"/>
        <v>9.560579748852531E-2</v>
      </c>
      <c r="L253" s="54">
        <f t="shared" ca="1" si="47"/>
        <v>0.21723756832898078</v>
      </c>
      <c r="M253" s="54">
        <f ca="1">MIN(100,MAX(0,MCDA_Prioritisation!$F$2+(RAND()-0.5)*2*$B$7))</f>
        <v>82.285472916056335</v>
      </c>
      <c r="N253" s="54">
        <f ca="1">MIN(100,MAX(0,MCDA_Prioritisation!$F$3+(RAND()-0.5)*2*$B$7))</f>
        <v>91.681052051531978</v>
      </c>
      <c r="O253" s="54">
        <f ca="1">MIN(100,MAX(0,MCDA_Prioritisation!$F$4+(RAND()-0.5)*2*$B$7))</f>
        <v>87.517418525471669</v>
      </c>
      <c r="P253" s="54">
        <f ca="1">MIN(100,MAX(0,MCDA_Prioritisation!$F$5+(RAND()-0.5)*2*$B$7))</f>
        <v>65.597049972583136</v>
      </c>
      <c r="Q253" s="54">
        <f ca="1">MIN(100,MAX(0,MCDA_Prioritisation!$G$2+(RAND()-0.5)*2*$B$7))</f>
        <v>80.22273416127986</v>
      </c>
      <c r="R253" s="54">
        <f ca="1">MIN(100,MAX(0,MCDA_Prioritisation!$G$3+(RAND()-0.5)*2*$B$7))</f>
        <v>90.785208930522273</v>
      </c>
      <c r="S253" s="54">
        <f ca="1">MIN(100,MAX(0,MCDA_Prioritisation!$G$4+(RAND()-0.5)*2*$B$7))</f>
        <v>77.811347689804307</v>
      </c>
      <c r="T253" s="54">
        <f ca="1">MIN(100,MAX(0,MCDA_Prioritisation!$G$5+(RAND()-0.5)*2*$B$7))</f>
        <v>79.863245983896718</v>
      </c>
      <c r="U253" s="54">
        <f ca="1">MIN(100,MAX(0,MCDA_Prioritisation!$H$2+(RAND()-0.5)*2*$B$7))</f>
        <v>65.472202253278226</v>
      </c>
      <c r="V253" s="54">
        <f ca="1">MIN(100,MAX(0,MCDA_Prioritisation!$H$3+(RAND()-0.5)*2*$B$7))</f>
        <v>66.36537304380478</v>
      </c>
      <c r="W253" s="54">
        <f ca="1">MIN(100,MAX(0,MCDA_Prioritisation!$H$4+(RAND()-0.5)*2*$B$7))</f>
        <v>72.825744340261224</v>
      </c>
      <c r="X253" s="54">
        <f ca="1">MIN(100,MAX(0,MCDA_Prioritisation!$H$5+(RAND()-0.5)*2*$B$7))</f>
        <v>78.017763608838663</v>
      </c>
      <c r="Y253" s="54">
        <f ca="1">H253*MCDA_Prioritisation!$D$2+I253*MCDA_Prioritisation!$E$2+J253*M253+K253*Q253+L253*U253</f>
        <v>86.31405161085226</v>
      </c>
      <c r="Z253" s="54">
        <f ca="1">H253*MCDA_Prioritisation!$D$3+I253*MCDA_Prioritisation!$E$3+J253*N253+K253*R253+L253*V253</f>
        <v>80.22038209391377</v>
      </c>
      <c r="AA253" s="54">
        <f ca="1">H253*MCDA_Prioritisation!$D$4+I253*MCDA_Prioritisation!$E$4+J253*O253+K253*S253+L253*W253</f>
        <v>71.360964612364043</v>
      </c>
      <c r="AB253" s="54">
        <f ca="1">H253*MCDA_Prioritisation!$D$5+I253*MCDA_Prioritisation!$E$5+J253*P253+K253*T253+L253*X253</f>
        <v>72.484531571869184</v>
      </c>
      <c r="AC253" s="54">
        <f t="shared" ca="1" si="48"/>
        <v>1</v>
      </c>
      <c r="AD253" s="54">
        <f t="shared" ca="1" si="49"/>
        <v>2</v>
      </c>
      <c r="AE253" s="54">
        <f t="shared" ca="1" si="50"/>
        <v>4</v>
      </c>
      <c r="AF253" s="54">
        <f t="shared" ca="1" si="51"/>
        <v>3</v>
      </c>
      <c r="AG253" s="54">
        <f t="shared" ca="1" si="52"/>
        <v>1</v>
      </c>
      <c r="AH253" s="54">
        <f t="shared" ca="1" si="53"/>
        <v>1</v>
      </c>
      <c r="AI253" s="54">
        <f t="shared" ca="1" si="54"/>
        <v>0</v>
      </c>
      <c r="AJ253" s="54">
        <f t="shared" ca="1" si="55"/>
        <v>1</v>
      </c>
    </row>
    <row r="254" spans="1:36" x14ac:dyDescent="0.2">
      <c r="A254" s="54">
        <v>231</v>
      </c>
      <c r="B254" s="54">
        <f ca="1">MAX(0.02,MCDA_Prioritisation!$B$9+(RAND()-0.5)*2*$B$6)</f>
        <v>0.12691592218099124</v>
      </c>
      <c r="C254" s="54">
        <f ca="1">MAX(0.02,MCDA_Prioritisation!$B$10+(RAND()-0.5)*2*$B$6)</f>
        <v>0.23558315056616111</v>
      </c>
      <c r="D254" s="54">
        <f ca="1">MAX(0.02,MCDA_Prioritisation!$B$11+(RAND()-0.5)*2*$B$6)</f>
        <v>0.30222001085590661</v>
      </c>
      <c r="E254" s="54">
        <f ca="1">MAX(0.02,MCDA_Prioritisation!$B$12+(RAND()-0.5)*2*$B$6)</f>
        <v>0.17772149490916528</v>
      </c>
      <c r="F254" s="54">
        <f ca="1">MAX(0.02,MCDA_Prioritisation!$B$13+(RAND()-0.5)*2*$B$6)</f>
        <v>0.14471471480883744</v>
      </c>
      <c r="G254" s="54">
        <f t="shared" ca="1" si="42"/>
        <v>0.98715529332106167</v>
      </c>
      <c r="H254" s="54">
        <f t="shared" ca="1" si="43"/>
        <v>0.12856733184706046</v>
      </c>
      <c r="I254" s="54">
        <f t="shared" ca="1" si="44"/>
        <v>0.23864852081539739</v>
      </c>
      <c r="J254" s="54">
        <f t="shared" ca="1" si="45"/>
        <v>0.3061524492657639</v>
      </c>
      <c r="K254" s="54">
        <f t="shared" ca="1" si="46"/>
        <v>0.18003397855595885</v>
      </c>
      <c r="L254" s="54">
        <f t="shared" ca="1" si="47"/>
        <v>0.1465977195158194</v>
      </c>
      <c r="M254" s="54">
        <f ca="1">MIN(100,MAX(0,MCDA_Prioritisation!$F$2+(RAND()-0.5)*2*$B$7))</f>
        <v>82.787566930827893</v>
      </c>
      <c r="N254" s="54">
        <f ca="1">MIN(100,MAX(0,MCDA_Prioritisation!$F$3+(RAND()-0.5)*2*$B$7))</f>
        <v>85.746156319635048</v>
      </c>
      <c r="O254" s="54">
        <f ca="1">MIN(100,MAX(0,MCDA_Prioritisation!$F$4+(RAND()-0.5)*2*$B$7))</f>
        <v>80.257712911175986</v>
      </c>
      <c r="P254" s="54">
        <f ca="1">MIN(100,MAX(0,MCDA_Prioritisation!$F$5+(RAND()-0.5)*2*$B$7))</f>
        <v>75.563071444774749</v>
      </c>
      <c r="Q254" s="54">
        <f ca="1">MIN(100,MAX(0,MCDA_Prioritisation!$G$2+(RAND()-0.5)*2*$B$7))</f>
        <v>88.941810465045251</v>
      </c>
      <c r="R254" s="54">
        <f ca="1">MIN(100,MAX(0,MCDA_Prioritisation!$G$3+(RAND()-0.5)*2*$B$7))</f>
        <v>100</v>
      </c>
      <c r="S254" s="54">
        <f ca="1">MIN(100,MAX(0,MCDA_Prioritisation!$G$4+(RAND()-0.5)*2*$B$7))</f>
        <v>89.805330690623421</v>
      </c>
      <c r="T254" s="54">
        <f ca="1">MIN(100,MAX(0,MCDA_Prioritisation!$G$5+(RAND()-0.5)*2*$B$7))</f>
        <v>72.719905374184378</v>
      </c>
      <c r="U254" s="54">
        <f ca="1">MIN(100,MAX(0,MCDA_Prioritisation!$H$2+(RAND()-0.5)*2*$B$7))</f>
        <v>64.056990232581555</v>
      </c>
      <c r="V254" s="54">
        <f ca="1">MIN(100,MAX(0,MCDA_Prioritisation!$H$3+(RAND()-0.5)*2*$B$7))</f>
        <v>55.286145495683847</v>
      </c>
      <c r="W254" s="54">
        <f ca="1">MIN(100,MAX(0,MCDA_Prioritisation!$H$4+(RAND()-0.5)*2*$B$7))</f>
        <v>71.19150517130457</v>
      </c>
      <c r="X254" s="54">
        <f ca="1">MIN(100,MAX(0,MCDA_Prioritisation!$H$5+(RAND()-0.5)*2*$B$7))</f>
        <v>65.616671671158869</v>
      </c>
      <c r="Y254" s="54">
        <f ca="1">H254*MCDA_Prioritisation!$D$2+I254*MCDA_Prioritisation!$E$2+J254*M254+K254*Q254+L254*U254</f>
        <v>87.470358336007791</v>
      </c>
      <c r="Z254" s="54">
        <f ca="1">H254*MCDA_Prioritisation!$D$3+I254*MCDA_Prioritisation!$E$3+J254*N254+K254*R254+L254*V254</f>
        <v>80.952250973284237</v>
      </c>
      <c r="AA254" s="54">
        <f ca="1">H254*MCDA_Prioritisation!$D$4+I254*MCDA_Prioritisation!$E$4+J254*O254+K254*S254+L254*W254</f>
        <v>73.145483905313924</v>
      </c>
      <c r="AB254" s="54">
        <f ca="1">H254*MCDA_Prioritisation!$D$5+I254*MCDA_Prioritisation!$E$5+J254*P254+K254*T254+L254*X254</f>
        <v>72.737124319169425</v>
      </c>
      <c r="AC254" s="54">
        <f t="shared" ca="1" si="48"/>
        <v>1</v>
      </c>
      <c r="AD254" s="54">
        <f t="shared" ca="1" si="49"/>
        <v>2</v>
      </c>
      <c r="AE254" s="54">
        <f t="shared" ca="1" si="50"/>
        <v>3</v>
      </c>
      <c r="AF254" s="54">
        <f t="shared" ca="1" si="51"/>
        <v>4</v>
      </c>
      <c r="AG254" s="54">
        <f t="shared" ca="1" si="52"/>
        <v>1</v>
      </c>
      <c r="AH254" s="54">
        <f t="shared" ca="1" si="53"/>
        <v>1</v>
      </c>
      <c r="AI254" s="54">
        <f t="shared" ca="1" si="54"/>
        <v>1</v>
      </c>
      <c r="AJ254" s="54">
        <f t="shared" ca="1" si="55"/>
        <v>1</v>
      </c>
    </row>
    <row r="255" spans="1:36" x14ac:dyDescent="0.2">
      <c r="A255" s="54">
        <v>232</v>
      </c>
      <c r="B255" s="54">
        <f ca="1">MAX(0.02,MCDA_Prioritisation!$B$9+(RAND()-0.5)*2*$B$6)</f>
        <v>0.18427907014035785</v>
      </c>
      <c r="C255" s="54">
        <f ca="1">MAX(0.02,MCDA_Prioritisation!$B$10+(RAND()-0.5)*2*$B$6)</f>
        <v>0.28608143687468063</v>
      </c>
      <c r="D255" s="54">
        <f ca="1">MAX(0.02,MCDA_Prioritisation!$B$11+(RAND()-0.5)*2*$B$6)</f>
        <v>0.18665586746512008</v>
      </c>
      <c r="E255" s="54">
        <f ca="1">MAX(0.02,MCDA_Prioritisation!$B$12+(RAND()-0.5)*2*$B$6)</f>
        <v>0.15851858654511666</v>
      </c>
      <c r="F255" s="54">
        <f ca="1">MAX(0.02,MCDA_Prioritisation!$B$13+(RAND()-0.5)*2*$B$6)</f>
        <v>8.6548845061308596E-2</v>
      </c>
      <c r="G255" s="54">
        <f t="shared" ca="1" si="42"/>
        <v>0.90208380608658378</v>
      </c>
      <c r="H255" s="54">
        <f t="shared" ca="1" si="43"/>
        <v>0.20428154113507097</v>
      </c>
      <c r="I255" s="54">
        <f t="shared" ca="1" si="44"/>
        <v>0.31713399015082416</v>
      </c>
      <c r="J255" s="54">
        <f t="shared" ca="1" si="45"/>
        <v>0.20691632662697915</v>
      </c>
      <c r="K255" s="54">
        <f t="shared" ca="1" si="46"/>
        <v>0.17572489992121834</v>
      </c>
      <c r="L255" s="54">
        <f t="shared" ca="1" si="47"/>
        <v>9.5943242165907439E-2</v>
      </c>
      <c r="M255" s="54">
        <f ca="1">MIN(100,MAX(0,MCDA_Prioritisation!$F$2+(RAND()-0.5)*2*$B$7))</f>
        <v>80.833203207386248</v>
      </c>
      <c r="N255" s="54">
        <f ca="1">MIN(100,MAX(0,MCDA_Prioritisation!$F$3+(RAND()-0.5)*2*$B$7))</f>
        <v>100</v>
      </c>
      <c r="O255" s="54">
        <f ca="1">MIN(100,MAX(0,MCDA_Prioritisation!$F$4+(RAND()-0.5)*2*$B$7))</f>
        <v>90.8601545048692</v>
      </c>
      <c r="P255" s="54">
        <f ca="1">MIN(100,MAX(0,MCDA_Prioritisation!$F$5+(RAND()-0.5)*2*$B$7))</f>
        <v>76.14821130797435</v>
      </c>
      <c r="Q255" s="54">
        <f ca="1">MIN(100,MAX(0,MCDA_Prioritisation!$G$2+(RAND()-0.5)*2*$B$7))</f>
        <v>86.977620176942494</v>
      </c>
      <c r="R255" s="54">
        <f ca="1">MIN(100,MAX(0,MCDA_Prioritisation!$G$3+(RAND()-0.5)*2*$B$7))</f>
        <v>90.405936924939454</v>
      </c>
      <c r="S255" s="54">
        <f ca="1">MIN(100,MAX(0,MCDA_Prioritisation!$G$4+(RAND()-0.5)*2*$B$7))</f>
        <v>83.885049263374057</v>
      </c>
      <c r="T255" s="54">
        <f ca="1">MIN(100,MAX(0,MCDA_Prioritisation!$G$5+(RAND()-0.5)*2*$B$7))</f>
        <v>77.572160071468147</v>
      </c>
      <c r="U255" s="54">
        <f ca="1">MIN(100,MAX(0,MCDA_Prioritisation!$H$2+(RAND()-0.5)*2*$B$7))</f>
        <v>56.106457366825978</v>
      </c>
      <c r="V255" s="54">
        <f ca="1">MIN(100,MAX(0,MCDA_Prioritisation!$H$3+(RAND()-0.5)*2*$B$7))</f>
        <v>66.152376393066945</v>
      </c>
      <c r="W255" s="54">
        <f ca="1">MIN(100,MAX(0,MCDA_Prioritisation!$H$4+(RAND()-0.5)*2*$B$7))</f>
        <v>88.175821930551265</v>
      </c>
      <c r="X255" s="54">
        <f ca="1">MIN(100,MAX(0,MCDA_Prioritisation!$H$5+(RAND()-0.5)*2*$B$7))</f>
        <v>68.228364781167372</v>
      </c>
      <c r="Y255" s="54">
        <f ca="1">H255*MCDA_Prioritisation!$D$2+I255*MCDA_Prioritisation!$E$2+J255*M255+K255*Q255+L255*U255</f>
        <v>89.534431632949534</v>
      </c>
      <c r="Z255" s="54">
        <f ca="1">H255*MCDA_Prioritisation!$D$3+I255*MCDA_Prioritisation!$E$3+J255*N255+K255*R255+L255*V255</f>
        <v>83.842931556391292</v>
      </c>
      <c r="AA255" s="54">
        <f ca="1">H255*MCDA_Prioritisation!$D$4+I255*MCDA_Prioritisation!$E$4+J255*O255+K255*S255+L255*W255</f>
        <v>73.524198809906039</v>
      </c>
      <c r="AB255" s="54">
        <f ca="1">H255*MCDA_Prioritisation!$D$5+I255*MCDA_Prioritisation!$E$5+J255*P255+K255*T255+L255*X255</f>
        <v>73.444228858407286</v>
      </c>
      <c r="AC255" s="54">
        <f t="shared" ca="1" si="48"/>
        <v>1</v>
      </c>
      <c r="AD255" s="54">
        <f t="shared" ca="1" si="49"/>
        <v>2</v>
      </c>
      <c r="AE255" s="54">
        <f t="shared" ca="1" si="50"/>
        <v>3</v>
      </c>
      <c r="AF255" s="54">
        <f t="shared" ca="1" si="51"/>
        <v>4</v>
      </c>
      <c r="AG255" s="54">
        <f t="shared" ca="1" si="52"/>
        <v>1</v>
      </c>
      <c r="AH255" s="54">
        <f t="shared" ca="1" si="53"/>
        <v>1</v>
      </c>
      <c r="AI255" s="54">
        <f t="shared" ca="1" si="54"/>
        <v>1</v>
      </c>
      <c r="AJ255" s="54">
        <f t="shared" ca="1" si="55"/>
        <v>1</v>
      </c>
    </row>
    <row r="256" spans="1:36" x14ac:dyDescent="0.2">
      <c r="A256" s="54">
        <v>233</v>
      </c>
      <c r="B256" s="54">
        <f ca="1">MAX(0.02,MCDA_Prioritisation!$B$9+(RAND()-0.5)*2*$B$6)</f>
        <v>0.1936709179168552</v>
      </c>
      <c r="C256" s="54">
        <f ca="1">MAX(0.02,MCDA_Prioritisation!$B$10+(RAND()-0.5)*2*$B$6)</f>
        <v>0.20424741930583146</v>
      </c>
      <c r="D256" s="54">
        <f ca="1">MAX(0.02,MCDA_Prioritisation!$B$11+(RAND()-0.5)*2*$B$6)</f>
        <v>0.21909233795847652</v>
      </c>
      <c r="E256" s="54">
        <f ca="1">MAX(0.02,MCDA_Prioritisation!$B$12+(RAND()-0.5)*2*$B$6)</f>
        <v>0.15977315792296923</v>
      </c>
      <c r="F256" s="54">
        <f ca="1">MAX(0.02,MCDA_Prioritisation!$B$13+(RAND()-0.5)*2*$B$6)</f>
        <v>0.1007755187370737</v>
      </c>
      <c r="G256" s="54">
        <f t="shared" ca="1" si="42"/>
        <v>0.87755935184120604</v>
      </c>
      <c r="H256" s="54">
        <f t="shared" ca="1" si="43"/>
        <v>0.22069267168142476</v>
      </c>
      <c r="I256" s="54">
        <f t="shared" ca="1" si="44"/>
        <v>0.23274484953900865</v>
      </c>
      <c r="J256" s="54">
        <f t="shared" ca="1" si="45"/>
        <v>0.24966099158854521</v>
      </c>
      <c r="K256" s="54">
        <f t="shared" ca="1" si="46"/>
        <v>0.18206535841450427</v>
      </c>
      <c r="L256" s="54">
        <f t="shared" ca="1" si="47"/>
        <v>0.11483612877651719</v>
      </c>
      <c r="M256" s="54">
        <f ca="1">MIN(100,MAX(0,MCDA_Prioritisation!$F$2+(RAND()-0.5)*2*$B$7))</f>
        <v>76.62747164793069</v>
      </c>
      <c r="N256" s="54">
        <f ca="1">MIN(100,MAX(0,MCDA_Prioritisation!$F$3+(RAND()-0.5)*2*$B$7))</f>
        <v>96.523861939362291</v>
      </c>
      <c r="O256" s="54">
        <f ca="1">MIN(100,MAX(0,MCDA_Prioritisation!$F$4+(RAND()-0.5)*2*$B$7))</f>
        <v>82.346700044544107</v>
      </c>
      <c r="P256" s="54">
        <f ca="1">MIN(100,MAX(0,MCDA_Prioritisation!$F$5+(RAND()-0.5)*2*$B$7))</f>
        <v>69.01303464799814</v>
      </c>
      <c r="Q256" s="54">
        <f ca="1">MIN(100,MAX(0,MCDA_Prioritisation!$G$2+(RAND()-0.5)*2*$B$7))</f>
        <v>72.534891097250664</v>
      </c>
      <c r="R256" s="54">
        <f ca="1">MIN(100,MAX(0,MCDA_Prioritisation!$G$3+(RAND()-0.5)*2*$B$7))</f>
        <v>96.598307142941437</v>
      </c>
      <c r="S256" s="54">
        <f ca="1">MIN(100,MAX(0,MCDA_Prioritisation!$G$4+(RAND()-0.5)*2*$B$7))</f>
        <v>83.385413402065211</v>
      </c>
      <c r="T256" s="54">
        <f ca="1">MIN(100,MAX(0,MCDA_Prioritisation!$G$5+(RAND()-0.5)*2*$B$7))</f>
        <v>78.800507998063722</v>
      </c>
      <c r="U256" s="54">
        <f ca="1">MIN(100,MAX(0,MCDA_Prioritisation!$H$2+(RAND()-0.5)*2*$B$7))</f>
        <v>69.103815834088081</v>
      </c>
      <c r="V256" s="54">
        <f ca="1">MIN(100,MAX(0,MCDA_Prioritisation!$H$3+(RAND()-0.5)*2*$B$7))</f>
        <v>60.261901498446584</v>
      </c>
      <c r="W256" s="54">
        <f ca="1">MIN(100,MAX(0,MCDA_Prioritisation!$H$4+(RAND()-0.5)*2*$B$7))</f>
        <v>70.685545608885405</v>
      </c>
      <c r="X256" s="54">
        <f ca="1">MIN(100,MAX(0,MCDA_Prioritisation!$H$5+(RAND()-0.5)*2*$B$7))</f>
        <v>84.793377011184575</v>
      </c>
      <c r="Y256" s="54">
        <f ca="1">H256*MCDA_Prioritisation!$D$2+I256*MCDA_Prioritisation!$E$2+J256*M256+K256*Q256+L256*U256</f>
        <v>85.616348315838891</v>
      </c>
      <c r="Z256" s="54">
        <f ca="1">H256*MCDA_Prioritisation!$D$3+I256*MCDA_Prioritisation!$E$3+J256*N256+K256*R256+L256*V256</f>
        <v>84.820432077826652</v>
      </c>
      <c r="AA256" s="54">
        <f ca="1">H256*MCDA_Prioritisation!$D$4+I256*MCDA_Prioritisation!$E$4+J256*O256+K256*S256+L256*W256</f>
        <v>71.920522285973718</v>
      </c>
      <c r="AB256" s="54">
        <f ca="1">H256*MCDA_Prioritisation!$D$5+I256*MCDA_Prioritisation!$E$5+J256*P256+K256*T256+L256*X256</f>
        <v>72.599234467131865</v>
      </c>
      <c r="AC256" s="54">
        <f t="shared" ca="1" si="48"/>
        <v>1</v>
      </c>
      <c r="AD256" s="54">
        <f t="shared" ca="1" si="49"/>
        <v>2</v>
      </c>
      <c r="AE256" s="54">
        <f t="shared" ca="1" si="50"/>
        <v>4</v>
      </c>
      <c r="AF256" s="54">
        <f t="shared" ca="1" si="51"/>
        <v>3</v>
      </c>
      <c r="AG256" s="54">
        <f t="shared" ca="1" si="52"/>
        <v>1</v>
      </c>
      <c r="AH256" s="54">
        <f t="shared" ca="1" si="53"/>
        <v>1</v>
      </c>
      <c r="AI256" s="54">
        <f t="shared" ca="1" si="54"/>
        <v>0</v>
      </c>
      <c r="AJ256" s="54">
        <f t="shared" ca="1" si="55"/>
        <v>1</v>
      </c>
    </row>
    <row r="257" spans="1:36" x14ac:dyDescent="0.2">
      <c r="A257" s="54">
        <v>234</v>
      </c>
      <c r="B257" s="54">
        <f ca="1">MAX(0.02,MCDA_Prioritisation!$B$9+(RAND()-0.5)*2*$B$6)</f>
        <v>0.26854338213753892</v>
      </c>
      <c r="C257" s="54">
        <f ca="1">MAX(0.02,MCDA_Prioritisation!$B$10+(RAND()-0.5)*2*$B$6)</f>
        <v>0.25181790466461501</v>
      </c>
      <c r="D257" s="54">
        <f ca="1">MAX(0.02,MCDA_Prioritisation!$B$11+(RAND()-0.5)*2*$B$6)</f>
        <v>0.30461871941321877</v>
      </c>
      <c r="E257" s="54">
        <f ca="1">MAX(0.02,MCDA_Prioritisation!$B$12+(RAND()-0.5)*2*$B$6)</f>
        <v>0.19935069727691168</v>
      </c>
      <c r="F257" s="54">
        <f ca="1">MAX(0.02,MCDA_Prioritisation!$B$13+(RAND()-0.5)*2*$B$6)</f>
        <v>0.14464839093785564</v>
      </c>
      <c r="G257" s="54">
        <f t="shared" ca="1" si="42"/>
        <v>1.1689790944301399</v>
      </c>
      <c r="H257" s="54">
        <f t="shared" ca="1" si="43"/>
        <v>0.22972470886525978</v>
      </c>
      <c r="I257" s="54">
        <f t="shared" ca="1" si="44"/>
        <v>0.21541694446415444</v>
      </c>
      <c r="J257" s="54">
        <f t="shared" ca="1" si="45"/>
        <v>0.26058525842304814</v>
      </c>
      <c r="K257" s="54">
        <f t="shared" ca="1" si="46"/>
        <v>0.17053401401852461</v>
      </c>
      <c r="L257" s="54">
        <f t="shared" ca="1" si="47"/>
        <v>0.12373907422901313</v>
      </c>
      <c r="M257" s="54">
        <f ca="1">MIN(100,MAX(0,MCDA_Prioritisation!$F$2+(RAND()-0.5)*2*$B$7))</f>
        <v>75.998418026806377</v>
      </c>
      <c r="N257" s="54">
        <f ca="1">MIN(100,MAX(0,MCDA_Prioritisation!$F$3+(RAND()-0.5)*2*$B$7))</f>
        <v>86.286909304720766</v>
      </c>
      <c r="O257" s="54">
        <f ca="1">MIN(100,MAX(0,MCDA_Prioritisation!$F$4+(RAND()-0.5)*2*$B$7))</f>
        <v>91.336036019136898</v>
      </c>
      <c r="P257" s="54">
        <f ca="1">MIN(100,MAX(0,MCDA_Prioritisation!$F$5+(RAND()-0.5)*2*$B$7))</f>
        <v>70.060228901830271</v>
      </c>
      <c r="Q257" s="54">
        <f ca="1">MIN(100,MAX(0,MCDA_Prioritisation!$G$2+(RAND()-0.5)*2*$B$7))</f>
        <v>83.209543624401064</v>
      </c>
      <c r="R257" s="54">
        <f ca="1">MIN(100,MAX(0,MCDA_Prioritisation!$G$3+(RAND()-0.5)*2*$B$7))</f>
        <v>99.8590312083371</v>
      </c>
      <c r="S257" s="54">
        <f ca="1">MIN(100,MAX(0,MCDA_Prioritisation!$G$4+(RAND()-0.5)*2*$B$7))</f>
        <v>76.38819340388676</v>
      </c>
      <c r="T257" s="54">
        <f ca="1">MIN(100,MAX(0,MCDA_Prioritisation!$G$5+(RAND()-0.5)*2*$B$7))</f>
        <v>79.786519640814689</v>
      </c>
      <c r="U257" s="54">
        <f ca="1">MIN(100,MAX(0,MCDA_Prioritisation!$H$2+(RAND()-0.5)*2*$B$7))</f>
        <v>63.5763687361409</v>
      </c>
      <c r="V257" s="54">
        <f ca="1">MIN(100,MAX(0,MCDA_Prioritisation!$H$3+(RAND()-0.5)*2*$B$7))</f>
        <v>53.609960795948467</v>
      </c>
      <c r="W257" s="54">
        <f ca="1">MIN(100,MAX(0,MCDA_Prioritisation!$H$4+(RAND()-0.5)*2*$B$7))</f>
        <v>76.240543077676108</v>
      </c>
      <c r="X257" s="54">
        <f ca="1">MIN(100,MAX(0,MCDA_Prioritisation!$H$5+(RAND()-0.5)*2*$B$7))</f>
        <v>74.679026494647459</v>
      </c>
      <c r="Y257" s="54">
        <f ca="1">H257*MCDA_Prioritisation!$D$2+I257*MCDA_Prioritisation!$E$2+J257*M257+K257*Q257+L257*U257</f>
        <v>86.3751712233707</v>
      </c>
      <c r="Z257" s="54">
        <f ca="1">H257*MCDA_Prioritisation!$D$3+I257*MCDA_Prioritisation!$E$3+J257*N257+K257*R257+L257*V257</f>
        <v>81.892005230856498</v>
      </c>
      <c r="AA257" s="54">
        <f ca="1">H257*MCDA_Prioritisation!$D$4+I257*MCDA_Prioritisation!$E$4+J257*O257+K257*S257+L257*W257</f>
        <v>74.008237431474626</v>
      </c>
      <c r="AB257" s="54">
        <f ca="1">H257*MCDA_Prioritisation!$D$5+I257*MCDA_Prioritisation!$E$5+J257*P257+K257*T257+L257*X257</f>
        <v>71.411141945912874</v>
      </c>
      <c r="AC257" s="54">
        <f t="shared" ca="1" si="48"/>
        <v>1</v>
      </c>
      <c r="AD257" s="54">
        <f t="shared" ca="1" si="49"/>
        <v>2</v>
      </c>
      <c r="AE257" s="54">
        <f t="shared" ca="1" si="50"/>
        <v>3</v>
      </c>
      <c r="AF257" s="54">
        <f t="shared" ca="1" si="51"/>
        <v>4</v>
      </c>
      <c r="AG257" s="54">
        <f t="shared" ca="1" si="52"/>
        <v>1</v>
      </c>
      <c r="AH257" s="54">
        <f t="shared" ca="1" si="53"/>
        <v>1</v>
      </c>
      <c r="AI257" s="54">
        <f t="shared" ca="1" si="54"/>
        <v>1</v>
      </c>
      <c r="AJ257" s="54">
        <f t="shared" ca="1" si="55"/>
        <v>1</v>
      </c>
    </row>
    <row r="258" spans="1:36" x14ac:dyDescent="0.2">
      <c r="A258" s="54">
        <v>235</v>
      </c>
      <c r="B258" s="54">
        <f ca="1">MAX(0.02,MCDA_Prioritisation!$B$9+(RAND()-0.5)*2*$B$6)</f>
        <v>0.26256356194051977</v>
      </c>
      <c r="C258" s="54">
        <f ca="1">MAX(0.02,MCDA_Prioritisation!$B$10+(RAND()-0.5)*2*$B$6)</f>
        <v>0.19870470029249526</v>
      </c>
      <c r="D258" s="54">
        <f ca="1">MAX(0.02,MCDA_Prioritisation!$B$11+(RAND()-0.5)*2*$B$6)</f>
        <v>0.21602209277736856</v>
      </c>
      <c r="E258" s="54">
        <f ca="1">MAX(0.02,MCDA_Prioritisation!$B$12+(RAND()-0.5)*2*$B$6)</f>
        <v>0.11264482343245218</v>
      </c>
      <c r="F258" s="54">
        <f ca="1">MAX(0.02,MCDA_Prioritisation!$B$13+(RAND()-0.5)*2*$B$6)</f>
        <v>7.061863186064915E-2</v>
      </c>
      <c r="G258" s="54">
        <f t="shared" ca="1" si="42"/>
        <v>0.86055381030348488</v>
      </c>
      <c r="H258" s="54">
        <f t="shared" ca="1" si="43"/>
        <v>0.30510998707672154</v>
      </c>
      <c r="I258" s="54">
        <f t="shared" ca="1" si="44"/>
        <v>0.23090328334310622</v>
      </c>
      <c r="J258" s="54">
        <f t="shared" ca="1" si="45"/>
        <v>0.25102682736502641</v>
      </c>
      <c r="K258" s="54">
        <f t="shared" ca="1" si="46"/>
        <v>0.13089805899845658</v>
      </c>
      <c r="L258" s="54">
        <f t="shared" ca="1" si="47"/>
        <v>8.2061843216689287E-2</v>
      </c>
      <c r="M258" s="54">
        <f ca="1">MIN(100,MAX(0,MCDA_Prioritisation!$F$2+(RAND()-0.5)*2*$B$7))</f>
        <v>78.909794303505151</v>
      </c>
      <c r="N258" s="54">
        <f ca="1">MIN(100,MAX(0,MCDA_Prioritisation!$F$3+(RAND()-0.5)*2*$B$7))</f>
        <v>92.669239307533658</v>
      </c>
      <c r="O258" s="54">
        <f ca="1">MIN(100,MAX(0,MCDA_Prioritisation!$F$4+(RAND()-0.5)*2*$B$7))</f>
        <v>93.003291901560772</v>
      </c>
      <c r="P258" s="54">
        <f ca="1">MIN(100,MAX(0,MCDA_Prioritisation!$F$5+(RAND()-0.5)*2*$B$7))</f>
        <v>75.166656292503603</v>
      </c>
      <c r="Q258" s="54">
        <f ca="1">MIN(100,MAX(0,MCDA_Prioritisation!$G$2+(RAND()-0.5)*2*$B$7))</f>
        <v>72.443503836026096</v>
      </c>
      <c r="R258" s="54">
        <f ca="1">MIN(100,MAX(0,MCDA_Prioritisation!$G$3+(RAND()-0.5)*2*$B$7))</f>
        <v>100</v>
      </c>
      <c r="S258" s="54">
        <f ca="1">MIN(100,MAX(0,MCDA_Prioritisation!$G$4+(RAND()-0.5)*2*$B$7))</f>
        <v>94.120629873961306</v>
      </c>
      <c r="T258" s="54">
        <f ca="1">MIN(100,MAX(0,MCDA_Prioritisation!$G$5+(RAND()-0.5)*2*$B$7))</f>
        <v>68.315538905223747</v>
      </c>
      <c r="U258" s="54">
        <f ca="1">MIN(100,MAX(0,MCDA_Prioritisation!$H$2+(RAND()-0.5)*2*$B$7))</f>
        <v>58.779889997882293</v>
      </c>
      <c r="V258" s="54">
        <f ca="1">MIN(100,MAX(0,MCDA_Prioritisation!$H$3+(RAND()-0.5)*2*$B$7))</f>
        <v>55.374655762846757</v>
      </c>
      <c r="W258" s="54">
        <f ca="1">MIN(100,MAX(0,MCDA_Prioritisation!$H$4+(RAND()-0.5)*2*$B$7))</f>
        <v>84.070503123113568</v>
      </c>
      <c r="X258" s="54">
        <f ca="1">MIN(100,MAX(0,MCDA_Prioritisation!$H$5+(RAND()-0.5)*2*$B$7))</f>
        <v>82.113662704521985</v>
      </c>
      <c r="Y258" s="54">
        <f ca="1">H258*MCDA_Prioritisation!$D$2+I258*MCDA_Prioritisation!$E$2+J258*M258+K258*Q258+L258*U258</f>
        <v>87.71610251050204</v>
      </c>
      <c r="Z258" s="54">
        <f ca="1">H258*MCDA_Prioritisation!$D$3+I258*MCDA_Prioritisation!$E$3+J258*N258+K258*R258+L258*V258</f>
        <v>84.355031915401952</v>
      </c>
      <c r="AA258" s="54">
        <f ca="1">H258*MCDA_Prioritisation!$D$4+I258*MCDA_Prioritisation!$E$4+J258*O258+K258*S258+L258*W258</f>
        <v>76.40629993545835</v>
      </c>
      <c r="AB258" s="54">
        <f ca="1">H258*MCDA_Prioritisation!$D$5+I258*MCDA_Prioritisation!$E$5+J258*P258+K258*T258+L258*X258</f>
        <v>70.16046827570382</v>
      </c>
      <c r="AC258" s="54">
        <f t="shared" ca="1" si="48"/>
        <v>1</v>
      </c>
      <c r="AD258" s="54">
        <f t="shared" ca="1" si="49"/>
        <v>2</v>
      </c>
      <c r="AE258" s="54">
        <f t="shared" ca="1" si="50"/>
        <v>3</v>
      </c>
      <c r="AF258" s="54">
        <f t="shared" ca="1" si="51"/>
        <v>4</v>
      </c>
      <c r="AG258" s="54">
        <f t="shared" ca="1" si="52"/>
        <v>1</v>
      </c>
      <c r="AH258" s="54">
        <f t="shared" ca="1" si="53"/>
        <v>1</v>
      </c>
      <c r="AI258" s="54">
        <f t="shared" ca="1" si="54"/>
        <v>1</v>
      </c>
      <c r="AJ258" s="54">
        <f t="shared" ca="1" si="55"/>
        <v>1</v>
      </c>
    </row>
    <row r="259" spans="1:36" x14ac:dyDescent="0.2">
      <c r="A259" s="54">
        <v>236</v>
      </c>
      <c r="B259" s="54">
        <f ca="1">MAX(0.02,MCDA_Prioritisation!$B$9+(RAND()-0.5)*2*$B$6)</f>
        <v>0.17408639421551203</v>
      </c>
      <c r="C259" s="54">
        <f ca="1">MAX(0.02,MCDA_Prioritisation!$B$10+(RAND()-0.5)*2*$B$6)</f>
        <v>0.24145926821864844</v>
      </c>
      <c r="D259" s="54">
        <f ca="1">MAX(0.02,MCDA_Prioritisation!$B$11+(RAND()-0.5)*2*$B$6)</f>
        <v>0.22643375872271593</v>
      </c>
      <c r="E259" s="54">
        <f ca="1">MAX(0.02,MCDA_Prioritisation!$B$12+(RAND()-0.5)*2*$B$6)</f>
        <v>0.17617767466777196</v>
      </c>
      <c r="F259" s="54">
        <f ca="1">MAX(0.02,MCDA_Prioritisation!$B$13+(RAND()-0.5)*2*$B$6)</f>
        <v>0.12201787362200413</v>
      </c>
      <c r="G259" s="54">
        <f t="shared" ca="1" si="42"/>
        <v>0.94017496944665235</v>
      </c>
      <c r="H259" s="54">
        <f t="shared" ca="1" si="43"/>
        <v>0.18516382574827747</v>
      </c>
      <c r="I259" s="54">
        <f t="shared" ca="1" si="44"/>
        <v>0.25682375734887014</v>
      </c>
      <c r="J259" s="54">
        <f t="shared" ca="1" si="45"/>
        <v>0.24084214755896485</v>
      </c>
      <c r="K259" s="54">
        <f t="shared" ca="1" si="46"/>
        <v>0.18738817815099115</v>
      </c>
      <c r="L259" s="54">
        <f t="shared" ca="1" si="47"/>
        <v>0.12978209119289652</v>
      </c>
      <c r="M259" s="54">
        <f ca="1">MIN(100,MAX(0,MCDA_Prioritisation!$F$2+(RAND()-0.5)*2*$B$7))</f>
        <v>82.421318945084522</v>
      </c>
      <c r="N259" s="54">
        <f ca="1">MIN(100,MAX(0,MCDA_Prioritisation!$F$3+(RAND()-0.5)*2*$B$7))</f>
        <v>86.468173854847223</v>
      </c>
      <c r="O259" s="54">
        <f ca="1">MIN(100,MAX(0,MCDA_Prioritisation!$F$4+(RAND()-0.5)*2*$B$7))</f>
        <v>95.735846644617084</v>
      </c>
      <c r="P259" s="54">
        <f ca="1">MIN(100,MAX(0,MCDA_Prioritisation!$F$5+(RAND()-0.5)*2*$B$7))</f>
        <v>79.885088802923292</v>
      </c>
      <c r="Q259" s="54">
        <f ca="1">MIN(100,MAX(0,MCDA_Prioritisation!$G$2+(RAND()-0.5)*2*$B$7))</f>
        <v>78.899032643599156</v>
      </c>
      <c r="R259" s="54">
        <f ca="1">MIN(100,MAX(0,MCDA_Prioritisation!$G$3+(RAND()-0.5)*2*$B$7))</f>
        <v>99.511745039080623</v>
      </c>
      <c r="S259" s="54">
        <f ca="1">MIN(100,MAX(0,MCDA_Prioritisation!$G$4+(RAND()-0.5)*2*$B$7))</f>
        <v>89.986177026921013</v>
      </c>
      <c r="T259" s="54">
        <f ca="1">MIN(100,MAX(0,MCDA_Prioritisation!$G$5+(RAND()-0.5)*2*$B$7))</f>
        <v>79.947365995846042</v>
      </c>
      <c r="U259" s="54">
        <f ca="1">MIN(100,MAX(0,MCDA_Prioritisation!$H$2+(RAND()-0.5)*2*$B$7))</f>
        <v>65.582686062934428</v>
      </c>
      <c r="V259" s="54">
        <f ca="1">MIN(100,MAX(0,MCDA_Prioritisation!$H$3+(RAND()-0.5)*2*$B$7))</f>
        <v>61.565285156077493</v>
      </c>
      <c r="W259" s="54">
        <f ca="1">MIN(100,MAX(0,MCDA_Prioritisation!$H$4+(RAND()-0.5)*2*$B$7))</f>
        <v>75.847560394527676</v>
      </c>
      <c r="X259" s="54">
        <f ca="1">MIN(100,MAX(0,MCDA_Prioritisation!$H$5+(RAND()-0.5)*2*$B$7))</f>
        <v>72.848796634829824</v>
      </c>
      <c r="Y259" s="54">
        <f ca="1">H259*MCDA_Prioritisation!$D$2+I259*MCDA_Prioritisation!$E$2+J259*M259+K259*Q259+L259*U259</f>
        <v>87.3454898973458</v>
      </c>
      <c r="Z259" s="54">
        <f ca="1">H259*MCDA_Prioritisation!$D$3+I259*MCDA_Prioritisation!$E$3+J259*N259+K259*R259+L259*V259</f>
        <v>82.323401305879344</v>
      </c>
      <c r="AA259" s="54">
        <f ca="1">H259*MCDA_Prioritisation!$D$4+I259*MCDA_Prioritisation!$E$4+J259*O259+K259*S259+L259*W259</f>
        <v>76.665516579591184</v>
      </c>
      <c r="AB259" s="54">
        <f ca="1">H259*MCDA_Prioritisation!$D$5+I259*MCDA_Prioritisation!$E$5+J259*P259+K259*T259+L259*X259</f>
        <v>75.099634821336906</v>
      </c>
      <c r="AC259" s="54">
        <f t="shared" ca="1" si="48"/>
        <v>1</v>
      </c>
      <c r="AD259" s="54">
        <f t="shared" ca="1" si="49"/>
        <v>2</v>
      </c>
      <c r="AE259" s="54">
        <f t="shared" ca="1" si="50"/>
        <v>3</v>
      </c>
      <c r="AF259" s="54">
        <f t="shared" ca="1" si="51"/>
        <v>4</v>
      </c>
      <c r="AG259" s="54">
        <f t="shared" ca="1" si="52"/>
        <v>1</v>
      </c>
      <c r="AH259" s="54">
        <f t="shared" ca="1" si="53"/>
        <v>1</v>
      </c>
      <c r="AI259" s="54">
        <f t="shared" ca="1" si="54"/>
        <v>1</v>
      </c>
      <c r="AJ259" s="54">
        <f t="shared" ca="1" si="55"/>
        <v>1</v>
      </c>
    </row>
    <row r="260" spans="1:36" x14ac:dyDescent="0.2">
      <c r="A260" s="54">
        <v>237</v>
      </c>
      <c r="B260" s="54">
        <f ca="1">MAX(0.02,MCDA_Prioritisation!$B$9+(RAND()-0.5)*2*$B$6)</f>
        <v>0.25267708958936108</v>
      </c>
      <c r="C260" s="54">
        <f ca="1">MAX(0.02,MCDA_Prioritisation!$B$10+(RAND()-0.5)*2*$B$6)</f>
        <v>0.24159648929465663</v>
      </c>
      <c r="D260" s="54">
        <f ca="1">MAX(0.02,MCDA_Prioritisation!$B$11+(RAND()-0.5)*2*$B$6)</f>
        <v>0.24715906403743573</v>
      </c>
      <c r="E260" s="54">
        <f ca="1">MAX(0.02,MCDA_Prioritisation!$B$12+(RAND()-0.5)*2*$B$6)</f>
        <v>8.7710709252561872E-2</v>
      </c>
      <c r="F260" s="54">
        <f ca="1">MAX(0.02,MCDA_Prioritisation!$B$13+(RAND()-0.5)*2*$B$6)</f>
        <v>0.21963209044769005</v>
      </c>
      <c r="G260" s="54">
        <f t="shared" ca="1" si="42"/>
        <v>1.0487754426217053</v>
      </c>
      <c r="H260" s="54">
        <f t="shared" ca="1" si="43"/>
        <v>0.24092582579710731</v>
      </c>
      <c r="I260" s="54">
        <f t="shared" ca="1" si="44"/>
        <v>0.23036055143579559</v>
      </c>
      <c r="J260" s="54">
        <f t="shared" ca="1" si="45"/>
        <v>0.23566442728635317</v>
      </c>
      <c r="K260" s="54">
        <f t="shared" ca="1" si="46"/>
        <v>8.3631543691855145E-2</v>
      </c>
      <c r="L260" s="54">
        <f t="shared" ca="1" si="47"/>
        <v>0.20941765178888885</v>
      </c>
      <c r="M260" s="54">
        <f ca="1">MIN(100,MAX(0,MCDA_Prioritisation!$F$2+(RAND()-0.5)*2*$B$7))</f>
        <v>85.351825524357068</v>
      </c>
      <c r="N260" s="54">
        <f ca="1">MIN(100,MAX(0,MCDA_Prioritisation!$F$3+(RAND()-0.5)*2*$B$7))</f>
        <v>97.005028605664364</v>
      </c>
      <c r="O260" s="54">
        <f ca="1">MIN(100,MAX(0,MCDA_Prioritisation!$F$4+(RAND()-0.5)*2*$B$7))</f>
        <v>88.327765577550892</v>
      </c>
      <c r="P260" s="54">
        <f ca="1">MIN(100,MAX(0,MCDA_Prioritisation!$F$5+(RAND()-0.5)*2*$B$7))</f>
        <v>69.511755059337133</v>
      </c>
      <c r="Q260" s="54">
        <f ca="1">MIN(100,MAX(0,MCDA_Prioritisation!$G$2+(RAND()-0.5)*2*$B$7))</f>
        <v>73.30070069087094</v>
      </c>
      <c r="R260" s="54">
        <f ca="1">MIN(100,MAX(0,MCDA_Prioritisation!$G$3+(RAND()-0.5)*2*$B$7))</f>
        <v>100</v>
      </c>
      <c r="S260" s="54">
        <f ca="1">MIN(100,MAX(0,MCDA_Prioritisation!$G$4+(RAND()-0.5)*2*$B$7))</f>
        <v>81.438190202797273</v>
      </c>
      <c r="T260" s="54">
        <f ca="1">MIN(100,MAX(0,MCDA_Prioritisation!$G$5+(RAND()-0.5)*2*$B$7))</f>
        <v>76.631750482230174</v>
      </c>
      <c r="U260" s="54">
        <f ca="1">MIN(100,MAX(0,MCDA_Prioritisation!$H$2+(RAND()-0.5)*2*$B$7))</f>
        <v>59.667551090944023</v>
      </c>
      <c r="V260" s="54">
        <f ca="1">MIN(100,MAX(0,MCDA_Prioritisation!$H$3+(RAND()-0.5)*2*$B$7))</f>
        <v>53.515616672267321</v>
      </c>
      <c r="W260" s="54">
        <f ca="1">MIN(100,MAX(0,MCDA_Prioritisation!$H$4+(RAND()-0.5)*2*$B$7))</f>
        <v>85.078525653081499</v>
      </c>
      <c r="X260" s="54">
        <f ca="1">MIN(100,MAX(0,MCDA_Prioritisation!$H$5+(RAND()-0.5)*2*$B$7))</f>
        <v>78.038614982527037</v>
      </c>
      <c r="Y260" s="54">
        <f ca="1">H260*MCDA_Prioritisation!$D$2+I260*MCDA_Prioritisation!$E$2+J260*M260+K260*Q260+L260*U260</f>
        <v>85.868715993263862</v>
      </c>
      <c r="Z260" s="54">
        <f ca="1">H260*MCDA_Prioritisation!$D$3+I260*MCDA_Prioritisation!$E$3+J260*N260+K260*R260+L260*V260</f>
        <v>80.240553977613104</v>
      </c>
      <c r="AA260" s="54">
        <f ca="1">H260*MCDA_Prioritisation!$D$4+I260*MCDA_Prioritisation!$E$4+J260*O260+K260*S260+L260*W260</f>
        <v>74.785238099588526</v>
      </c>
      <c r="AB260" s="54">
        <f ca="1">H260*MCDA_Prioritisation!$D$5+I260*MCDA_Prioritisation!$E$5+J260*P260+K260*T260+L260*X260</f>
        <v>71.291523807026721</v>
      </c>
      <c r="AC260" s="54">
        <f t="shared" ca="1" si="48"/>
        <v>1</v>
      </c>
      <c r="AD260" s="54">
        <f t="shared" ca="1" si="49"/>
        <v>2</v>
      </c>
      <c r="AE260" s="54">
        <f t="shared" ca="1" si="50"/>
        <v>3</v>
      </c>
      <c r="AF260" s="54">
        <f t="shared" ca="1" si="51"/>
        <v>4</v>
      </c>
      <c r="AG260" s="54">
        <f t="shared" ca="1" si="52"/>
        <v>1</v>
      </c>
      <c r="AH260" s="54">
        <f t="shared" ca="1" si="53"/>
        <v>1</v>
      </c>
      <c r="AI260" s="54">
        <f t="shared" ca="1" si="54"/>
        <v>1</v>
      </c>
      <c r="AJ260" s="54">
        <f t="shared" ca="1" si="55"/>
        <v>1</v>
      </c>
    </row>
    <row r="261" spans="1:36" x14ac:dyDescent="0.2">
      <c r="A261" s="54">
        <v>238</v>
      </c>
      <c r="B261" s="54">
        <f ca="1">MAX(0.02,MCDA_Prioritisation!$B$9+(RAND()-0.5)*2*$B$6)</f>
        <v>0.15221304346508099</v>
      </c>
      <c r="C261" s="54">
        <f ca="1">MAX(0.02,MCDA_Prioritisation!$B$10+(RAND()-0.5)*2*$B$6)</f>
        <v>0.25708065646055672</v>
      </c>
      <c r="D261" s="54">
        <f ca="1">MAX(0.02,MCDA_Prioritisation!$B$11+(RAND()-0.5)*2*$B$6)</f>
        <v>0.22138701412542586</v>
      </c>
      <c r="E261" s="54">
        <f ca="1">MAX(0.02,MCDA_Prioritisation!$B$12+(RAND()-0.5)*2*$B$6)</f>
        <v>0.22318143008663724</v>
      </c>
      <c r="F261" s="54">
        <f ca="1">MAX(0.02,MCDA_Prioritisation!$B$13+(RAND()-0.5)*2*$B$6)</f>
        <v>0.11301528140245518</v>
      </c>
      <c r="G261" s="54">
        <f t="shared" ca="1" si="42"/>
        <v>0.96687742554015599</v>
      </c>
      <c r="H261" s="54">
        <f t="shared" ca="1" si="43"/>
        <v>0.15742744575926532</v>
      </c>
      <c r="I261" s="54">
        <f t="shared" ca="1" si="44"/>
        <v>0.26588753617547328</v>
      </c>
      <c r="J261" s="54">
        <f t="shared" ca="1" si="45"/>
        <v>0.228971127339896</v>
      </c>
      <c r="K261" s="54">
        <f t="shared" ca="1" si="46"/>
        <v>0.23082701508100123</v>
      </c>
      <c r="L261" s="54">
        <f t="shared" ca="1" si="47"/>
        <v>0.11688687564436416</v>
      </c>
      <c r="M261" s="54">
        <f ca="1">MIN(100,MAX(0,MCDA_Prioritisation!$F$2+(RAND()-0.5)*2*$B$7))</f>
        <v>76.006350241822204</v>
      </c>
      <c r="N261" s="54">
        <f ca="1">MIN(100,MAX(0,MCDA_Prioritisation!$F$3+(RAND()-0.5)*2*$B$7))</f>
        <v>88.226239936086259</v>
      </c>
      <c r="O261" s="54">
        <f ca="1">MIN(100,MAX(0,MCDA_Prioritisation!$F$4+(RAND()-0.5)*2*$B$7))</f>
        <v>82.036113130672902</v>
      </c>
      <c r="P261" s="54">
        <f ca="1">MIN(100,MAX(0,MCDA_Prioritisation!$F$5+(RAND()-0.5)*2*$B$7))</f>
        <v>80.414062152159431</v>
      </c>
      <c r="Q261" s="54">
        <f ca="1">MIN(100,MAX(0,MCDA_Prioritisation!$G$2+(RAND()-0.5)*2*$B$7))</f>
        <v>75.513905389987912</v>
      </c>
      <c r="R261" s="54">
        <f ca="1">MIN(100,MAX(0,MCDA_Prioritisation!$G$3+(RAND()-0.5)*2*$B$7))</f>
        <v>100</v>
      </c>
      <c r="S261" s="54">
        <f ca="1">MIN(100,MAX(0,MCDA_Prioritisation!$G$4+(RAND()-0.5)*2*$B$7))</f>
        <v>82.523441508514352</v>
      </c>
      <c r="T261" s="54">
        <f ca="1">MIN(100,MAX(0,MCDA_Prioritisation!$G$5+(RAND()-0.5)*2*$B$7))</f>
        <v>63.608984031113977</v>
      </c>
      <c r="U261" s="54">
        <f ca="1">MIN(100,MAX(0,MCDA_Prioritisation!$H$2+(RAND()-0.5)*2*$B$7))</f>
        <v>66.135700399213107</v>
      </c>
      <c r="V261" s="54">
        <f ca="1">MIN(100,MAX(0,MCDA_Prioritisation!$H$3+(RAND()-0.5)*2*$B$7))</f>
        <v>65.458492897248632</v>
      </c>
      <c r="W261" s="54">
        <f ca="1">MIN(100,MAX(0,MCDA_Prioritisation!$H$4+(RAND()-0.5)*2*$B$7))</f>
        <v>80.018331605516522</v>
      </c>
      <c r="X261" s="54">
        <f ca="1">MIN(100,MAX(0,MCDA_Prioritisation!$H$5+(RAND()-0.5)*2*$B$7))</f>
        <v>70.636489589060233</v>
      </c>
      <c r="Y261" s="54">
        <f ca="1">H261*MCDA_Prioritisation!$D$2+I261*MCDA_Prioritisation!$E$2+J261*M261+K261*Q261+L261*U261</f>
        <v>84.89580265983065</v>
      </c>
      <c r="Z261" s="54">
        <f ca="1">H261*MCDA_Prioritisation!$D$3+I261*MCDA_Prioritisation!$E$3+J261*N261+K261*R261+L261*V261</f>
        <v>84.031138376717578</v>
      </c>
      <c r="AA261" s="54">
        <f ca="1">H261*MCDA_Prioritisation!$D$4+I261*MCDA_Prioritisation!$E$4+J261*O261+K261*S261+L261*W261</f>
        <v>72.65091214763811</v>
      </c>
      <c r="AB261" s="54">
        <f ca="1">H261*MCDA_Prioritisation!$D$5+I261*MCDA_Prioritisation!$E$5+J261*P261+K261*T261+L261*X261</f>
        <v>72.065975354738754</v>
      </c>
      <c r="AC261" s="54">
        <f t="shared" ca="1" si="48"/>
        <v>1</v>
      </c>
      <c r="AD261" s="54">
        <f t="shared" ca="1" si="49"/>
        <v>2</v>
      </c>
      <c r="AE261" s="54">
        <f t="shared" ca="1" si="50"/>
        <v>3</v>
      </c>
      <c r="AF261" s="54">
        <f t="shared" ca="1" si="51"/>
        <v>4</v>
      </c>
      <c r="AG261" s="54">
        <f t="shared" ca="1" si="52"/>
        <v>1</v>
      </c>
      <c r="AH261" s="54">
        <f t="shared" ca="1" si="53"/>
        <v>1</v>
      </c>
      <c r="AI261" s="54">
        <f t="shared" ca="1" si="54"/>
        <v>1</v>
      </c>
      <c r="AJ261" s="54">
        <f t="shared" ca="1" si="55"/>
        <v>1</v>
      </c>
    </row>
    <row r="262" spans="1:36" x14ac:dyDescent="0.2">
      <c r="A262" s="54">
        <v>239</v>
      </c>
      <c r="B262" s="54">
        <f ca="1">MAX(0.02,MCDA_Prioritisation!$B$9+(RAND()-0.5)*2*$B$6)</f>
        <v>0.12292435258687859</v>
      </c>
      <c r="C262" s="54">
        <f ca="1">MAX(0.02,MCDA_Prioritisation!$B$10+(RAND()-0.5)*2*$B$6)</f>
        <v>0.27509524135264352</v>
      </c>
      <c r="D262" s="54">
        <f ca="1">MAX(0.02,MCDA_Prioritisation!$B$11+(RAND()-0.5)*2*$B$6)</f>
        <v>0.28582320391924748</v>
      </c>
      <c r="E262" s="54">
        <f ca="1">MAX(0.02,MCDA_Prioritisation!$B$12+(RAND()-0.5)*2*$B$6)</f>
        <v>0.126622703957886</v>
      </c>
      <c r="F262" s="54">
        <f ca="1">MAX(0.02,MCDA_Prioritisation!$B$13+(RAND()-0.5)*2*$B$6)</f>
        <v>0.12524793589324104</v>
      </c>
      <c r="G262" s="54">
        <f t="shared" ca="1" si="42"/>
        <v>0.93571343770989657</v>
      </c>
      <c r="H262" s="54">
        <f t="shared" ca="1" si="43"/>
        <v>0.13136965617136875</v>
      </c>
      <c r="I262" s="54">
        <f t="shared" ca="1" si="44"/>
        <v>0.29399518085998944</v>
      </c>
      <c r="J262" s="54">
        <f t="shared" ca="1" si="45"/>
        <v>0.30546018941309949</v>
      </c>
      <c r="K262" s="54">
        <f t="shared" ca="1" si="46"/>
        <v>0.13532209633302647</v>
      </c>
      <c r="L262" s="54">
        <f t="shared" ca="1" si="47"/>
        <v>0.13385287722251588</v>
      </c>
      <c r="M262" s="54">
        <f ca="1">MIN(100,MAX(0,MCDA_Prioritisation!$F$2+(RAND()-0.5)*2*$B$7))</f>
        <v>85.534986979432489</v>
      </c>
      <c r="N262" s="54">
        <f ca="1">MIN(100,MAX(0,MCDA_Prioritisation!$F$3+(RAND()-0.5)*2*$B$7))</f>
        <v>86.104685501303251</v>
      </c>
      <c r="O262" s="54">
        <f ca="1">MIN(100,MAX(0,MCDA_Prioritisation!$F$4+(RAND()-0.5)*2*$B$7))</f>
        <v>85.495937955770827</v>
      </c>
      <c r="P262" s="54">
        <f ca="1">MIN(100,MAX(0,MCDA_Prioritisation!$F$5+(RAND()-0.5)*2*$B$7))</f>
        <v>75.833893007830923</v>
      </c>
      <c r="Q262" s="54">
        <f ca="1">MIN(100,MAX(0,MCDA_Prioritisation!$G$2+(RAND()-0.5)*2*$B$7))</f>
        <v>71.586725338668671</v>
      </c>
      <c r="R262" s="54">
        <f ca="1">MIN(100,MAX(0,MCDA_Prioritisation!$G$3+(RAND()-0.5)*2*$B$7))</f>
        <v>97.405576669787777</v>
      </c>
      <c r="S262" s="54">
        <f ca="1">MIN(100,MAX(0,MCDA_Prioritisation!$G$4+(RAND()-0.5)*2*$B$7))</f>
        <v>83.425514140547733</v>
      </c>
      <c r="T262" s="54">
        <f ca="1">MIN(100,MAX(0,MCDA_Prioritisation!$G$5+(RAND()-0.5)*2*$B$7))</f>
        <v>62.321639110401158</v>
      </c>
      <c r="U262" s="54">
        <f ca="1">MIN(100,MAX(0,MCDA_Prioritisation!$H$2+(RAND()-0.5)*2*$B$7))</f>
        <v>74.923108914950689</v>
      </c>
      <c r="V262" s="54">
        <f ca="1">MIN(100,MAX(0,MCDA_Prioritisation!$H$3+(RAND()-0.5)*2*$B$7))</f>
        <v>66.319470761786604</v>
      </c>
      <c r="W262" s="54">
        <f ca="1">MIN(100,MAX(0,MCDA_Prioritisation!$H$4+(RAND()-0.5)*2*$B$7))</f>
        <v>83.426180262315839</v>
      </c>
      <c r="X262" s="54">
        <f ca="1">MIN(100,MAX(0,MCDA_Prioritisation!$H$5+(RAND()-0.5)*2*$B$7))</f>
        <v>83.873813944764038</v>
      </c>
      <c r="Y262" s="54">
        <f ca="1">H262*MCDA_Prioritisation!$D$2+I262*MCDA_Prioritisation!$E$2+J262*M262+K262*Q262+L262*U262</f>
        <v>88.379956468487563</v>
      </c>
      <c r="Z262" s="54">
        <f ca="1">H262*MCDA_Prioritisation!$D$3+I262*MCDA_Prioritisation!$E$3+J262*N262+K262*R262+L262*V262</f>
        <v>81.222492772358635</v>
      </c>
      <c r="AA262" s="54">
        <f ca="1">H262*MCDA_Prioritisation!$D$4+I262*MCDA_Prioritisation!$E$4+J262*O262+K262*S262+L262*W262</f>
        <v>73.755666487189913</v>
      </c>
      <c r="AB262" s="54">
        <f ca="1">H262*MCDA_Prioritisation!$D$5+I262*MCDA_Prioritisation!$E$5+J262*P262+K262*T262+L262*X262</f>
        <v>74.519364917314803</v>
      </c>
      <c r="AC262" s="54">
        <f t="shared" ca="1" si="48"/>
        <v>1</v>
      </c>
      <c r="AD262" s="54">
        <f t="shared" ca="1" si="49"/>
        <v>2</v>
      </c>
      <c r="AE262" s="54">
        <f t="shared" ca="1" si="50"/>
        <v>4</v>
      </c>
      <c r="AF262" s="54">
        <f t="shared" ca="1" si="51"/>
        <v>3</v>
      </c>
      <c r="AG262" s="54">
        <f t="shared" ca="1" si="52"/>
        <v>1</v>
      </c>
      <c r="AH262" s="54">
        <f t="shared" ca="1" si="53"/>
        <v>1</v>
      </c>
      <c r="AI262" s="54">
        <f t="shared" ca="1" si="54"/>
        <v>0</v>
      </c>
      <c r="AJ262" s="54">
        <f t="shared" ca="1" si="55"/>
        <v>1</v>
      </c>
    </row>
    <row r="263" spans="1:36" x14ac:dyDescent="0.2">
      <c r="A263" s="54">
        <v>240</v>
      </c>
      <c r="B263" s="54">
        <f ca="1">MAX(0.02,MCDA_Prioritisation!$B$9+(RAND()-0.5)*2*$B$6)</f>
        <v>0.15979475640868984</v>
      </c>
      <c r="C263" s="54">
        <f ca="1">MAX(0.02,MCDA_Prioritisation!$B$10+(RAND()-0.5)*2*$B$6)</f>
        <v>0.217915729268159</v>
      </c>
      <c r="D263" s="54">
        <f ca="1">MAX(0.02,MCDA_Prioritisation!$B$11+(RAND()-0.5)*2*$B$6)</f>
        <v>0.25270794770424954</v>
      </c>
      <c r="E263" s="54">
        <f ca="1">MAX(0.02,MCDA_Prioritisation!$B$12+(RAND()-0.5)*2*$B$6)</f>
        <v>0.11509581390019541</v>
      </c>
      <c r="F263" s="54">
        <f ca="1">MAX(0.02,MCDA_Prioritisation!$B$13+(RAND()-0.5)*2*$B$6)</f>
        <v>0.15992100400820267</v>
      </c>
      <c r="G263" s="54">
        <f t="shared" ca="1" si="42"/>
        <v>0.90543525128949642</v>
      </c>
      <c r="H263" s="54">
        <f t="shared" ca="1" si="43"/>
        <v>0.17648391332358052</v>
      </c>
      <c r="I263" s="54">
        <f t="shared" ca="1" si="44"/>
        <v>0.24067511062531452</v>
      </c>
      <c r="J263" s="54">
        <f t="shared" ca="1" si="45"/>
        <v>0.27910107028012188</v>
      </c>
      <c r="K263" s="54">
        <f t="shared" ca="1" si="46"/>
        <v>0.12711655939646602</v>
      </c>
      <c r="L263" s="54">
        <f t="shared" ca="1" si="47"/>
        <v>0.1766233463745171</v>
      </c>
      <c r="M263" s="54">
        <f ca="1">MIN(100,MAX(0,MCDA_Prioritisation!$F$2+(RAND()-0.5)*2*$B$7))</f>
        <v>91.311696828177006</v>
      </c>
      <c r="N263" s="54">
        <f ca="1">MIN(100,MAX(0,MCDA_Prioritisation!$F$3+(RAND()-0.5)*2*$B$7))</f>
        <v>86.390732870667151</v>
      </c>
      <c r="O263" s="54">
        <f ca="1">MIN(100,MAX(0,MCDA_Prioritisation!$F$4+(RAND()-0.5)*2*$B$7))</f>
        <v>82.640273586507647</v>
      </c>
      <c r="P263" s="54">
        <f ca="1">MIN(100,MAX(0,MCDA_Prioritisation!$F$5+(RAND()-0.5)*2*$B$7))</f>
        <v>75.597176315103681</v>
      </c>
      <c r="Q263" s="54">
        <f ca="1">MIN(100,MAX(0,MCDA_Prioritisation!$G$2+(RAND()-0.5)*2*$B$7))</f>
        <v>79.921144822895585</v>
      </c>
      <c r="R263" s="54">
        <f ca="1">MIN(100,MAX(0,MCDA_Prioritisation!$G$3+(RAND()-0.5)*2*$B$7))</f>
        <v>94.678804466208476</v>
      </c>
      <c r="S263" s="54">
        <f ca="1">MIN(100,MAX(0,MCDA_Prioritisation!$G$4+(RAND()-0.5)*2*$B$7))</f>
        <v>76.091135045678243</v>
      </c>
      <c r="T263" s="54">
        <f ca="1">MIN(100,MAX(0,MCDA_Prioritisation!$G$5+(RAND()-0.5)*2*$B$7))</f>
        <v>73.652279197341898</v>
      </c>
      <c r="U263" s="54">
        <f ca="1">MIN(100,MAX(0,MCDA_Prioritisation!$H$2+(RAND()-0.5)*2*$B$7))</f>
        <v>67.672027158827149</v>
      </c>
      <c r="V263" s="54">
        <f ca="1">MIN(100,MAX(0,MCDA_Prioritisation!$H$3+(RAND()-0.5)*2*$B$7))</f>
        <v>67.761831869659858</v>
      </c>
      <c r="W263" s="54">
        <f ca="1">MIN(100,MAX(0,MCDA_Prioritisation!$H$4+(RAND()-0.5)*2*$B$7))</f>
        <v>87.987246085849577</v>
      </c>
      <c r="X263" s="54">
        <f ca="1">MIN(100,MAX(0,MCDA_Prioritisation!$H$5+(RAND()-0.5)*2*$B$7))</f>
        <v>75.869109616949586</v>
      </c>
      <c r="Y263" s="54">
        <f ca="1">H263*MCDA_Prioritisation!$D$2+I263*MCDA_Prioritisation!$E$2+J263*M263+K263*Q263+L263*U263</f>
        <v>89.312855554380135</v>
      </c>
      <c r="Z263" s="54">
        <f ca="1">H263*MCDA_Prioritisation!$D$3+I263*MCDA_Prioritisation!$E$3+J263*N263+K263*R263+L263*V263</f>
        <v>81.043091993111133</v>
      </c>
      <c r="AA263" s="54">
        <f ca="1">H263*MCDA_Prioritisation!$D$4+I263*MCDA_Prioritisation!$E$4+J263*O263+K263*S263+L263*W263</f>
        <v>73.695069488025226</v>
      </c>
      <c r="AB263" s="54">
        <f ca="1">H263*MCDA_Prioritisation!$D$5+I263*MCDA_Prioritisation!$E$5+J263*P263+K263*T263+L263*X263</f>
        <v>73.467562756902936</v>
      </c>
      <c r="AC263" s="54">
        <f t="shared" ca="1" si="48"/>
        <v>1</v>
      </c>
      <c r="AD263" s="54">
        <f t="shared" ca="1" si="49"/>
        <v>2</v>
      </c>
      <c r="AE263" s="54">
        <f t="shared" ca="1" si="50"/>
        <v>3</v>
      </c>
      <c r="AF263" s="54">
        <f t="shared" ca="1" si="51"/>
        <v>4</v>
      </c>
      <c r="AG263" s="54">
        <f t="shared" ca="1" si="52"/>
        <v>1</v>
      </c>
      <c r="AH263" s="54">
        <f t="shared" ca="1" si="53"/>
        <v>1</v>
      </c>
      <c r="AI263" s="54">
        <f t="shared" ca="1" si="54"/>
        <v>1</v>
      </c>
      <c r="AJ263" s="54">
        <f t="shared" ca="1" si="55"/>
        <v>1</v>
      </c>
    </row>
    <row r="264" spans="1:36" x14ac:dyDescent="0.2">
      <c r="A264" s="54">
        <v>241</v>
      </c>
      <c r="B264" s="54">
        <f ca="1">MAX(0.02,MCDA_Prioritisation!$B$9+(RAND()-0.5)*2*$B$6)</f>
        <v>0.19894226781326904</v>
      </c>
      <c r="C264" s="54">
        <f ca="1">MAX(0.02,MCDA_Prioritisation!$B$10+(RAND()-0.5)*2*$B$6)</f>
        <v>0.18305559817207184</v>
      </c>
      <c r="D264" s="54">
        <f ca="1">MAX(0.02,MCDA_Prioritisation!$B$11+(RAND()-0.5)*2*$B$6)</f>
        <v>0.18882421337945515</v>
      </c>
      <c r="E264" s="54">
        <f ca="1">MAX(0.02,MCDA_Prioritisation!$B$12+(RAND()-0.5)*2*$B$6)</f>
        <v>7.7758175708230667E-2</v>
      </c>
      <c r="F264" s="54">
        <f ca="1">MAX(0.02,MCDA_Prioritisation!$B$13+(RAND()-0.5)*2*$B$6)</f>
        <v>0.11433742354376206</v>
      </c>
      <c r="G264" s="54">
        <f t="shared" ca="1" si="42"/>
        <v>0.76291767861678872</v>
      </c>
      <c r="H264" s="54">
        <f t="shared" ca="1" si="43"/>
        <v>0.26076505157668151</v>
      </c>
      <c r="I264" s="54">
        <f t="shared" ca="1" si="44"/>
        <v>0.23994148163398391</v>
      </c>
      <c r="J264" s="54">
        <f t="shared" ca="1" si="45"/>
        <v>0.2475027367589695</v>
      </c>
      <c r="K264" s="54">
        <f t="shared" ca="1" si="46"/>
        <v>0.10192210495005237</v>
      </c>
      <c r="L264" s="54">
        <f t="shared" ca="1" si="47"/>
        <v>0.14986862508031276</v>
      </c>
      <c r="M264" s="54">
        <f ca="1">MIN(100,MAX(0,MCDA_Prioritisation!$F$2+(RAND()-0.5)*2*$B$7))</f>
        <v>87.139364366904317</v>
      </c>
      <c r="N264" s="54">
        <f ca="1">MIN(100,MAX(0,MCDA_Prioritisation!$F$3+(RAND()-0.5)*2*$B$7))</f>
        <v>93.464491295407754</v>
      </c>
      <c r="O264" s="54">
        <f ca="1">MIN(100,MAX(0,MCDA_Prioritisation!$F$4+(RAND()-0.5)*2*$B$7))</f>
        <v>90.14613292390807</v>
      </c>
      <c r="P264" s="54">
        <f ca="1">MIN(100,MAX(0,MCDA_Prioritisation!$F$5+(RAND()-0.5)*2*$B$7))</f>
        <v>84.440673583850128</v>
      </c>
      <c r="Q264" s="54">
        <f ca="1">MIN(100,MAX(0,MCDA_Prioritisation!$G$2+(RAND()-0.5)*2*$B$7))</f>
        <v>86.764028187312221</v>
      </c>
      <c r="R264" s="54">
        <f ca="1">MIN(100,MAX(0,MCDA_Prioritisation!$G$3+(RAND()-0.5)*2*$B$7))</f>
        <v>100</v>
      </c>
      <c r="S264" s="54">
        <f ca="1">MIN(100,MAX(0,MCDA_Prioritisation!$G$4+(RAND()-0.5)*2*$B$7))</f>
        <v>83.238482441982967</v>
      </c>
      <c r="T264" s="54">
        <f ca="1">MIN(100,MAX(0,MCDA_Prioritisation!$G$5+(RAND()-0.5)*2*$B$7))</f>
        <v>60.309836383952288</v>
      </c>
      <c r="U264" s="54">
        <f ca="1">MIN(100,MAX(0,MCDA_Prioritisation!$H$2+(RAND()-0.5)*2*$B$7))</f>
        <v>64.361349961132618</v>
      </c>
      <c r="V264" s="54">
        <f ca="1">MIN(100,MAX(0,MCDA_Prioritisation!$H$3+(RAND()-0.5)*2*$B$7))</f>
        <v>54.871860079431329</v>
      </c>
      <c r="W264" s="54">
        <f ca="1">MIN(100,MAX(0,MCDA_Prioritisation!$H$4+(RAND()-0.5)*2*$B$7))</f>
        <v>86.834388927183895</v>
      </c>
      <c r="X264" s="54">
        <f ca="1">MIN(100,MAX(0,MCDA_Prioritisation!$H$5+(RAND()-0.5)*2*$B$7))</f>
        <v>79.7957061719639</v>
      </c>
      <c r="Y264" s="54">
        <f ca="1">H264*MCDA_Prioritisation!$D$2+I264*MCDA_Prioritisation!$E$2+J264*M264+K264*Q264+L264*U264</f>
        <v>90.126803895096728</v>
      </c>
      <c r="Z264" s="54">
        <f ca="1">H264*MCDA_Prioritisation!$D$3+I264*MCDA_Prioritisation!$E$3+J264*N264+K264*R264+L264*V264</f>
        <v>81.788828976747993</v>
      </c>
      <c r="AA264" s="54">
        <f ca="1">H264*MCDA_Prioritisation!$D$4+I264*MCDA_Prioritisation!$E$4+J264*O264+K264*S264+L264*W264</f>
        <v>75.054868866691265</v>
      </c>
      <c r="AB264" s="54">
        <f ca="1">H264*MCDA_Prioritisation!$D$5+I264*MCDA_Prioritisation!$E$5+J264*P264+K264*T264+L264*X264</f>
        <v>73.022310516616571</v>
      </c>
      <c r="AC264" s="54">
        <f t="shared" ca="1" si="48"/>
        <v>1</v>
      </c>
      <c r="AD264" s="54">
        <f t="shared" ca="1" si="49"/>
        <v>2</v>
      </c>
      <c r="AE264" s="54">
        <f t="shared" ca="1" si="50"/>
        <v>3</v>
      </c>
      <c r="AF264" s="54">
        <f t="shared" ca="1" si="51"/>
        <v>4</v>
      </c>
      <c r="AG264" s="54">
        <f t="shared" ca="1" si="52"/>
        <v>1</v>
      </c>
      <c r="AH264" s="54">
        <f t="shared" ca="1" si="53"/>
        <v>1</v>
      </c>
      <c r="AI264" s="54">
        <f t="shared" ca="1" si="54"/>
        <v>1</v>
      </c>
      <c r="AJ264" s="54">
        <f t="shared" ca="1" si="55"/>
        <v>1</v>
      </c>
    </row>
    <row r="265" spans="1:36" x14ac:dyDescent="0.2">
      <c r="A265" s="54">
        <v>242</v>
      </c>
      <c r="B265" s="54">
        <f ca="1">MAX(0.02,MCDA_Prioritisation!$B$9+(RAND()-0.5)*2*$B$6)</f>
        <v>0.20107822598458636</v>
      </c>
      <c r="C265" s="54">
        <f ca="1">MAX(0.02,MCDA_Prioritisation!$B$10+(RAND()-0.5)*2*$B$6)</f>
        <v>0.20581879952524271</v>
      </c>
      <c r="D265" s="54">
        <f ca="1">MAX(0.02,MCDA_Prioritisation!$B$11+(RAND()-0.5)*2*$B$6)</f>
        <v>0.25046986221392176</v>
      </c>
      <c r="E265" s="54">
        <f ca="1">MAX(0.02,MCDA_Prioritisation!$B$12+(RAND()-0.5)*2*$B$6)</f>
        <v>7.4630422489461071E-2</v>
      </c>
      <c r="F265" s="54">
        <f ca="1">MAX(0.02,MCDA_Prioritisation!$B$13+(RAND()-0.5)*2*$B$6)</f>
        <v>0.12091892722900371</v>
      </c>
      <c r="G265" s="54">
        <f t="shared" ca="1" si="42"/>
        <v>0.85291623744221567</v>
      </c>
      <c r="H265" s="54">
        <f t="shared" ca="1" si="43"/>
        <v>0.23575377880903484</v>
      </c>
      <c r="I265" s="54">
        <f t="shared" ca="1" si="44"/>
        <v>0.24131185512714165</v>
      </c>
      <c r="J265" s="54">
        <f t="shared" ca="1" si="45"/>
        <v>0.29366290758521391</v>
      </c>
      <c r="K265" s="54">
        <f t="shared" ca="1" si="46"/>
        <v>8.7500295120735372E-2</v>
      </c>
      <c r="L265" s="54">
        <f t="shared" ca="1" si="47"/>
        <v>0.14177116335787412</v>
      </c>
      <c r="M265" s="54">
        <f ca="1">MIN(100,MAX(0,MCDA_Prioritisation!$F$2+(RAND()-0.5)*2*$B$7))</f>
        <v>94.755767918656929</v>
      </c>
      <c r="N265" s="54">
        <f ca="1">MIN(100,MAX(0,MCDA_Prioritisation!$F$3+(RAND()-0.5)*2*$B$7))</f>
        <v>100</v>
      </c>
      <c r="O265" s="54">
        <f ca="1">MIN(100,MAX(0,MCDA_Prioritisation!$F$4+(RAND()-0.5)*2*$B$7))</f>
        <v>94.159633236718875</v>
      </c>
      <c r="P265" s="54">
        <f ca="1">MIN(100,MAX(0,MCDA_Prioritisation!$F$5+(RAND()-0.5)*2*$B$7))</f>
        <v>80.18522859561655</v>
      </c>
      <c r="Q265" s="54">
        <f ca="1">MIN(100,MAX(0,MCDA_Prioritisation!$G$2+(RAND()-0.5)*2*$B$7))</f>
        <v>82.001241083215717</v>
      </c>
      <c r="R265" s="54">
        <f ca="1">MIN(100,MAX(0,MCDA_Prioritisation!$G$3+(RAND()-0.5)*2*$B$7))</f>
        <v>97.467952193502995</v>
      </c>
      <c r="S265" s="54">
        <f ca="1">MIN(100,MAX(0,MCDA_Prioritisation!$G$4+(RAND()-0.5)*2*$B$7))</f>
        <v>78.345591467602006</v>
      </c>
      <c r="T265" s="54">
        <f ca="1">MIN(100,MAX(0,MCDA_Prioritisation!$G$5+(RAND()-0.5)*2*$B$7))</f>
        <v>61.084603464710426</v>
      </c>
      <c r="U265" s="54">
        <f ca="1">MIN(100,MAX(0,MCDA_Prioritisation!$H$2+(RAND()-0.5)*2*$B$7))</f>
        <v>67.260441113287101</v>
      </c>
      <c r="V265" s="54">
        <f ca="1">MIN(100,MAX(0,MCDA_Prioritisation!$H$3+(RAND()-0.5)*2*$B$7))</f>
        <v>56.577022947322277</v>
      </c>
      <c r="W265" s="54">
        <f ca="1">MIN(100,MAX(0,MCDA_Prioritisation!$H$4+(RAND()-0.5)*2*$B$7))</f>
        <v>84.085962486517673</v>
      </c>
      <c r="X265" s="54">
        <f ca="1">MIN(100,MAX(0,MCDA_Prioritisation!$H$5+(RAND()-0.5)*2*$B$7))</f>
        <v>79.507970352832956</v>
      </c>
      <c r="Y265" s="54">
        <f ca="1">H265*MCDA_Prioritisation!$D$2+I265*MCDA_Prioritisation!$E$2+J265*M265+K265*Q265+L265*U265</f>
        <v>92.243541490722635</v>
      </c>
      <c r="Z265" s="54">
        <f ca="1">H265*MCDA_Prioritisation!$D$3+I265*MCDA_Prioritisation!$E$3+J265*N265+K265*R265+L265*V265</f>
        <v>84.069843914488729</v>
      </c>
      <c r="AA265" s="54">
        <f ca="1">H265*MCDA_Prioritisation!$D$4+I265*MCDA_Prioritisation!$E$4+J265*O265+K265*S265+L265*W265</f>
        <v>76.006390851126923</v>
      </c>
      <c r="AB265" s="54">
        <f ca="1">H265*MCDA_Prioritisation!$D$5+I265*MCDA_Prioritisation!$E$5+J265*P265+K265*T265+L265*X265</f>
        <v>72.969260519619908</v>
      </c>
      <c r="AC265" s="54">
        <f t="shared" ca="1" si="48"/>
        <v>1</v>
      </c>
      <c r="AD265" s="54">
        <f t="shared" ca="1" si="49"/>
        <v>2</v>
      </c>
      <c r="AE265" s="54">
        <f t="shared" ca="1" si="50"/>
        <v>3</v>
      </c>
      <c r="AF265" s="54">
        <f t="shared" ca="1" si="51"/>
        <v>4</v>
      </c>
      <c r="AG265" s="54">
        <f t="shared" ca="1" si="52"/>
        <v>1</v>
      </c>
      <c r="AH265" s="54">
        <f t="shared" ca="1" si="53"/>
        <v>1</v>
      </c>
      <c r="AI265" s="54">
        <f t="shared" ca="1" si="54"/>
        <v>1</v>
      </c>
      <c r="AJ265" s="54">
        <f t="shared" ca="1" si="55"/>
        <v>1</v>
      </c>
    </row>
    <row r="266" spans="1:36" x14ac:dyDescent="0.2">
      <c r="A266" s="54">
        <v>243</v>
      </c>
      <c r="B266" s="54">
        <f ca="1">MAX(0.02,MCDA_Prioritisation!$B$9+(RAND()-0.5)*2*$B$6)</f>
        <v>0.17473886910050071</v>
      </c>
      <c r="C266" s="54">
        <f ca="1">MAX(0.02,MCDA_Prioritisation!$B$10+(RAND()-0.5)*2*$B$6)</f>
        <v>0.1935955364870014</v>
      </c>
      <c r="D266" s="54">
        <f ca="1">MAX(0.02,MCDA_Prioritisation!$B$11+(RAND()-0.5)*2*$B$6)</f>
        <v>0.1811664964144753</v>
      </c>
      <c r="E266" s="54">
        <f ca="1">MAX(0.02,MCDA_Prioritisation!$B$12+(RAND()-0.5)*2*$B$6)</f>
        <v>0.14992856484335709</v>
      </c>
      <c r="F266" s="54">
        <f ca="1">MAX(0.02,MCDA_Prioritisation!$B$13+(RAND()-0.5)*2*$B$6)</f>
        <v>0.17643021743762624</v>
      </c>
      <c r="G266" s="54">
        <f t="shared" ca="1" si="42"/>
        <v>0.87585968428296068</v>
      </c>
      <c r="H266" s="54">
        <f t="shared" ca="1" si="43"/>
        <v>0.19950555121572244</v>
      </c>
      <c r="I266" s="54">
        <f t="shared" ca="1" si="44"/>
        <v>0.2210348757466695</v>
      </c>
      <c r="J266" s="54">
        <f t="shared" ca="1" si="45"/>
        <v>0.20684420080688007</v>
      </c>
      <c r="K266" s="54">
        <f t="shared" ca="1" si="46"/>
        <v>0.17117874875825456</v>
      </c>
      <c r="L266" s="54">
        <f t="shared" ca="1" si="47"/>
        <v>0.20143662347247346</v>
      </c>
      <c r="M266" s="54">
        <f ca="1">MIN(100,MAX(0,MCDA_Prioritisation!$F$2+(RAND()-0.5)*2*$B$7))</f>
        <v>81.062693971168613</v>
      </c>
      <c r="N266" s="54">
        <f ca="1">MIN(100,MAX(0,MCDA_Prioritisation!$F$3+(RAND()-0.5)*2*$B$7))</f>
        <v>100</v>
      </c>
      <c r="O266" s="54">
        <f ca="1">MIN(100,MAX(0,MCDA_Prioritisation!$F$4+(RAND()-0.5)*2*$B$7))</f>
        <v>99.008174823350132</v>
      </c>
      <c r="P266" s="54">
        <f ca="1">MIN(100,MAX(0,MCDA_Prioritisation!$F$5+(RAND()-0.5)*2*$B$7))</f>
        <v>84.645056855978112</v>
      </c>
      <c r="Q266" s="54">
        <f ca="1">MIN(100,MAX(0,MCDA_Prioritisation!$G$2+(RAND()-0.5)*2*$B$7))</f>
        <v>77.494934049859722</v>
      </c>
      <c r="R266" s="54">
        <f ca="1">MIN(100,MAX(0,MCDA_Prioritisation!$G$3+(RAND()-0.5)*2*$B$7))</f>
        <v>90.968171767268757</v>
      </c>
      <c r="S266" s="54">
        <f ca="1">MIN(100,MAX(0,MCDA_Prioritisation!$G$4+(RAND()-0.5)*2*$B$7))</f>
        <v>88.79057687257334</v>
      </c>
      <c r="T266" s="54">
        <f ca="1">MIN(100,MAX(0,MCDA_Prioritisation!$G$5+(RAND()-0.5)*2*$B$7))</f>
        <v>66.345127190516251</v>
      </c>
      <c r="U266" s="54">
        <f ca="1">MIN(100,MAX(0,MCDA_Prioritisation!$H$2+(RAND()-0.5)*2*$B$7))</f>
        <v>71.885045610143294</v>
      </c>
      <c r="V266" s="54">
        <f ca="1">MIN(100,MAX(0,MCDA_Prioritisation!$H$3+(RAND()-0.5)*2*$B$7))</f>
        <v>56.667558929254781</v>
      </c>
      <c r="W266" s="54">
        <f ca="1">MIN(100,MAX(0,MCDA_Prioritisation!$H$4+(RAND()-0.5)*2*$B$7))</f>
        <v>78.994787394729769</v>
      </c>
      <c r="X266" s="54">
        <f ca="1">MIN(100,MAX(0,MCDA_Prioritisation!$H$5+(RAND()-0.5)*2*$B$7))</f>
        <v>82.927759248374457</v>
      </c>
      <c r="Y266" s="54">
        <f ca="1">H266*MCDA_Prioritisation!$D$2+I266*MCDA_Prioritisation!$E$2+J266*M266+K266*Q266+L266*U266</f>
        <v>86.567157557588729</v>
      </c>
      <c r="Z266" s="54">
        <f ca="1">H266*MCDA_Prioritisation!$D$3+I266*MCDA_Prioritisation!$E$3+J266*N266+K266*R266+L266*V266</f>
        <v>81.18257791350689</v>
      </c>
      <c r="AA266" s="54">
        <f ca="1">H266*MCDA_Prioritisation!$D$4+I266*MCDA_Prioritisation!$E$4+J266*O266+K266*S266+L266*W266</f>
        <v>77.539611431183317</v>
      </c>
      <c r="AB266" s="54">
        <f ca="1">H266*MCDA_Prioritisation!$D$5+I266*MCDA_Prioritisation!$E$5+J266*P266+K266*T266+L266*X266</f>
        <v>74.745861108943416</v>
      </c>
      <c r="AC266" s="54">
        <f t="shared" ca="1" si="48"/>
        <v>1</v>
      </c>
      <c r="AD266" s="54">
        <f t="shared" ca="1" si="49"/>
        <v>2</v>
      </c>
      <c r="AE266" s="54">
        <f t="shared" ca="1" si="50"/>
        <v>3</v>
      </c>
      <c r="AF266" s="54">
        <f t="shared" ca="1" si="51"/>
        <v>4</v>
      </c>
      <c r="AG266" s="54">
        <f t="shared" ca="1" si="52"/>
        <v>1</v>
      </c>
      <c r="AH266" s="54">
        <f t="shared" ca="1" si="53"/>
        <v>1</v>
      </c>
      <c r="AI266" s="54">
        <f t="shared" ca="1" si="54"/>
        <v>1</v>
      </c>
      <c r="AJ266" s="54">
        <f t="shared" ca="1" si="55"/>
        <v>1</v>
      </c>
    </row>
    <row r="267" spans="1:36" x14ac:dyDescent="0.2">
      <c r="A267" s="54">
        <v>244</v>
      </c>
      <c r="B267" s="54">
        <f ca="1">MAX(0.02,MCDA_Prioritisation!$B$9+(RAND()-0.5)*2*$B$6)</f>
        <v>0.22759727649095618</v>
      </c>
      <c r="C267" s="54">
        <f ca="1">MAX(0.02,MCDA_Prioritisation!$B$10+(RAND()-0.5)*2*$B$6)</f>
        <v>0.23506543482971012</v>
      </c>
      <c r="D267" s="54">
        <f ca="1">MAX(0.02,MCDA_Prioritisation!$B$11+(RAND()-0.5)*2*$B$6)</f>
        <v>0.23857673672409083</v>
      </c>
      <c r="E267" s="54">
        <f ca="1">MAX(0.02,MCDA_Prioritisation!$B$12+(RAND()-0.5)*2*$B$6)</f>
        <v>0.12300544030555945</v>
      </c>
      <c r="F267" s="54">
        <f ca="1">MAX(0.02,MCDA_Prioritisation!$B$13+(RAND()-0.5)*2*$B$6)</f>
        <v>0.11478462100088017</v>
      </c>
      <c r="G267" s="54">
        <f t="shared" ca="1" si="42"/>
        <v>0.93902950935119678</v>
      </c>
      <c r="H267" s="54">
        <f t="shared" ca="1" si="43"/>
        <v>0.24237499910754653</v>
      </c>
      <c r="I267" s="54">
        <f t="shared" ca="1" si="44"/>
        <v>0.25032805943673037</v>
      </c>
      <c r="J267" s="54">
        <f t="shared" ca="1" si="45"/>
        <v>0.254067347562837</v>
      </c>
      <c r="K267" s="54">
        <f t="shared" ca="1" si="46"/>
        <v>0.1309920924535668</v>
      </c>
      <c r="L267" s="54">
        <f t="shared" ca="1" si="47"/>
        <v>0.12223750143931926</v>
      </c>
      <c r="M267" s="54">
        <f ca="1">MIN(100,MAX(0,MCDA_Prioritisation!$F$2+(RAND()-0.5)*2*$B$7))</f>
        <v>86.602887726174771</v>
      </c>
      <c r="N267" s="54">
        <f ca="1">MIN(100,MAX(0,MCDA_Prioritisation!$F$3+(RAND()-0.5)*2*$B$7))</f>
        <v>86.302735262571133</v>
      </c>
      <c r="O267" s="54">
        <f ca="1">MIN(100,MAX(0,MCDA_Prioritisation!$F$4+(RAND()-0.5)*2*$B$7))</f>
        <v>81.039030643876231</v>
      </c>
      <c r="P267" s="54">
        <f ca="1">MIN(100,MAX(0,MCDA_Prioritisation!$F$5+(RAND()-0.5)*2*$B$7))</f>
        <v>77.938761744163202</v>
      </c>
      <c r="Q267" s="54">
        <f ca="1">MIN(100,MAX(0,MCDA_Prioritisation!$G$2+(RAND()-0.5)*2*$B$7))</f>
        <v>76.003281004296994</v>
      </c>
      <c r="R267" s="54">
        <f ca="1">MIN(100,MAX(0,MCDA_Prioritisation!$G$3+(RAND()-0.5)*2*$B$7))</f>
        <v>88.254860417790013</v>
      </c>
      <c r="S267" s="54">
        <f ca="1">MIN(100,MAX(0,MCDA_Prioritisation!$G$4+(RAND()-0.5)*2*$B$7))</f>
        <v>76.783502467690568</v>
      </c>
      <c r="T267" s="54">
        <f ca="1">MIN(100,MAX(0,MCDA_Prioritisation!$G$5+(RAND()-0.5)*2*$B$7))</f>
        <v>70.742978267537026</v>
      </c>
      <c r="U267" s="54">
        <f ca="1">MIN(100,MAX(0,MCDA_Prioritisation!$H$2+(RAND()-0.5)*2*$B$7))</f>
        <v>68.158106358284414</v>
      </c>
      <c r="V267" s="54">
        <f ca="1">MIN(100,MAX(0,MCDA_Prioritisation!$H$3+(RAND()-0.5)*2*$B$7))</f>
        <v>65.284393943699001</v>
      </c>
      <c r="W267" s="54">
        <f ca="1">MIN(100,MAX(0,MCDA_Prioritisation!$H$4+(RAND()-0.5)*2*$B$7))</f>
        <v>87.252560110192462</v>
      </c>
      <c r="X267" s="54">
        <f ca="1">MIN(100,MAX(0,MCDA_Prioritisation!$H$5+(RAND()-0.5)*2*$B$7))</f>
        <v>72.616851613980799</v>
      </c>
      <c r="Y267" s="54">
        <f ca="1">H267*MCDA_Prioritisation!$D$2+I267*MCDA_Prioritisation!$E$2+J267*M267+K267*Q267+L267*U267</f>
        <v>89.560577266460442</v>
      </c>
      <c r="Z267" s="54">
        <f ca="1">H267*MCDA_Prioritisation!$D$3+I267*MCDA_Prioritisation!$E$3+J267*N267+K267*R267+L267*V267</f>
        <v>80.856082957138042</v>
      </c>
      <c r="AA267" s="54">
        <f ca="1">H267*MCDA_Prioritisation!$D$4+I267*MCDA_Prioritisation!$E$4+J267*O267+K267*S267+L267*W267</f>
        <v>71.844766060454134</v>
      </c>
      <c r="AB267" s="54">
        <f ca="1">H267*MCDA_Prioritisation!$D$5+I267*MCDA_Prioritisation!$E$5+J267*P267+K267*T267+L267*X267</f>
        <v>71.859550559215165</v>
      </c>
      <c r="AC267" s="54">
        <f t="shared" ca="1" si="48"/>
        <v>1</v>
      </c>
      <c r="AD267" s="54">
        <f t="shared" ca="1" si="49"/>
        <v>2</v>
      </c>
      <c r="AE267" s="54">
        <f t="shared" ca="1" si="50"/>
        <v>4</v>
      </c>
      <c r="AF267" s="54">
        <f t="shared" ca="1" si="51"/>
        <v>3</v>
      </c>
      <c r="AG267" s="54">
        <f t="shared" ca="1" si="52"/>
        <v>1</v>
      </c>
      <c r="AH267" s="54">
        <f t="shared" ca="1" si="53"/>
        <v>1</v>
      </c>
      <c r="AI267" s="54">
        <f t="shared" ca="1" si="54"/>
        <v>0</v>
      </c>
      <c r="AJ267" s="54">
        <f t="shared" ca="1" si="55"/>
        <v>1</v>
      </c>
    </row>
    <row r="268" spans="1:36" x14ac:dyDescent="0.2">
      <c r="A268" s="54">
        <v>245</v>
      </c>
      <c r="B268" s="54">
        <f ca="1">MAX(0.02,MCDA_Prioritisation!$B$9+(RAND()-0.5)*2*$B$6)</f>
        <v>0.26424969343242416</v>
      </c>
      <c r="C268" s="54">
        <f ca="1">MAX(0.02,MCDA_Prioritisation!$B$10+(RAND()-0.5)*2*$B$6)</f>
        <v>0.32750911607343625</v>
      </c>
      <c r="D268" s="54">
        <f ca="1">MAX(0.02,MCDA_Prioritisation!$B$11+(RAND()-0.5)*2*$B$6)</f>
        <v>0.27959955841463252</v>
      </c>
      <c r="E268" s="54">
        <f ca="1">MAX(0.02,MCDA_Prioritisation!$B$12+(RAND()-0.5)*2*$B$6)</f>
        <v>0.15718965345583094</v>
      </c>
      <c r="F268" s="54">
        <f ca="1">MAX(0.02,MCDA_Prioritisation!$B$13+(RAND()-0.5)*2*$B$6)</f>
        <v>8.2318062410057152E-2</v>
      </c>
      <c r="G268" s="54">
        <f t="shared" ca="1" si="42"/>
        <v>1.1108660837863811</v>
      </c>
      <c r="H268" s="54">
        <f t="shared" ca="1" si="43"/>
        <v>0.23787718185771817</v>
      </c>
      <c r="I268" s="54">
        <f t="shared" ca="1" si="44"/>
        <v>0.29482322023652319</v>
      </c>
      <c r="J268" s="54">
        <f t="shared" ca="1" si="45"/>
        <v>0.25169510753413132</v>
      </c>
      <c r="K268" s="54">
        <f t="shared" ca="1" si="46"/>
        <v>0.14150189275745179</v>
      </c>
      <c r="L268" s="54">
        <f t="shared" ca="1" si="47"/>
        <v>7.4102597614175494E-2</v>
      </c>
      <c r="M268" s="54">
        <f ca="1">MIN(100,MAX(0,MCDA_Prioritisation!$F$2+(RAND()-0.5)*2*$B$7))</f>
        <v>90.372644352865365</v>
      </c>
      <c r="N268" s="54">
        <f ca="1">MIN(100,MAX(0,MCDA_Prioritisation!$F$3+(RAND()-0.5)*2*$B$7))</f>
        <v>100</v>
      </c>
      <c r="O268" s="54">
        <f ca="1">MIN(100,MAX(0,MCDA_Prioritisation!$F$4+(RAND()-0.5)*2*$B$7))</f>
        <v>85.607471933943813</v>
      </c>
      <c r="P268" s="54">
        <f ca="1">MIN(100,MAX(0,MCDA_Prioritisation!$F$5+(RAND()-0.5)*2*$B$7))</f>
        <v>83.250299661399907</v>
      </c>
      <c r="Q268" s="54">
        <f ca="1">MIN(100,MAX(0,MCDA_Prioritisation!$G$2+(RAND()-0.5)*2*$B$7))</f>
        <v>80.717788648691069</v>
      </c>
      <c r="R268" s="54">
        <f ca="1">MIN(100,MAX(0,MCDA_Prioritisation!$G$3+(RAND()-0.5)*2*$B$7))</f>
        <v>88.481721253965176</v>
      </c>
      <c r="S268" s="54">
        <f ca="1">MIN(100,MAX(0,MCDA_Prioritisation!$G$4+(RAND()-0.5)*2*$B$7))</f>
        <v>75.849026904085989</v>
      </c>
      <c r="T268" s="54">
        <f ca="1">MIN(100,MAX(0,MCDA_Prioritisation!$G$5+(RAND()-0.5)*2*$B$7))</f>
        <v>63.705286388358175</v>
      </c>
      <c r="U268" s="54">
        <f ca="1">MIN(100,MAX(0,MCDA_Prioritisation!$H$2+(RAND()-0.5)*2*$B$7))</f>
        <v>68.553840879998162</v>
      </c>
      <c r="V268" s="54">
        <f ca="1">MIN(100,MAX(0,MCDA_Prioritisation!$H$3+(RAND()-0.5)*2*$B$7))</f>
        <v>66.905953402864569</v>
      </c>
      <c r="W268" s="54">
        <f ca="1">MIN(100,MAX(0,MCDA_Prioritisation!$H$4+(RAND()-0.5)*2*$B$7))</f>
        <v>85.398218631693666</v>
      </c>
      <c r="X268" s="54">
        <f ca="1">MIN(100,MAX(0,MCDA_Prioritisation!$H$5+(RAND()-0.5)*2*$B$7))</f>
        <v>84.867708791432918</v>
      </c>
      <c r="Y268" s="54">
        <f ca="1">H268*MCDA_Prioritisation!$D$2+I268*MCDA_Prioritisation!$E$2+J268*M268+K268*Q268+L268*U268</f>
        <v>92.518130206584857</v>
      </c>
      <c r="Z268" s="54">
        <f ca="1">H268*MCDA_Prioritisation!$D$3+I268*MCDA_Prioritisation!$E$3+J268*N268+K268*R268+L268*V268</f>
        <v>84.879149299195305</v>
      </c>
      <c r="AA268" s="54">
        <f ca="1">H268*MCDA_Prioritisation!$D$4+I268*MCDA_Prioritisation!$E$4+J268*O268+K268*S268+L268*W268</f>
        <v>71.253627675091607</v>
      </c>
      <c r="AB268" s="54">
        <f ca="1">H268*MCDA_Prioritisation!$D$5+I268*MCDA_Prioritisation!$E$5+J268*P268+K268*T268+L268*X268</f>
        <v>73.674525109350597</v>
      </c>
      <c r="AC268" s="54">
        <f t="shared" ca="1" si="48"/>
        <v>1</v>
      </c>
      <c r="AD268" s="54">
        <f t="shared" ca="1" si="49"/>
        <v>2</v>
      </c>
      <c r="AE268" s="54">
        <f t="shared" ca="1" si="50"/>
        <v>4</v>
      </c>
      <c r="AF268" s="54">
        <f t="shared" ca="1" si="51"/>
        <v>3</v>
      </c>
      <c r="AG268" s="54">
        <f t="shared" ca="1" si="52"/>
        <v>1</v>
      </c>
      <c r="AH268" s="54">
        <f t="shared" ca="1" si="53"/>
        <v>1</v>
      </c>
      <c r="AI268" s="54">
        <f t="shared" ca="1" si="54"/>
        <v>0</v>
      </c>
      <c r="AJ268" s="54">
        <f t="shared" ca="1" si="55"/>
        <v>1</v>
      </c>
    </row>
    <row r="269" spans="1:36" x14ac:dyDescent="0.2">
      <c r="A269" s="54">
        <v>246</v>
      </c>
      <c r="B269" s="54">
        <f ca="1">MAX(0.02,MCDA_Prioritisation!$B$9+(RAND()-0.5)*2*$B$6)</f>
        <v>0.20056411582062511</v>
      </c>
      <c r="C269" s="54">
        <f ca="1">MAX(0.02,MCDA_Prioritisation!$B$10+(RAND()-0.5)*2*$B$6)</f>
        <v>0.3055107752577006</v>
      </c>
      <c r="D269" s="54">
        <f ca="1">MAX(0.02,MCDA_Prioritisation!$B$11+(RAND()-0.5)*2*$B$6)</f>
        <v>0.2332648549200938</v>
      </c>
      <c r="E269" s="54">
        <f ca="1">MAX(0.02,MCDA_Prioritisation!$B$12+(RAND()-0.5)*2*$B$6)</f>
        <v>0.20008136777610463</v>
      </c>
      <c r="F269" s="54">
        <f ca="1">MAX(0.02,MCDA_Prioritisation!$B$13+(RAND()-0.5)*2*$B$6)</f>
        <v>9.0691847219688509E-2</v>
      </c>
      <c r="G269" s="54">
        <f t="shared" ca="1" si="42"/>
        <v>1.0301129609942126</v>
      </c>
      <c r="H269" s="54">
        <f t="shared" ca="1" si="43"/>
        <v>0.19470108950677684</v>
      </c>
      <c r="I269" s="54">
        <f t="shared" ca="1" si="44"/>
        <v>0.29657987699022559</v>
      </c>
      <c r="J269" s="54">
        <f t="shared" ca="1" si="45"/>
        <v>0.22644589841385787</v>
      </c>
      <c r="K269" s="54">
        <f t="shared" ca="1" si="46"/>
        <v>0.19423245348063214</v>
      </c>
      <c r="L269" s="54">
        <f t="shared" ca="1" si="47"/>
        <v>8.8040681608507629E-2</v>
      </c>
      <c r="M269" s="54">
        <f ca="1">MIN(100,MAX(0,MCDA_Prioritisation!$F$2+(RAND()-0.5)*2*$B$7))</f>
        <v>75.402696665287465</v>
      </c>
      <c r="N269" s="54">
        <f ca="1">MIN(100,MAX(0,MCDA_Prioritisation!$F$3+(RAND()-0.5)*2*$B$7))</f>
        <v>85.211852388905612</v>
      </c>
      <c r="O269" s="54">
        <f ca="1">MIN(100,MAX(0,MCDA_Prioritisation!$F$4+(RAND()-0.5)*2*$B$7))</f>
        <v>98.639777202366403</v>
      </c>
      <c r="P269" s="54">
        <f ca="1">MIN(100,MAX(0,MCDA_Prioritisation!$F$5+(RAND()-0.5)*2*$B$7))</f>
        <v>80.796271711539262</v>
      </c>
      <c r="Q269" s="54">
        <f ca="1">MIN(100,MAX(0,MCDA_Prioritisation!$G$2+(RAND()-0.5)*2*$B$7))</f>
        <v>84.047988700042126</v>
      </c>
      <c r="R269" s="54">
        <f ca="1">MIN(100,MAX(0,MCDA_Prioritisation!$G$3+(RAND()-0.5)*2*$B$7))</f>
        <v>94.129317050496027</v>
      </c>
      <c r="S269" s="54">
        <f ca="1">MIN(100,MAX(0,MCDA_Prioritisation!$G$4+(RAND()-0.5)*2*$B$7))</f>
        <v>82.851770152802999</v>
      </c>
      <c r="T269" s="54">
        <f ca="1">MIN(100,MAX(0,MCDA_Prioritisation!$G$5+(RAND()-0.5)*2*$B$7))</f>
        <v>61.749640688541682</v>
      </c>
      <c r="U269" s="54">
        <f ca="1">MIN(100,MAX(0,MCDA_Prioritisation!$H$2+(RAND()-0.5)*2*$B$7))</f>
        <v>60.21223253722431</v>
      </c>
      <c r="V269" s="54">
        <f ca="1">MIN(100,MAX(0,MCDA_Prioritisation!$H$3+(RAND()-0.5)*2*$B$7))</f>
        <v>64.211730259046703</v>
      </c>
      <c r="W269" s="54">
        <f ca="1">MIN(100,MAX(0,MCDA_Prioritisation!$H$4+(RAND()-0.5)*2*$B$7))</f>
        <v>71.313489968578835</v>
      </c>
      <c r="X269" s="54">
        <f ca="1">MIN(100,MAX(0,MCDA_Prioritisation!$H$5+(RAND()-0.5)*2*$B$7))</f>
        <v>68.580083236682242</v>
      </c>
      <c r="Y269" s="54">
        <f ca="1">H269*MCDA_Prioritisation!$D$2+I269*MCDA_Prioritisation!$E$2+J269*M269+K269*Q269+L269*U269</f>
        <v>87.828701087967687</v>
      </c>
      <c r="Z269" s="54">
        <f ca="1">H269*MCDA_Prioritisation!$D$3+I269*MCDA_Prioritisation!$E$3+J269*N269+K269*R269+L269*V269</f>
        <v>81.817792586807315</v>
      </c>
      <c r="AA269" s="54">
        <f ca="1">H269*MCDA_Prioritisation!$D$4+I269*MCDA_Prioritisation!$E$4+J269*O269+K269*S269+L269*W269</f>
        <v>74.442487327415961</v>
      </c>
      <c r="AB269" s="54">
        <f ca="1">H269*MCDA_Prioritisation!$D$5+I269*MCDA_Prioritisation!$E$5+J269*P269+K269*T269+L269*X269</f>
        <v>71.601210870650675</v>
      </c>
      <c r="AC269" s="54">
        <f t="shared" ca="1" si="48"/>
        <v>1</v>
      </c>
      <c r="AD269" s="54">
        <f t="shared" ca="1" si="49"/>
        <v>2</v>
      </c>
      <c r="AE269" s="54">
        <f t="shared" ca="1" si="50"/>
        <v>3</v>
      </c>
      <c r="AF269" s="54">
        <f t="shared" ca="1" si="51"/>
        <v>4</v>
      </c>
      <c r="AG269" s="54">
        <f t="shared" ca="1" si="52"/>
        <v>1</v>
      </c>
      <c r="AH269" s="54">
        <f t="shared" ca="1" si="53"/>
        <v>1</v>
      </c>
      <c r="AI269" s="54">
        <f t="shared" ca="1" si="54"/>
        <v>1</v>
      </c>
      <c r="AJ269" s="54">
        <f t="shared" ca="1" si="55"/>
        <v>1</v>
      </c>
    </row>
    <row r="270" spans="1:36" x14ac:dyDescent="0.2">
      <c r="A270" s="54">
        <v>247</v>
      </c>
      <c r="B270" s="54">
        <f ca="1">MAX(0.02,MCDA_Prioritisation!$B$9+(RAND()-0.5)*2*$B$6)</f>
        <v>0.13769725885357254</v>
      </c>
      <c r="C270" s="54">
        <f ca="1">MAX(0.02,MCDA_Prioritisation!$B$10+(RAND()-0.5)*2*$B$6)</f>
        <v>0.28869106358049312</v>
      </c>
      <c r="D270" s="54">
        <f ca="1">MAX(0.02,MCDA_Prioritisation!$B$11+(RAND()-0.5)*2*$B$6)</f>
        <v>0.21029021663435624</v>
      </c>
      <c r="E270" s="54">
        <f ca="1">MAX(0.02,MCDA_Prioritisation!$B$12+(RAND()-0.5)*2*$B$6)</f>
        <v>8.8220265728717787E-2</v>
      </c>
      <c r="F270" s="54">
        <f ca="1">MAX(0.02,MCDA_Prioritisation!$B$13+(RAND()-0.5)*2*$B$6)</f>
        <v>0.13115600933093541</v>
      </c>
      <c r="G270" s="54">
        <f t="shared" ca="1" si="42"/>
        <v>0.85605481412807505</v>
      </c>
      <c r="H270" s="54">
        <f t="shared" ca="1" si="43"/>
        <v>0.16085098358312783</v>
      </c>
      <c r="I270" s="54">
        <f t="shared" ca="1" si="44"/>
        <v>0.33723432053184133</v>
      </c>
      <c r="J270" s="54">
        <f t="shared" ca="1" si="45"/>
        <v>0.24565041065570661</v>
      </c>
      <c r="K270" s="54">
        <f t="shared" ca="1" si="46"/>
        <v>0.10305445898178091</v>
      </c>
      <c r="L270" s="54">
        <f t="shared" ca="1" si="47"/>
        <v>0.15320982624754337</v>
      </c>
      <c r="M270" s="54">
        <f ca="1">MIN(100,MAX(0,MCDA_Prioritisation!$F$2+(RAND()-0.5)*2*$B$7))</f>
        <v>84.521094941173629</v>
      </c>
      <c r="N270" s="54">
        <f ca="1">MIN(100,MAX(0,MCDA_Prioritisation!$F$3+(RAND()-0.5)*2*$B$7))</f>
        <v>99.542723764646155</v>
      </c>
      <c r="O270" s="54">
        <f ca="1">MIN(100,MAX(0,MCDA_Prioritisation!$F$4+(RAND()-0.5)*2*$B$7))</f>
        <v>91.803136764064547</v>
      </c>
      <c r="P270" s="54">
        <f ca="1">MIN(100,MAX(0,MCDA_Prioritisation!$F$5+(RAND()-0.5)*2*$B$7))</f>
        <v>78.984560298351624</v>
      </c>
      <c r="Q270" s="54">
        <f ca="1">MIN(100,MAX(0,MCDA_Prioritisation!$G$2+(RAND()-0.5)*2*$B$7))</f>
        <v>83.321206013761213</v>
      </c>
      <c r="R270" s="54">
        <f ca="1">MIN(100,MAX(0,MCDA_Prioritisation!$G$3+(RAND()-0.5)*2*$B$7))</f>
        <v>91.103594875973045</v>
      </c>
      <c r="S270" s="54">
        <f ca="1">MIN(100,MAX(0,MCDA_Prioritisation!$G$4+(RAND()-0.5)*2*$B$7))</f>
        <v>87.247226337847039</v>
      </c>
      <c r="T270" s="54">
        <f ca="1">MIN(100,MAX(0,MCDA_Prioritisation!$G$5+(RAND()-0.5)*2*$B$7))</f>
        <v>71.114187179140529</v>
      </c>
      <c r="U270" s="54">
        <f ca="1">MIN(100,MAX(0,MCDA_Prioritisation!$H$2+(RAND()-0.5)*2*$B$7))</f>
        <v>69.770338020494933</v>
      </c>
      <c r="V270" s="54">
        <f ca="1">MIN(100,MAX(0,MCDA_Prioritisation!$H$3+(RAND()-0.5)*2*$B$7))</f>
        <v>66.680322157711387</v>
      </c>
      <c r="W270" s="54">
        <f ca="1">MIN(100,MAX(0,MCDA_Prioritisation!$H$4+(RAND()-0.5)*2*$B$7))</f>
        <v>84.728222683711834</v>
      </c>
      <c r="X270" s="54">
        <f ca="1">MIN(100,MAX(0,MCDA_Prioritisation!$H$5+(RAND()-0.5)*2*$B$7))</f>
        <v>77.393702267069898</v>
      </c>
      <c r="Y270" s="54">
        <f ca="1">H270*MCDA_Prioritisation!$D$2+I270*MCDA_Prioritisation!$E$2+J270*M270+K270*Q270+L270*U270</f>
        <v>89.847295265676266</v>
      </c>
      <c r="Z270" s="54">
        <f ca="1">H270*MCDA_Prioritisation!$D$3+I270*MCDA_Prioritisation!$E$3+J270*N270+K270*R270+L270*V270</f>
        <v>82.64142318306024</v>
      </c>
      <c r="AA270" s="54">
        <f ca="1">H270*MCDA_Prioritisation!$D$4+I270*MCDA_Prioritisation!$E$4+J270*O270+K270*S270+L270*W270</f>
        <v>74.119206448893024</v>
      </c>
      <c r="AB270" s="54">
        <f ca="1">H270*MCDA_Prioritisation!$D$5+I270*MCDA_Prioritisation!$E$5+J270*P270+K270*T270+L270*X270</f>
        <v>75.484349107988407</v>
      </c>
      <c r="AC270" s="54">
        <f t="shared" ca="1" si="48"/>
        <v>1</v>
      </c>
      <c r="AD270" s="54">
        <f t="shared" ca="1" si="49"/>
        <v>2</v>
      </c>
      <c r="AE270" s="54">
        <f t="shared" ca="1" si="50"/>
        <v>4</v>
      </c>
      <c r="AF270" s="54">
        <f t="shared" ca="1" si="51"/>
        <v>3</v>
      </c>
      <c r="AG270" s="54">
        <f t="shared" ca="1" si="52"/>
        <v>1</v>
      </c>
      <c r="AH270" s="54">
        <f t="shared" ca="1" si="53"/>
        <v>1</v>
      </c>
      <c r="AI270" s="54">
        <f t="shared" ca="1" si="54"/>
        <v>0</v>
      </c>
      <c r="AJ270" s="54">
        <f t="shared" ca="1" si="55"/>
        <v>1</v>
      </c>
    </row>
    <row r="271" spans="1:36" x14ac:dyDescent="0.2">
      <c r="A271" s="54">
        <v>248</v>
      </c>
      <c r="B271" s="54">
        <f ca="1">MAX(0.02,MCDA_Prioritisation!$B$9+(RAND()-0.5)*2*$B$6)</f>
        <v>0.14614613051500286</v>
      </c>
      <c r="C271" s="54">
        <f ca="1">MAX(0.02,MCDA_Prioritisation!$B$10+(RAND()-0.5)*2*$B$6)</f>
        <v>0.31790140632055991</v>
      </c>
      <c r="D271" s="54">
        <f ca="1">MAX(0.02,MCDA_Prioritisation!$B$11+(RAND()-0.5)*2*$B$6)</f>
        <v>0.3093554843104715</v>
      </c>
      <c r="E271" s="54">
        <f ca="1">MAX(0.02,MCDA_Prioritisation!$B$12+(RAND()-0.5)*2*$B$6)</f>
        <v>0.16944465128786737</v>
      </c>
      <c r="F271" s="54">
        <f ca="1">MAX(0.02,MCDA_Prioritisation!$B$13+(RAND()-0.5)*2*$B$6)</f>
        <v>8.6094941994164717E-2</v>
      </c>
      <c r="G271" s="54">
        <f t="shared" ca="1" si="42"/>
        <v>1.0289426144280664</v>
      </c>
      <c r="H271" s="54">
        <f t="shared" ca="1" si="43"/>
        <v>0.14203525878480364</v>
      </c>
      <c r="I271" s="54">
        <f t="shared" ca="1" si="44"/>
        <v>0.30895931596463627</v>
      </c>
      <c r="J271" s="54">
        <f t="shared" ca="1" si="45"/>
        <v>0.3006537779392347</v>
      </c>
      <c r="K271" s="54">
        <f t="shared" ca="1" si="46"/>
        <v>0.16467842706860042</v>
      </c>
      <c r="L271" s="54">
        <f t="shared" ca="1" si="47"/>
        <v>8.3673220242724847E-2</v>
      </c>
      <c r="M271" s="54">
        <f ca="1">MIN(100,MAX(0,MCDA_Prioritisation!$F$2+(RAND()-0.5)*2*$B$7))</f>
        <v>78.239519825904196</v>
      </c>
      <c r="N271" s="54">
        <f ca="1">MIN(100,MAX(0,MCDA_Prioritisation!$F$3+(RAND()-0.5)*2*$B$7))</f>
        <v>100</v>
      </c>
      <c r="O271" s="54">
        <f ca="1">MIN(100,MAX(0,MCDA_Prioritisation!$F$4+(RAND()-0.5)*2*$B$7))</f>
        <v>97.451203020438996</v>
      </c>
      <c r="P271" s="54">
        <f ca="1">MIN(100,MAX(0,MCDA_Prioritisation!$F$5+(RAND()-0.5)*2*$B$7))</f>
        <v>78.570935446428564</v>
      </c>
      <c r="Q271" s="54">
        <f ca="1">MIN(100,MAX(0,MCDA_Prioritisation!$G$2+(RAND()-0.5)*2*$B$7))</f>
        <v>70.850461867003162</v>
      </c>
      <c r="R271" s="54">
        <f ca="1">MIN(100,MAX(0,MCDA_Prioritisation!$G$3+(RAND()-0.5)*2*$B$7))</f>
        <v>98.46800175403078</v>
      </c>
      <c r="S271" s="54">
        <f ca="1">MIN(100,MAX(0,MCDA_Prioritisation!$G$4+(RAND()-0.5)*2*$B$7))</f>
        <v>85.447773173577048</v>
      </c>
      <c r="T271" s="54">
        <f ca="1">MIN(100,MAX(0,MCDA_Prioritisation!$G$5+(RAND()-0.5)*2*$B$7))</f>
        <v>61.158789653622229</v>
      </c>
      <c r="U271" s="54">
        <f ca="1">MIN(100,MAX(0,MCDA_Prioritisation!$H$2+(RAND()-0.5)*2*$B$7))</f>
        <v>71.578612526667911</v>
      </c>
      <c r="V271" s="54">
        <f ca="1">MIN(100,MAX(0,MCDA_Prioritisation!$H$3+(RAND()-0.5)*2*$B$7))</f>
        <v>69.136762841958273</v>
      </c>
      <c r="W271" s="54">
        <f ca="1">MIN(100,MAX(0,MCDA_Prioritisation!$H$4+(RAND()-0.5)*2*$B$7))</f>
        <v>70.750977174274425</v>
      </c>
      <c r="X271" s="54">
        <f ca="1">MIN(100,MAX(0,MCDA_Prioritisation!$H$5+(RAND()-0.5)*2*$B$7))</f>
        <v>75.393564885377742</v>
      </c>
      <c r="Y271" s="54">
        <f ca="1">H271*MCDA_Prioritisation!$D$2+I271*MCDA_Prioritisation!$E$2+J271*M271+K271*Q271+L271*U271</f>
        <v>86.279220322708227</v>
      </c>
      <c r="Z271" s="54">
        <f ca="1">H271*MCDA_Prioritisation!$D$3+I271*MCDA_Prioritisation!$E$3+J271*N271+K271*R271+L271*V271</f>
        <v>86.949030138562449</v>
      </c>
      <c r="AA271" s="54">
        <f ca="1">H271*MCDA_Prioritisation!$D$4+I271*MCDA_Prioritisation!$E$4+J271*O271+K271*S271+L271*W271</f>
        <v>76.033266109607638</v>
      </c>
      <c r="AB271" s="54">
        <f ca="1">H271*MCDA_Prioritisation!$D$5+I271*MCDA_Prioritisation!$E$5+J271*P271+K271*T271+L271*X271</f>
        <v>73.521921716955518</v>
      </c>
      <c r="AC271" s="54">
        <f t="shared" ca="1" si="48"/>
        <v>2</v>
      </c>
      <c r="AD271" s="54">
        <f t="shared" ca="1" si="49"/>
        <v>1</v>
      </c>
      <c r="AE271" s="54">
        <f t="shared" ca="1" si="50"/>
        <v>3</v>
      </c>
      <c r="AF271" s="54">
        <f t="shared" ca="1" si="51"/>
        <v>4</v>
      </c>
      <c r="AG271" s="54">
        <f t="shared" ca="1" si="52"/>
        <v>0</v>
      </c>
      <c r="AH271" s="54">
        <f t="shared" ca="1" si="53"/>
        <v>0</v>
      </c>
      <c r="AI271" s="54">
        <f t="shared" ca="1" si="54"/>
        <v>0</v>
      </c>
      <c r="AJ271" s="54">
        <f t="shared" ca="1" si="55"/>
        <v>1</v>
      </c>
    </row>
    <row r="272" spans="1:36" x14ac:dyDescent="0.2">
      <c r="A272" s="54">
        <v>249</v>
      </c>
      <c r="B272" s="54">
        <f ca="1">MAX(0.02,MCDA_Prioritisation!$B$9+(RAND()-0.5)*2*$B$6)</f>
        <v>0.21696430853357429</v>
      </c>
      <c r="C272" s="54">
        <f ca="1">MAX(0.02,MCDA_Prioritisation!$B$10+(RAND()-0.5)*2*$B$6)</f>
        <v>0.18428923560028287</v>
      </c>
      <c r="D272" s="54">
        <f ca="1">MAX(0.02,MCDA_Prioritisation!$B$11+(RAND()-0.5)*2*$B$6)</f>
        <v>0.22384337378623068</v>
      </c>
      <c r="E272" s="54">
        <f ca="1">MAX(0.02,MCDA_Prioritisation!$B$12+(RAND()-0.5)*2*$B$6)</f>
        <v>0.15948836803939223</v>
      </c>
      <c r="F272" s="54">
        <f ca="1">MAX(0.02,MCDA_Prioritisation!$B$13+(RAND()-0.5)*2*$B$6)</f>
        <v>0.1530770948320925</v>
      </c>
      <c r="G272" s="54">
        <f t="shared" ca="1" si="42"/>
        <v>0.9376623807915726</v>
      </c>
      <c r="H272" s="54">
        <f t="shared" ca="1" si="43"/>
        <v>0.23138851784841094</v>
      </c>
      <c r="I272" s="54">
        <f t="shared" ca="1" si="44"/>
        <v>0.1965411425002529</v>
      </c>
      <c r="J272" s="54">
        <f t="shared" ca="1" si="45"/>
        <v>0.23872491674163421</v>
      </c>
      <c r="K272" s="54">
        <f t="shared" ca="1" si="46"/>
        <v>0.17009146501617403</v>
      </c>
      <c r="L272" s="54">
        <f t="shared" ca="1" si="47"/>
        <v>0.1632539578935279</v>
      </c>
      <c r="M272" s="54">
        <f ca="1">MIN(100,MAX(0,MCDA_Prioritisation!$F$2+(RAND()-0.5)*2*$B$7))</f>
        <v>79.185707925509902</v>
      </c>
      <c r="N272" s="54">
        <f ca="1">MIN(100,MAX(0,MCDA_Prioritisation!$F$3+(RAND()-0.5)*2*$B$7))</f>
        <v>96.601521411848651</v>
      </c>
      <c r="O272" s="54">
        <f ca="1">MIN(100,MAX(0,MCDA_Prioritisation!$F$4+(RAND()-0.5)*2*$B$7))</f>
        <v>83.878415139894969</v>
      </c>
      <c r="P272" s="54">
        <f ca="1">MIN(100,MAX(0,MCDA_Prioritisation!$F$5+(RAND()-0.5)*2*$B$7))</f>
        <v>77.339400208820081</v>
      </c>
      <c r="Q272" s="54">
        <f ca="1">MIN(100,MAX(0,MCDA_Prioritisation!$G$2+(RAND()-0.5)*2*$B$7))</f>
        <v>86.354486466619377</v>
      </c>
      <c r="R272" s="54">
        <f ca="1">MIN(100,MAX(0,MCDA_Prioritisation!$G$3+(RAND()-0.5)*2*$B$7))</f>
        <v>96.969617017352206</v>
      </c>
      <c r="S272" s="54">
        <f ca="1">MIN(100,MAX(0,MCDA_Prioritisation!$G$4+(RAND()-0.5)*2*$B$7))</f>
        <v>82.210040132832248</v>
      </c>
      <c r="T272" s="54">
        <f ca="1">MIN(100,MAX(0,MCDA_Prioritisation!$G$5+(RAND()-0.5)*2*$B$7))</f>
        <v>63.340822914068625</v>
      </c>
      <c r="U272" s="54">
        <f ca="1">MIN(100,MAX(0,MCDA_Prioritisation!$H$2+(RAND()-0.5)*2*$B$7))</f>
        <v>65.308122854127959</v>
      </c>
      <c r="V272" s="54">
        <f ca="1">MIN(100,MAX(0,MCDA_Prioritisation!$H$3+(RAND()-0.5)*2*$B$7))</f>
        <v>50.095480382193678</v>
      </c>
      <c r="W272" s="54">
        <f ca="1">MIN(100,MAX(0,MCDA_Prioritisation!$H$4+(RAND()-0.5)*2*$B$7))</f>
        <v>83.429416129761421</v>
      </c>
      <c r="X272" s="54">
        <f ca="1">MIN(100,MAX(0,MCDA_Prioritisation!$H$5+(RAND()-0.5)*2*$B$7))</f>
        <v>72.302162730907625</v>
      </c>
      <c r="Y272" s="54">
        <f ca="1">H272*MCDA_Prioritisation!$D$2+I272*MCDA_Prioritisation!$E$2+J272*M272+K272*Q272+L272*U272</f>
        <v>87.046538218870907</v>
      </c>
      <c r="Z272" s="54">
        <f ca="1">H272*MCDA_Prioritisation!$D$3+I272*MCDA_Prioritisation!$E$3+J272*N272+K272*R272+L272*V272</f>
        <v>82.249706195409814</v>
      </c>
      <c r="AA272" s="54">
        <f ca="1">H272*MCDA_Prioritisation!$D$4+I272*MCDA_Prioritisation!$E$4+J272*O272+K272*S272+L272*W272</f>
        <v>74.460238320694373</v>
      </c>
      <c r="AB272" s="54">
        <f ca="1">H272*MCDA_Prioritisation!$D$5+I272*MCDA_Prioritisation!$E$5+J272*P272+K272*T272+L272*X272</f>
        <v>69.848664296538871</v>
      </c>
      <c r="AC272" s="54">
        <f t="shared" ca="1" si="48"/>
        <v>1</v>
      </c>
      <c r="AD272" s="54">
        <f t="shared" ca="1" si="49"/>
        <v>2</v>
      </c>
      <c r="AE272" s="54">
        <f t="shared" ca="1" si="50"/>
        <v>3</v>
      </c>
      <c r="AF272" s="54">
        <f t="shared" ca="1" si="51"/>
        <v>4</v>
      </c>
      <c r="AG272" s="54">
        <f t="shared" ca="1" si="52"/>
        <v>1</v>
      </c>
      <c r="AH272" s="54">
        <f t="shared" ca="1" si="53"/>
        <v>1</v>
      </c>
      <c r="AI272" s="54">
        <f t="shared" ca="1" si="54"/>
        <v>1</v>
      </c>
      <c r="AJ272" s="54">
        <f t="shared" ca="1" si="55"/>
        <v>1</v>
      </c>
    </row>
    <row r="273" spans="1:36" x14ac:dyDescent="0.2">
      <c r="A273" s="54">
        <v>250</v>
      </c>
      <c r="B273" s="54">
        <f ca="1">MAX(0.02,MCDA_Prioritisation!$B$9+(RAND()-0.5)*2*$B$6)</f>
        <v>0.21625108386621375</v>
      </c>
      <c r="C273" s="54">
        <f ca="1">MAX(0.02,MCDA_Prioritisation!$B$10+(RAND()-0.5)*2*$B$6)</f>
        <v>0.18396953867450555</v>
      </c>
      <c r="D273" s="54">
        <f ca="1">MAX(0.02,MCDA_Prioritisation!$B$11+(RAND()-0.5)*2*$B$6)</f>
        <v>0.21486210529192623</v>
      </c>
      <c r="E273" s="54">
        <f ca="1">MAX(0.02,MCDA_Prioritisation!$B$12+(RAND()-0.5)*2*$B$6)</f>
        <v>0.20877897597110065</v>
      </c>
      <c r="F273" s="54">
        <f ca="1">MAX(0.02,MCDA_Prioritisation!$B$13+(RAND()-0.5)*2*$B$6)</f>
        <v>0.18294749996306447</v>
      </c>
      <c r="G273" s="54">
        <f t="shared" ca="1" si="42"/>
        <v>1.0068092037668106</v>
      </c>
      <c r="H273" s="54">
        <f t="shared" ca="1" si="43"/>
        <v>0.21478854489723176</v>
      </c>
      <c r="I273" s="54">
        <f t="shared" ca="1" si="44"/>
        <v>0.18272532470523101</v>
      </c>
      <c r="J273" s="54">
        <f t="shared" ca="1" si="45"/>
        <v>0.21340896019628655</v>
      </c>
      <c r="K273" s="54">
        <f t="shared" ca="1" si="46"/>
        <v>0.20736697200421741</v>
      </c>
      <c r="L273" s="54">
        <f t="shared" ca="1" si="47"/>
        <v>0.18171019819703332</v>
      </c>
      <c r="M273" s="54">
        <f ca="1">MIN(100,MAX(0,MCDA_Prioritisation!$F$2+(RAND()-0.5)*2*$B$7))</f>
        <v>78.555140919081964</v>
      </c>
      <c r="N273" s="54">
        <f ca="1">MIN(100,MAX(0,MCDA_Prioritisation!$F$3+(RAND()-0.5)*2*$B$7))</f>
        <v>100</v>
      </c>
      <c r="O273" s="54">
        <f ca="1">MIN(100,MAX(0,MCDA_Prioritisation!$F$4+(RAND()-0.5)*2*$B$7))</f>
        <v>95.347841171506701</v>
      </c>
      <c r="P273" s="54">
        <f ca="1">MIN(100,MAX(0,MCDA_Prioritisation!$F$5+(RAND()-0.5)*2*$B$7))</f>
        <v>80.055557435618582</v>
      </c>
      <c r="Q273" s="54">
        <f ca="1">MIN(100,MAX(0,MCDA_Prioritisation!$G$2+(RAND()-0.5)*2*$B$7))</f>
        <v>70.675867521058279</v>
      </c>
      <c r="R273" s="54">
        <f ca="1">MIN(100,MAX(0,MCDA_Prioritisation!$G$3+(RAND()-0.5)*2*$B$7))</f>
        <v>88.716169786328692</v>
      </c>
      <c r="S273" s="54">
        <f ca="1">MIN(100,MAX(0,MCDA_Prioritisation!$G$4+(RAND()-0.5)*2*$B$7))</f>
        <v>94.280858786106023</v>
      </c>
      <c r="T273" s="54">
        <f ca="1">MIN(100,MAX(0,MCDA_Prioritisation!$G$5+(RAND()-0.5)*2*$B$7))</f>
        <v>62.11526384734664</v>
      </c>
      <c r="U273" s="54">
        <f ca="1">MIN(100,MAX(0,MCDA_Prioritisation!$H$2+(RAND()-0.5)*2*$B$7))</f>
        <v>57.468977914863849</v>
      </c>
      <c r="V273" s="54">
        <f ca="1">MIN(100,MAX(0,MCDA_Prioritisation!$H$3+(RAND()-0.5)*2*$B$7))</f>
        <v>53.600884624713302</v>
      </c>
      <c r="W273" s="54">
        <f ca="1">MIN(100,MAX(0,MCDA_Prioritisation!$H$4+(RAND()-0.5)*2*$B$7))</f>
        <v>80.664009475777277</v>
      </c>
      <c r="X273" s="54">
        <f ca="1">MIN(100,MAX(0,MCDA_Prioritisation!$H$5+(RAND()-0.5)*2*$B$7))</f>
        <v>68.919605072754479</v>
      </c>
      <c r="Y273" s="54">
        <f ca="1">H273*MCDA_Prioritisation!$D$2+I273*MCDA_Prioritisation!$E$2+J273*M273+K273*Q273+L273*U273</f>
        <v>81.614297910564233</v>
      </c>
      <c r="Z273" s="54">
        <f ca="1">H273*MCDA_Prioritisation!$D$3+I273*MCDA_Prioritisation!$E$3+J273*N273+K273*R273+L273*V273</f>
        <v>81.538481342003635</v>
      </c>
      <c r="AA273" s="54">
        <f ca="1">H273*MCDA_Prioritisation!$D$4+I273*MCDA_Prioritisation!$E$4+J273*O273+K273*S273+L273*W273</f>
        <v>79.479740498600236</v>
      </c>
      <c r="AB273" s="54">
        <f ca="1">H273*MCDA_Prioritisation!$D$5+I273*MCDA_Prioritisation!$E$5+J273*P273+K273*T273+L273*X273</f>
        <v>69.254254359321948</v>
      </c>
      <c r="AC273" s="54">
        <f t="shared" ca="1" si="48"/>
        <v>1</v>
      </c>
      <c r="AD273" s="54">
        <f t="shared" ca="1" si="49"/>
        <v>2</v>
      </c>
      <c r="AE273" s="54">
        <f t="shared" ca="1" si="50"/>
        <v>3</v>
      </c>
      <c r="AF273" s="54">
        <f t="shared" ca="1" si="51"/>
        <v>4</v>
      </c>
      <c r="AG273" s="54">
        <f t="shared" ca="1" si="52"/>
        <v>1</v>
      </c>
      <c r="AH273" s="54">
        <f t="shared" ca="1" si="53"/>
        <v>1</v>
      </c>
      <c r="AI273" s="54">
        <f t="shared" ca="1" si="54"/>
        <v>1</v>
      </c>
      <c r="AJ273" s="54">
        <f t="shared" ca="1" si="55"/>
        <v>1</v>
      </c>
    </row>
    <row r="274" spans="1:36" x14ac:dyDescent="0.2">
      <c r="A274" s="54">
        <v>251</v>
      </c>
      <c r="B274" s="54">
        <f ca="1">MAX(0.02,MCDA_Prioritisation!$B$9+(RAND()-0.5)*2*$B$6)</f>
        <v>0.27284684840864021</v>
      </c>
      <c r="C274" s="54">
        <f ca="1">MAX(0.02,MCDA_Prioritisation!$B$10+(RAND()-0.5)*2*$B$6)</f>
        <v>0.29836331316105358</v>
      </c>
      <c r="D274" s="54">
        <f ca="1">MAX(0.02,MCDA_Prioritisation!$B$11+(RAND()-0.5)*2*$B$6)</f>
        <v>0.21843419935048655</v>
      </c>
      <c r="E274" s="54">
        <f ca="1">MAX(0.02,MCDA_Prioritisation!$B$12+(RAND()-0.5)*2*$B$6)</f>
        <v>0.19447607933590277</v>
      </c>
      <c r="F274" s="54">
        <f ca="1">MAX(0.02,MCDA_Prioritisation!$B$13+(RAND()-0.5)*2*$B$6)</f>
        <v>7.3030691779498599E-2</v>
      </c>
      <c r="G274" s="54">
        <f t="shared" ca="1" si="42"/>
        <v>1.0571511320355818</v>
      </c>
      <c r="H274" s="54">
        <f t="shared" ca="1" si="43"/>
        <v>0.25809634984097685</v>
      </c>
      <c r="I274" s="54">
        <f t="shared" ca="1" si="44"/>
        <v>0.28223335729352578</v>
      </c>
      <c r="J274" s="54">
        <f t="shared" ca="1" si="45"/>
        <v>0.20662532795087094</v>
      </c>
      <c r="K274" s="54">
        <f t="shared" ca="1" si="46"/>
        <v>0.18396241884680409</v>
      </c>
      <c r="L274" s="54">
        <f t="shared" ca="1" si="47"/>
        <v>6.9082546067822326E-2</v>
      </c>
      <c r="M274" s="54">
        <f ca="1">MIN(100,MAX(0,MCDA_Prioritisation!$F$2+(RAND()-0.5)*2*$B$7))</f>
        <v>83.013515167138237</v>
      </c>
      <c r="N274" s="54">
        <f ca="1">MIN(100,MAX(0,MCDA_Prioritisation!$F$3+(RAND()-0.5)*2*$B$7))</f>
        <v>99.447505186408918</v>
      </c>
      <c r="O274" s="54">
        <f ca="1">MIN(100,MAX(0,MCDA_Prioritisation!$F$4+(RAND()-0.5)*2*$B$7))</f>
        <v>84.804187418700536</v>
      </c>
      <c r="P274" s="54">
        <f ca="1">MIN(100,MAX(0,MCDA_Prioritisation!$F$5+(RAND()-0.5)*2*$B$7))</f>
        <v>71.665264162188805</v>
      </c>
      <c r="Q274" s="54">
        <f ca="1">MIN(100,MAX(0,MCDA_Prioritisation!$G$2+(RAND()-0.5)*2*$B$7))</f>
        <v>76.397840957206526</v>
      </c>
      <c r="R274" s="54">
        <f ca="1">MIN(100,MAX(0,MCDA_Prioritisation!$G$3+(RAND()-0.5)*2*$B$7))</f>
        <v>100</v>
      </c>
      <c r="S274" s="54">
        <f ca="1">MIN(100,MAX(0,MCDA_Prioritisation!$G$4+(RAND()-0.5)*2*$B$7))</f>
        <v>76.341461033655122</v>
      </c>
      <c r="T274" s="54">
        <f ca="1">MIN(100,MAX(0,MCDA_Prioritisation!$G$5+(RAND()-0.5)*2*$B$7))</f>
        <v>69.318426332144568</v>
      </c>
      <c r="U274" s="54">
        <f ca="1">MIN(100,MAX(0,MCDA_Prioritisation!$H$2+(RAND()-0.5)*2*$B$7))</f>
        <v>62.432437061110157</v>
      </c>
      <c r="V274" s="54">
        <f ca="1">MIN(100,MAX(0,MCDA_Prioritisation!$H$3+(RAND()-0.5)*2*$B$7))</f>
        <v>68.503139539503209</v>
      </c>
      <c r="W274" s="54">
        <f ca="1">MIN(100,MAX(0,MCDA_Prioritisation!$H$4+(RAND()-0.5)*2*$B$7))</f>
        <v>72.847382494756815</v>
      </c>
      <c r="X274" s="54">
        <f ca="1">MIN(100,MAX(0,MCDA_Prioritisation!$H$5+(RAND()-0.5)*2*$B$7))</f>
        <v>70.307936055792482</v>
      </c>
      <c r="Y274" s="54">
        <f ca="1">H274*MCDA_Prioritisation!$D$2+I274*MCDA_Prioritisation!$E$2+J274*M274+K274*Q274+L274*U274</f>
        <v>89.552988835776517</v>
      </c>
      <c r="Z274" s="54">
        <f ca="1">H274*MCDA_Prioritisation!$D$3+I274*MCDA_Prioritisation!$E$3+J274*N274+K274*R274+L274*V274</f>
        <v>86.759854099998336</v>
      </c>
      <c r="AA274" s="54">
        <f ca="1">H274*MCDA_Prioritisation!$D$4+I274*MCDA_Prioritisation!$E$4+J274*O274+K274*S274+L274*W274</f>
        <v>69.965994843192519</v>
      </c>
      <c r="AB274" s="54">
        <f ca="1">H274*MCDA_Prioritisation!$D$5+I274*MCDA_Prioritisation!$E$5+J274*P274+K274*T274+L274*X274</f>
        <v>69.848848338592433</v>
      </c>
      <c r="AC274" s="54">
        <f t="shared" ca="1" si="48"/>
        <v>1</v>
      </c>
      <c r="AD274" s="54">
        <f t="shared" ca="1" si="49"/>
        <v>2</v>
      </c>
      <c r="AE274" s="54">
        <f t="shared" ca="1" si="50"/>
        <v>3</v>
      </c>
      <c r="AF274" s="54">
        <f t="shared" ca="1" si="51"/>
        <v>4</v>
      </c>
      <c r="AG274" s="54">
        <f t="shared" ca="1" si="52"/>
        <v>1</v>
      </c>
      <c r="AH274" s="54">
        <f t="shared" ca="1" si="53"/>
        <v>1</v>
      </c>
      <c r="AI274" s="54">
        <f t="shared" ca="1" si="54"/>
        <v>1</v>
      </c>
      <c r="AJ274" s="54">
        <f t="shared" ca="1" si="55"/>
        <v>1</v>
      </c>
    </row>
    <row r="275" spans="1:36" x14ac:dyDescent="0.2">
      <c r="A275" s="54">
        <v>252</v>
      </c>
      <c r="B275" s="54">
        <f ca="1">MAX(0.02,MCDA_Prioritisation!$B$9+(RAND()-0.5)*2*$B$6)</f>
        <v>0.20920511589408378</v>
      </c>
      <c r="C275" s="54">
        <f ca="1">MAX(0.02,MCDA_Prioritisation!$B$10+(RAND()-0.5)*2*$B$6)</f>
        <v>0.17168482659764039</v>
      </c>
      <c r="D275" s="54">
        <f ca="1">MAX(0.02,MCDA_Prioritisation!$B$11+(RAND()-0.5)*2*$B$6)</f>
        <v>0.31395442253623523</v>
      </c>
      <c r="E275" s="54">
        <f ca="1">MAX(0.02,MCDA_Prioritisation!$B$12+(RAND()-0.5)*2*$B$6)</f>
        <v>9.3752490942632605E-2</v>
      </c>
      <c r="F275" s="54">
        <f ca="1">MAX(0.02,MCDA_Prioritisation!$B$13+(RAND()-0.5)*2*$B$6)</f>
        <v>8.173788828930538E-2</v>
      </c>
      <c r="G275" s="54">
        <f t="shared" ca="1" si="42"/>
        <v>0.87033474425989743</v>
      </c>
      <c r="H275" s="54">
        <f t="shared" ca="1" si="43"/>
        <v>0.24037316362910982</v>
      </c>
      <c r="I275" s="54">
        <f t="shared" ca="1" si="44"/>
        <v>0.19726298154813438</v>
      </c>
      <c r="J275" s="54">
        <f t="shared" ca="1" si="45"/>
        <v>0.36072835722904667</v>
      </c>
      <c r="K275" s="54">
        <f t="shared" ca="1" si="46"/>
        <v>0.10772003710176649</v>
      </c>
      <c r="L275" s="54">
        <f t="shared" ca="1" si="47"/>
        <v>9.3915460491942618E-2</v>
      </c>
      <c r="M275" s="54">
        <f ca="1">MIN(100,MAX(0,MCDA_Prioritisation!$F$2+(RAND()-0.5)*2*$B$7))</f>
        <v>91.565449013714456</v>
      </c>
      <c r="N275" s="54">
        <f ca="1">MIN(100,MAX(0,MCDA_Prioritisation!$F$3+(RAND()-0.5)*2*$B$7))</f>
        <v>100</v>
      </c>
      <c r="O275" s="54">
        <f ca="1">MIN(100,MAX(0,MCDA_Prioritisation!$F$4+(RAND()-0.5)*2*$B$7))</f>
        <v>96.481705677758413</v>
      </c>
      <c r="P275" s="54">
        <f ca="1">MIN(100,MAX(0,MCDA_Prioritisation!$F$5+(RAND()-0.5)*2*$B$7))</f>
        <v>75.127487543043756</v>
      </c>
      <c r="Q275" s="54">
        <f ca="1">MIN(100,MAX(0,MCDA_Prioritisation!$G$2+(RAND()-0.5)*2*$B$7))</f>
        <v>79.815451219559577</v>
      </c>
      <c r="R275" s="54">
        <f ca="1">MIN(100,MAX(0,MCDA_Prioritisation!$G$3+(RAND()-0.5)*2*$B$7))</f>
        <v>95.644191685821269</v>
      </c>
      <c r="S275" s="54">
        <f ca="1">MIN(100,MAX(0,MCDA_Prioritisation!$G$4+(RAND()-0.5)*2*$B$7))</f>
        <v>90.469258438200939</v>
      </c>
      <c r="T275" s="54">
        <f ca="1">MIN(100,MAX(0,MCDA_Prioritisation!$G$5+(RAND()-0.5)*2*$B$7))</f>
        <v>73.986910770144476</v>
      </c>
      <c r="U275" s="54">
        <f ca="1">MIN(100,MAX(0,MCDA_Prioritisation!$H$2+(RAND()-0.5)*2*$B$7))</f>
        <v>58.130467323540884</v>
      </c>
      <c r="V275" s="54">
        <f ca="1">MIN(100,MAX(0,MCDA_Prioritisation!$H$3+(RAND()-0.5)*2*$B$7))</f>
        <v>62.486318629367858</v>
      </c>
      <c r="W275" s="54">
        <f ca="1">MIN(100,MAX(0,MCDA_Prioritisation!$H$4+(RAND()-0.5)*2*$B$7))</f>
        <v>86.315418184984082</v>
      </c>
      <c r="X275" s="54">
        <f ca="1">MIN(100,MAX(0,MCDA_Prioritisation!$H$5+(RAND()-0.5)*2*$B$7))</f>
        <v>82.473888073893036</v>
      </c>
      <c r="Y275" s="54">
        <f ca="1">H275*MCDA_Prioritisation!$D$2+I275*MCDA_Prioritisation!$E$2+J275*M275+K275*Q275+L275*U275</f>
        <v>90.85094149334904</v>
      </c>
      <c r="Z275" s="54">
        <f ca="1">H275*MCDA_Prioritisation!$D$3+I275*MCDA_Prioritisation!$E$3+J275*N275+K275*R275+L275*V275</f>
        <v>87.598316390538528</v>
      </c>
      <c r="AA275" s="54">
        <f ca="1">H275*MCDA_Prioritisation!$D$4+I275*MCDA_Prioritisation!$E$4+J275*O275+K275*S275+L275*W275</f>
        <v>80.153364364564055</v>
      </c>
      <c r="AB275" s="54">
        <f ca="1">H275*MCDA_Prioritisation!$D$5+I275*MCDA_Prioritisation!$E$5+J275*P275+K275*T275+L275*X275</f>
        <v>72.162104111645618</v>
      </c>
      <c r="AC275" s="54">
        <f t="shared" ca="1" si="48"/>
        <v>1</v>
      </c>
      <c r="AD275" s="54">
        <f t="shared" ca="1" si="49"/>
        <v>2</v>
      </c>
      <c r="AE275" s="54">
        <f t="shared" ca="1" si="50"/>
        <v>3</v>
      </c>
      <c r="AF275" s="54">
        <f t="shared" ca="1" si="51"/>
        <v>4</v>
      </c>
      <c r="AG275" s="54">
        <f t="shared" ca="1" si="52"/>
        <v>1</v>
      </c>
      <c r="AH275" s="54">
        <f t="shared" ca="1" si="53"/>
        <v>1</v>
      </c>
      <c r="AI275" s="54">
        <f t="shared" ca="1" si="54"/>
        <v>1</v>
      </c>
      <c r="AJ275" s="54">
        <f t="shared" ca="1" si="55"/>
        <v>1</v>
      </c>
    </row>
    <row r="276" spans="1:36" x14ac:dyDescent="0.2">
      <c r="A276" s="54">
        <v>253</v>
      </c>
      <c r="B276" s="54">
        <f ca="1">MAX(0.02,MCDA_Prioritisation!$B$9+(RAND()-0.5)*2*$B$6)</f>
        <v>0.16719077484730377</v>
      </c>
      <c r="C276" s="54">
        <f ca="1">MAX(0.02,MCDA_Prioritisation!$B$10+(RAND()-0.5)*2*$B$6)</f>
        <v>0.22213464897247157</v>
      </c>
      <c r="D276" s="54">
        <f ca="1">MAX(0.02,MCDA_Prioritisation!$B$11+(RAND()-0.5)*2*$B$6)</f>
        <v>0.21166678946822476</v>
      </c>
      <c r="E276" s="54">
        <f ca="1">MAX(0.02,MCDA_Prioritisation!$B$12+(RAND()-0.5)*2*$B$6)</f>
        <v>0.12659882424539406</v>
      </c>
      <c r="F276" s="54">
        <f ca="1">MAX(0.02,MCDA_Prioritisation!$B$13+(RAND()-0.5)*2*$B$6)</f>
        <v>0.16955672072230651</v>
      </c>
      <c r="G276" s="54">
        <f t="shared" ca="1" si="42"/>
        <v>0.8971477582557007</v>
      </c>
      <c r="H276" s="54">
        <f t="shared" ca="1" si="43"/>
        <v>0.18635812585918748</v>
      </c>
      <c r="I276" s="54">
        <f t="shared" ca="1" si="44"/>
        <v>0.24760096308367505</v>
      </c>
      <c r="J276" s="54">
        <f t="shared" ca="1" si="45"/>
        <v>0.23593303056317344</v>
      </c>
      <c r="K276" s="54">
        <f t="shared" ca="1" si="46"/>
        <v>0.14111256822570301</v>
      </c>
      <c r="L276" s="54">
        <f t="shared" ca="1" si="47"/>
        <v>0.18899531226826102</v>
      </c>
      <c r="M276" s="54">
        <f ca="1">MIN(100,MAX(0,MCDA_Prioritisation!$F$2+(RAND()-0.5)*2*$B$7))</f>
        <v>81.978612318054189</v>
      </c>
      <c r="N276" s="54">
        <f ca="1">MIN(100,MAX(0,MCDA_Prioritisation!$F$3+(RAND()-0.5)*2*$B$7))</f>
        <v>92.435672273446229</v>
      </c>
      <c r="O276" s="54">
        <f ca="1">MIN(100,MAX(0,MCDA_Prioritisation!$F$4+(RAND()-0.5)*2*$B$7))</f>
        <v>85.43924117212552</v>
      </c>
      <c r="P276" s="54">
        <f ca="1">MIN(100,MAX(0,MCDA_Prioritisation!$F$5+(RAND()-0.5)*2*$B$7))</f>
        <v>72.49729246124042</v>
      </c>
      <c r="Q276" s="54">
        <f ca="1">MIN(100,MAX(0,MCDA_Prioritisation!$G$2+(RAND()-0.5)*2*$B$7))</f>
        <v>71.793823495311528</v>
      </c>
      <c r="R276" s="54">
        <f ca="1">MIN(100,MAX(0,MCDA_Prioritisation!$G$3+(RAND()-0.5)*2*$B$7))</f>
        <v>87.928166944465971</v>
      </c>
      <c r="S276" s="54">
        <f ca="1">MIN(100,MAX(0,MCDA_Prioritisation!$G$4+(RAND()-0.5)*2*$B$7))</f>
        <v>88.283466802963474</v>
      </c>
      <c r="T276" s="54">
        <f ca="1">MIN(100,MAX(0,MCDA_Prioritisation!$G$5+(RAND()-0.5)*2*$B$7))</f>
        <v>63.983349369565737</v>
      </c>
      <c r="U276" s="54">
        <f ca="1">MIN(100,MAX(0,MCDA_Prioritisation!$H$2+(RAND()-0.5)*2*$B$7))</f>
        <v>67.858604947347885</v>
      </c>
      <c r="V276" s="54">
        <f ca="1">MIN(100,MAX(0,MCDA_Prioritisation!$H$3+(RAND()-0.5)*2*$B$7))</f>
        <v>57.794072289136494</v>
      </c>
      <c r="W276" s="54">
        <f ca="1">MIN(100,MAX(0,MCDA_Prioritisation!$H$4+(RAND()-0.5)*2*$B$7))</f>
        <v>84.544620269244092</v>
      </c>
      <c r="X276" s="54">
        <f ca="1">MIN(100,MAX(0,MCDA_Prioritisation!$H$5+(RAND()-0.5)*2*$B$7))</f>
        <v>73.961459446570288</v>
      </c>
      <c r="Y276" s="54">
        <f ca="1">H276*MCDA_Prioritisation!$D$2+I276*MCDA_Prioritisation!$E$2+J276*M276+K276*Q276+L276*U276</f>
        <v>85.693340388127083</v>
      </c>
      <c r="Z276" s="54">
        <f ca="1">H276*MCDA_Prioritisation!$D$3+I276*MCDA_Prioritisation!$E$3+J276*N276+K276*R276+L276*V276</f>
        <v>79.433660428293237</v>
      </c>
      <c r="AA276" s="54">
        <f ca="1">H276*MCDA_Prioritisation!$D$4+I276*MCDA_Prioritisation!$E$4+J276*O276+K276*S276+L276*W276</f>
        <v>75.076774176712945</v>
      </c>
      <c r="AB276" s="54">
        <f ca="1">H276*MCDA_Prioritisation!$D$5+I276*MCDA_Prioritisation!$E$5+J276*P276+K276*T276+L276*X276</f>
        <v>70.823843228145961</v>
      </c>
      <c r="AC276" s="54">
        <f t="shared" ca="1" si="48"/>
        <v>1</v>
      </c>
      <c r="AD276" s="54">
        <f t="shared" ca="1" si="49"/>
        <v>2</v>
      </c>
      <c r="AE276" s="54">
        <f t="shared" ca="1" si="50"/>
        <v>3</v>
      </c>
      <c r="AF276" s="54">
        <f t="shared" ca="1" si="51"/>
        <v>4</v>
      </c>
      <c r="AG276" s="54">
        <f t="shared" ca="1" si="52"/>
        <v>1</v>
      </c>
      <c r="AH276" s="54">
        <f t="shared" ca="1" si="53"/>
        <v>1</v>
      </c>
      <c r="AI276" s="54">
        <f t="shared" ca="1" si="54"/>
        <v>1</v>
      </c>
      <c r="AJ276" s="54">
        <f t="shared" ca="1" si="55"/>
        <v>1</v>
      </c>
    </row>
    <row r="277" spans="1:36" x14ac:dyDescent="0.2">
      <c r="A277" s="54">
        <v>254</v>
      </c>
      <c r="B277" s="54">
        <f ca="1">MAX(0.02,MCDA_Prioritisation!$B$9+(RAND()-0.5)*2*$B$6)</f>
        <v>0.16999864839977499</v>
      </c>
      <c r="C277" s="54">
        <f ca="1">MAX(0.02,MCDA_Prioritisation!$B$10+(RAND()-0.5)*2*$B$6)</f>
        <v>0.30914320008526103</v>
      </c>
      <c r="D277" s="54">
        <f ca="1">MAX(0.02,MCDA_Prioritisation!$B$11+(RAND()-0.5)*2*$B$6)</f>
        <v>0.23231188187911578</v>
      </c>
      <c r="E277" s="54">
        <f ca="1">MAX(0.02,MCDA_Prioritisation!$B$12+(RAND()-0.5)*2*$B$6)</f>
        <v>7.4031785635542094E-2</v>
      </c>
      <c r="F277" s="54">
        <f ca="1">MAX(0.02,MCDA_Prioritisation!$B$13+(RAND()-0.5)*2*$B$6)</f>
        <v>0.21065467189766515</v>
      </c>
      <c r="G277" s="54">
        <f t="shared" ca="1" si="42"/>
        <v>0.99614018789735914</v>
      </c>
      <c r="H277" s="54">
        <f t="shared" ca="1" si="43"/>
        <v>0.17065735371906451</v>
      </c>
      <c r="I277" s="54">
        <f t="shared" ca="1" si="44"/>
        <v>0.31034105825787112</v>
      </c>
      <c r="J277" s="54">
        <f t="shared" ca="1" si="45"/>
        <v>0.23321203652015782</v>
      </c>
      <c r="K277" s="54">
        <f t="shared" ca="1" si="46"/>
        <v>7.4318641627949489E-2</v>
      </c>
      <c r="L277" s="54">
        <f t="shared" ca="1" si="47"/>
        <v>0.21147090987495698</v>
      </c>
      <c r="M277" s="54">
        <f ca="1">MIN(100,MAX(0,MCDA_Prioritisation!$F$2+(RAND()-0.5)*2*$B$7))</f>
        <v>78.641986118354552</v>
      </c>
      <c r="N277" s="54">
        <f ca="1">MIN(100,MAX(0,MCDA_Prioritisation!$F$3+(RAND()-0.5)*2*$B$7))</f>
        <v>97.023881464582729</v>
      </c>
      <c r="O277" s="54">
        <f ca="1">MIN(100,MAX(0,MCDA_Prioritisation!$F$4+(RAND()-0.5)*2*$B$7))</f>
        <v>85.009443300435933</v>
      </c>
      <c r="P277" s="54">
        <f ca="1">MIN(100,MAX(0,MCDA_Prioritisation!$F$5+(RAND()-0.5)*2*$B$7))</f>
        <v>66.783557652406841</v>
      </c>
      <c r="Q277" s="54">
        <f ca="1">MIN(100,MAX(0,MCDA_Prioritisation!$G$2+(RAND()-0.5)*2*$B$7))</f>
        <v>86.137782018776605</v>
      </c>
      <c r="R277" s="54">
        <f ca="1">MIN(100,MAX(0,MCDA_Prioritisation!$G$3+(RAND()-0.5)*2*$B$7))</f>
        <v>92.703859093448997</v>
      </c>
      <c r="S277" s="54">
        <f ca="1">MIN(100,MAX(0,MCDA_Prioritisation!$G$4+(RAND()-0.5)*2*$B$7))</f>
        <v>79.680532229608076</v>
      </c>
      <c r="T277" s="54">
        <f ca="1">MIN(100,MAX(0,MCDA_Prioritisation!$G$5+(RAND()-0.5)*2*$B$7))</f>
        <v>77.851690104688601</v>
      </c>
      <c r="U277" s="54">
        <f ca="1">MIN(100,MAX(0,MCDA_Prioritisation!$H$2+(RAND()-0.5)*2*$B$7))</f>
        <v>62.073089466187952</v>
      </c>
      <c r="V277" s="54">
        <f ca="1">MIN(100,MAX(0,MCDA_Prioritisation!$H$3+(RAND()-0.5)*2*$B$7))</f>
        <v>55.867312471379464</v>
      </c>
      <c r="W277" s="54">
        <f ca="1">MIN(100,MAX(0,MCDA_Prioritisation!$H$4+(RAND()-0.5)*2*$B$7))</f>
        <v>87.942548940620739</v>
      </c>
      <c r="X277" s="54">
        <f ca="1">MIN(100,MAX(0,MCDA_Prioritisation!$H$5+(RAND()-0.5)*2*$B$7))</f>
        <v>75.331973258156253</v>
      </c>
      <c r="Y277" s="54">
        <f ca="1">H277*MCDA_Prioritisation!$D$2+I277*MCDA_Prioritisation!$E$2+J277*M277+K277*Q277+L277*U277</f>
        <v>85.96839459698927</v>
      </c>
      <c r="Z277" s="54">
        <f ca="1">H277*MCDA_Prioritisation!$D$3+I277*MCDA_Prioritisation!$E$3+J277*N277+K277*R277+L277*V277</f>
        <v>78.8162453634352</v>
      </c>
      <c r="AA277" s="54">
        <f ca="1">H277*MCDA_Prioritisation!$D$4+I277*MCDA_Prioritisation!$E$4+J277*O277+K277*S277+L277*W277</f>
        <v>73.155534129597541</v>
      </c>
      <c r="AB277" s="54">
        <f ca="1">H277*MCDA_Prioritisation!$D$5+I277*MCDA_Prioritisation!$E$5+J277*P277+K277*T277+L277*X277</f>
        <v>72.445734891197318</v>
      </c>
      <c r="AC277" s="54">
        <f t="shared" ca="1" si="48"/>
        <v>1</v>
      </c>
      <c r="AD277" s="54">
        <f t="shared" ca="1" si="49"/>
        <v>2</v>
      </c>
      <c r="AE277" s="54">
        <f t="shared" ca="1" si="50"/>
        <v>3</v>
      </c>
      <c r="AF277" s="54">
        <f t="shared" ca="1" si="51"/>
        <v>4</v>
      </c>
      <c r="AG277" s="54">
        <f t="shared" ca="1" si="52"/>
        <v>1</v>
      </c>
      <c r="AH277" s="54">
        <f t="shared" ca="1" si="53"/>
        <v>1</v>
      </c>
      <c r="AI277" s="54">
        <f t="shared" ca="1" si="54"/>
        <v>1</v>
      </c>
      <c r="AJ277" s="54">
        <f t="shared" ca="1" si="55"/>
        <v>1</v>
      </c>
    </row>
    <row r="278" spans="1:36" x14ac:dyDescent="0.2">
      <c r="A278" s="54">
        <v>255</v>
      </c>
      <c r="B278" s="54">
        <f ca="1">MAX(0.02,MCDA_Prioritisation!$B$9+(RAND()-0.5)*2*$B$6)</f>
        <v>0.17142676783229657</v>
      </c>
      <c r="C278" s="54">
        <f ca="1">MAX(0.02,MCDA_Prioritisation!$B$10+(RAND()-0.5)*2*$B$6)</f>
        <v>0.31101653134576474</v>
      </c>
      <c r="D278" s="54">
        <f ca="1">MAX(0.02,MCDA_Prioritisation!$B$11+(RAND()-0.5)*2*$B$6)</f>
        <v>0.28636778084309961</v>
      </c>
      <c r="E278" s="54">
        <f ca="1">MAX(0.02,MCDA_Prioritisation!$B$12+(RAND()-0.5)*2*$B$6)</f>
        <v>0.17660256387905249</v>
      </c>
      <c r="F278" s="54">
        <f ca="1">MAX(0.02,MCDA_Prioritisation!$B$13+(RAND()-0.5)*2*$B$6)</f>
        <v>8.826460396177685E-2</v>
      </c>
      <c r="G278" s="54">
        <f t="shared" ca="1" si="42"/>
        <v>1.0336782478619904</v>
      </c>
      <c r="H278" s="54">
        <f t="shared" ca="1" si="43"/>
        <v>0.16584151614573231</v>
      </c>
      <c r="I278" s="54">
        <f t="shared" ca="1" si="44"/>
        <v>0.30088330869790109</v>
      </c>
      <c r="J278" s="54">
        <f t="shared" ca="1" si="45"/>
        <v>0.27703763858377473</v>
      </c>
      <c r="K278" s="54">
        <f t="shared" ca="1" si="46"/>
        <v>0.1708486796973126</v>
      </c>
      <c r="L278" s="54">
        <f t="shared" ca="1" si="47"/>
        <v>8.5388856875279182E-2</v>
      </c>
      <c r="M278" s="54">
        <f ca="1">MIN(100,MAX(0,MCDA_Prioritisation!$F$2+(RAND()-0.5)*2*$B$7))</f>
        <v>83.957775259315881</v>
      </c>
      <c r="N278" s="54">
        <f ca="1">MIN(100,MAX(0,MCDA_Prioritisation!$F$3+(RAND()-0.5)*2*$B$7))</f>
        <v>90.015946808300299</v>
      </c>
      <c r="O278" s="54">
        <f ca="1">MIN(100,MAX(0,MCDA_Prioritisation!$F$4+(RAND()-0.5)*2*$B$7))</f>
        <v>92.062777079128978</v>
      </c>
      <c r="P278" s="54">
        <f ca="1">MIN(100,MAX(0,MCDA_Prioritisation!$F$5+(RAND()-0.5)*2*$B$7))</f>
        <v>70.044738374081348</v>
      </c>
      <c r="Q278" s="54">
        <f ca="1">MIN(100,MAX(0,MCDA_Prioritisation!$G$2+(RAND()-0.5)*2*$B$7))</f>
        <v>79.971895859136239</v>
      </c>
      <c r="R278" s="54">
        <f ca="1">MIN(100,MAX(0,MCDA_Prioritisation!$G$3+(RAND()-0.5)*2*$B$7))</f>
        <v>94.498009070797082</v>
      </c>
      <c r="S278" s="54">
        <f ca="1">MIN(100,MAX(0,MCDA_Prioritisation!$G$4+(RAND()-0.5)*2*$B$7))</f>
        <v>88.138015734914717</v>
      </c>
      <c r="T278" s="54">
        <f ca="1">MIN(100,MAX(0,MCDA_Prioritisation!$G$5+(RAND()-0.5)*2*$B$7))</f>
        <v>79.847343814456849</v>
      </c>
      <c r="U278" s="54">
        <f ca="1">MIN(100,MAX(0,MCDA_Prioritisation!$H$2+(RAND()-0.5)*2*$B$7))</f>
        <v>66.455821258219061</v>
      </c>
      <c r="V278" s="54">
        <f ca="1">MIN(100,MAX(0,MCDA_Prioritisation!$H$3+(RAND()-0.5)*2*$B$7))</f>
        <v>65.683701395687052</v>
      </c>
      <c r="W278" s="54">
        <f ca="1">MIN(100,MAX(0,MCDA_Prioritisation!$H$4+(RAND()-0.5)*2*$B$7))</f>
        <v>70.465451754632539</v>
      </c>
      <c r="X278" s="54">
        <f ca="1">MIN(100,MAX(0,MCDA_Prioritisation!$H$5+(RAND()-0.5)*2*$B$7))</f>
        <v>66.491507060410356</v>
      </c>
      <c r="Y278" s="54">
        <f ca="1">H278*MCDA_Prioritisation!$D$2+I278*MCDA_Prioritisation!$E$2+J278*M278+K278*Q278+L278*U278</f>
        <v>89.269625713323094</v>
      </c>
      <c r="Z278" s="54">
        <f ca="1">H278*MCDA_Prioritisation!$D$3+I278*MCDA_Prioritisation!$E$3+J278*N278+K278*R278+L278*V278</f>
        <v>83.067768379911058</v>
      </c>
      <c r="AA278" s="54">
        <f ca="1">H278*MCDA_Prioritisation!$D$4+I278*MCDA_Prioritisation!$E$4+J278*O278+K278*S278+L278*W278</f>
        <v>74.540127463864366</v>
      </c>
      <c r="AB278" s="54">
        <f ca="1">H278*MCDA_Prioritisation!$D$5+I278*MCDA_Prioritisation!$E$5+J278*P278+K278*T278+L278*X278</f>
        <v>72.828212959739403</v>
      </c>
      <c r="AC278" s="54">
        <f t="shared" ca="1" si="48"/>
        <v>1</v>
      </c>
      <c r="AD278" s="54">
        <f t="shared" ca="1" si="49"/>
        <v>2</v>
      </c>
      <c r="AE278" s="54">
        <f t="shared" ca="1" si="50"/>
        <v>3</v>
      </c>
      <c r="AF278" s="54">
        <f t="shared" ca="1" si="51"/>
        <v>4</v>
      </c>
      <c r="AG278" s="54">
        <f t="shared" ca="1" si="52"/>
        <v>1</v>
      </c>
      <c r="AH278" s="54">
        <f t="shared" ca="1" si="53"/>
        <v>1</v>
      </c>
      <c r="AI278" s="54">
        <f t="shared" ca="1" si="54"/>
        <v>1</v>
      </c>
      <c r="AJ278" s="54">
        <f t="shared" ca="1" si="55"/>
        <v>1</v>
      </c>
    </row>
    <row r="279" spans="1:36" x14ac:dyDescent="0.2">
      <c r="A279" s="54">
        <v>256</v>
      </c>
      <c r="B279" s="54">
        <f ca="1">MAX(0.02,MCDA_Prioritisation!$B$9+(RAND()-0.5)*2*$B$6)</f>
        <v>0.22515111201503427</v>
      </c>
      <c r="C279" s="54">
        <f ca="1">MAX(0.02,MCDA_Prioritisation!$B$10+(RAND()-0.5)*2*$B$6)</f>
        <v>0.25465546124504446</v>
      </c>
      <c r="D279" s="54">
        <f ca="1">MAX(0.02,MCDA_Prioritisation!$B$11+(RAND()-0.5)*2*$B$6)</f>
        <v>0.2946999588117919</v>
      </c>
      <c r="E279" s="54">
        <f ca="1">MAX(0.02,MCDA_Prioritisation!$B$12+(RAND()-0.5)*2*$B$6)</f>
        <v>8.4416026705686181E-2</v>
      </c>
      <c r="F279" s="54">
        <f ca="1">MAX(0.02,MCDA_Prioritisation!$B$13+(RAND()-0.5)*2*$B$6)</f>
        <v>0.2146236047346548</v>
      </c>
      <c r="G279" s="54">
        <f t="shared" ca="1" si="42"/>
        <v>1.0735461635122117</v>
      </c>
      <c r="H279" s="54">
        <f t="shared" ca="1" si="43"/>
        <v>0.20972653032304667</v>
      </c>
      <c r="I279" s="54">
        <f t="shared" ca="1" si="44"/>
        <v>0.23720960485938875</v>
      </c>
      <c r="J279" s="54">
        <f t="shared" ca="1" si="45"/>
        <v>0.27451074655946983</v>
      </c>
      <c r="K279" s="54">
        <f t="shared" ca="1" si="46"/>
        <v>7.8632880051949391E-2</v>
      </c>
      <c r="L279" s="54">
        <f t="shared" ca="1" si="47"/>
        <v>0.19992023820614532</v>
      </c>
      <c r="M279" s="54">
        <f ca="1">MIN(100,MAX(0,MCDA_Prioritisation!$F$2+(RAND()-0.5)*2*$B$7))</f>
        <v>88.19431731701448</v>
      </c>
      <c r="N279" s="54">
        <f ca="1">MIN(100,MAX(0,MCDA_Prioritisation!$F$3+(RAND()-0.5)*2*$B$7))</f>
        <v>98.539406296779859</v>
      </c>
      <c r="O279" s="54">
        <f ca="1">MIN(100,MAX(0,MCDA_Prioritisation!$F$4+(RAND()-0.5)*2*$B$7))</f>
        <v>80.32049930383026</v>
      </c>
      <c r="P279" s="54">
        <f ca="1">MIN(100,MAX(0,MCDA_Prioritisation!$F$5+(RAND()-0.5)*2*$B$7))</f>
        <v>70.092676385924207</v>
      </c>
      <c r="Q279" s="54">
        <f ca="1">MIN(100,MAX(0,MCDA_Prioritisation!$G$2+(RAND()-0.5)*2*$B$7))</f>
        <v>85.536925475081119</v>
      </c>
      <c r="R279" s="54">
        <f ca="1">MIN(100,MAX(0,MCDA_Prioritisation!$G$3+(RAND()-0.5)*2*$B$7))</f>
        <v>89.750796592679251</v>
      </c>
      <c r="S279" s="54">
        <f ca="1">MIN(100,MAX(0,MCDA_Prioritisation!$G$4+(RAND()-0.5)*2*$B$7))</f>
        <v>75.035692795702317</v>
      </c>
      <c r="T279" s="54">
        <f ca="1">MIN(100,MAX(0,MCDA_Prioritisation!$G$5+(RAND()-0.5)*2*$B$7))</f>
        <v>62.771971365177144</v>
      </c>
      <c r="U279" s="54">
        <f ca="1">MIN(100,MAX(0,MCDA_Prioritisation!$H$2+(RAND()-0.5)*2*$B$7))</f>
        <v>61.637903433159543</v>
      </c>
      <c r="V279" s="54">
        <f ca="1">MIN(100,MAX(0,MCDA_Prioritisation!$H$3+(RAND()-0.5)*2*$B$7))</f>
        <v>65.211024292723039</v>
      </c>
      <c r="W279" s="54">
        <f ca="1">MIN(100,MAX(0,MCDA_Prioritisation!$H$4+(RAND()-0.5)*2*$B$7))</f>
        <v>73.674673395271455</v>
      </c>
      <c r="X279" s="54">
        <f ca="1">MIN(100,MAX(0,MCDA_Prioritisation!$H$5+(RAND()-0.5)*2*$B$7))</f>
        <v>78.224808476382861</v>
      </c>
      <c r="Y279" s="54">
        <f ca="1">H279*MCDA_Prioritisation!$D$2+I279*MCDA_Prioritisation!$E$2+J279*M279+K279*Q279+L279*U279</f>
        <v>87.952580545019188</v>
      </c>
      <c r="Z279" s="54">
        <f ca="1">H279*MCDA_Prioritisation!$D$3+I279*MCDA_Prioritisation!$E$3+J279*N279+K279*R279+L279*V279</f>
        <v>82.725536606690909</v>
      </c>
      <c r="AA279" s="54">
        <f ca="1">H279*MCDA_Prioritisation!$D$4+I279*MCDA_Prioritisation!$E$4+J279*O279+K279*S279+L279*W279</f>
        <v>70.220999506877376</v>
      </c>
      <c r="AB279" s="54">
        <f ca="1">H279*MCDA_Prioritisation!$D$5+I279*MCDA_Prioritisation!$E$5+J279*P279+K279*T279+L279*X279</f>
        <v>70.894449696126898</v>
      </c>
      <c r="AC279" s="54">
        <f t="shared" ca="1" si="48"/>
        <v>1</v>
      </c>
      <c r="AD279" s="54">
        <f t="shared" ca="1" si="49"/>
        <v>2</v>
      </c>
      <c r="AE279" s="54">
        <f t="shared" ca="1" si="50"/>
        <v>4</v>
      </c>
      <c r="AF279" s="54">
        <f t="shared" ca="1" si="51"/>
        <v>3</v>
      </c>
      <c r="AG279" s="54">
        <f t="shared" ca="1" si="52"/>
        <v>1</v>
      </c>
      <c r="AH279" s="54">
        <f t="shared" ca="1" si="53"/>
        <v>1</v>
      </c>
      <c r="AI279" s="54">
        <f t="shared" ca="1" si="54"/>
        <v>0</v>
      </c>
      <c r="AJ279" s="54">
        <f t="shared" ca="1" si="55"/>
        <v>1</v>
      </c>
    </row>
    <row r="280" spans="1:36" x14ac:dyDescent="0.2">
      <c r="A280" s="54">
        <v>257</v>
      </c>
      <c r="B280" s="54">
        <f ca="1">MAX(0.02,MCDA_Prioritisation!$B$9+(RAND()-0.5)*2*$B$6)</f>
        <v>0.15019282945359086</v>
      </c>
      <c r="C280" s="54">
        <f ca="1">MAX(0.02,MCDA_Prioritisation!$B$10+(RAND()-0.5)*2*$B$6)</f>
        <v>0.31079808252938357</v>
      </c>
      <c r="D280" s="54">
        <f ca="1">MAX(0.02,MCDA_Prioritisation!$B$11+(RAND()-0.5)*2*$B$6)</f>
        <v>0.18853871274497838</v>
      </c>
      <c r="E280" s="54">
        <f ca="1">MAX(0.02,MCDA_Prioritisation!$B$12+(RAND()-0.5)*2*$B$6)</f>
        <v>0.12658066076888816</v>
      </c>
      <c r="F280" s="54">
        <f ca="1">MAX(0.02,MCDA_Prioritisation!$B$13+(RAND()-0.5)*2*$B$6)</f>
        <v>9.3239397949762159E-2</v>
      </c>
      <c r="G280" s="54">
        <f t="shared" ref="G280:G343" ca="1" si="56">SUM(B280:F280)</f>
        <v>0.86934968344660324</v>
      </c>
      <c r="H280" s="54">
        <f t="shared" ref="H280:H343" ca="1" si="57">B280/$G280</f>
        <v>0.17276457599678408</v>
      </c>
      <c r="I280" s="54">
        <f t="shared" ref="I280:I343" ca="1" si="58">C280/$G280</f>
        <v>0.35750640789009186</v>
      </c>
      <c r="J280" s="54">
        <f t="shared" ref="J280:J343" ca="1" si="59">D280/$G280</f>
        <v>0.21687327474199133</v>
      </c>
      <c r="K280" s="54">
        <f t="shared" ref="K280:K343" ca="1" si="60">E280/$G280</f>
        <v>0.14560384984215954</v>
      </c>
      <c r="L280" s="54">
        <f t="shared" ref="L280:L343" ca="1" si="61">F280/$G280</f>
        <v>0.10725189152897306</v>
      </c>
      <c r="M280" s="54">
        <f ca="1">MIN(100,MAX(0,MCDA_Prioritisation!$F$2+(RAND()-0.5)*2*$B$7))</f>
        <v>94.821919515868018</v>
      </c>
      <c r="N280" s="54">
        <f ca="1">MIN(100,MAX(0,MCDA_Prioritisation!$F$3+(RAND()-0.5)*2*$B$7))</f>
        <v>96.877587231066556</v>
      </c>
      <c r="O280" s="54">
        <f ca="1">MIN(100,MAX(0,MCDA_Prioritisation!$F$4+(RAND()-0.5)*2*$B$7))</f>
        <v>84.205665915825705</v>
      </c>
      <c r="P280" s="54">
        <f ca="1">MIN(100,MAX(0,MCDA_Prioritisation!$F$5+(RAND()-0.5)*2*$B$7))</f>
        <v>81.691257264166225</v>
      </c>
      <c r="Q280" s="54">
        <f ca="1">MIN(100,MAX(0,MCDA_Prioritisation!$G$2+(RAND()-0.5)*2*$B$7))</f>
        <v>88.090361330356814</v>
      </c>
      <c r="R280" s="54">
        <f ca="1">MIN(100,MAX(0,MCDA_Prioritisation!$G$3+(RAND()-0.5)*2*$B$7))</f>
        <v>100</v>
      </c>
      <c r="S280" s="54">
        <f ca="1">MIN(100,MAX(0,MCDA_Prioritisation!$G$4+(RAND()-0.5)*2*$B$7))</f>
        <v>79.298687127038733</v>
      </c>
      <c r="T280" s="54">
        <f ca="1">MIN(100,MAX(0,MCDA_Prioritisation!$G$5+(RAND()-0.5)*2*$B$7))</f>
        <v>66.742155977831516</v>
      </c>
      <c r="U280" s="54">
        <f ca="1">MIN(100,MAX(0,MCDA_Prioritisation!$H$2+(RAND()-0.5)*2*$B$7))</f>
        <v>56.357598042313342</v>
      </c>
      <c r="V280" s="54">
        <f ca="1">MIN(100,MAX(0,MCDA_Prioritisation!$H$3+(RAND()-0.5)*2*$B$7))</f>
        <v>69.391705480964006</v>
      </c>
      <c r="W280" s="54">
        <f ca="1">MIN(100,MAX(0,MCDA_Prioritisation!$H$4+(RAND()-0.5)*2*$B$7))</f>
        <v>80.39557943330729</v>
      </c>
      <c r="X280" s="54">
        <f ca="1">MIN(100,MAX(0,MCDA_Prioritisation!$H$5+(RAND()-0.5)*2*$B$7))</f>
        <v>81.835327274577807</v>
      </c>
      <c r="Y280" s="54">
        <f ca="1">H280*MCDA_Prioritisation!$D$2+I280*MCDA_Prioritisation!$E$2+J280*M280+K280*Q280+L280*U280</f>
        <v>92.462193327169942</v>
      </c>
      <c r="Z280" s="54">
        <f ca="1">H280*MCDA_Prioritisation!$D$3+I280*MCDA_Prioritisation!$E$3+J280*N280+K280*R280+L280*V280</f>
        <v>84.112480151949981</v>
      </c>
      <c r="AA280" s="54">
        <f ca="1">H280*MCDA_Prioritisation!$D$4+I280*MCDA_Prioritisation!$E$4+J280*O280+K280*S280+L280*W280</f>
        <v>69.961389596663423</v>
      </c>
      <c r="AB280" s="54">
        <f ca="1">H280*MCDA_Prioritisation!$D$5+I280*MCDA_Prioritisation!$E$5+J280*P280+K280*T280+L280*X280</f>
        <v>75.444231427925189</v>
      </c>
      <c r="AC280" s="54">
        <f t="shared" ref="AC280:AC343" ca="1" si="62">SUMPRODUCT(--($Y280:$AB280&gt;Y280))+1</f>
        <v>1</v>
      </c>
      <c r="AD280" s="54">
        <f t="shared" ref="AD280:AD343" ca="1" si="63">SUMPRODUCT(--($Y280:$AB280&gt;Z280))+1</f>
        <v>2</v>
      </c>
      <c r="AE280" s="54">
        <f t="shared" ref="AE280:AE343" ca="1" si="64">SUMPRODUCT(--($Y280:$AB280&gt;AA280))+1</f>
        <v>4</v>
      </c>
      <c r="AF280" s="54">
        <f t="shared" ref="AF280:AF343" ca="1" si="65">SUMPRODUCT(--($Y280:$AB280&gt;AB280))+1</f>
        <v>3</v>
      </c>
      <c r="AG280" s="54">
        <f t="shared" ref="AG280:AG343" ca="1" si="66">IF(AC280=1,1,0)</f>
        <v>1</v>
      </c>
      <c r="AH280" s="54">
        <f t="shared" ref="AH280:AH343" ca="1" si="67">IF(AD280=2,1,0)</f>
        <v>1</v>
      </c>
      <c r="AI280" s="54">
        <f t="shared" ref="AI280:AI343" ca="1" si="68">IF(AND(AC280=1,AD280=2,AE280=3,AF280=4),1,0)</f>
        <v>0</v>
      </c>
      <c r="AJ280" s="54">
        <f t="shared" ref="AJ280:AJ343" ca="1" si="69">IF(AND(AC280&lt;=2,AD280&lt;=2),1,0)</f>
        <v>1</v>
      </c>
    </row>
    <row r="281" spans="1:36" x14ac:dyDescent="0.2">
      <c r="A281" s="54">
        <v>258</v>
      </c>
      <c r="B281" s="54">
        <f ca="1">MAX(0.02,MCDA_Prioritisation!$B$9+(RAND()-0.5)*2*$B$6)</f>
        <v>0.20022828173327781</v>
      </c>
      <c r="C281" s="54">
        <f ca="1">MAX(0.02,MCDA_Prioritisation!$B$10+(RAND()-0.5)*2*$B$6)</f>
        <v>0.3189079188214522</v>
      </c>
      <c r="D281" s="54">
        <f ca="1">MAX(0.02,MCDA_Prioritisation!$B$11+(RAND()-0.5)*2*$B$6)</f>
        <v>0.32974538434854384</v>
      </c>
      <c r="E281" s="54">
        <f ca="1">MAX(0.02,MCDA_Prioritisation!$B$12+(RAND()-0.5)*2*$B$6)</f>
        <v>0.16416605905389126</v>
      </c>
      <c r="F281" s="54">
        <f ca="1">MAX(0.02,MCDA_Prioritisation!$B$13+(RAND()-0.5)*2*$B$6)</f>
        <v>0.10946967142350386</v>
      </c>
      <c r="G281" s="54">
        <f t="shared" ca="1" si="56"/>
        <v>1.1225173153806691</v>
      </c>
      <c r="H281" s="54">
        <f t="shared" ca="1" si="57"/>
        <v>0.17837433684965137</v>
      </c>
      <c r="I281" s="54">
        <f t="shared" ca="1" si="58"/>
        <v>0.28410066771513798</v>
      </c>
      <c r="J281" s="54">
        <f t="shared" ca="1" si="59"/>
        <v>0.29375527649363725</v>
      </c>
      <c r="K281" s="54">
        <f t="shared" ca="1" si="60"/>
        <v>0.14624813070096751</v>
      </c>
      <c r="L281" s="54">
        <f t="shared" ca="1" si="61"/>
        <v>9.7521588240605805E-2</v>
      </c>
      <c r="M281" s="54">
        <f ca="1">MIN(100,MAX(0,MCDA_Prioritisation!$F$2+(RAND()-0.5)*2*$B$7))</f>
        <v>76.399607340361143</v>
      </c>
      <c r="N281" s="54">
        <f ca="1">MIN(100,MAX(0,MCDA_Prioritisation!$F$3+(RAND()-0.5)*2*$B$7))</f>
        <v>91.346728759676026</v>
      </c>
      <c r="O281" s="54">
        <f ca="1">MIN(100,MAX(0,MCDA_Prioritisation!$F$4+(RAND()-0.5)*2*$B$7))</f>
        <v>84.47683764766667</v>
      </c>
      <c r="P281" s="54">
        <f ca="1">MIN(100,MAX(0,MCDA_Prioritisation!$F$5+(RAND()-0.5)*2*$B$7))</f>
        <v>81.148562669006992</v>
      </c>
      <c r="Q281" s="54">
        <f ca="1">MIN(100,MAX(0,MCDA_Prioritisation!$G$2+(RAND()-0.5)*2*$B$7))</f>
        <v>80.005715844555198</v>
      </c>
      <c r="R281" s="54">
        <f ca="1">MIN(100,MAX(0,MCDA_Prioritisation!$G$3+(RAND()-0.5)*2*$B$7))</f>
        <v>100</v>
      </c>
      <c r="S281" s="54">
        <f ca="1">MIN(100,MAX(0,MCDA_Prioritisation!$G$4+(RAND()-0.5)*2*$B$7))</f>
        <v>91.138427114637864</v>
      </c>
      <c r="T281" s="54">
        <f ca="1">MIN(100,MAX(0,MCDA_Prioritisation!$G$5+(RAND()-0.5)*2*$B$7))</f>
        <v>67.505821451178164</v>
      </c>
      <c r="U281" s="54">
        <f ca="1">MIN(100,MAX(0,MCDA_Prioritisation!$H$2+(RAND()-0.5)*2*$B$7))</f>
        <v>68.644095357784778</v>
      </c>
      <c r="V281" s="54">
        <f ca="1">MIN(100,MAX(0,MCDA_Prioritisation!$H$3+(RAND()-0.5)*2*$B$7))</f>
        <v>57.771255179544433</v>
      </c>
      <c r="W281" s="54">
        <f ca="1">MIN(100,MAX(0,MCDA_Prioritisation!$H$4+(RAND()-0.5)*2*$B$7))</f>
        <v>72.001717181449109</v>
      </c>
      <c r="X281" s="54">
        <f ca="1">MIN(100,MAX(0,MCDA_Prioritisation!$H$5+(RAND()-0.5)*2*$B$7))</f>
        <v>73.464862164446458</v>
      </c>
      <c r="Y281" s="54">
        <f ca="1">H281*MCDA_Prioritisation!$D$2+I281*MCDA_Prioritisation!$E$2+J281*M281+K281*Q281+L281*U281</f>
        <v>87.085255825041784</v>
      </c>
      <c r="Z281" s="54">
        <f ca="1">H281*MCDA_Prioritisation!$D$3+I281*MCDA_Prioritisation!$E$3+J281*N281+K281*R281+L281*V281</f>
        <v>83.343561182115664</v>
      </c>
      <c r="AA281" s="54">
        <f ca="1">H281*MCDA_Prioritisation!$D$4+I281*MCDA_Prioritisation!$E$4+J281*O281+K281*S281+L281*W281</f>
        <v>73.083403500540626</v>
      </c>
      <c r="AB281" s="54">
        <f ca="1">H281*MCDA_Prioritisation!$D$5+I281*MCDA_Prioritisation!$E$5+J281*P281+K281*T281+L281*X281</f>
        <v>74.232488771893983</v>
      </c>
      <c r="AC281" s="54">
        <f t="shared" ca="1" si="62"/>
        <v>1</v>
      </c>
      <c r="AD281" s="54">
        <f t="shared" ca="1" si="63"/>
        <v>2</v>
      </c>
      <c r="AE281" s="54">
        <f t="shared" ca="1" si="64"/>
        <v>4</v>
      </c>
      <c r="AF281" s="54">
        <f t="shared" ca="1" si="65"/>
        <v>3</v>
      </c>
      <c r="AG281" s="54">
        <f t="shared" ca="1" si="66"/>
        <v>1</v>
      </c>
      <c r="AH281" s="54">
        <f t="shared" ca="1" si="67"/>
        <v>1</v>
      </c>
      <c r="AI281" s="54">
        <f t="shared" ca="1" si="68"/>
        <v>0</v>
      </c>
      <c r="AJ281" s="54">
        <f t="shared" ca="1" si="69"/>
        <v>1</v>
      </c>
    </row>
    <row r="282" spans="1:36" x14ac:dyDescent="0.2">
      <c r="A282" s="54">
        <v>259</v>
      </c>
      <c r="B282" s="54">
        <f ca="1">MAX(0.02,MCDA_Prioritisation!$B$9+(RAND()-0.5)*2*$B$6)</f>
        <v>0.13338174404674269</v>
      </c>
      <c r="C282" s="54">
        <f ca="1">MAX(0.02,MCDA_Prioritisation!$B$10+(RAND()-0.5)*2*$B$6)</f>
        <v>0.25986148549152449</v>
      </c>
      <c r="D282" s="54">
        <f ca="1">MAX(0.02,MCDA_Prioritisation!$B$11+(RAND()-0.5)*2*$B$6)</f>
        <v>0.2679769628923897</v>
      </c>
      <c r="E282" s="54">
        <f ca="1">MAX(0.02,MCDA_Prioritisation!$B$12+(RAND()-0.5)*2*$B$6)</f>
        <v>0.18902111670508509</v>
      </c>
      <c r="F282" s="54">
        <f ca="1">MAX(0.02,MCDA_Prioritisation!$B$13+(RAND()-0.5)*2*$B$6)</f>
        <v>8.7370857408315808E-2</v>
      </c>
      <c r="G282" s="54">
        <f t="shared" ca="1" si="56"/>
        <v>0.93761216654405777</v>
      </c>
      <c r="H282" s="54">
        <f t="shared" ca="1" si="57"/>
        <v>0.14225684009452874</v>
      </c>
      <c r="I282" s="54">
        <f t="shared" ca="1" si="58"/>
        <v>0.2771524248126464</v>
      </c>
      <c r="J282" s="54">
        <f t="shared" ca="1" si="59"/>
        <v>0.28580789846203181</v>
      </c>
      <c r="K282" s="54">
        <f t="shared" ca="1" si="60"/>
        <v>0.20159840438269644</v>
      </c>
      <c r="L282" s="54">
        <f t="shared" ca="1" si="61"/>
        <v>9.3184432248096596E-2</v>
      </c>
      <c r="M282" s="54">
        <f ca="1">MIN(100,MAX(0,MCDA_Prioritisation!$F$2+(RAND()-0.5)*2*$B$7))</f>
        <v>84.458881378400008</v>
      </c>
      <c r="N282" s="54">
        <f ca="1">MIN(100,MAX(0,MCDA_Prioritisation!$F$3+(RAND()-0.5)*2*$B$7))</f>
        <v>93.009205483708428</v>
      </c>
      <c r="O282" s="54">
        <f ca="1">MIN(100,MAX(0,MCDA_Prioritisation!$F$4+(RAND()-0.5)*2*$B$7))</f>
        <v>92.089761668439237</v>
      </c>
      <c r="P282" s="54">
        <f ca="1">MIN(100,MAX(0,MCDA_Prioritisation!$F$5+(RAND()-0.5)*2*$B$7))</f>
        <v>74.760187777507724</v>
      </c>
      <c r="Q282" s="54">
        <f ca="1">MIN(100,MAX(0,MCDA_Prioritisation!$G$2+(RAND()-0.5)*2*$B$7))</f>
        <v>74.584142935217955</v>
      </c>
      <c r="R282" s="54">
        <f ca="1">MIN(100,MAX(0,MCDA_Prioritisation!$G$3+(RAND()-0.5)*2*$B$7))</f>
        <v>89.827253660136023</v>
      </c>
      <c r="S282" s="54">
        <f ca="1">MIN(100,MAX(0,MCDA_Prioritisation!$G$4+(RAND()-0.5)*2*$B$7))</f>
        <v>88.993814410675142</v>
      </c>
      <c r="T282" s="54">
        <f ca="1">MIN(100,MAX(0,MCDA_Prioritisation!$G$5+(RAND()-0.5)*2*$B$7))</f>
        <v>69.677852072528466</v>
      </c>
      <c r="U282" s="54">
        <f ca="1">MIN(100,MAX(0,MCDA_Prioritisation!$H$2+(RAND()-0.5)*2*$B$7))</f>
        <v>60.327008872559368</v>
      </c>
      <c r="V282" s="54">
        <f ca="1">MIN(100,MAX(0,MCDA_Prioritisation!$H$3+(RAND()-0.5)*2*$B$7))</f>
        <v>54.550335371791185</v>
      </c>
      <c r="W282" s="54">
        <f ca="1">MIN(100,MAX(0,MCDA_Prioritisation!$H$4+(RAND()-0.5)*2*$B$7))</f>
        <v>80.769605177171471</v>
      </c>
      <c r="X282" s="54">
        <f ca="1">MIN(100,MAX(0,MCDA_Prioritisation!$H$5+(RAND()-0.5)*2*$B$7))</f>
        <v>67.191071654320467</v>
      </c>
      <c r="Y282" s="54">
        <f ca="1">H282*MCDA_Prioritisation!$D$2+I282*MCDA_Prioritisation!$E$2+J282*M282+K282*Q282+L282*U282</f>
        <v>86.737524162938286</v>
      </c>
      <c r="Z282" s="54">
        <f ca="1">H282*MCDA_Prioritisation!$D$3+I282*MCDA_Prioritisation!$E$3+J282*N282+K282*R282+L282*V282</f>
        <v>82.364376769193157</v>
      </c>
      <c r="AA282" s="54">
        <f ca="1">H282*MCDA_Prioritisation!$D$4+I282*MCDA_Prioritisation!$E$4+J282*O282+K282*S282+L282*W282</f>
        <v>76.810797101602731</v>
      </c>
      <c r="AB282" s="54">
        <f ca="1">H282*MCDA_Prioritisation!$D$5+I282*MCDA_Prioritisation!$E$5+J282*P282+K282*T282+L282*X282</f>
        <v>72.531565550706574</v>
      </c>
      <c r="AC282" s="54">
        <f t="shared" ca="1" si="62"/>
        <v>1</v>
      </c>
      <c r="AD282" s="54">
        <f t="shared" ca="1" si="63"/>
        <v>2</v>
      </c>
      <c r="AE282" s="54">
        <f t="shared" ca="1" si="64"/>
        <v>3</v>
      </c>
      <c r="AF282" s="54">
        <f t="shared" ca="1" si="65"/>
        <v>4</v>
      </c>
      <c r="AG282" s="54">
        <f t="shared" ca="1" si="66"/>
        <v>1</v>
      </c>
      <c r="AH282" s="54">
        <f t="shared" ca="1" si="67"/>
        <v>1</v>
      </c>
      <c r="AI282" s="54">
        <f t="shared" ca="1" si="68"/>
        <v>1</v>
      </c>
      <c r="AJ282" s="54">
        <f t="shared" ca="1" si="69"/>
        <v>1</v>
      </c>
    </row>
    <row r="283" spans="1:36" x14ac:dyDescent="0.2">
      <c r="A283" s="54">
        <v>260</v>
      </c>
      <c r="B283" s="54">
        <f ca="1">MAX(0.02,MCDA_Prioritisation!$B$9+(RAND()-0.5)*2*$B$6)</f>
        <v>0.26066134010527675</v>
      </c>
      <c r="C283" s="54">
        <f ca="1">MAX(0.02,MCDA_Prioritisation!$B$10+(RAND()-0.5)*2*$B$6)</f>
        <v>0.21217611200667968</v>
      </c>
      <c r="D283" s="54">
        <f ca="1">MAX(0.02,MCDA_Prioritisation!$B$11+(RAND()-0.5)*2*$B$6)</f>
        <v>0.22262369753862954</v>
      </c>
      <c r="E283" s="54">
        <f ca="1">MAX(0.02,MCDA_Prioritisation!$B$12+(RAND()-0.5)*2*$B$6)</f>
        <v>0.21065331578839211</v>
      </c>
      <c r="F283" s="54">
        <f ca="1">MAX(0.02,MCDA_Prioritisation!$B$13+(RAND()-0.5)*2*$B$6)</f>
        <v>7.364668609434516E-2</v>
      </c>
      <c r="G283" s="54">
        <f t="shared" ca="1" si="56"/>
        <v>0.97976115153332333</v>
      </c>
      <c r="H283" s="54">
        <f t="shared" ca="1" si="57"/>
        <v>0.26604580075188988</v>
      </c>
      <c r="I283" s="54">
        <f t="shared" ca="1" si="58"/>
        <v>0.21655901713864109</v>
      </c>
      <c r="J283" s="54">
        <f t="shared" ca="1" si="59"/>
        <v>0.22722241761701217</v>
      </c>
      <c r="K283" s="54">
        <f t="shared" ca="1" si="60"/>
        <v>0.21500476463954535</v>
      </c>
      <c r="L283" s="54">
        <f t="shared" ca="1" si="61"/>
        <v>7.5167999852911407E-2</v>
      </c>
      <c r="M283" s="54">
        <f ca="1">MIN(100,MAX(0,MCDA_Prioritisation!$F$2+(RAND()-0.5)*2*$B$7))</f>
        <v>80.372136793355921</v>
      </c>
      <c r="N283" s="54">
        <f ca="1">MIN(100,MAX(0,MCDA_Prioritisation!$F$3+(RAND()-0.5)*2*$B$7))</f>
        <v>97.244610047183286</v>
      </c>
      <c r="O283" s="54">
        <f ca="1">MIN(100,MAX(0,MCDA_Prioritisation!$F$4+(RAND()-0.5)*2*$B$7))</f>
        <v>86.71027367918883</v>
      </c>
      <c r="P283" s="54">
        <f ca="1">MIN(100,MAX(0,MCDA_Prioritisation!$F$5+(RAND()-0.5)*2*$B$7))</f>
        <v>80.846129885441883</v>
      </c>
      <c r="Q283" s="54">
        <f ca="1">MIN(100,MAX(0,MCDA_Prioritisation!$G$2+(RAND()-0.5)*2*$B$7))</f>
        <v>74.075449219233235</v>
      </c>
      <c r="R283" s="54">
        <f ca="1">MIN(100,MAX(0,MCDA_Prioritisation!$G$3+(RAND()-0.5)*2*$B$7))</f>
        <v>86.182526631241188</v>
      </c>
      <c r="S283" s="54">
        <f ca="1">MIN(100,MAX(0,MCDA_Prioritisation!$G$4+(RAND()-0.5)*2*$B$7))</f>
        <v>78.970043747743375</v>
      </c>
      <c r="T283" s="54">
        <f ca="1">MIN(100,MAX(0,MCDA_Prioritisation!$G$5+(RAND()-0.5)*2*$B$7))</f>
        <v>63.215166137545523</v>
      </c>
      <c r="U283" s="54">
        <f ca="1">MIN(100,MAX(0,MCDA_Prioritisation!$H$2+(RAND()-0.5)*2*$B$7))</f>
        <v>69.093467092468998</v>
      </c>
      <c r="V283" s="54">
        <f ca="1">MIN(100,MAX(0,MCDA_Prioritisation!$H$3+(RAND()-0.5)*2*$B$7))</f>
        <v>62.216760792431764</v>
      </c>
      <c r="W283" s="54">
        <f ca="1">MIN(100,MAX(0,MCDA_Prioritisation!$H$4+(RAND()-0.5)*2*$B$7))</f>
        <v>88.871282875104058</v>
      </c>
      <c r="X283" s="54">
        <f ca="1">MIN(100,MAX(0,MCDA_Prioritisation!$H$5+(RAND()-0.5)*2*$B$7))</f>
        <v>72.055329689424767</v>
      </c>
      <c r="Y283" s="54">
        <f ca="1">H283*MCDA_Prioritisation!$D$2+I283*MCDA_Prioritisation!$E$2+J283*M283+K283*Q283+L283*U283</f>
        <v>87.643025269478343</v>
      </c>
      <c r="Z283" s="54">
        <f ca="1">H283*MCDA_Prioritisation!$D$3+I283*MCDA_Prioritisation!$E$3+J283*N283+K283*R283+L283*V283</f>
        <v>84.303827500720089</v>
      </c>
      <c r="AA283" s="54">
        <f ca="1">H283*MCDA_Prioritisation!$D$4+I283*MCDA_Prioritisation!$E$4+J283*O283+K283*S283+L283*W283</f>
        <v>73.699905878359999</v>
      </c>
      <c r="AB283" s="54">
        <f ca="1">H283*MCDA_Prioritisation!$D$5+I283*MCDA_Prioritisation!$E$5+J283*P283+K283*T283+L283*X283</f>
        <v>69.709132247391139</v>
      </c>
      <c r="AC283" s="54">
        <f t="shared" ca="1" si="62"/>
        <v>1</v>
      </c>
      <c r="AD283" s="54">
        <f t="shared" ca="1" si="63"/>
        <v>2</v>
      </c>
      <c r="AE283" s="54">
        <f t="shared" ca="1" si="64"/>
        <v>3</v>
      </c>
      <c r="AF283" s="54">
        <f t="shared" ca="1" si="65"/>
        <v>4</v>
      </c>
      <c r="AG283" s="54">
        <f t="shared" ca="1" si="66"/>
        <v>1</v>
      </c>
      <c r="AH283" s="54">
        <f t="shared" ca="1" si="67"/>
        <v>1</v>
      </c>
      <c r="AI283" s="54">
        <f t="shared" ca="1" si="68"/>
        <v>1</v>
      </c>
      <c r="AJ283" s="54">
        <f t="shared" ca="1" si="69"/>
        <v>1</v>
      </c>
    </row>
    <row r="284" spans="1:36" x14ac:dyDescent="0.2">
      <c r="A284" s="54">
        <v>261</v>
      </c>
      <c r="B284" s="54">
        <f ca="1">MAX(0.02,MCDA_Prioritisation!$B$9+(RAND()-0.5)*2*$B$6)</f>
        <v>0.26844760544524848</v>
      </c>
      <c r="C284" s="54">
        <f ca="1">MAX(0.02,MCDA_Prioritisation!$B$10+(RAND()-0.5)*2*$B$6)</f>
        <v>0.30402130915089892</v>
      </c>
      <c r="D284" s="54">
        <f ca="1">MAX(0.02,MCDA_Prioritisation!$B$11+(RAND()-0.5)*2*$B$6)</f>
        <v>0.22328068672156554</v>
      </c>
      <c r="E284" s="54">
        <f ca="1">MAX(0.02,MCDA_Prioritisation!$B$12+(RAND()-0.5)*2*$B$6)</f>
        <v>0.16947168778928079</v>
      </c>
      <c r="F284" s="54">
        <f ca="1">MAX(0.02,MCDA_Prioritisation!$B$13+(RAND()-0.5)*2*$B$6)</f>
        <v>0.12912232756077802</v>
      </c>
      <c r="G284" s="54">
        <f t="shared" ca="1" si="56"/>
        <v>1.0943436166677718</v>
      </c>
      <c r="H284" s="54">
        <f t="shared" ca="1" si="57"/>
        <v>0.24530467520124952</v>
      </c>
      <c r="I284" s="54">
        <f t="shared" ca="1" si="58"/>
        <v>0.27781156167075788</v>
      </c>
      <c r="J284" s="54">
        <f t="shared" ca="1" si="59"/>
        <v>0.20403160700241979</v>
      </c>
      <c r="K284" s="54">
        <f t="shared" ca="1" si="60"/>
        <v>0.15486149433147389</v>
      </c>
      <c r="L284" s="54">
        <f t="shared" ca="1" si="61"/>
        <v>0.11799066179409885</v>
      </c>
      <c r="M284" s="54">
        <f ca="1">MIN(100,MAX(0,MCDA_Prioritisation!$F$2+(RAND()-0.5)*2*$B$7))</f>
        <v>91.4723740788139</v>
      </c>
      <c r="N284" s="54">
        <f ca="1">MIN(100,MAX(0,MCDA_Prioritisation!$F$3+(RAND()-0.5)*2*$B$7))</f>
        <v>100</v>
      </c>
      <c r="O284" s="54">
        <f ca="1">MIN(100,MAX(0,MCDA_Prioritisation!$F$4+(RAND()-0.5)*2*$B$7))</f>
        <v>95.286381390901042</v>
      </c>
      <c r="P284" s="54">
        <f ca="1">MIN(100,MAX(0,MCDA_Prioritisation!$F$5+(RAND()-0.5)*2*$B$7))</f>
        <v>68.142287826106013</v>
      </c>
      <c r="Q284" s="54">
        <f ca="1">MIN(100,MAX(0,MCDA_Prioritisation!$G$2+(RAND()-0.5)*2*$B$7))</f>
        <v>70.755506483314548</v>
      </c>
      <c r="R284" s="54">
        <f ca="1">MIN(100,MAX(0,MCDA_Prioritisation!$G$3+(RAND()-0.5)*2*$B$7))</f>
        <v>99.095759623626805</v>
      </c>
      <c r="S284" s="54">
        <f ca="1">MIN(100,MAX(0,MCDA_Prioritisation!$G$4+(RAND()-0.5)*2*$B$7))</f>
        <v>81.445973385896366</v>
      </c>
      <c r="T284" s="54">
        <f ca="1">MIN(100,MAX(0,MCDA_Prioritisation!$G$5+(RAND()-0.5)*2*$B$7))</f>
        <v>78.178708815222137</v>
      </c>
      <c r="U284" s="54">
        <f ca="1">MIN(100,MAX(0,MCDA_Prioritisation!$H$2+(RAND()-0.5)*2*$B$7))</f>
        <v>68.695734733332387</v>
      </c>
      <c r="V284" s="54">
        <f ca="1">MIN(100,MAX(0,MCDA_Prioritisation!$H$3+(RAND()-0.5)*2*$B$7))</f>
        <v>60.01851598460496</v>
      </c>
      <c r="W284" s="54">
        <f ca="1">MIN(100,MAX(0,MCDA_Prioritisation!$H$4+(RAND()-0.5)*2*$B$7))</f>
        <v>75.615121988087481</v>
      </c>
      <c r="X284" s="54">
        <f ca="1">MIN(100,MAX(0,MCDA_Prioritisation!$H$5+(RAND()-0.5)*2*$B$7))</f>
        <v>81.795094759302316</v>
      </c>
      <c r="Y284" s="54">
        <f ca="1">H284*MCDA_Prioritisation!$D$2+I284*MCDA_Prioritisation!$E$2+J284*M284+K284*Q284+L284*U284</f>
        <v>90.037637836631745</v>
      </c>
      <c r="Z284" s="54">
        <f ca="1">H284*MCDA_Prioritisation!$D$3+I284*MCDA_Prioritisation!$E$3+J284*N284+K284*R284+L284*V284</f>
        <v>84.474233019089496</v>
      </c>
      <c r="AA284" s="54">
        <f ca="1">H284*MCDA_Prioritisation!$D$4+I284*MCDA_Prioritisation!$E$4+J284*O284+K284*S284+L284*W284</f>
        <v>73.211090393584897</v>
      </c>
      <c r="AB284" s="54">
        <f ca="1">H284*MCDA_Prioritisation!$D$5+I284*MCDA_Prioritisation!$E$5+J284*P284+K284*T284+L284*X284</f>
        <v>72.042300214796896</v>
      </c>
      <c r="AC284" s="54">
        <f t="shared" ca="1" si="62"/>
        <v>1</v>
      </c>
      <c r="AD284" s="54">
        <f t="shared" ca="1" si="63"/>
        <v>2</v>
      </c>
      <c r="AE284" s="54">
        <f t="shared" ca="1" si="64"/>
        <v>3</v>
      </c>
      <c r="AF284" s="54">
        <f t="shared" ca="1" si="65"/>
        <v>4</v>
      </c>
      <c r="AG284" s="54">
        <f t="shared" ca="1" si="66"/>
        <v>1</v>
      </c>
      <c r="AH284" s="54">
        <f t="shared" ca="1" si="67"/>
        <v>1</v>
      </c>
      <c r="AI284" s="54">
        <f t="shared" ca="1" si="68"/>
        <v>1</v>
      </c>
      <c r="AJ284" s="54">
        <f t="shared" ca="1" si="69"/>
        <v>1</v>
      </c>
    </row>
    <row r="285" spans="1:36" x14ac:dyDescent="0.2">
      <c r="A285" s="54">
        <v>262</v>
      </c>
      <c r="B285" s="54">
        <f ca="1">MAX(0.02,MCDA_Prioritisation!$B$9+(RAND()-0.5)*2*$B$6)</f>
        <v>0.25658544667785566</v>
      </c>
      <c r="C285" s="54">
        <f ca="1">MAX(0.02,MCDA_Prioritisation!$B$10+(RAND()-0.5)*2*$B$6)</f>
        <v>0.2470809224063307</v>
      </c>
      <c r="D285" s="54">
        <f ca="1">MAX(0.02,MCDA_Prioritisation!$B$11+(RAND()-0.5)*2*$B$6)</f>
        <v>0.24883082845335394</v>
      </c>
      <c r="E285" s="54">
        <f ca="1">MAX(0.02,MCDA_Prioritisation!$B$12+(RAND()-0.5)*2*$B$6)</f>
        <v>0.10991674133405396</v>
      </c>
      <c r="F285" s="54">
        <f ca="1">MAX(0.02,MCDA_Prioritisation!$B$13+(RAND()-0.5)*2*$B$6)</f>
        <v>0.15298054456187477</v>
      </c>
      <c r="G285" s="54">
        <f t="shared" ca="1" si="56"/>
        <v>1.0153944834334689</v>
      </c>
      <c r="H285" s="54">
        <f t="shared" ca="1" si="57"/>
        <v>0.25269533256693899</v>
      </c>
      <c r="I285" s="54">
        <f t="shared" ca="1" si="58"/>
        <v>0.24333490720852438</v>
      </c>
      <c r="J285" s="54">
        <f t="shared" ca="1" si="59"/>
        <v>0.24505828277888012</v>
      </c>
      <c r="K285" s="54">
        <f t="shared" ca="1" si="60"/>
        <v>0.10825028412837144</v>
      </c>
      <c r="L285" s="54">
        <f t="shared" ca="1" si="61"/>
        <v>0.15066119331728517</v>
      </c>
      <c r="M285" s="54">
        <f ca="1">MIN(100,MAX(0,MCDA_Prioritisation!$F$2+(RAND()-0.5)*2*$B$7))</f>
        <v>85.22096352517309</v>
      </c>
      <c r="N285" s="54">
        <f ca="1">MIN(100,MAX(0,MCDA_Prioritisation!$F$3+(RAND()-0.5)*2*$B$7))</f>
        <v>97.52629392051503</v>
      </c>
      <c r="O285" s="54">
        <f ca="1">MIN(100,MAX(0,MCDA_Prioritisation!$F$4+(RAND()-0.5)*2*$B$7))</f>
        <v>90.779271236507597</v>
      </c>
      <c r="P285" s="54">
        <f ca="1">MIN(100,MAX(0,MCDA_Prioritisation!$F$5+(RAND()-0.5)*2*$B$7))</f>
        <v>71.375517060414865</v>
      </c>
      <c r="Q285" s="54">
        <f ca="1">MIN(100,MAX(0,MCDA_Prioritisation!$G$2+(RAND()-0.5)*2*$B$7))</f>
        <v>70.413527323313843</v>
      </c>
      <c r="R285" s="54">
        <f ca="1">MIN(100,MAX(0,MCDA_Prioritisation!$G$3+(RAND()-0.5)*2*$B$7))</f>
        <v>91.855062537386374</v>
      </c>
      <c r="S285" s="54">
        <f ca="1">MIN(100,MAX(0,MCDA_Prioritisation!$G$4+(RAND()-0.5)*2*$B$7))</f>
        <v>94.335916314306544</v>
      </c>
      <c r="T285" s="54">
        <f ca="1">MIN(100,MAX(0,MCDA_Prioritisation!$G$5+(RAND()-0.5)*2*$B$7))</f>
        <v>73.29910937511336</v>
      </c>
      <c r="U285" s="54">
        <f ca="1">MIN(100,MAX(0,MCDA_Prioritisation!$H$2+(RAND()-0.5)*2*$B$7))</f>
        <v>73.964732844476586</v>
      </c>
      <c r="V285" s="54">
        <f ca="1">MIN(100,MAX(0,MCDA_Prioritisation!$H$3+(RAND()-0.5)*2*$B$7))</f>
        <v>59.298438863219474</v>
      </c>
      <c r="W285" s="54">
        <f ca="1">MIN(100,MAX(0,MCDA_Prioritisation!$H$4+(RAND()-0.5)*2*$B$7))</f>
        <v>81.722126069242208</v>
      </c>
      <c r="X285" s="54">
        <f ca="1">MIN(100,MAX(0,MCDA_Prioritisation!$H$5+(RAND()-0.5)*2*$B$7))</f>
        <v>83.755445464696251</v>
      </c>
      <c r="Y285" s="54">
        <f ca="1">H285*MCDA_Prioritisation!$D$2+I285*MCDA_Prioritisation!$E$2+J285*M285+K285*Q285+L285*U285</f>
        <v>89.253026208759437</v>
      </c>
      <c r="Z285" s="54">
        <f ca="1">H285*MCDA_Prioritisation!$D$3+I285*MCDA_Prioritisation!$E$3+J285*N285+K285*R285+L285*V285</f>
        <v>82.558793815948519</v>
      </c>
      <c r="AA285" s="54">
        <f ca="1">H285*MCDA_Prioritisation!$D$4+I285*MCDA_Prioritisation!$E$4+J285*O285+K285*S285+L285*W285</f>
        <v>75.639485685179537</v>
      </c>
      <c r="AB285" s="54">
        <f ca="1">H285*MCDA_Prioritisation!$D$5+I285*MCDA_Prioritisation!$E$5+J285*P285+K285*T285+L285*X285</f>
        <v>71.918789610557894</v>
      </c>
      <c r="AC285" s="54">
        <f t="shared" ca="1" si="62"/>
        <v>1</v>
      </c>
      <c r="AD285" s="54">
        <f t="shared" ca="1" si="63"/>
        <v>2</v>
      </c>
      <c r="AE285" s="54">
        <f t="shared" ca="1" si="64"/>
        <v>3</v>
      </c>
      <c r="AF285" s="54">
        <f t="shared" ca="1" si="65"/>
        <v>4</v>
      </c>
      <c r="AG285" s="54">
        <f t="shared" ca="1" si="66"/>
        <v>1</v>
      </c>
      <c r="AH285" s="54">
        <f t="shared" ca="1" si="67"/>
        <v>1</v>
      </c>
      <c r="AI285" s="54">
        <f t="shared" ca="1" si="68"/>
        <v>1</v>
      </c>
      <c r="AJ285" s="54">
        <f t="shared" ca="1" si="69"/>
        <v>1</v>
      </c>
    </row>
    <row r="286" spans="1:36" x14ac:dyDescent="0.2">
      <c r="A286" s="54">
        <v>263</v>
      </c>
      <c r="B286" s="54">
        <f ca="1">MAX(0.02,MCDA_Prioritisation!$B$9+(RAND()-0.5)*2*$B$6)</f>
        <v>0.20048037197135787</v>
      </c>
      <c r="C286" s="54">
        <f ca="1">MAX(0.02,MCDA_Prioritisation!$B$10+(RAND()-0.5)*2*$B$6)</f>
        <v>0.31460844104484942</v>
      </c>
      <c r="D286" s="54">
        <f ca="1">MAX(0.02,MCDA_Prioritisation!$B$11+(RAND()-0.5)*2*$B$6)</f>
        <v>0.20862329539886543</v>
      </c>
      <c r="E286" s="54">
        <f ca="1">MAX(0.02,MCDA_Prioritisation!$B$12+(RAND()-0.5)*2*$B$6)</f>
        <v>0.18064157168665698</v>
      </c>
      <c r="F286" s="54">
        <f ca="1">MAX(0.02,MCDA_Prioritisation!$B$13+(RAND()-0.5)*2*$B$6)</f>
        <v>0.22009033440695164</v>
      </c>
      <c r="G286" s="54">
        <f t="shared" ca="1" si="56"/>
        <v>1.1244440145086811</v>
      </c>
      <c r="H286" s="54">
        <f t="shared" ca="1" si="57"/>
        <v>0.17829288909413291</v>
      </c>
      <c r="I286" s="54">
        <f t="shared" ca="1" si="58"/>
        <v>0.27979022253261371</v>
      </c>
      <c r="J286" s="54">
        <f t="shared" ca="1" si="59"/>
        <v>0.18553462218394401</v>
      </c>
      <c r="K286" s="54">
        <f t="shared" ca="1" si="60"/>
        <v>0.16064968051396245</v>
      </c>
      <c r="L286" s="54">
        <f t="shared" ca="1" si="61"/>
        <v>0.19573258567534707</v>
      </c>
      <c r="M286" s="54">
        <f ca="1">MIN(100,MAX(0,MCDA_Prioritisation!$F$2+(RAND()-0.5)*2*$B$7))</f>
        <v>93.318096662301542</v>
      </c>
      <c r="N286" s="54">
        <f ca="1">MIN(100,MAX(0,MCDA_Prioritisation!$F$3+(RAND()-0.5)*2*$B$7))</f>
        <v>89.051074382830024</v>
      </c>
      <c r="O286" s="54">
        <f ca="1">MIN(100,MAX(0,MCDA_Prioritisation!$F$4+(RAND()-0.5)*2*$B$7))</f>
        <v>85.812017567103823</v>
      </c>
      <c r="P286" s="54">
        <f ca="1">MIN(100,MAX(0,MCDA_Prioritisation!$F$5+(RAND()-0.5)*2*$B$7))</f>
        <v>66.984842483058742</v>
      </c>
      <c r="Q286" s="54">
        <f ca="1">MIN(100,MAX(0,MCDA_Prioritisation!$G$2+(RAND()-0.5)*2*$B$7))</f>
        <v>80.768138104772859</v>
      </c>
      <c r="R286" s="54">
        <f ca="1">MIN(100,MAX(0,MCDA_Prioritisation!$G$3+(RAND()-0.5)*2*$B$7))</f>
        <v>99.007921526630938</v>
      </c>
      <c r="S286" s="54">
        <f ca="1">MIN(100,MAX(0,MCDA_Prioritisation!$G$4+(RAND()-0.5)*2*$B$7))</f>
        <v>84.176309370109195</v>
      </c>
      <c r="T286" s="54">
        <f ca="1">MIN(100,MAX(0,MCDA_Prioritisation!$G$5+(RAND()-0.5)*2*$B$7))</f>
        <v>60.235458733083156</v>
      </c>
      <c r="U286" s="54">
        <f ca="1">MIN(100,MAX(0,MCDA_Prioritisation!$H$2+(RAND()-0.5)*2*$B$7))</f>
        <v>59.987158308110303</v>
      </c>
      <c r="V286" s="54">
        <f ca="1">MIN(100,MAX(0,MCDA_Prioritisation!$H$3+(RAND()-0.5)*2*$B$7))</f>
        <v>63.106937759136869</v>
      </c>
      <c r="W286" s="54">
        <f ca="1">MIN(100,MAX(0,MCDA_Prioritisation!$H$4+(RAND()-0.5)*2*$B$7))</f>
        <v>77.253516844943107</v>
      </c>
      <c r="X286" s="54">
        <f ca="1">MIN(100,MAX(0,MCDA_Prioritisation!$H$5+(RAND()-0.5)*2*$B$7))</f>
        <v>70.848771072265663</v>
      </c>
      <c r="Y286" s="54">
        <f ca="1">H286*MCDA_Prioritisation!$D$2+I286*MCDA_Prioritisation!$E$2+J286*M286+K286*Q286+L286*U286</f>
        <v>87.8388661550417</v>
      </c>
      <c r="Z286" s="54">
        <f ca="1">H286*MCDA_Prioritisation!$D$3+I286*MCDA_Prioritisation!$E$3+J286*N286+K286*R286+L286*V286</f>
        <v>80.710347293852422</v>
      </c>
      <c r="AA286" s="54">
        <f ca="1">H286*MCDA_Prioritisation!$D$4+I286*MCDA_Prioritisation!$E$4+J286*O286+K286*S286+L286*W286</f>
        <v>72.241581619126435</v>
      </c>
      <c r="AB286" s="54">
        <f ca="1">H286*MCDA_Prioritisation!$D$5+I286*MCDA_Prioritisation!$E$5+J286*P286+K286*T286+L286*X286</f>
        <v>68.963095702215739</v>
      </c>
      <c r="AC286" s="54">
        <f t="shared" ca="1" si="62"/>
        <v>1</v>
      </c>
      <c r="AD286" s="54">
        <f t="shared" ca="1" si="63"/>
        <v>2</v>
      </c>
      <c r="AE286" s="54">
        <f t="shared" ca="1" si="64"/>
        <v>3</v>
      </c>
      <c r="AF286" s="54">
        <f t="shared" ca="1" si="65"/>
        <v>4</v>
      </c>
      <c r="AG286" s="54">
        <f t="shared" ca="1" si="66"/>
        <v>1</v>
      </c>
      <c r="AH286" s="54">
        <f t="shared" ca="1" si="67"/>
        <v>1</v>
      </c>
      <c r="AI286" s="54">
        <f t="shared" ca="1" si="68"/>
        <v>1</v>
      </c>
      <c r="AJ286" s="54">
        <f t="shared" ca="1" si="69"/>
        <v>1</v>
      </c>
    </row>
    <row r="287" spans="1:36" x14ac:dyDescent="0.2">
      <c r="A287" s="54">
        <v>264</v>
      </c>
      <c r="B287" s="54">
        <f ca="1">MAX(0.02,MCDA_Prioritisation!$B$9+(RAND()-0.5)*2*$B$6)</f>
        <v>0.27241733183708111</v>
      </c>
      <c r="C287" s="54">
        <f ca="1">MAX(0.02,MCDA_Prioritisation!$B$10+(RAND()-0.5)*2*$B$6)</f>
        <v>0.17891509317657567</v>
      </c>
      <c r="D287" s="54">
        <f ca="1">MAX(0.02,MCDA_Prioritisation!$B$11+(RAND()-0.5)*2*$B$6)</f>
        <v>0.28484196787345112</v>
      </c>
      <c r="E287" s="54">
        <f ca="1">MAX(0.02,MCDA_Prioritisation!$B$12+(RAND()-0.5)*2*$B$6)</f>
        <v>0.14099511114982846</v>
      </c>
      <c r="F287" s="54">
        <f ca="1">MAX(0.02,MCDA_Prioritisation!$B$13+(RAND()-0.5)*2*$B$6)</f>
        <v>0.13397931525452117</v>
      </c>
      <c r="G287" s="54">
        <f t="shared" ca="1" si="56"/>
        <v>1.0111488192914575</v>
      </c>
      <c r="H287" s="54">
        <f t="shared" ca="1" si="57"/>
        <v>0.26941368732247756</v>
      </c>
      <c r="I287" s="54">
        <f t="shared" ca="1" si="58"/>
        <v>0.17694239439645182</v>
      </c>
      <c r="J287" s="54">
        <f t="shared" ca="1" si="59"/>
        <v>0.28170133064393871</v>
      </c>
      <c r="K287" s="54">
        <f t="shared" ca="1" si="60"/>
        <v>0.13944051405670235</v>
      </c>
      <c r="L287" s="54">
        <f t="shared" ca="1" si="61"/>
        <v>0.13250207358042956</v>
      </c>
      <c r="M287" s="54">
        <f ca="1">MIN(100,MAX(0,MCDA_Prioritisation!$F$2+(RAND()-0.5)*2*$B$7))</f>
        <v>78.464952517039862</v>
      </c>
      <c r="N287" s="54">
        <f ca="1">MIN(100,MAX(0,MCDA_Prioritisation!$F$3+(RAND()-0.5)*2*$B$7))</f>
        <v>85.818035082983016</v>
      </c>
      <c r="O287" s="54">
        <f ca="1">MIN(100,MAX(0,MCDA_Prioritisation!$F$4+(RAND()-0.5)*2*$B$7))</f>
        <v>89.341331475671211</v>
      </c>
      <c r="P287" s="54">
        <f ca="1">MIN(100,MAX(0,MCDA_Prioritisation!$F$5+(RAND()-0.5)*2*$B$7))</f>
        <v>66.033454760202289</v>
      </c>
      <c r="Q287" s="54">
        <f ca="1">MIN(100,MAX(0,MCDA_Prioritisation!$G$2+(RAND()-0.5)*2*$B$7))</f>
        <v>78.041533710854637</v>
      </c>
      <c r="R287" s="54">
        <f ca="1">MIN(100,MAX(0,MCDA_Prioritisation!$G$3+(RAND()-0.5)*2*$B$7))</f>
        <v>90.737213188475408</v>
      </c>
      <c r="S287" s="54">
        <f ca="1">MIN(100,MAX(0,MCDA_Prioritisation!$G$4+(RAND()-0.5)*2*$B$7))</f>
        <v>93.506501415992119</v>
      </c>
      <c r="T287" s="54">
        <f ca="1">MIN(100,MAX(0,MCDA_Prioritisation!$G$5+(RAND()-0.5)*2*$B$7))</f>
        <v>72.748724063687334</v>
      </c>
      <c r="U287" s="54">
        <f ca="1">MIN(100,MAX(0,MCDA_Prioritisation!$H$2+(RAND()-0.5)*2*$B$7))</f>
        <v>72.317345768482625</v>
      </c>
      <c r="V287" s="54">
        <f ca="1">MIN(100,MAX(0,MCDA_Prioritisation!$H$3+(RAND()-0.5)*2*$B$7))</f>
        <v>67.48781973091468</v>
      </c>
      <c r="W287" s="54">
        <f ca="1">MIN(100,MAX(0,MCDA_Prioritisation!$H$4+(RAND()-0.5)*2*$B$7))</f>
        <v>81.010058112566071</v>
      </c>
      <c r="X287" s="54">
        <f ca="1">MIN(100,MAX(0,MCDA_Prioritisation!$H$5+(RAND()-0.5)*2*$B$7))</f>
        <v>74.067411797926951</v>
      </c>
      <c r="Y287" s="54">
        <f ca="1">H287*MCDA_Prioritisation!$D$2+I287*MCDA_Prioritisation!$E$2+J287*M287+K287*Q287+L287*U287</f>
        <v>87.203639553428417</v>
      </c>
      <c r="Z287" s="54">
        <f ca="1">H287*MCDA_Prioritisation!$D$3+I287*MCDA_Prioritisation!$E$3+J287*N287+K287*R287+L287*V287</f>
        <v>82.184216882607288</v>
      </c>
      <c r="AA287" s="54">
        <f ca="1">H287*MCDA_Prioritisation!$D$4+I287*MCDA_Prioritisation!$E$4+J287*O287+K287*S287+L287*W287</f>
        <v>77.351956004460689</v>
      </c>
      <c r="AB287" s="54">
        <f ca="1">H287*MCDA_Prioritisation!$D$5+I287*MCDA_Prioritisation!$E$5+J287*P287+K287*T287+L287*X287</f>
        <v>67.73853518767983</v>
      </c>
      <c r="AC287" s="54">
        <f t="shared" ca="1" si="62"/>
        <v>1</v>
      </c>
      <c r="AD287" s="54">
        <f t="shared" ca="1" si="63"/>
        <v>2</v>
      </c>
      <c r="AE287" s="54">
        <f t="shared" ca="1" si="64"/>
        <v>3</v>
      </c>
      <c r="AF287" s="54">
        <f t="shared" ca="1" si="65"/>
        <v>4</v>
      </c>
      <c r="AG287" s="54">
        <f t="shared" ca="1" si="66"/>
        <v>1</v>
      </c>
      <c r="AH287" s="54">
        <f t="shared" ca="1" si="67"/>
        <v>1</v>
      </c>
      <c r="AI287" s="54">
        <f t="shared" ca="1" si="68"/>
        <v>1</v>
      </c>
      <c r="AJ287" s="54">
        <f t="shared" ca="1" si="69"/>
        <v>1</v>
      </c>
    </row>
    <row r="288" spans="1:36" x14ac:dyDescent="0.2">
      <c r="A288" s="54">
        <v>265</v>
      </c>
      <c r="B288" s="54">
        <f ca="1">MAX(0.02,MCDA_Prioritisation!$B$9+(RAND()-0.5)*2*$B$6)</f>
        <v>0.18727745540979637</v>
      </c>
      <c r="C288" s="54">
        <f ca="1">MAX(0.02,MCDA_Prioritisation!$B$10+(RAND()-0.5)*2*$B$6)</f>
        <v>0.22460409338026843</v>
      </c>
      <c r="D288" s="54">
        <f ca="1">MAX(0.02,MCDA_Prioritisation!$B$11+(RAND()-0.5)*2*$B$6)</f>
        <v>0.27912439864928007</v>
      </c>
      <c r="E288" s="54">
        <f ca="1">MAX(0.02,MCDA_Prioritisation!$B$12+(RAND()-0.5)*2*$B$6)</f>
        <v>0.10359799097817826</v>
      </c>
      <c r="F288" s="54">
        <f ca="1">MAX(0.02,MCDA_Prioritisation!$B$13+(RAND()-0.5)*2*$B$6)</f>
        <v>0.18214598462837314</v>
      </c>
      <c r="G288" s="54">
        <f t="shared" ca="1" si="56"/>
        <v>0.97674992304589625</v>
      </c>
      <c r="H288" s="54">
        <f t="shared" ca="1" si="57"/>
        <v>0.19173531626784315</v>
      </c>
      <c r="I288" s="54">
        <f t="shared" ca="1" si="58"/>
        <v>0.22995045925354485</v>
      </c>
      <c r="J288" s="54">
        <f t="shared" ca="1" si="59"/>
        <v>0.28576853917618827</v>
      </c>
      <c r="K288" s="54">
        <f t="shared" ca="1" si="60"/>
        <v>0.10606398683413085</v>
      </c>
      <c r="L288" s="54">
        <f t="shared" ca="1" si="61"/>
        <v>0.18648169846829293</v>
      </c>
      <c r="M288" s="54">
        <f ca="1">MIN(100,MAX(0,MCDA_Prioritisation!$F$2+(RAND()-0.5)*2*$B$7))</f>
        <v>87.523113987139794</v>
      </c>
      <c r="N288" s="54">
        <f ca="1">MIN(100,MAX(0,MCDA_Prioritisation!$F$3+(RAND()-0.5)*2*$B$7))</f>
        <v>98.147087340622875</v>
      </c>
      <c r="O288" s="54">
        <f ca="1">MIN(100,MAX(0,MCDA_Prioritisation!$F$4+(RAND()-0.5)*2*$B$7))</f>
        <v>82.829327465712041</v>
      </c>
      <c r="P288" s="54">
        <f ca="1">MIN(100,MAX(0,MCDA_Prioritisation!$F$5+(RAND()-0.5)*2*$B$7))</f>
        <v>74.767610072070454</v>
      </c>
      <c r="Q288" s="54">
        <f ca="1">MIN(100,MAX(0,MCDA_Prioritisation!$G$2+(RAND()-0.5)*2*$B$7))</f>
        <v>71.281789351730637</v>
      </c>
      <c r="R288" s="54">
        <f ca="1">MIN(100,MAX(0,MCDA_Prioritisation!$G$3+(RAND()-0.5)*2*$B$7))</f>
        <v>92.204591737650404</v>
      </c>
      <c r="S288" s="54">
        <f ca="1">MIN(100,MAX(0,MCDA_Prioritisation!$G$4+(RAND()-0.5)*2*$B$7))</f>
        <v>94.199884783532738</v>
      </c>
      <c r="T288" s="54">
        <f ca="1">MIN(100,MAX(0,MCDA_Prioritisation!$G$5+(RAND()-0.5)*2*$B$7))</f>
        <v>61.365104495290268</v>
      </c>
      <c r="U288" s="54">
        <f ca="1">MIN(100,MAX(0,MCDA_Prioritisation!$H$2+(RAND()-0.5)*2*$B$7))</f>
        <v>61.189178783462957</v>
      </c>
      <c r="V288" s="54">
        <f ca="1">MIN(100,MAX(0,MCDA_Prioritisation!$H$3+(RAND()-0.5)*2*$B$7))</f>
        <v>67.428220360761827</v>
      </c>
      <c r="W288" s="54">
        <f ca="1">MIN(100,MAX(0,MCDA_Prioritisation!$H$4+(RAND()-0.5)*2*$B$7))</f>
        <v>80.675548841335441</v>
      </c>
      <c r="X288" s="54">
        <f ca="1">MIN(100,MAX(0,MCDA_Prioritisation!$H$5+(RAND()-0.5)*2*$B$7))</f>
        <v>70.76009490190809</v>
      </c>
      <c r="Y288" s="54">
        <f ca="1">H288*MCDA_Prioritisation!$D$2+I288*MCDA_Prioritisation!$E$2+J288*M288+K288*Q288+L288*U288</f>
        <v>86.151022735130212</v>
      </c>
      <c r="Z288" s="54">
        <f ca="1">H288*MCDA_Prioritisation!$D$3+I288*MCDA_Prioritisation!$E$3+J288*N288+K288*R288+L288*V288</f>
        <v>83.881795815616087</v>
      </c>
      <c r="AA288" s="54">
        <f ca="1">H288*MCDA_Prioritisation!$D$4+I288*MCDA_Prioritisation!$E$4+J288*O288+K288*S288+L288*W288</f>
        <v>74.599817235540513</v>
      </c>
      <c r="AB288" s="54">
        <f ca="1">H288*MCDA_Prioritisation!$D$5+I288*MCDA_Prioritisation!$E$5+J288*P288+K288*T288+L288*X288</f>
        <v>70.583586710030119</v>
      </c>
      <c r="AC288" s="54">
        <f t="shared" ca="1" si="62"/>
        <v>1</v>
      </c>
      <c r="AD288" s="54">
        <f t="shared" ca="1" si="63"/>
        <v>2</v>
      </c>
      <c r="AE288" s="54">
        <f t="shared" ca="1" si="64"/>
        <v>3</v>
      </c>
      <c r="AF288" s="54">
        <f t="shared" ca="1" si="65"/>
        <v>4</v>
      </c>
      <c r="AG288" s="54">
        <f t="shared" ca="1" si="66"/>
        <v>1</v>
      </c>
      <c r="AH288" s="54">
        <f t="shared" ca="1" si="67"/>
        <v>1</v>
      </c>
      <c r="AI288" s="54">
        <f t="shared" ca="1" si="68"/>
        <v>1</v>
      </c>
      <c r="AJ288" s="54">
        <f t="shared" ca="1" si="69"/>
        <v>1</v>
      </c>
    </row>
    <row r="289" spans="1:36" x14ac:dyDescent="0.2">
      <c r="A289" s="54">
        <v>266</v>
      </c>
      <c r="B289" s="54">
        <f ca="1">MAX(0.02,MCDA_Prioritisation!$B$9+(RAND()-0.5)*2*$B$6)</f>
        <v>0.26643141115966829</v>
      </c>
      <c r="C289" s="54">
        <f ca="1">MAX(0.02,MCDA_Prioritisation!$B$10+(RAND()-0.5)*2*$B$6)</f>
        <v>0.30571963696997811</v>
      </c>
      <c r="D289" s="54">
        <f ca="1">MAX(0.02,MCDA_Prioritisation!$B$11+(RAND()-0.5)*2*$B$6)</f>
        <v>0.2687229537891121</v>
      </c>
      <c r="E289" s="54">
        <f ca="1">MAX(0.02,MCDA_Prioritisation!$B$12+(RAND()-0.5)*2*$B$6)</f>
        <v>0.13174553169547243</v>
      </c>
      <c r="F289" s="54">
        <f ca="1">MAX(0.02,MCDA_Prioritisation!$B$13+(RAND()-0.5)*2*$B$6)</f>
        <v>0.14721864451788755</v>
      </c>
      <c r="G289" s="54">
        <f t="shared" ca="1" si="56"/>
        <v>1.1198381781321183</v>
      </c>
      <c r="H289" s="54">
        <f t="shared" ca="1" si="57"/>
        <v>0.23791956406065196</v>
      </c>
      <c r="I289" s="54">
        <f t="shared" ca="1" si="58"/>
        <v>0.27300340615276769</v>
      </c>
      <c r="J289" s="54">
        <f t="shared" ca="1" si="59"/>
        <v>0.2399658799250263</v>
      </c>
      <c r="K289" s="54">
        <f t="shared" ca="1" si="60"/>
        <v>0.1176469370915921</v>
      </c>
      <c r="L289" s="54">
        <f t="shared" ca="1" si="61"/>
        <v>0.13146421276996212</v>
      </c>
      <c r="M289" s="54">
        <f ca="1">MIN(100,MAX(0,MCDA_Prioritisation!$F$2+(RAND()-0.5)*2*$B$7))</f>
        <v>82.383339958596949</v>
      </c>
      <c r="N289" s="54">
        <f ca="1">MIN(100,MAX(0,MCDA_Prioritisation!$F$3+(RAND()-0.5)*2*$B$7))</f>
        <v>96.260949632684174</v>
      </c>
      <c r="O289" s="54">
        <f ca="1">MIN(100,MAX(0,MCDA_Prioritisation!$F$4+(RAND()-0.5)*2*$B$7))</f>
        <v>80.9366374576543</v>
      </c>
      <c r="P289" s="54">
        <f ca="1">MIN(100,MAX(0,MCDA_Prioritisation!$F$5+(RAND()-0.5)*2*$B$7))</f>
        <v>81.271880580548796</v>
      </c>
      <c r="Q289" s="54">
        <f ca="1">MIN(100,MAX(0,MCDA_Prioritisation!$G$2+(RAND()-0.5)*2*$B$7))</f>
        <v>79.696559474334592</v>
      </c>
      <c r="R289" s="54">
        <f ca="1">MIN(100,MAX(0,MCDA_Prioritisation!$G$3+(RAND()-0.5)*2*$B$7))</f>
        <v>94.306196423721431</v>
      </c>
      <c r="S289" s="54">
        <f ca="1">MIN(100,MAX(0,MCDA_Prioritisation!$G$4+(RAND()-0.5)*2*$B$7))</f>
        <v>81.538009515508307</v>
      </c>
      <c r="T289" s="54">
        <f ca="1">MIN(100,MAX(0,MCDA_Prioritisation!$G$5+(RAND()-0.5)*2*$B$7))</f>
        <v>62.052445833478522</v>
      </c>
      <c r="U289" s="54">
        <f ca="1">MIN(100,MAX(0,MCDA_Prioritisation!$H$2+(RAND()-0.5)*2*$B$7))</f>
        <v>67.844156661638635</v>
      </c>
      <c r="V289" s="54">
        <f ca="1">MIN(100,MAX(0,MCDA_Prioritisation!$H$3+(RAND()-0.5)*2*$B$7))</f>
        <v>61.443631667531619</v>
      </c>
      <c r="W289" s="54">
        <f ca="1">MIN(100,MAX(0,MCDA_Prioritisation!$H$4+(RAND()-0.5)*2*$B$7))</f>
        <v>88.039535712481594</v>
      </c>
      <c r="X289" s="54">
        <f ca="1">MIN(100,MAX(0,MCDA_Prioritisation!$H$5+(RAND()-0.5)*2*$B$7))</f>
        <v>66.888966846204895</v>
      </c>
      <c r="Y289" s="54">
        <f ca="1">H289*MCDA_Prioritisation!$D$2+I289*MCDA_Prioritisation!$E$2+J289*M289+K289*Q289+L289*U289</f>
        <v>89.156622451126935</v>
      </c>
      <c r="Z289" s="54">
        <f ca="1">H289*MCDA_Prioritisation!$D$3+I289*MCDA_Prioritisation!$E$3+J289*N289+K289*R289+L289*V289</f>
        <v>82.920028377687345</v>
      </c>
      <c r="AA289" s="54">
        <f ca="1">H289*MCDA_Prioritisation!$D$4+I289*MCDA_Prioritisation!$E$4+J289*O289+K289*S289+L289*W289</f>
        <v>72.047191444968021</v>
      </c>
      <c r="AB289" s="54">
        <f ca="1">H289*MCDA_Prioritisation!$D$5+I289*MCDA_Prioritisation!$E$5+J289*P289+K289*T289+L289*X289</f>
        <v>71.181161074300945</v>
      </c>
      <c r="AC289" s="54">
        <f t="shared" ca="1" si="62"/>
        <v>1</v>
      </c>
      <c r="AD289" s="54">
        <f t="shared" ca="1" si="63"/>
        <v>2</v>
      </c>
      <c r="AE289" s="54">
        <f t="shared" ca="1" si="64"/>
        <v>3</v>
      </c>
      <c r="AF289" s="54">
        <f t="shared" ca="1" si="65"/>
        <v>4</v>
      </c>
      <c r="AG289" s="54">
        <f t="shared" ca="1" si="66"/>
        <v>1</v>
      </c>
      <c r="AH289" s="54">
        <f t="shared" ca="1" si="67"/>
        <v>1</v>
      </c>
      <c r="AI289" s="54">
        <f t="shared" ca="1" si="68"/>
        <v>1</v>
      </c>
      <c r="AJ289" s="54">
        <f t="shared" ca="1" si="69"/>
        <v>1</v>
      </c>
    </row>
    <row r="290" spans="1:36" x14ac:dyDescent="0.2">
      <c r="A290" s="54">
        <v>267</v>
      </c>
      <c r="B290" s="54">
        <f ca="1">MAX(0.02,MCDA_Prioritisation!$B$9+(RAND()-0.5)*2*$B$6)</f>
        <v>0.16177043231999866</v>
      </c>
      <c r="C290" s="54">
        <f ca="1">MAX(0.02,MCDA_Prioritisation!$B$10+(RAND()-0.5)*2*$B$6)</f>
        <v>0.32153724214587132</v>
      </c>
      <c r="D290" s="54">
        <f ca="1">MAX(0.02,MCDA_Prioritisation!$B$11+(RAND()-0.5)*2*$B$6)</f>
        <v>0.18136204004189893</v>
      </c>
      <c r="E290" s="54">
        <f ca="1">MAX(0.02,MCDA_Prioritisation!$B$12+(RAND()-0.5)*2*$B$6)</f>
        <v>0.15341640074159826</v>
      </c>
      <c r="F290" s="54">
        <f ca="1">MAX(0.02,MCDA_Prioritisation!$B$13+(RAND()-0.5)*2*$B$6)</f>
        <v>7.4145395601498465E-2</v>
      </c>
      <c r="G290" s="54">
        <f t="shared" ca="1" si="56"/>
        <v>0.89223151085086561</v>
      </c>
      <c r="H290" s="54">
        <f t="shared" ca="1" si="57"/>
        <v>0.18130992948873581</v>
      </c>
      <c r="I290" s="54">
        <f t="shared" ca="1" si="58"/>
        <v>0.36037422825298032</v>
      </c>
      <c r="J290" s="54">
        <f t="shared" ca="1" si="59"/>
        <v>0.20326791627090737</v>
      </c>
      <c r="K290" s="54">
        <f t="shared" ca="1" si="60"/>
        <v>0.1719468533399976</v>
      </c>
      <c r="L290" s="54">
        <f t="shared" ca="1" si="61"/>
        <v>8.3101072647378954E-2</v>
      </c>
      <c r="M290" s="54">
        <f ca="1">MIN(100,MAX(0,MCDA_Prioritisation!$F$2+(RAND()-0.5)*2*$B$7))</f>
        <v>91.070349499388129</v>
      </c>
      <c r="N290" s="54">
        <f ca="1">MIN(100,MAX(0,MCDA_Prioritisation!$F$3+(RAND()-0.5)*2*$B$7))</f>
        <v>99.981581144569617</v>
      </c>
      <c r="O290" s="54">
        <f ca="1">MIN(100,MAX(0,MCDA_Prioritisation!$F$4+(RAND()-0.5)*2*$B$7))</f>
        <v>91.340042594363908</v>
      </c>
      <c r="P290" s="54">
        <f ca="1">MIN(100,MAX(0,MCDA_Prioritisation!$F$5+(RAND()-0.5)*2*$B$7))</f>
        <v>70.775573546683717</v>
      </c>
      <c r="Q290" s="54">
        <f ca="1">MIN(100,MAX(0,MCDA_Prioritisation!$G$2+(RAND()-0.5)*2*$B$7))</f>
        <v>82.419778778807498</v>
      </c>
      <c r="R290" s="54">
        <f ca="1">MIN(100,MAX(0,MCDA_Prioritisation!$G$3+(RAND()-0.5)*2*$B$7))</f>
        <v>85.572284172037428</v>
      </c>
      <c r="S290" s="54">
        <f ca="1">MIN(100,MAX(0,MCDA_Prioritisation!$G$4+(RAND()-0.5)*2*$B$7))</f>
        <v>82.823835589669159</v>
      </c>
      <c r="T290" s="54">
        <f ca="1">MIN(100,MAX(0,MCDA_Prioritisation!$G$5+(RAND()-0.5)*2*$B$7))</f>
        <v>71.133201238215804</v>
      </c>
      <c r="U290" s="54">
        <f ca="1">MIN(100,MAX(0,MCDA_Prioritisation!$H$2+(RAND()-0.5)*2*$B$7))</f>
        <v>68.540659360245058</v>
      </c>
      <c r="V290" s="54">
        <f ca="1">MIN(100,MAX(0,MCDA_Prioritisation!$H$3+(RAND()-0.5)*2*$B$7))</f>
        <v>62.970478501647833</v>
      </c>
      <c r="W290" s="54">
        <f ca="1">MIN(100,MAX(0,MCDA_Prioritisation!$H$4+(RAND()-0.5)*2*$B$7))</f>
        <v>81.093606721244868</v>
      </c>
      <c r="X290" s="54">
        <f ca="1">MIN(100,MAX(0,MCDA_Prioritisation!$H$5+(RAND()-0.5)*2*$B$7))</f>
        <v>69.639364101052919</v>
      </c>
      <c r="Y290" s="54">
        <f ca="1">H290*MCDA_Prioritisation!$D$2+I290*MCDA_Prioritisation!$E$2+J290*M290+K290*Q290+L290*U290</f>
        <v>92.547719877765147</v>
      </c>
      <c r="Z290" s="54">
        <f ca="1">H290*MCDA_Prioritisation!$D$3+I290*MCDA_Prioritisation!$E$3+J290*N290+K290*R290+L290*V290</f>
        <v>82.324796515625948</v>
      </c>
      <c r="AA290" s="54">
        <f ca="1">H290*MCDA_Prioritisation!$D$4+I290*MCDA_Prioritisation!$E$4+J290*O290+K290*S290+L290*W290</f>
        <v>71.828897472285561</v>
      </c>
      <c r="AB290" s="54">
        <f ca="1">H290*MCDA_Prioritisation!$D$5+I290*MCDA_Prioritisation!$E$5+J290*P290+K290*T290+L290*X290</f>
        <v>72.332021641781651</v>
      </c>
      <c r="AC290" s="54">
        <f t="shared" ca="1" si="62"/>
        <v>1</v>
      </c>
      <c r="AD290" s="54">
        <f t="shared" ca="1" si="63"/>
        <v>2</v>
      </c>
      <c r="AE290" s="54">
        <f t="shared" ca="1" si="64"/>
        <v>4</v>
      </c>
      <c r="AF290" s="54">
        <f t="shared" ca="1" si="65"/>
        <v>3</v>
      </c>
      <c r="AG290" s="54">
        <f t="shared" ca="1" si="66"/>
        <v>1</v>
      </c>
      <c r="AH290" s="54">
        <f t="shared" ca="1" si="67"/>
        <v>1</v>
      </c>
      <c r="AI290" s="54">
        <f t="shared" ca="1" si="68"/>
        <v>0</v>
      </c>
      <c r="AJ290" s="54">
        <f t="shared" ca="1" si="69"/>
        <v>1</v>
      </c>
    </row>
    <row r="291" spans="1:36" x14ac:dyDescent="0.2">
      <c r="A291" s="54">
        <v>268</v>
      </c>
      <c r="B291" s="54">
        <f ca="1">MAX(0.02,MCDA_Prioritisation!$B$9+(RAND()-0.5)*2*$B$6)</f>
        <v>0.19588306329534055</v>
      </c>
      <c r="C291" s="54">
        <f ca="1">MAX(0.02,MCDA_Prioritisation!$B$10+(RAND()-0.5)*2*$B$6)</f>
        <v>0.25233059649127165</v>
      </c>
      <c r="D291" s="54">
        <f ca="1">MAX(0.02,MCDA_Prioritisation!$B$11+(RAND()-0.5)*2*$B$6)</f>
        <v>0.26450084293500686</v>
      </c>
      <c r="E291" s="54">
        <f ca="1">MAX(0.02,MCDA_Prioritisation!$B$12+(RAND()-0.5)*2*$B$6)</f>
        <v>0.14382829825863938</v>
      </c>
      <c r="F291" s="54">
        <f ca="1">MAX(0.02,MCDA_Prioritisation!$B$13+(RAND()-0.5)*2*$B$6)</f>
        <v>0.12658344823538586</v>
      </c>
      <c r="G291" s="54">
        <f t="shared" ca="1" si="56"/>
        <v>0.98312624921564429</v>
      </c>
      <c r="H291" s="54">
        <f t="shared" ca="1" si="57"/>
        <v>0.19924507503651701</v>
      </c>
      <c r="I291" s="54">
        <f t="shared" ca="1" si="58"/>
        <v>0.25666143762572258</v>
      </c>
      <c r="J291" s="54">
        <f t="shared" ca="1" si="59"/>
        <v>0.26904056640337937</v>
      </c>
      <c r="K291" s="54">
        <f t="shared" ca="1" si="60"/>
        <v>0.14629687527251781</v>
      </c>
      <c r="L291" s="54">
        <f t="shared" ca="1" si="61"/>
        <v>0.12875604566186327</v>
      </c>
      <c r="M291" s="54">
        <f ca="1">MIN(100,MAX(0,MCDA_Prioritisation!$F$2+(RAND()-0.5)*2*$B$7))</f>
        <v>87.225855615440537</v>
      </c>
      <c r="N291" s="54">
        <f ca="1">MIN(100,MAX(0,MCDA_Prioritisation!$F$3+(RAND()-0.5)*2*$B$7))</f>
        <v>95.630369704933344</v>
      </c>
      <c r="O291" s="54">
        <f ca="1">MIN(100,MAX(0,MCDA_Prioritisation!$F$4+(RAND()-0.5)*2*$B$7))</f>
        <v>89.474867398519308</v>
      </c>
      <c r="P291" s="54">
        <f ca="1">MIN(100,MAX(0,MCDA_Prioritisation!$F$5+(RAND()-0.5)*2*$B$7))</f>
        <v>67.357489758738154</v>
      </c>
      <c r="Q291" s="54">
        <f ca="1">MIN(100,MAX(0,MCDA_Prioritisation!$G$2+(RAND()-0.5)*2*$B$7))</f>
        <v>88.61746579767096</v>
      </c>
      <c r="R291" s="54">
        <f ca="1">MIN(100,MAX(0,MCDA_Prioritisation!$G$3+(RAND()-0.5)*2*$B$7))</f>
        <v>100</v>
      </c>
      <c r="S291" s="54">
        <f ca="1">MIN(100,MAX(0,MCDA_Prioritisation!$G$4+(RAND()-0.5)*2*$B$7))</f>
        <v>83.433485231347731</v>
      </c>
      <c r="T291" s="54">
        <f ca="1">MIN(100,MAX(0,MCDA_Prioritisation!$G$5+(RAND()-0.5)*2*$B$7))</f>
        <v>67.001130968475167</v>
      </c>
      <c r="U291" s="54">
        <f ca="1">MIN(100,MAX(0,MCDA_Prioritisation!$H$2+(RAND()-0.5)*2*$B$7))</f>
        <v>65.144341336015415</v>
      </c>
      <c r="V291" s="54">
        <f ca="1">MIN(100,MAX(0,MCDA_Prioritisation!$H$3+(RAND()-0.5)*2*$B$7))</f>
        <v>58.773090359391645</v>
      </c>
      <c r="W291" s="54">
        <f ca="1">MIN(100,MAX(0,MCDA_Prioritisation!$H$4+(RAND()-0.5)*2*$B$7))</f>
        <v>88.684248651668156</v>
      </c>
      <c r="X291" s="54">
        <f ca="1">MIN(100,MAX(0,MCDA_Prioritisation!$H$5+(RAND()-0.5)*2*$B$7))</f>
        <v>80.549729364972507</v>
      </c>
      <c r="Y291" s="54">
        <f ca="1">H291*MCDA_Prioritisation!$D$2+I291*MCDA_Prioritisation!$E$2+J291*M291+K291*Q291+L291*U291</f>
        <v>90.410130994461966</v>
      </c>
      <c r="Z291" s="54">
        <f ca="1">H291*MCDA_Prioritisation!$D$3+I291*MCDA_Prioritisation!$E$3+J291*N291+K291*R291+L291*V291</f>
        <v>84.005203233117484</v>
      </c>
      <c r="AA291" s="54">
        <f ca="1">H291*MCDA_Prioritisation!$D$4+I291*MCDA_Prioritisation!$E$4+J291*O291+K291*S291+L291*W291</f>
        <v>75.571030877997927</v>
      </c>
      <c r="AB291" s="54">
        <f ca="1">H291*MCDA_Prioritisation!$D$5+I291*MCDA_Prioritisation!$E$5+J291*P291+K291*T291+L291*X291</f>
        <v>70.453221197490024</v>
      </c>
      <c r="AC291" s="54">
        <f t="shared" ca="1" si="62"/>
        <v>1</v>
      </c>
      <c r="AD291" s="54">
        <f t="shared" ca="1" si="63"/>
        <v>2</v>
      </c>
      <c r="AE291" s="54">
        <f t="shared" ca="1" si="64"/>
        <v>3</v>
      </c>
      <c r="AF291" s="54">
        <f t="shared" ca="1" si="65"/>
        <v>4</v>
      </c>
      <c r="AG291" s="54">
        <f t="shared" ca="1" si="66"/>
        <v>1</v>
      </c>
      <c r="AH291" s="54">
        <f t="shared" ca="1" si="67"/>
        <v>1</v>
      </c>
      <c r="AI291" s="54">
        <f t="shared" ca="1" si="68"/>
        <v>1</v>
      </c>
      <c r="AJ291" s="54">
        <f t="shared" ca="1" si="69"/>
        <v>1</v>
      </c>
    </row>
    <row r="292" spans="1:36" x14ac:dyDescent="0.2">
      <c r="A292" s="54">
        <v>269</v>
      </c>
      <c r="B292" s="54">
        <f ca="1">MAX(0.02,MCDA_Prioritisation!$B$9+(RAND()-0.5)*2*$B$6)</f>
        <v>0.27370393863132797</v>
      </c>
      <c r="C292" s="54">
        <f ca="1">MAX(0.02,MCDA_Prioritisation!$B$10+(RAND()-0.5)*2*$B$6)</f>
        <v>0.26336624071002429</v>
      </c>
      <c r="D292" s="54">
        <f ca="1">MAX(0.02,MCDA_Prioritisation!$B$11+(RAND()-0.5)*2*$B$6)</f>
        <v>0.22662235705014719</v>
      </c>
      <c r="E292" s="54">
        <f ca="1">MAX(0.02,MCDA_Prioritisation!$B$12+(RAND()-0.5)*2*$B$6)</f>
        <v>0.14374320261855505</v>
      </c>
      <c r="F292" s="54">
        <f ca="1">MAX(0.02,MCDA_Prioritisation!$B$13+(RAND()-0.5)*2*$B$6)</f>
        <v>0.12940348816885638</v>
      </c>
      <c r="G292" s="54">
        <f t="shared" ca="1" si="56"/>
        <v>1.0368392271789109</v>
      </c>
      <c r="H292" s="54">
        <f t="shared" ca="1" si="57"/>
        <v>0.26397915072719297</v>
      </c>
      <c r="I292" s="54">
        <f t="shared" ca="1" si="58"/>
        <v>0.25400875449765303</v>
      </c>
      <c r="J292" s="54">
        <f t="shared" ca="1" si="59"/>
        <v>0.21857039269892764</v>
      </c>
      <c r="K292" s="54">
        <f t="shared" ca="1" si="60"/>
        <v>0.13863596095766886</v>
      </c>
      <c r="L292" s="54">
        <f t="shared" ca="1" si="61"/>
        <v>0.12480574111855751</v>
      </c>
      <c r="M292" s="54">
        <f ca="1">MIN(100,MAX(0,MCDA_Prioritisation!$F$2+(RAND()-0.5)*2*$B$7))</f>
        <v>87.907340029564864</v>
      </c>
      <c r="N292" s="54">
        <f ca="1">MIN(100,MAX(0,MCDA_Prioritisation!$F$3+(RAND()-0.5)*2*$B$7))</f>
        <v>98.091445387601325</v>
      </c>
      <c r="O292" s="54">
        <f ca="1">MIN(100,MAX(0,MCDA_Prioritisation!$F$4+(RAND()-0.5)*2*$B$7))</f>
        <v>90.274935512113345</v>
      </c>
      <c r="P292" s="54">
        <f ca="1">MIN(100,MAX(0,MCDA_Prioritisation!$F$5+(RAND()-0.5)*2*$B$7))</f>
        <v>70.239340581864823</v>
      </c>
      <c r="Q292" s="54">
        <f ca="1">MIN(100,MAX(0,MCDA_Prioritisation!$G$2+(RAND()-0.5)*2*$B$7))</f>
        <v>89.751104732489551</v>
      </c>
      <c r="R292" s="54">
        <f ca="1">MIN(100,MAX(0,MCDA_Prioritisation!$G$3+(RAND()-0.5)*2*$B$7))</f>
        <v>97.93481974016882</v>
      </c>
      <c r="S292" s="54">
        <f ca="1">MIN(100,MAX(0,MCDA_Prioritisation!$G$4+(RAND()-0.5)*2*$B$7))</f>
        <v>82.60770324504243</v>
      </c>
      <c r="T292" s="54">
        <f ca="1">MIN(100,MAX(0,MCDA_Prioritisation!$G$5+(RAND()-0.5)*2*$B$7))</f>
        <v>77.622817862755156</v>
      </c>
      <c r="U292" s="54">
        <f ca="1">MIN(100,MAX(0,MCDA_Prioritisation!$H$2+(RAND()-0.5)*2*$B$7))</f>
        <v>63.904598180965451</v>
      </c>
      <c r="V292" s="54">
        <f ca="1">MIN(100,MAX(0,MCDA_Prioritisation!$H$3+(RAND()-0.5)*2*$B$7))</f>
        <v>50.597681902999447</v>
      </c>
      <c r="W292" s="54">
        <f ca="1">MIN(100,MAX(0,MCDA_Prioritisation!$H$4+(RAND()-0.5)*2*$B$7))</f>
        <v>71.780258185001514</v>
      </c>
      <c r="X292" s="54">
        <f ca="1">MIN(100,MAX(0,MCDA_Prioritisation!$H$5+(RAND()-0.5)*2*$B$7))</f>
        <v>82.996069631864046</v>
      </c>
      <c r="Y292" s="54">
        <f ca="1">H292*MCDA_Prioritisation!$D$2+I292*MCDA_Prioritisation!$E$2+J292*M292+K292*Q292+L292*U292</f>
        <v>91.431123742324829</v>
      </c>
      <c r="Z292" s="54">
        <f ca="1">H292*MCDA_Prioritisation!$D$3+I292*MCDA_Prioritisation!$E$3+J292*N292+K292*R292+L292*V292</f>
        <v>82.87636214100128</v>
      </c>
      <c r="AA292" s="54">
        <f ca="1">H292*MCDA_Prioritisation!$D$4+I292*MCDA_Prioritisation!$E$4+J292*O292+K292*S292+L292*W292</f>
        <v>72.379393949341193</v>
      </c>
      <c r="AB292" s="54">
        <f ca="1">H292*MCDA_Prioritisation!$D$5+I292*MCDA_Prioritisation!$E$5+J292*P292+K292*T292+L292*X292</f>
        <v>71.842695582886435</v>
      </c>
      <c r="AC292" s="54">
        <f t="shared" ca="1" si="62"/>
        <v>1</v>
      </c>
      <c r="AD292" s="54">
        <f t="shared" ca="1" si="63"/>
        <v>2</v>
      </c>
      <c r="AE292" s="54">
        <f t="shared" ca="1" si="64"/>
        <v>3</v>
      </c>
      <c r="AF292" s="54">
        <f t="shared" ca="1" si="65"/>
        <v>4</v>
      </c>
      <c r="AG292" s="54">
        <f t="shared" ca="1" si="66"/>
        <v>1</v>
      </c>
      <c r="AH292" s="54">
        <f t="shared" ca="1" si="67"/>
        <v>1</v>
      </c>
      <c r="AI292" s="54">
        <f t="shared" ca="1" si="68"/>
        <v>1</v>
      </c>
      <c r="AJ292" s="54">
        <f t="shared" ca="1" si="69"/>
        <v>1</v>
      </c>
    </row>
    <row r="293" spans="1:36" x14ac:dyDescent="0.2">
      <c r="A293" s="54">
        <v>270</v>
      </c>
      <c r="B293" s="54">
        <f ca="1">MAX(0.02,MCDA_Prioritisation!$B$9+(RAND()-0.5)*2*$B$6)</f>
        <v>0.16689284720214637</v>
      </c>
      <c r="C293" s="54">
        <f ca="1">MAX(0.02,MCDA_Prioritisation!$B$10+(RAND()-0.5)*2*$B$6)</f>
        <v>0.19945910325007299</v>
      </c>
      <c r="D293" s="54">
        <f ca="1">MAX(0.02,MCDA_Prioritisation!$B$11+(RAND()-0.5)*2*$B$6)</f>
        <v>0.18197281369600274</v>
      </c>
      <c r="E293" s="54">
        <f ca="1">MAX(0.02,MCDA_Prioritisation!$B$12+(RAND()-0.5)*2*$B$6)</f>
        <v>0.19859948164819802</v>
      </c>
      <c r="F293" s="54">
        <f ca="1">MAX(0.02,MCDA_Prioritisation!$B$13+(RAND()-0.5)*2*$B$6)</f>
        <v>8.1002770822595549E-2</v>
      </c>
      <c r="G293" s="54">
        <f t="shared" ca="1" si="56"/>
        <v>0.82792701661901558</v>
      </c>
      <c r="H293" s="54">
        <f t="shared" ca="1" si="57"/>
        <v>0.20157917769573752</v>
      </c>
      <c r="I293" s="54">
        <f t="shared" ca="1" si="58"/>
        <v>0.24091387193112629</v>
      </c>
      <c r="J293" s="54">
        <f t="shared" ca="1" si="59"/>
        <v>0.21979330308499953</v>
      </c>
      <c r="K293" s="54">
        <f t="shared" ca="1" si="60"/>
        <v>0.23987559007219458</v>
      </c>
      <c r="L293" s="54">
        <f t="shared" ca="1" si="61"/>
        <v>9.7838057215942173E-2</v>
      </c>
      <c r="M293" s="54">
        <f ca="1">MIN(100,MAX(0,MCDA_Prioritisation!$F$2+(RAND()-0.5)*2*$B$7))</f>
        <v>89.983312801872202</v>
      </c>
      <c r="N293" s="54">
        <f ca="1">MIN(100,MAX(0,MCDA_Prioritisation!$F$3+(RAND()-0.5)*2*$B$7))</f>
        <v>99.850459902133053</v>
      </c>
      <c r="O293" s="54">
        <f ca="1">MIN(100,MAX(0,MCDA_Prioritisation!$F$4+(RAND()-0.5)*2*$B$7))</f>
        <v>94.371576621962916</v>
      </c>
      <c r="P293" s="54">
        <f ca="1">MIN(100,MAX(0,MCDA_Prioritisation!$F$5+(RAND()-0.5)*2*$B$7))</f>
        <v>84.893577390218184</v>
      </c>
      <c r="Q293" s="54">
        <f ca="1">MIN(100,MAX(0,MCDA_Prioritisation!$G$2+(RAND()-0.5)*2*$B$7))</f>
        <v>84.723958268149147</v>
      </c>
      <c r="R293" s="54">
        <f ca="1">MIN(100,MAX(0,MCDA_Prioritisation!$G$3+(RAND()-0.5)*2*$B$7))</f>
        <v>97.296105506546851</v>
      </c>
      <c r="S293" s="54">
        <f ca="1">MIN(100,MAX(0,MCDA_Prioritisation!$G$4+(RAND()-0.5)*2*$B$7))</f>
        <v>79.810562219502927</v>
      </c>
      <c r="T293" s="54">
        <f ca="1">MIN(100,MAX(0,MCDA_Prioritisation!$G$5+(RAND()-0.5)*2*$B$7))</f>
        <v>79.020683508672064</v>
      </c>
      <c r="U293" s="54">
        <f ca="1">MIN(100,MAX(0,MCDA_Prioritisation!$H$2+(RAND()-0.5)*2*$B$7))</f>
        <v>58.320778350960339</v>
      </c>
      <c r="V293" s="54">
        <f ca="1">MIN(100,MAX(0,MCDA_Prioritisation!$H$3+(RAND()-0.5)*2*$B$7))</f>
        <v>52.454128464375856</v>
      </c>
      <c r="W293" s="54">
        <f ca="1">MIN(100,MAX(0,MCDA_Prioritisation!$H$4+(RAND()-0.5)*2*$B$7))</f>
        <v>88.233702568564951</v>
      </c>
      <c r="X293" s="54">
        <f ca="1">MIN(100,MAX(0,MCDA_Prioritisation!$H$5+(RAND()-0.5)*2*$B$7))</f>
        <v>77.214730658214606</v>
      </c>
      <c r="Y293" s="54">
        <f ca="1">H293*MCDA_Prioritisation!$D$2+I293*MCDA_Prioritisation!$E$2+J293*M293+K293*Q293+L293*U293</f>
        <v>90.056235637944397</v>
      </c>
      <c r="Z293" s="54">
        <f ca="1">H293*MCDA_Prioritisation!$D$3+I293*MCDA_Prioritisation!$E$3+J293*N293+K293*R293+L293*V293</f>
        <v>85.555824997411335</v>
      </c>
      <c r="AA293" s="54">
        <f ca="1">H293*MCDA_Prioritisation!$D$4+I293*MCDA_Prioritisation!$E$4+J293*O293+K293*S293+L293*W293</f>
        <v>75.697005871798424</v>
      </c>
      <c r="AB293" s="54">
        <f ca="1">H293*MCDA_Prioritisation!$D$5+I293*MCDA_Prioritisation!$E$5+J293*P293+K293*T293+L293*X293</f>
        <v>76.126372834956669</v>
      </c>
      <c r="AC293" s="54">
        <f t="shared" ca="1" si="62"/>
        <v>1</v>
      </c>
      <c r="AD293" s="54">
        <f t="shared" ca="1" si="63"/>
        <v>2</v>
      </c>
      <c r="AE293" s="54">
        <f t="shared" ca="1" si="64"/>
        <v>4</v>
      </c>
      <c r="AF293" s="54">
        <f t="shared" ca="1" si="65"/>
        <v>3</v>
      </c>
      <c r="AG293" s="54">
        <f t="shared" ca="1" si="66"/>
        <v>1</v>
      </c>
      <c r="AH293" s="54">
        <f t="shared" ca="1" si="67"/>
        <v>1</v>
      </c>
      <c r="AI293" s="54">
        <f t="shared" ca="1" si="68"/>
        <v>0</v>
      </c>
      <c r="AJ293" s="54">
        <f t="shared" ca="1" si="69"/>
        <v>1</v>
      </c>
    </row>
    <row r="294" spans="1:36" x14ac:dyDescent="0.2">
      <c r="A294" s="54">
        <v>271</v>
      </c>
      <c r="B294" s="54">
        <f ca="1">MAX(0.02,MCDA_Prioritisation!$B$9+(RAND()-0.5)*2*$B$6)</f>
        <v>0.20802197458626856</v>
      </c>
      <c r="C294" s="54">
        <f ca="1">MAX(0.02,MCDA_Prioritisation!$B$10+(RAND()-0.5)*2*$B$6)</f>
        <v>0.25714223015310439</v>
      </c>
      <c r="D294" s="54">
        <f ca="1">MAX(0.02,MCDA_Prioritisation!$B$11+(RAND()-0.5)*2*$B$6)</f>
        <v>0.23450006252671141</v>
      </c>
      <c r="E294" s="54">
        <f ca="1">MAX(0.02,MCDA_Prioritisation!$B$12+(RAND()-0.5)*2*$B$6)</f>
        <v>0.15314819553748835</v>
      </c>
      <c r="F294" s="54">
        <f ca="1">MAX(0.02,MCDA_Prioritisation!$B$13+(RAND()-0.5)*2*$B$6)</f>
        <v>0.13164551795457829</v>
      </c>
      <c r="G294" s="54">
        <f t="shared" ca="1" si="56"/>
        <v>0.98445798075815105</v>
      </c>
      <c r="H294" s="54">
        <f t="shared" ca="1" si="57"/>
        <v>0.21130609802773564</v>
      </c>
      <c r="I294" s="54">
        <f t="shared" ca="1" si="58"/>
        <v>0.26120183408445119</v>
      </c>
      <c r="J294" s="54">
        <f t="shared" ca="1" si="59"/>
        <v>0.23820220579259072</v>
      </c>
      <c r="K294" s="54">
        <f t="shared" ca="1" si="60"/>
        <v>0.15556600538658422</v>
      </c>
      <c r="L294" s="54">
        <f t="shared" ca="1" si="61"/>
        <v>0.13372385670863821</v>
      </c>
      <c r="M294" s="54">
        <f ca="1">MIN(100,MAX(0,MCDA_Prioritisation!$F$2+(RAND()-0.5)*2*$B$7))</f>
        <v>80.520704446771731</v>
      </c>
      <c r="N294" s="54">
        <f ca="1">MIN(100,MAX(0,MCDA_Prioritisation!$F$3+(RAND()-0.5)*2*$B$7))</f>
        <v>98.144509663382777</v>
      </c>
      <c r="O294" s="54">
        <f ca="1">MIN(100,MAX(0,MCDA_Prioritisation!$F$4+(RAND()-0.5)*2*$B$7))</f>
        <v>89.990163454248801</v>
      </c>
      <c r="P294" s="54">
        <f ca="1">MIN(100,MAX(0,MCDA_Prioritisation!$F$5+(RAND()-0.5)*2*$B$7))</f>
        <v>81.250498921592111</v>
      </c>
      <c r="Q294" s="54">
        <f ca="1">MIN(100,MAX(0,MCDA_Prioritisation!$G$2+(RAND()-0.5)*2*$B$7))</f>
        <v>72.193562930012646</v>
      </c>
      <c r="R294" s="54">
        <f ca="1">MIN(100,MAX(0,MCDA_Prioritisation!$G$3+(RAND()-0.5)*2*$B$7))</f>
        <v>99.823367855463246</v>
      </c>
      <c r="S294" s="54">
        <f ca="1">MIN(100,MAX(0,MCDA_Prioritisation!$G$4+(RAND()-0.5)*2*$B$7))</f>
        <v>94.318499650449269</v>
      </c>
      <c r="T294" s="54">
        <f ca="1">MIN(100,MAX(0,MCDA_Prioritisation!$G$5+(RAND()-0.5)*2*$B$7))</f>
        <v>71.237269562431038</v>
      </c>
      <c r="U294" s="54">
        <f ca="1">MIN(100,MAX(0,MCDA_Prioritisation!$H$2+(RAND()-0.5)*2*$B$7))</f>
        <v>74.662000774830759</v>
      </c>
      <c r="V294" s="54">
        <f ca="1">MIN(100,MAX(0,MCDA_Prioritisation!$H$3+(RAND()-0.5)*2*$B$7))</f>
        <v>69.6969724467763</v>
      </c>
      <c r="W294" s="54">
        <f ca="1">MIN(100,MAX(0,MCDA_Prioritisation!$H$4+(RAND()-0.5)*2*$B$7))</f>
        <v>72.685227852417185</v>
      </c>
      <c r="X294" s="54">
        <f ca="1">MIN(100,MAX(0,MCDA_Prioritisation!$H$5+(RAND()-0.5)*2*$B$7))</f>
        <v>72.718406111555353</v>
      </c>
      <c r="Y294" s="54">
        <f ca="1">H294*MCDA_Prioritisation!$D$2+I294*MCDA_Prioritisation!$E$2+J294*M294+K294*Q294+L294*U294</f>
        <v>87.645957515253741</v>
      </c>
      <c r="Z294" s="54">
        <f ca="1">H294*MCDA_Prioritisation!$D$3+I294*MCDA_Prioritisation!$E$3+J294*N294+K294*R294+L294*V294</f>
        <v>85.691491334559842</v>
      </c>
      <c r="AA294" s="54">
        <f ca="1">H294*MCDA_Prioritisation!$D$4+I294*MCDA_Prioritisation!$E$4+J294*O294+K294*S294+L294*W294</f>
        <v>74.789843904023712</v>
      </c>
      <c r="AB294" s="54">
        <f ca="1">H294*MCDA_Prioritisation!$D$5+I294*MCDA_Prioritisation!$E$5+J294*P294+K294*T294+L294*X294</f>
        <v>73.340290106266423</v>
      </c>
      <c r="AC294" s="54">
        <f t="shared" ca="1" si="62"/>
        <v>1</v>
      </c>
      <c r="AD294" s="54">
        <f t="shared" ca="1" si="63"/>
        <v>2</v>
      </c>
      <c r="AE294" s="54">
        <f t="shared" ca="1" si="64"/>
        <v>3</v>
      </c>
      <c r="AF294" s="54">
        <f t="shared" ca="1" si="65"/>
        <v>4</v>
      </c>
      <c r="AG294" s="54">
        <f t="shared" ca="1" si="66"/>
        <v>1</v>
      </c>
      <c r="AH294" s="54">
        <f t="shared" ca="1" si="67"/>
        <v>1</v>
      </c>
      <c r="AI294" s="54">
        <f t="shared" ca="1" si="68"/>
        <v>1</v>
      </c>
      <c r="AJ294" s="54">
        <f t="shared" ca="1" si="69"/>
        <v>1</v>
      </c>
    </row>
    <row r="295" spans="1:36" x14ac:dyDescent="0.2">
      <c r="A295" s="54">
        <v>272</v>
      </c>
      <c r="B295" s="54">
        <f ca="1">MAX(0.02,MCDA_Prioritisation!$B$9+(RAND()-0.5)*2*$B$6)</f>
        <v>0.27166487288879693</v>
      </c>
      <c r="C295" s="54">
        <f ca="1">MAX(0.02,MCDA_Prioritisation!$B$10+(RAND()-0.5)*2*$B$6)</f>
        <v>0.27915477044218467</v>
      </c>
      <c r="D295" s="54">
        <f ca="1">MAX(0.02,MCDA_Prioritisation!$B$11+(RAND()-0.5)*2*$B$6)</f>
        <v>0.29665031538017755</v>
      </c>
      <c r="E295" s="54">
        <f ca="1">MAX(0.02,MCDA_Prioritisation!$B$12+(RAND()-0.5)*2*$B$6)</f>
        <v>0.17752029060279226</v>
      </c>
      <c r="F295" s="54">
        <f ca="1">MAX(0.02,MCDA_Prioritisation!$B$13+(RAND()-0.5)*2*$B$6)</f>
        <v>8.2681759423180262E-2</v>
      </c>
      <c r="G295" s="54">
        <f t="shared" ca="1" si="56"/>
        <v>1.1076720087371317</v>
      </c>
      <c r="H295" s="54">
        <f t="shared" ca="1" si="57"/>
        <v>0.24525750469990196</v>
      </c>
      <c r="I295" s="54">
        <f t="shared" ca="1" si="58"/>
        <v>0.25201934168260864</v>
      </c>
      <c r="J295" s="54">
        <f t="shared" ca="1" si="59"/>
        <v>0.26781422031093088</v>
      </c>
      <c r="K295" s="54">
        <f t="shared" ca="1" si="60"/>
        <v>0.16026431037576275</v>
      </c>
      <c r="L295" s="54">
        <f t="shared" ca="1" si="61"/>
        <v>7.4644622930795726E-2</v>
      </c>
      <c r="M295" s="54">
        <f ca="1">MIN(100,MAX(0,MCDA_Prioritisation!$F$2+(RAND()-0.5)*2*$B$7))</f>
        <v>79.21037526746963</v>
      </c>
      <c r="N295" s="54">
        <f ca="1">MIN(100,MAX(0,MCDA_Prioritisation!$F$3+(RAND()-0.5)*2*$B$7))</f>
        <v>95.912718943195088</v>
      </c>
      <c r="O295" s="54">
        <f ca="1">MIN(100,MAX(0,MCDA_Prioritisation!$F$4+(RAND()-0.5)*2*$B$7))</f>
        <v>87.206588397231144</v>
      </c>
      <c r="P295" s="54">
        <f ca="1">MIN(100,MAX(0,MCDA_Prioritisation!$F$5+(RAND()-0.5)*2*$B$7))</f>
        <v>77.121207724116871</v>
      </c>
      <c r="Q295" s="54">
        <f ca="1">MIN(100,MAX(0,MCDA_Prioritisation!$G$2+(RAND()-0.5)*2*$B$7))</f>
        <v>80.192979728846851</v>
      </c>
      <c r="R295" s="54">
        <f ca="1">MIN(100,MAX(0,MCDA_Prioritisation!$G$3+(RAND()-0.5)*2*$B$7))</f>
        <v>95.618745335610612</v>
      </c>
      <c r="S295" s="54">
        <f ca="1">MIN(100,MAX(0,MCDA_Prioritisation!$G$4+(RAND()-0.5)*2*$B$7))</f>
        <v>88.694280581223168</v>
      </c>
      <c r="T295" s="54">
        <f ca="1">MIN(100,MAX(0,MCDA_Prioritisation!$G$5+(RAND()-0.5)*2*$B$7))</f>
        <v>72.869444197346709</v>
      </c>
      <c r="U295" s="54">
        <f ca="1">MIN(100,MAX(0,MCDA_Prioritisation!$H$2+(RAND()-0.5)*2*$B$7))</f>
        <v>71.201148466895589</v>
      </c>
      <c r="V295" s="54">
        <f ca="1">MIN(100,MAX(0,MCDA_Prioritisation!$H$3+(RAND()-0.5)*2*$B$7))</f>
        <v>61.494987953575077</v>
      </c>
      <c r="W295" s="54">
        <f ca="1">MIN(100,MAX(0,MCDA_Prioritisation!$H$4+(RAND()-0.5)*2*$B$7))</f>
        <v>82.457307608554402</v>
      </c>
      <c r="X295" s="54">
        <f ca="1">MIN(100,MAX(0,MCDA_Prioritisation!$H$5+(RAND()-0.5)*2*$B$7))</f>
        <v>78.926391891468199</v>
      </c>
      <c r="Y295" s="54">
        <f ca="1">H295*MCDA_Prioritisation!$D$2+I295*MCDA_Prioritisation!$E$2+J295*M295+K295*Q295+L295*U295</f>
        <v>89.108205003816892</v>
      </c>
      <c r="Z295" s="54">
        <f ca="1">H295*MCDA_Prioritisation!$D$3+I295*MCDA_Prioritisation!$E$3+J295*N295+K295*R295+L295*V295</f>
        <v>85.364742620461882</v>
      </c>
      <c r="AA295" s="54">
        <f ca="1">H295*MCDA_Prioritisation!$D$4+I295*MCDA_Prioritisation!$E$4+J295*O295+K295*S295+L295*W295</f>
        <v>74.549487226243315</v>
      </c>
      <c r="AB295" s="54">
        <f ca="1">H295*MCDA_Prioritisation!$D$5+I295*MCDA_Prioritisation!$E$5+J295*P295+K295*T295+L295*X295</f>
        <v>72.433753947866393</v>
      </c>
      <c r="AC295" s="54">
        <f t="shared" ca="1" si="62"/>
        <v>1</v>
      </c>
      <c r="AD295" s="54">
        <f t="shared" ca="1" si="63"/>
        <v>2</v>
      </c>
      <c r="AE295" s="54">
        <f t="shared" ca="1" si="64"/>
        <v>3</v>
      </c>
      <c r="AF295" s="54">
        <f t="shared" ca="1" si="65"/>
        <v>4</v>
      </c>
      <c r="AG295" s="54">
        <f t="shared" ca="1" si="66"/>
        <v>1</v>
      </c>
      <c r="AH295" s="54">
        <f t="shared" ca="1" si="67"/>
        <v>1</v>
      </c>
      <c r="AI295" s="54">
        <f t="shared" ca="1" si="68"/>
        <v>1</v>
      </c>
      <c r="AJ295" s="54">
        <f t="shared" ca="1" si="69"/>
        <v>1</v>
      </c>
    </row>
    <row r="296" spans="1:36" x14ac:dyDescent="0.2">
      <c r="A296" s="54">
        <v>273</v>
      </c>
      <c r="B296" s="54">
        <f ca="1">MAX(0.02,MCDA_Prioritisation!$B$9+(RAND()-0.5)*2*$B$6)</f>
        <v>0.26945768895850608</v>
      </c>
      <c r="C296" s="54">
        <f ca="1">MAX(0.02,MCDA_Prioritisation!$B$10+(RAND()-0.5)*2*$B$6)</f>
        <v>0.19154608000956191</v>
      </c>
      <c r="D296" s="54">
        <f ca="1">MAX(0.02,MCDA_Prioritisation!$B$11+(RAND()-0.5)*2*$B$6)</f>
        <v>0.21921711782587283</v>
      </c>
      <c r="E296" s="54">
        <f ca="1">MAX(0.02,MCDA_Prioritisation!$B$12+(RAND()-0.5)*2*$B$6)</f>
        <v>0.21754032902466944</v>
      </c>
      <c r="F296" s="54">
        <f ca="1">MAX(0.02,MCDA_Prioritisation!$B$13+(RAND()-0.5)*2*$B$6)</f>
        <v>7.5094196750379108E-2</v>
      </c>
      <c r="G296" s="54">
        <f t="shared" ca="1" si="56"/>
        <v>0.97285541256898933</v>
      </c>
      <c r="H296" s="54">
        <f t="shared" ca="1" si="57"/>
        <v>0.27697609066794154</v>
      </c>
      <c r="I296" s="54">
        <f t="shared" ca="1" si="58"/>
        <v>0.19689059395141986</v>
      </c>
      <c r="J296" s="54">
        <f t="shared" ca="1" si="59"/>
        <v>0.22533370837398431</v>
      </c>
      <c r="K296" s="54">
        <f t="shared" ca="1" si="60"/>
        <v>0.22361013385351622</v>
      </c>
      <c r="L296" s="54">
        <f t="shared" ca="1" si="61"/>
        <v>7.7189473153138122E-2</v>
      </c>
      <c r="M296" s="54">
        <f ca="1">MIN(100,MAX(0,MCDA_Prioritisation!$F$2+(RAND()-0.5)*2*$B$7))</f>
        <v>75.62900838320968</v>
      </c>
      <c r="N296" s="54">
        <f ca="1">MIN(100,MAX(0,MCDA_Prioritisation!$F$3+(RAND()-0.5)*2*$B$7))</f>
        <v>87.016904105945756</v>
      </c>
      <c r="O296" s="54">
        <f ca="1">MIN(100,MAX(0,MCDA_Prioritisation!$F$4+(RAND()-0.5)*2*$B$7))</f>
        <v>89.200074542895962</v>
      </c>
      <c r="P296" s="54">
        <f ca="1">MIN(100,MAX(0,MCDA_Prioritisation!$F$5+(RAND()-0.5)*2*$B$7))</f>
        <v>72.913034399385594</v>
      </c>
      <c r="Q296" s="54">
        <f ca="1">MIN(100,MAX(0,MCDA_Prioritisation!$G$2+(RAND()-0.5)*2*$B$7))</f>
        <v>73.308291144920759</v>
      </c>
      <c r="R296" s="54">
        <f ca="1">MIN(100,MAX(0,MCDA_Prioritisation!$G$3+(RAND()-0.5)*2*$B$7))</f>
        <v>93.676869237816788</v>
      </c>
      <c r="S296" s="54">
        <f ca="1">MIN(100,MAX(0,MCDA_Prioritisation!$G$4+(RAND()-0.5)*2*$B$7))</f>
        <v>92.096686284257444</v>
      </c>
      <c r="T296" s="54">
        <f ca="1">MIN(100,MAX(0,MCDA_Prioritisation!$G$5+(RAND()-0.5)*2*$B$7))</f>
        <v>70.090452878514284</v>
      </c>
      <c r="U296" s="54">
        <f ca="1">MIN(100,MAX(0,MCDA_Prioritisation!$H$2+(RAND()-0.5)*2*$B$7))</f>
        <v>65.056360146548727</v>
      </c>
      <c r="V296" s="54">
        <f ca="1">MIN(100,MAX(0,MCDA_Prioritisation!$H$3+(RAND()-0.5)*2*$B$7))</f>
        <v>66.761587742835147</v>
      </c>
      <c r="W296" s="54">
        <f ca="1">MIN(100,MAX(0,MCDA_Prioritisation!$H$4+(RAND()-0.5)*2*$B$7))</f>
        <v>72.655935792713592</v>
      </c>
      <c r="X296" s="54">
        <f ca="1">MIN(100,MAX(0,MCDA_Prioritisation!$H$5+(RAND()-0.5)*2*$B$7))</f>
        <v>66.86284287735495</v>
      </c>
      <c r="Y296" s="54">
        <f ca="1">H296*MCDA_Prioritisation!$D$2+I296*MCDA_Prioritisation!$E$2+J296*M296+K296*Q296+L296*U296</f>
        <v>85.842576342033098</v>
      </c>
      <c r="Z296" s="54">
        <f ca="1">H296*MCDA_Prioritisation!$D$3+I296*MCDA_Prioritisation!$E$3+J296*N296+K296*R296+L296*V296</f>
        <v>84.234381546094525</v>
      </c>
      <c r="AA296" s="54">
        <f ca="1">H296*MCDA_Prioritisation!$D$4+I296*MCDA_Prioritisation!$E$4+J296*O296+K296*S296+L296*W296</f>
        <v>76.328283001867916</v>
      </c>
      <c r="AB296" s="54">
        <f ca="1">H296*MCDA_Prioritisation!$D$5+I296*MCDA_Prioritisation!$E$5+J296*P296+K296*T296+L296*X296</f>
        <v>68.52126910365584</v>
      </c>
      <c r="AC296" s="54">
        <f t="shared" ca="1" si="62"/>
        <v>1</v>
      </c>
      <c r="AD296" s="54">
        <f t="shared" ca="1" si="63"/>
        <v>2</v>
      </c>
      <c r="AE296" s="54">
        <f t="shared" ca="1" si="64"/>
        <v>3</v>
      </c>
      <c r="AF296" s="54">
        <f t="shared" ca="1" si="65"/>
        <v>4</v>
      </c>
      <c r="AG296" s="54">
        <f t="shared" ca="1" si="66"/>
        <v>1</v>
      </c>
      <c r="AH296" s="54">
        <f t="shared" ca="1" si="67"/>
        <v>1</v>
      </c>
      <c r="AI296" s="54">
        <f t="shared" ca="1" si="68"/>
        <v>1</v>
      </c>
      <c r="AJ296" s="54">
        <f t="shared" ca="1" si="69"/>
        <v>1</v>
      </c>
    </row>
    <row r="297" spans="1:36" x14ac:dyDescent="0.2">
      <c r="A297" s="54">
        <v>274</v>
      </c>
      <c r="B297" s="54">
        <f ca="1">MAX(0.02,MCDA_Prioritisation!$B$9+(RAND()-0.5)*2*$B$6)</f>
        <v>0.26501587262480586</v>
      </c>
      <c r="C297" s="54">
        <f ca="1">MAX(0.02,MCDA_Prioritisation!$B$10+(RAND()-0.5)*2*$B$6)</f>
        <v>0.31773831834223787</v>
      </c>
      <c r="D297" s="54">
        <f ca="1">MAX(0.02,MCDA_Prioritisation!$B$11+(RAND()-0.5)*2*$B$6)</f>
        <v>0.31682268167994715</v>
      </c>
      <c r="E297" s="54">
        <f ca="1">MAX(0.02,MCDA_Prioritisation!$B$12+(RAND()-0.5)*2*$B$6)</f>
        <v>7.5348311375979873E-2</v>
      </c>
      <c r="F297" s="54">
        <f ca="1">MAX(0.02,MCDA_Prioritisation!$B$13+(RAND()-0.5)*2*$B$6)</f>
        <v>0.18661553824326538</v>
      </c>
      <c r="G297" s="54">
        <f t="shared" ca="1" si="56"/>
        <v>1.1615407222662362</v>
      </c>
      <c r="H297" s="54">
        <f t="shared" ca="1" si="57"/>
        <v>0.22815891646721079</v>
      </c>
      <c r="I297" s="54">
        <f t="shared" ca="1" si="58"/>
        <v>0.27354901317821317</v>
      </c>
      <c r="J297" s="54">
        <f t="shared" ca="1" si="59"/>
        <v>0.27276071824826509</v>
      </c>
      <c r="K297" s="54">
        <f t="shared" ca="1" si="60"/>
        <v>6.4869280888379677E-2</v>
      </c>
      <c r="L297" s="54">
        <f t="shared" ca="1" si="61"/>
        <v>0.16066207121793127</v>
      </c>
      <c r="M297" s="54">
        <f ca="1">MIN(100,MAX(0,MCDA_Prioritisation!$F$2+(RAND()-0.5)*2*$B$7))</f>
        <v>85.578895831007515</v>
      </c>
      <c r="N297" s="54">
        <f ca="1">MIN(100,MAX(0,MCDA_Prioritisation!$F$3+(RAND()-0.5)*2*$B$7))</f>
        <v>96.237541571417808</v>
      </c>
      <c r="O297" s="54">
        <f ca="1">MIN(100,MAX(0,MCDA_Prioritisation!$F$4+(RAND()-0.5)*2*$B$7))</f>
        <v>81.929134353759679</v>
      </c>
      <c r="P297" s="54">
        <f ca="1">MIN(100,MAX(0,MCDA_Prioritisation!$F$5+(RAND()-0.5)*2*$B$7))</f>
        <v>66.88193119493279</v>
      </c>
      <c r="Q297" s="54">
        <f ca="1">MIN(100,MAX(0,MCDA_Prioritisation!$G$2+(RAND()-0.5)*2*$B$7))</f>
        <v>78.357866840184116</v>
      </c>
      <c r="R297" s="54">
        <f ca="1">MIN(100,MAX(0,MCDA_Prioritisation!$G$3+(RAND()-0.5)*2*$B$7))</f>
        <v>88.648955985068866</v>
      </c>
      <c r="S297" s="54">
        <f ca="1">MIN(100,MAX(0,MCDA_Prioritisation!$G$4+(RAND()-0.5)*2*$B$7))</f>
        <v>86.573636869078285</v>
      </c>
      <c r="T297" s="54">
        <f ca="1">MIN(100,MAX(0,MCDA_Prioritisation!$G$5+(RAND()-0.5)*2*$B$7))</f>
        <v>61.927011066999953</v>
      </c>
      <c r="U297" s="54">
        <f ca="1">MIN(100,MAX(0,MCDA_Prioritisation!$H$2+(RAND()-0.5)*2*$B$7))</f>
        <v>65.011877307738644</v>
      </c>
      <c r="V297" s="54">
        <f ca="1">MIN(100,MAX(0,MCDA_Prioritisation!$H$3+(RAND()-0.5)*2*$B$7))</f>
        <v>66.996173054452882</v>
      </c>
      <c r="W297" s="54">
        <f ca="1">MIN(100,MAX(0,MCDA_Prioritisation!$H$4+(RAND()-0.5)*2*$B$7))</f>
        <v>86.50344770764724</v>
      </c>
      <c r="X297" s="54">
        <f ca="1">MIN(100,MAX(0,MCDA_Prioritisation!$H$5+(RAND()-0.5)*2*$B$7))</f>
        <v>84.977742586362822</v>
      </c>
      <c r="Y297" s="54">
        <f ca="1">H297*MCDA_Prioritisation!$D$2+I297*MCDA_Prioritisation!$E$2+J297*M297+K297*Q297+L297*U297</f>
        <v>89.041315394198932</v>
      </c>
      <c r="Z297" s="54">
        <f ca="1">H297*MCDA_Prioritisation!$D$3+I297*MCDA_Prioritisation!$E$3+J297*N297+K297*R297+L297*V297</f>
        <v>82.599000748225279</v>
      </c>
      <c r="AA297" s="54">
        <f ca="1">H297*MCDA_Prioritisation!$D$4+I297*MCDA_Prioritisation!$E$4+J297*O297+K297*S297+L297*W297</f>
        <v>72.669343127479436</v>
      </c>
      <c r="AB297" s="54">
        <f ca="1">H297*MCDA_Prioritisation!$D$5+I297*MCDA_Prioritisation!$E$5+J297*P297+K297*T297+L297*X297</f>
        <v>71.025347108754772</v>
      </c>
      <c r="AC297" s="54">
        <f t="shared" ca="1" si="62"/>
        <v>1</v>
      </c>
      <c r="AD297" s="54">
        <f t="shared" ca="1" si="63"/>
        <v>2</v>
      </c>
      <c r="AE297" s="54">
        <f t="shared" ca="1" si="64"/>
        <v>3</v>
      </c>
      <c r="AF297" s="54">
        <f t="shared" ca="1" si="65"/>
        <v>4</v>
      </c>
      <c r="AG297" s="54">
        <f t="shared" ca="1" si="66"/>
        <v>1</v>
      </c>
      <c r="AH297" s="54">
        <f t="shared" ca="1" si="67"/>
        <v>1</v>
      </c>
      <c r="AI297" s="54">
        <f t="shared" ca="1" si="68"/>
        <v>1</v>
      </c>
      <c r="AJ297" s="54">
        <f t="shared" ca="1" si="69"/>
        <v>1</v>
      </c>
    </row>
    <row r="298" spans="1:36" x14ac:dyDescent="0.2">
      <c r="A298" s="54">
        <v>275</v>
      </c>
      <c r="B298" s="54">
        <f ca="1">MAX(0.02,MCDA_Prioritisation!$B$9+(RAND()-0.5)*2*$B$6)</f>
        <v>0.26489244862844258</v>
      </c>
      <c r="C298" s="54">
        <f ca="1">MAX(0.02,MCDA_Prioritisation!$B$10+(RAND()-0.5)*2*$B$6)</f>
        <v>0.22464680203181309</v>
      </c>
      <c r="D298" s="54">
        <f ca="1">MAX(0.02,MCDA_Prioritisation!$B$11+(RAND()-0.5)*2*$B$6)</f>
        <v>0.2386048066457255</v>
      </c>
      <c r="E298" s="54">
        <f ca="1">MAX(0.02,MCDA_Prioritisation!$B$12+(RAND()-0.5)*2*$B$6)</f>
        <v>9.0848304688881554E-2</v>
      </c>
      <c r="F298" s="54">
        <f ca="1">MAX(0.02,MCDA_Prioritisation!$B$13+(RAND()-0.5)*2*$B$6)</f>
        <v>0.17589463157945809</v>
      </c>
      <c r="G298" s="54">
        <f t="shared" ca="1" si="56"/>
        <v>0.99488699357432075</v>
      </c>
      <c r="H298" s="54">
        <f t="shared" ca="1" si="57"/>
        <v>0.26625380604963594</v>
      </c>
      <c r="I298" s="54">
        <f t="shared" ca="1" si="58"/>
        <v>0.22580132566084388</v>
      </c>
      <c r="J298" s="54">
        <f t="shared" ca="1" si="59"/>
        <v>0.23983106441917826</v>
      </c>
      <c r="K298" s="54">
        <f t="shared" ca="1" si="60"/>
        <v>9.1315199892695084E-2</v>
      </c>
      <c r="L298" s="54">
        <f t="shared" ca="1" si="61"/>
        <v>0.17679860397764691</v>
      </c>
      <c r="M298" s="54">
        <f ca="1">MIN(100,MAX(0,MCDA_Prioritisation!$F$2+(RAND()-0.5)*2*$B$7))</f>
        <v>91.124151946027609</v>
      </c>
      <c r="N298" s="54">
        <f ca="1">MIN(100,MAX(0,MCDA_Prioritisation!$F$3+(RAND()-0.5)*2*$B$7))</f>
        <v>87.711320130589371</v>
      </c>
      <c r="O298" s="54">
        <f ca="1">MIN(100,MAX(0,MCDA_Prioritisation!$F$4+(RAND()-0.5)*2*$B$7))</f>
        <v>84.690362434401536</v>
      </c>
      <c r="P298" s="54">
        <f ca="1">MIN(100,MAX(0,MCDA_Prioritisation!$F$5+(RAND()-0.5)*2*$B$7))</f>
        <v>75.434944068771401</v>
      </c>
      <c r="Q298" s="54">
        <f ca="1">MIN(100,MAX(0,MCDA_Prioritisation!$G$2+(RAND()-0.5)*2*$B$7))</f>
        <v>82.562484092764933</v>
      </c>
      <c r="R298" s="54">
        <f ca="1">MIN(100,MAX(0,MCDA_Prioritisation!$G$3+(RAND()-0.5)*2*$B$7))</f>
        <v>95.139711183284774</v>
      </c>
      <c r="S298" s="54">
        <f ca="1">MIN(100,MAX(0,MCDA_Prioritisation!$G$4+(RAND()-0.5)*2*$B$7))</f>
        <v>82.478630619778613</v>
      </c>
      <c r="T298" s="54">
        <f ca="1">MIN(100,MAX(0,MCDA_Prioritisation!$G$5+(RAND()-0.5)*2*$B$7))</f>
        <v>65.845827894259415</v>
      </c>
      <c r="U298" s="54">
        <f ca="1">MIN(100,MAX(0,MCDA_Prioritisation!$H$2+(RAND()-0.5)*2*$B$7))</f>
        <v>70.079679223366924</v>
      </c>
      <c r="V298" s="54">
        <f ca="1">MIN(100,MAX(0,MCDA_Prioritisation!$H$3+(RAND()-0.5)*2*$B$7))</f>
        <v>50.011357881430953</v>
      </c>
      <c r="W298" s="54">
        <f ca="1">MIN(100,MAX(0,MCDA_Prioritisation!$H$4+(RAND()-0.5)*2*$B$7))</f>
        <v>76.223953627275279</v>
      </c>
      <c r="X298" s="54">
        <f ca="1">MIN(100,MAX(0,MCDA_Prioritisation!$H$5+(RAND()-0.5)*2*$B$7))</f>
        <v>76.060533294639853</v>
      </c>
      <c r="Y298" s="54">
        <f ca="1">H298*MCDA_Prioritisation!$D$2+I298*MCDA_Prioritisation!$E$2+J298*M298+K298*Q298+L298*U298</f>
        <v>90.989114719019582</v>
      </c>
      <c r="Z298" s="54">
        <f ca="1">H298*MCDA_Prioritisation!$D$3+I298*MCDA_Prioritisation!$E$3+J298*N298+K298*R298+L298*V298</f>
        <v>78.257194952615137</v>
      </c>
      <c r="AA298" s="54">
        <f ca="1">H298*MCDA_Prioritisation!$D$4+I298*MCDA_Prioritisation!$E$4+J298*O298+K298*S298+L298*W298</f>
        <v>72.176006800216257</v>
      </c>
      <c r="AB298" s="54">
        <f ca="1">H298*MCDA_Prioritisation!$D$5+I298*MCDA_Prioritisation!$E$5+J298*P298+K298*T298+L298*X298</f>
        <v>70.671260394255967</v>
      </c>
      <c r="AC298" s="54">
        <f t="shared" ca="1" si="62"/>
        <v>1</v>
      </c>
      <c r="AD298" s="54">
        <f t="shared" ca="1" si="63"/>
        <v>2</v>
      </c>
      <c r="AE298" s="54">
        <f t="shared" ca="1" si="64"/>
        <v>3</v>
      </c>
      <c r="AF298" s="54">
        <f t="shared" ca="1" si="65"/>
        <v>4</v>
      </c>
      <c r="AG298" s="54">
        <f t="shared" ca="1" si="66"/>
        <v>1</v>
      </c>
      <c r="AH298" s="54">
        <f t="shared" ca="1" si="67"/>
        <v>1</v>
      </c>
      <c r="AI298" s="54">
        <f t="shared" ca="1" si="68"/>
        <v>1</v>
      </c>
      <c r="AJ298" s="54">
        <f t="shared" ca="1" si="69"/>
        <v>1</v>
      </c>
    </row>
    <row r="299" spans="1:36" x14ac:dyDescent="0.2">
      <c r="A299" s="54">
        <v>276</v>
      </c>
      <c r="B299" s="54">
        <f ca="1">MAX(0.02,MCDA_Prioritisation!$B$9+(RAND()-0.5)*2*$B$6)</f>
        <v>0.15605027683935063</v>
      </c>
      <c r="C299" s="54">
        <f ca="1">MAX(0.02,MCDA_Prioritisation!$B$10+(RAND()-0.5)*2*$B$6)</f>
        <v>0.2276222682493752</v>
      </c>
      <c r="D299" s="54">
        <f ca="1">MAX(0.02,MCDA_Prioritisation!$B$11+(RAND()-0.5)*2*$B$6)</f>
        <v>0.28680345482852065</v>
      </c>
      <c r="E299" s="54">
        <f ca="1">MAX(0.02,MCDA_Prioritisation!$B$12+(RAND()-0.5)*2*$B$6)</f>
        <v>0.18757747487537849</v>
      </c>
      <c r="F299" s="54">
        <f ca="1">MAX(0.02,MCDA_Prioritisation!$B$13+(RAND()-0.5)*2*$B$6)</f>
        <v>0.15717661554275258</v>
      </c>
      <c r="G299" s="54">
        <f t="shared" ca="1" si="56"/>
        <v>1.0152300903353775</v>
      </c>
      <c r="H299" s="54">
        <f t="shared" ca="1" si="57"/>
        <v>0.15370927076028648</v>
      </c>
      <c r="I299" s="54">
        <f t="shared" ca="1" si="58"/>
        <v>0.22420756675383907</v>
      </c>
      <c r="J299" s="54">
        <f t="shared" ca="1" si="59"/>
        <v>0.28250093999260423</v>
      </c>
      <c r="K299" s="54">
        <f t="shared" ca="1" si="60"/>
        <v>0.18476350992848622</v>
      </c>
      <c r="L299" s="54">
        <f t="shared" ca="1" si="61"/>
        <v>0.15481871256478408</v>
      </c>
      <c r="M299" s="54">
        <f ca="1">MIN(100,MAX(0,MCDA_Prioritisation!$F$2+(RAND()-0.5)*2*$B$7))</f>
        <v>94.046970314645463</v>
      </c>
      <c r="N299" s="54">
        <f ca="1">MIN(100,MAX(0,MCDA_Prioritisation!$F$3+(RAND()-0.5)*2*$B$7))</f>
        <v>90.510510497780956</v>
      </c>
      <c r="O299" s="54">
        <f ca="1">MIN(100,MAX(0,MCDA_Prioritisation!$F$4+(RAND()-0.5)*2*$B$7))</f>
        <v>90.08624995969754</v>
      </c>
      <c r="P299" s="54">
        <f ca="1">MIN(100,MAX(0,MCDA_Prioritisation!$F$5+(RAND()-0.5)*2*$B$7))</f>
        <v>65.8213908197541</v>
      </c>
      <c r="Q299" s="54">
        <f ca="1">MIN(100,MAX(0,MCDA_Prioritisation!$G$2+(RAND()-0.5)*2*$B$7))</f>
        <v>73.139890772562069</v>
      </c>
      <c r="R299" s="54">
        <f ca="1">MIN(100,MAX(0,MCDA_Prioritisation!$G$3+(RAND()-0.5)*2*$B$7))</f>
        <v>93.539474832896971</v>
      </c>
      <c r="S299" s="54">
        <f ca="1">MIN(100,MAX(0,MCDA_Prioritisation!$G$4+(RAND()-0.5)*2*$B$7))</f>
        <v>92.063453319947115</v>
      </c>
      <c r="T299" s="54">
        <f ca="1">MIN(100,MAX(0,MCDA_Prioritisation!$G$5+(RAND()-0.5)*2*$B$7))</f>
        <v>79.443233515251748</v>
      </c>
      <c r="U299" s="54">
        <f ca="1">MIN(100,MAX(0,MCDA_Prioritisation!$H$2+(RAND()-0.5)*2*$B$7))</f>
        <v>69.051329786350891</v>
      </c>
      <c r="V299" s="54">
        <f ca="1">MIN(100,MAX(0,MCDA_Prioritisation!$H$3+(RAND()-0.5)*2*$B$7))</f>
        <v>54.447984221280585</v>
      </c>
      <c r="W299" s="54">
        <f ca="1">MIN(100,MAX(0,MCDA_Prioritisation!$H$4+(RAND()-0.5)*2*$B$7))</f>
        <v>72.284589082822691</v>
      </c>
      <c r="X299" s="54">
        <f ca="1">MIN(100,MAX(0,MCDA_Prioritisation!$H$5+(RAND()-0.5)*2*$B$7))</f>
        <v>66.683156845004717</v>
      </c>
      <c r="Y299" s="54">
        <f ca="1">H299*MCDA_Prioritisation!$D$2+I299*MCDA_Prioritisation!$E$2+J299*M299+K299*Q299+L299*U299</f>
        <v>88.564062182090282</v>
      </c>
      <c r="Z299" s="54">
        <f ca="1">H299*MCDA_Prioritisation!$D$3+I299*MCDA_Prioritisation!$E$3+J299*N299+K299*R299+L299*V299</f>
        <v>81.021262084939025</v>
      </c>
      <c r="AA299" s="54">
        <f ca="1">H299*MCDA_Prioritisation!$D$4+I299*MCDA_Prioritisation!$E$4+J299*O299+K299*S299+L299*W299</f>
        <v>76.583337747083561</v>
      </c>
      <c r="AB299" s="54">
        <f ca="1">H299*MCDA_Prioritisation!$D$5+I299*MCDA_Prioritisation!$E$5+J299*P299+K299*T299+L299*X299</f>
        <v>70.608690367906249</v>
      </c>
      <c r="AC299" s="54">
        <f t="shared" ca="1" si="62"/>
        <v>1</v>
      </c>
      <c r="AD299" s="54">
        <f t="shared" ca="1" si="63"/>
        <v>2</v>
      </c>
      <c r="AE299" s="54">
        <f t="shared" ca="1" si="64"/>
        <v>3</v>
      </c>
      <c r="AF299" s="54">
        <f t="shared" ca="1" si="65"/>
        <v>4</v>
      </c>
      <c r="AG299" s="54">
        <f t="shared" ca="1" si="66"/>
        <v>1</v>
      </c>
      <c r="AH299" s="54">
        <f t="shared" ca="1" si="67"/>
        <v>1</v>
      </c>
      <c r="AI299" s="54">
        <f t="shared" ca="1" si="68"/>
        <v>1</v>
      </c>
      <c r="AJ299" s="54">
        <f t="shared" ca="1" si="69"/>
        <v>1</v>
      </c>
    </row>
    <row r="300" spans="1:36" x14ac:dyDescent="0.2">
      <c r="A300" s="54">
        <v>277</v>
      </c>
      <c r="B300" s="54">
        <f ca="1">MAX(0.02,MCDA_Prioritisation!$B$9+(RAND()-0.5)*2*$B$6)</f>
        <v>0.17772575386798092</v>
      </c>
      <c r="C300" s="54">
        <f ca="1">MAX(0.02,MCDA_Prioritisation!$B$10+(RAND()-0.5)*2*$B$6)</f>
        <v>0.31620707053991376</v>
      </c>
      <c r="D300" s="54">
        <f ca="1">MAX(0.02,MCDA_Prioritisation!$B$11+(RAND()-0.5)*2*$B$6)</f>
        <v>0.17458752326750898</v>
      </c>
      <c r="E300" s="54">
        <f ca="1">MAX(0.02,MCDA_Prioritisation!$B$12+(RAND()-0.5)*2*$B$6)</f>
        <v>0.18105585519721393</v>
      </c>
      <c r="F300" s="54">
        <f ca="1">MAX(0.02,MCDA_Prioritisation!$B$13+(RAND()-0.5)*2*$B$6)</f>
        <v>0.10952118302011857</v>
      </c>
      <c r="G300" s="54">
        <f t="shared" ca="1" si="56"/>
        <v>0.95909738589273608</v>
      </c>
      <c r="H300" s="54">
        <f t="shared" ca="1" si="57"/>
        <v>0.18530522184934564</v>
      </c>
      <c r="I300" s="54">
        <f t="shared" ca="1" si="58"/>
        <v>0.32969234948501658</v>
      </c>
      <c r="J300" s="54">
        <f t="shared" ca="1" si="59"/>
        <v>0.1820331551680765</v>
      </c>
      <c r="K300" s="54">
        <f t="shared" ca="1" si="60"/>
        <v>0.18877734196792287</v>
      </c>
      <c r="L300" s="54">
        <f t="shared" ca="1" si="61"/>
        <v>0.11419193152963847</v>
      </c>
      <c r="M300" s="54">
        <f ca="1">MIN(100,MAX(0,MCDA_Prioritisation!$F$2+(RAND()-0.5)*2*$B$7))</f>
        <v>77.074130494158098</v>
      </c>
      <c r="N300" s="54">
        <f ca="1">MIN(100,MAX(0,MCDA_Prioritisation!$F$3+(RAND()-0.5)*2*$B$7))</f>
        <v>94.269392670356723</v>
      </c>
      <c r="O300" s="54">
        <f ca="1">MIN(100,MAX(0,MCDA_Prioritisation!$F$4+(RAND()-0.5)*2*$B$7))</f>
        <v>85.144188161648813</v>
      </c>
      <c r="P300" s="54">
        <f ca="1">MIN(100,MAX(0,MCDA_Prioritisation!$F$5+(RAND()-0.5)*2*$B$7))</f>
        <v>79.143398075179633</v>
      </c>
      <c r="Q300" s="54">
        <f ca="1">MIN(100,MAX(0,MCDA_Prioritisation!$G$2+(RAND()-0.5)*2*$B$7))</f>
        <v>77.599645623894077</v>
      </c>
      <c r="R300" s="54">
        <f ca="1">MIN(100,MAX(0,MCDA_Prioritisation!$G$3+(RAND()-0.5)*2*$B$7))</f>
        <v>94.573732986283204</v>
      </c>
      <c r="S300" s="54">
        <f ca="1">MIN(100,MAX(0,MCDA_Prioritisation!$G$4+(RAND()-0.5)*2*$B$7))</f>
        <v>77.358764093434388</v>
      </c>
      <c r="T300" s="54">
        <f ca="1">MIN(100,MAX(0,MCDA_Prioritisation!$G$5+(RAND()-0.5)*2*$B$7))</f>
        <v>70.247879295509279</v>
      </c>
      <c r="U300" s="54">
        <f ca="1">MIN(100,MAX(0,MCDA_Prioritisation!$H$2+(RAND()-0.5)*2*$B$7))</f>
        <v>64.652525583428343</v>
      </c>
      <c r="V300" s="54">
        <f ca="1">MIN(100,MAX(0,MCDA_Prioritisation!$H$3+(RAND()-0.5)*2*$B$7))</f>
        <v>66.939072901220712</v>
      </c>
      <c r="W300" s="54">
        <f ca="1">MIN(100,MAX(0,MCDA_Prioritisation!$H$4+(RAND()-0.5)*2*$B$7))</f>
        <v>89.710082025777581</v>
      </c>
      <c r="X300" s="54">
        <f ca="1">MIN(100,MAX(0,MCDA_Prioritisation!$H$5+(RAND()-0.5)*2*$B$7))</f>
        <v>78.686417262371819</v>
      </c>
      <c r="Y300" s="54">
        <f ca="1">H300*MCDA_Prioritisation!$D$2+I300*MCDA_Prioritisation!$E$2+J300*M300+K300*Q300+L300*U300</f>
        <v>87.561655902296408</v>
      </c>
      <c r="Z300" s="54">
        <f ca="1">H300*MCDA_Prioritisation!$D$3+I300*MCDA_Prioritisation!$E$3+J300*N300+K300*R300+L300*V300</f>
        <v>82.83015105118065</v>
      </c>
      <c r="AA300" s="54">
        <f ca="1">H300*MCDA_Prioritisation!$D$4+I300*MCDA_Prioritisation!$E$4+J300*O300+K300*S300+L300*W300</f>
        <v>71.233599999995178</v>
      </c>
      <c r="AB300" s="54">
        <f ca="1">H300*MCDA_Prioritisation!$D$5+I300*MCDA_Prioritisation!$E$5+J300*P300+K300*T300+L300*X300</f>
        <v>74.212653293775716</v>
      </c>
      <c r="AC300" s="54">
        <f t="shared" ca="1" si="62"/>
        <v>1</v>
      </c>
      <c r="AD300" s="54">
        <f t="shared" ca="1" si="63"/>
        <v>2</v>
      </c>
      <c r="AE300" s="54">
        <f t="shared" ca="1" si="64"/>
        <v>4</v>
      </c>
      <c r="AF300" s="54">
        <f t="shared" ca="1" si="65"/>
        <v>3</v>
      </c>
      <c r="AG300" s="54">
        <f t="shared" ca="1" si="66"/>
        <v>1</v>
      </c>
      <c r="AH300" s="54">
        <f t="shared" ca="1" si="67"/>
        <v>1</v>
      </c>
      <c r="AI300" s="54">
        <f t="shared" ca="1" si="68"/>
        <v>0</v>
      </c>
      <c r="AJ300" s="54">
        <f t="shared" ca="1" si="69"/>
        <v>1</v>
      </c>
    </row>
    <row r="301" spans="1:36" x14ac:dyDescent="0.2">
      <c r="A301" s="54">
        <v>278</v>
      </c>
      <c r="B301" s="54">
        <f ca="1">MAX(0.02,MCDA_Prioritisation!$B$9+(RAND()-0.5)*2*$B$6)</f>
        <v>0.2304382342392986</v>
      </c>
      <c r="C301" s="54">
        <f ca="1">MAX(0.02,MCDA_Prioritisation!$B$10+(RAND()-0.5)*2*$B$6)</f>
        <v>0.24710085224655551</v>
      </c>
      <c r="D301" s="54">
        <f ca="1">MAX(0.02,MCDA_Prioritisation!$B$11+(RAND()-0.5)*2*$B$6)</f>
        <v>0.27017180447173178</v>
      </c>
      <c r="E301" s="54">
        <f ca="1">MAX(0.02,MCDA_Prioritisation!$B$12+(RAND()-0.5)*2*$B$6)</f>
        <v>9.7091350835166818E-2</v>
      </c>
      <c r="F301" s="54">
        <f ca="1">MAX(0.02,MCDA_Prioritisation!$B$13+(RAND()-0.5)*2*$B$6)</f>
        <v>7.6684966443477234E-2</v>
      </c>
      <c r="G301" s="54">
        <f t="shared" ca="1" si="56"/>
        <v>0.92148720823622987</v>
      </c>
      <c r="H301" s="54">
        <f t="shared" ca="1" si="57"/>
        <v>0.25007209235206673</v>
      </c>
      <c r="I301" s="54">
        <f t="shared" ca="1" si="58"/>
        <v>0.26815440305407845</v>
      </c>
      <c r="J301" s="54">
        <f t="shared" ca="1" si="59"/>
        <v>0.29319105252568117</v>
      </c>
      <c r="K301" s="54">
        <f t="shared" ca="1" si="60"/>
        <v>0.10536375325383437</v>
      </c>
      <c r="L301" s="54">
        <f t="shared" ca="1" si="61"/>
        <v>8.3218698814339367E-2</v>
      </c>
      <c r="M301" s="54">
        <f ca="1">MIN(100,MAX(0,MCDA_Prioritisation!$F$2+(RAND()-0.5)*2*$B$7))</f>
        <v>93.899383422078742</v>
      </c>
      <c r="N301" s="54">
        <f ca="1">MIN(100,MAX(0,MCDA_Prioritisation!$F$3+(RAND()-0.5)*2*$B$7))</f>
        <v>100</v>
      </c>
      <c r="O301" s="54">
        <f ca="1">MIN(100,MAX(0,MCDA_Prioritisation!$F$4+(RAND()-0.5)*2*$B$7))</f>
        <v>82.797074458412993</v>
      </c>
      <c r="P301" s="54">
        <f ca="1">MIN(100,MAX(0,MCDA_Prioritisation!$F$5+(RAND()-0.5)*2*$B$7))</f>
        <v>79.7418483585014</v>
      </c>
      <c r="Q301" s="54">
        <f ca="1">MIN(100,MAX(0,MCDA_Prioritisation!$G$2+(RAND()-0.5)*2*$B$7))</f>
        <v>87.880584976979833</v>
      </c>
      <c r="R301" s="54">
        <f ca="1">MIN(100,MAX(0,MCDA_Prioritisation!$G$3+(RAND()-0.5)*2*$B$7))</f>
        <v>99.555969477495026</v>
      </c>
      <c r="S301" s="54">
        <f ca="1">MIN(100,MAX(0,MCDA_Prioritisation!$G$4+(RAND()-0.5)*2*$B$7))</f>
        <v>91.635110727970527</v>
      </c>
      <c r="T301" s="54">
        <f ca="1">MIN(100,MAX(0,MCDA_Prioritisation!$G$5+(RAND()-0.5)*2*$B$7))</f>
        <v>69.048261685072049</v>
      </c>
      <c r="U301" s="54">
        <f ca="1">MIN(100,MAX(0,MCDA_Prioritisation!$H$2+(RAND()-0.5)*2*$B$7))</f>
        <v>61.085196223084864</v>
      </c>
      <c r="V301" s="54">
        <f ca="1">MIN(100,MAX(0,MCDA_Prioritisation!$H$3+(RAND()-0.5)*2*$B$7))</f>
        <v>65.594896472159462</v>
      </c>
      <c r="W301" s="54">
        <f ca="1">MIN(100,MAX(0,MCDA_Prioritisation!$H$4+(RAND()-0.5)*2*$B$7))</f>
        <v>86.030849846878823</v>
      </c>
      <c r="X301" s="54">
        <f ca="1">MIN(100,MAX(0,MCDA_Prioritisation!$H$5+(RAND()-0.5)*2*$B$7))</f>
        <v>82.735822707636359</v>
      </c>
      <c r="Y301" s="54">
        <f ca="1">H301*MCDA_Prioritisation!$D$2+I301*MCDA_Prioritisation!$E$2+J301*M301+K301*Q301+L301*U301</f>
        <v>93.695967415467138</v>
      </c>
      <c r="Z301" s="54">
        <f ca="1">H301*MCDA_Prioritisation!$D$3+I301*MCDA_Prioritisation!$E$3+J301*N301+K301*R301+L301*V301</f>
        <v>86.625066651441813</v>
      </c>
      <c r="AA301" s="54">
        <f ca="1">H301*MCDA_Prioritisation!$D$4+I301*MCDA_Prioritisation!$E$4+J301*O301+K301*S301+L301*W301</f>
        <v>73.129910225181817</v>
      </c>
      <c r="AB301" s="54">
        <f ca="1">H301*MCDA_Prioritisation!$D$5+I301*MCDA_Prioritisation!$E$5+J301*P301+K301*T301+L301*X301</f>
        <v>73.362094319171121</v>
      </c>
      <c r="AC301" s="54">
        <f t="shared" ca="1" si="62"/>
        <v>1</v>
      </c>
      <c r="AD301" s="54">
        <f t="shared" ca="1" si="63"/>
        <v>2</v>
      </c>
      <c r="AE301" s="54">
        <f t="shared" ca="1" si="64"/>
        <v>4</v>
      </c>
      <c r="AF301" s="54">
        <f t="shared" ca="1" si="65"/>
        <v>3</v>
      </c>
      <c r="AG301" s="54">
        <f t="shared" ca="1" si="66"/>
        <v>1</v>
      </c>
      <c r="AH301" s="54">
        <f t="shared" ca="1" si="67"/>
        <v>1</v>
      </c>
      <c r="AI301" s="54">
        <f t="shared" ca="1" si="68"/>
        <v>0</v>
      </c>
      <c r="AJ301" s="54">
        <f t="shared" ca="1" si="69"/>
        <v>1</v>
      </c>
    </row>
    <row r="302" spans="1:36" x14ac:dyDescent="0.2">
      <c r="A302" s="54">
        <v>279</v>
      </c>
      <c r="B302" s="54">
        <f ca="1">MAX(0.02,MCDA_Prioritisation!$B$9+(RAND()-0.5)*2*$B$6)</f>
        <v>0.19442439082912433</v>
      </c>
      <c r="C302" s="54">
        <f ca="1">MAX(0.02,MCDA_Prioritisation!$B$10+(RAND()-0.5)*2*$B$6)</f>
        <v>0.32919585283088693</v>
      </c>
      <c r="D302" s="54">
        <f ca="1">MAX(0.02,MCDA_Prioritisation!$B$11+(RAND()-0.5)*2*$B$6)</f>
        <v>0.29848564536120503</v>
      </c>
      <c r="E302" s="54">
        <f ca="1">MAX(0.02,MCDA_Prioritisation!$B$12+(RAND()-0.5)*2*$B$6)</f>
        <v>0.16844081756880419</v>
      </c>
      <c r="F302" s="54">
        <f ca="1">MAX(0.02,MCDA_Prioritisation!$B$13+(RAND()-0.5)*2*$B$6)</f>
        <v>0.13877445863737869</v>
      </c>
      <c r="G302" s="54">
        <f t="shared" ca="1" si="56"/>
        <v>1.1293211652273991</v>
      </c>
      <c r="H302" s="54">
        <f t="shared" ca="1" si="57"/>
        <v>0.17216040645972946</v>
      </c>
      <c r="I302" s="54">
        <f t="shared" ca="1" si="58"/>
        <v>0.2914988782350505</v>
      </c>
      <c r="J302" s="54">
        <f t="shared" ca="1" si="59"/>
        <v>0.26430536728770354</v>
      </c>
      <c r="K302" s="54">
        <f t="shared" ca="1" si="60"/>
        <v>0.1491522719623227</v>
      </c>
      <c r="L302" s="54">
        <f t="shared" ca="1" si="61"/>
        <v>0.12288307605519391</v>
      </c>
      <c r="M302" s="54">
        <f ca="1">MIN(100,MAX(0,MCDA_Prioritisation!$F$2+(RAND()-0.5)*2*$B$7))</f>
        <v>86.685925830040446</v>
      </c>
      <c r="N302" s="54">
        <f ca="1">MIN(100,MAX(0,MCDA_Prioritisation!$F$3+(RAND()-0.5)*2*$B$7))</f>
        <v>100</v>
      </c>
      <c r="O302" s="54">
        <f ca="1">MIN(100,MAX(0,MCDA_Prioritisation!$F$4+(RAND()-0.5)*2*$B$7))</f>
        <v>86.076533675172485</v>
      </c>
      <c r="P302" s="54">
        <f ca="1">MIN(100,MAX(0,MCDA_Prioritisation!$F$5+(RAND()-0.5)*2*$B$7))</f>
        <v>83.61115619139963</v>
      </c>
      <c r="Q302" s="54">
        <f ca="1">MIN(100,MAX(0,MCDA_Prioritisation!$G$2+(RAND()-0.5)*2*$B$7))</f>
        <v>86.187799674195162</v>
      </c>
      <c r="R302" s="54">
        <f ca="1">MIN(100,MAX(0,MCDA_Prioritisation!$G$3+(RAND()-0.5)*2*$B$7))</f>
        <v>90.784683004416351</v>
      </c>
      <c r="S302" s="54">
        <f ca="1">MIN(100,MAX(0,MCDA_Prioritisation!$G$4+(RAND()-0.5)*2*$B$7))</f>
        <v>91.194365425213263</v>
      </c>
      <c r="T302" s="54">
        <f ca="1">MIN(100,MAX(0,MCDA_Prioritisation!$G$5+(RAND()-0.5)*2*$B$7))</f>
        <v>76.890483093057156</v>
      </c>
      <c r="U302" s="54">
        <f ca="1">MIN(100,MAX(0,MCDA_Prioritisation!$H$2+(RAND()-0.5)*2*$B$7))</f>
        <v>67.540258917397978</v>
      </c>
      <c r="V302" s="54">
        <f ca="1">MIN(100,MAX(0,MCDA_Prioritisation!$H$3+(RAND()-0.5)*2*$B$7))</f>
        <v>51.993176579517794</v>
      </c>
      <c r="W302" s="54">
        <f ca="1">MIN(100,MAX(0,MCDA_Prioritisation!$H$4+(RAND()-0.5)*2*$B$7))</f>
        <v>85.528728334692346</v>
      </c>
      <c r="X302" s="54">
        <f ca="1">MIN(100,MAX(0,MCDA_Prioritisation!$H$5+(RAND()-0.5)*2*$B$7))</f>
        <v>66.485186389718976</v>
      </c>
      <c r="Y302" s="54">
        <f ca="1">H302*MCDA_Prioritisation!$D$2+I302*MCDA_Prioritisation!$E$2+J302*M302+K302*Q302+L302*U302</f>
        <v>90.432144844835307</v>
      </c>
      <c r="Z302" s="54">
        <f ca="1">H302*MCDA_Prioritisation!$D$3+I302*MCDA_Prioritisation!$E$3+J302*N302+K302*R302+L302*V302</f>
        <v>82.60655371761375</v>
      </c>
      <c r="AA302" s="54">
        <f ca="1">H302*MCDA_Prioritisation!$D$4+I302*MCDA_Prioritisation!$E$4+J302*O302+K302*S302+L302*W302</f>
        <v>74.750547326464286</v>
      </c>
      <c r="AB302" s="54">
        <f ca="1">H302*MCDA_Prioritisation!$D$5+I302*MCDA_Prioritisation!$E$5+J302*P302+K302*T302+L302*X302</f>
        <v>75.387144242504817</v>
      </c>
      <c r="AC302" s="54">
        <f t="shared" ca="1" si="62"/>
        <v>1</v>
      </c>
      <c r="AD302" s="54">
        <f t="shared" ca="1" si="63"/>
        <v>2</v>
      </c>
      <c r="AE302" s="54">
        <f t="shared" ca="1" si="64"/>
        <v>4</v>
      </c>
      <c r="AF302" s="54">
        <f t="shared" ca="1" si="65"/>
        <v>3</v>
      </c>
      <c r="AG302" s="54">
        <f t="shared" ca="1" si="66"/>
        <v>1</v>
      </c>
      <c r="AH302" s="54">
        <f t="shared" ca="1" si="67"/>
        <v>1</v>
      </c>
      <c r="AI302" s="54">
        <f t="shared" ca="1" si="68"/>
        <v>0</v>
      </c>
      <c r="AJ302" s="54">
        <f t="shared" ca="1" si="69"/>
        <v>1</v>
      </c>
    </row>
    <row r="303" spans="1:36" x14ac:dyDescent="0.2">
      <c r="A303" s="54">
        <v>280</v>
      </c>
      <c r="B303" s="54">
        <f ca="1">MAX(0.02,MCDA_Prioritisation!$B$9+(RAND()-0.5)*2*$B$6)</f>
        <v>0.14367110600759797</v>
      </c>
      <c r="C303" s="54">
        <f ca="1">MAX(0.02,MCDA_Prioritisation!$B$10+(RAND()-0.5)*2*$B$6)</f>
        <v>0.26905562664665456</v>
      </c>
      <c r="D303" s="54">
        <f ca="1">MAX(0.02,MCDA_Prioritisation!$B$11+(RAND()-0.5)*2*$B$6)</f>
        <v>0.29203619477511522</v>
      </c>
      <c r="E303" s="54">
        <f ca="1">MAX(0.02,MCDA_Prioritisation!$B$12+(RAND()-0.5)*2*$B$6)</f>
        <v>0.1987376114604433</v>
      </c>
      <c r="F303" s="54">
        <f ca="1">MAX(0.02,MCDA_Prioritisation!$B$13+(RAND()-0.5)*2*$B$6)</f>
        <v>0.12651595724934761</v>
      </c>
      <c r="G303" s="54">
        <f t="shared" ca="1" si="56"/>
        <v>1.0300164961391587</v>
      </c>
      <c r="H303" s="54">
        <f t="shared" ca="1" si="57"/>
        <v>0.13948427675296912</v>
      </c>
      <c r="I303" s="54">
        <f t="shared" ca="1" si="58"/>
        <v>0.26121487146581024</v>
      </c>
      <c r="J303" s="54">
        <f t="shared" ca="1" si="59"/>
        <v>0.28352574533491759</v>
      </c>
      <c r="K303" s="54">
        <f t="shared" ca="1" si="60"/>
        <v>0.19294604718019312</v>
      </c>
      <c r="L303" s="54">
        <f t="shared" ca="1" si="61"/>
        <v>0.12282905926610993</v>
      </c>
      <c r="M303" s="54">
        <f ca="1">MIN(100,MAX(0,MCDA_Prioritisation!$F$2+(RAND()-0.5)*2*$B$7))</f>
        <v>90.066170770083431</v>
      </c>
      <c r="N303" s="54">
        <f ca="1">MIN(100,MAX(0,MCDA_Prioritisation!$F$3+(RAND()-0.5)*2*$B$7))</f>
        <v>96.809119816616558</v>
      </c>
      <c r="O303" s="54">
        <f ca="1">MIN(100,MAX(0,MCDA_Prioritisation!$F$4+(RAND()-0.5)*2*$B$7))</f>
        <v>96.816606794704001</v>
      </c>
      <c r="P303" s="54">
        <f ca="1">MIN(100,MAX(0,MCDA_Prioritisation!$F$5+(RAND()-0.5)*2*$B$7))</f>
        <v>71.646336717687191</v>
      </c>
      <c r="Q303" s="54">
        <f ca="1">MIN(100,MAX(0,MCDA_Prioritisation!$G$2+(RAND()-0.5)*2*$B$7))</f>
        <v>85.300107793981184</v>
      </c>
      <c r="R303" s="54">
        <f ca="1">MIN(100,MAX(0,MCDA_Prioritisation!$G$3+(RAND()-0.5)*2*$B$7))</f>
        <v>85.240121574468631</v>
      </c>
      <c r="S303" s="54">
        <f ca="1">MIN(100,MAX(0,MCDA_Prioritisation!$G$4+(RAND()-0.5)*2*$B$7))</f>
        <v>94.502965790124492</v>
      </c>
      <c r="T303" s="54">
        <f ca="1">MIN(100,MAX(0,MCDA_Prioritisation!$G$5+(RAND()-0.5)*2*$B$7))</f>
        <v>64.68711082745304</v>
      </c>
      <c r="U303" s="54">
        <f ca="1">MIN(100,MAX(0,MCDA_Prioritisation!$H$2+(RAND()-0.5)*2*$B$7))</f>
        <v>61.384543849910486</v>
      </c>
      <c r="V303" s="54">
        <f ca="1">MIN(100,MAX(0,MCDA_Prioritisation!$H$3+(RAND()-0.5)*2*$B$7))</f>
        <v>57.310905685200545</v>
      </c>
      <c r="W303" s="54">
        <f ca="1">MIN(100,MAX(0,MCDA_Prioritisation!$H$4+(RAND()-0.5)*2*$B$7))</f>
        <v>88.970828531611886</v>
      </c>
      <c r="X303" s="54">
        <f ca="1">MIN(100,MAX(0,MCDA_Prioritisation!$H$5+(RAND()-0.5)*2*$B$7))</f>
        <v>78.804488982446173</v>
      </c>
      <c r="Y303" s="54">
        <f ca="1">H303*MCDA_Prioritisation!$D$2+I303*MCDA_Prioritisation!$E$2+J303*M303+K303*Q303+L303*U303</f>
        <v>89.604117416384639</v>
      </c>
      <c r="Z303" s="54">
        <f ca="1">H303*MCDA_Prioritisation!$D$3+I303*MCDA_Prioritisation!$E$3+J303*N303+K303*R303+L303*V303</f>
        <v>82.121997113361573</v>
      </c>
      <c r="AA303" s="54">
        <f ca="1">H303*MCDA_Prioritisation!$D$4+I303*MCDA_Prioritisation!$E$4+J303*O303+K303*S303+L303*W303</f>
        <v>80.573126427797774</v>
      </c>
      <c r="AB303" s="54">
        <f ca="1">H303*MCDA_Prioritisation!$D$5+I303*MCDA_Prioritisation!$E$5+J303*P303+K303*T303+L303*X303</f>
        <v>71.843232718168139</v>
      </c>
      <c r="AC303" s="54">
        <f t="shared" ca="1" si="62"/>
        <v>1</v>
      </c>
      <c r="AD303" s="54">
        <f t="shared" ca="1" si="63"/>
        <v>2</v>
      </c>
      <c r="AE303" s="54">
        <f t="shared" ca="1" si="64"/>
        <v>3</v>
      </c>
      <c r="AF303" s="54">
        <f t="shared" ca="1" si="65"/>
        <v>4</v>
      </c>
      <c r="AG303" s="54">
        <f t="shared" ca="1" si="66"/>
        <v>1</v>
      </c>
      <c r="AH303" s="54">
        <f t="shared" ca="1" si="67"/>
        <v>1</v>
      </c>
      <c r="AI303" s="54">
        <f t="shared" ca="1" si="68"/>
        <v>1</v>
      </c>
      <c r="AJ303" s="54">
        <f t="shared" ca="1" si="69"/>
        <v>1</v>
      </c>
    </row>
    <row r="304" spans="1:36" x14ac:dyDescent="0.2">
      <c r="A304" s="54">
        <v>281</v>
      </c>
      <c r="B304" s="54">
        <f ca="1">MAX(0.02,MCDA_Prioritisation!$B$9+(RAND()-0.5)*2*$B$6)</f>
        <v>0.27817450347453543</v>
      </c>
      <c r="C304" s="54">
        <f ca="1">MAX(0.02,MCDA_Prioritisation!$B$10+(RAND()-0.5)*2*$B$6)</f>
        <v>0.24590585748064464</v>
      </c>
      <c r="D304" s="54">
        <f ca="1">MAX(0.02,MCDA_Prioritisation!$B$11+(RAND()-0.5)*2*$B$6)</f>
        <v>0.22281572133141464</v>
      </c>
      <c r="E304" s="54">
        <f ca="1">MAX(0.02,MCDA_Prioritisation!$B$12+(RAND()-0.5)*2*$B$6)</f>
        <v>9.1789872613234208E-2</v>
      </c>
      <c r="F304" s="54">
        <f ca="1">MAX(0.02,MCDA_Prioritisation!$B$13+(RAND()-0.5)*2*$B$6)</f>
        <v>0.15514028664351634</v>
      </c>
      <c r="G304" s="54">
        <f t="shared" ca="1" si="56"/>
        <v>0.9938262415433452</v>
      </c>
      <c r="H304" s="54">
        <f t="shared" ca="1" si="57"/>
        <v>0.27990255423578791</v>
      </c>
      <c r="I304" s="54">
        <f t="shared" ca="1" si="58"/>
        <v>0.24743345184644089</v>
      </c>
      <c r="J304" s="54">
        <f t="shared" ca="1" si="59"/>
        <v>0.22419987721937876</v>
      </c>
      <c r="K304" s="54">
        <f t="shared" ca="1" si="60"/>
        <v>9.2360081447125722E-2</v>
      </c>
      <c r="L304" s="54">
        <f t="shared" ca="1" si="61"/>
        <v>0.15610403525126679</v>
      </c>
      <c r="M304" s="54">
        <f ca="1">MIN(100,MAX(0,MCDA_Prioritisation!$F$2+(RAND()-0.5)*2*$B$7))</f>
        <v>75.529429201529709</v>
      </c>
      <c r="N304" s="54">
        <f ca="1">MIN(100,MAX(0,MCDA_Prioritisation!$F$3+(RAND()-0.5)*2*$B$7))</f>
        <v>93.90372424722139</v>
      </c>
      <c r="O304" s="54">
        <f ca="1">MIN(100,MAX(0,MCDA_Prioritisation!$F$4+(RAND()-0.5)*2*$B$7))</f>
        <v>93.866945254656429</v>
      </c>
      <c r="P304" s="54">
        <f ca="1">MIN(100,MAX(0,MCDA_Prioritisation!$F$5+(RAND()-0.5)*2*$B$7))</f>
        <v>82.041892842516248</v>
      </c>
      <c r="Q304" s="54">
        <f ca="1">MIN(100,MAX(0,MCDA_Prioritisation!$G$2+(RAND()-0.5)*2*$B$7))</f>
        <v>75.810636515457588</v>
      </c>
      <c r="R304" s="54">
        <f ca="1">MIN(100,MAX(0,MCDA_Prioritisation!$G$3+(RAND()-0.5)*2*$B$7))</f>
        <v>95.664078646190475</v>
      </c>
      <c r="S304" s="54">
        <f ca="1">MIN(100,MAX(0,MCDA_Prioritisation!$G$4+(RAND()-0.5)*2*$B$7))</f>
        <v>94.569901249680242</v>
      </c>
      <c r="T304" s="54">
        <f ca="1">MIN(100,MAX(0,MCDA_Prioritisation!$G$5+(RAND()-0.5)*2*$B$7))</f>
        <v>75.154282950559079</v>
      </c>
      <c r="U304" s="54">
        <f ca="1">MIN(100,MAX(0,MCDA_Prioritisation!$H$2+(RAND()-0.5)*2*$B$7))</f>
        <v>64.824788674046005</v>
      </c>
      <c r="V304" s="54">
        <f ca="1">MIN(100,MAX(0,MCDA_Prioritisation!$H$3+(RAND()-0.5)*2*$B$7))</f>
        <v>52.200116605332269</v>
      </c>
      <c r="W304" s="54">
        <f ca="1">MIN(100,MAX(0,MCDA_Prioritisation!$H$4+(RAND()-0.5)*2*$B$7))</f>
        <v>72.619817767478594</v>
      </c>
      <c r="X304" s="54">
        <f ca="1">MIN(100,MAX(0,MCDA_Prioritisation!$H$5+(RAND()-0.5)*2*$B$7))</f>
        <v>79.570296209809783</v>
      </c>
      <c r="Y304" s="54">
        <f ca="1">H304*MCDA_Prioritisation!$D$2+I304*MCDA_Prioritisation!$E$2+J304*M304+K304*Q304+L304*U304</f>
        <v>86.78857702111091</v>
      </c>
      <c r="Z304" s="54">
        <f ca="1">H304*MCDA_Prioritisation!$D$3+I304*MCDA_Prioritisation!$E$3+J304*N304+K304*R304+L304*V304</f>
        <v>80.495153059956408</v>
      </c>
      <c r="AA304" s="54">
        <f ca="1">H304*MCDA_Prioritisation!$D$4+I304*MCDA_Prioritisation!$E$4+J304*O304+K304*S304+L304*W304</f>
        <v>74.102826518004278</v>
      </c>
      <c r="AB304" s="54">
        <f ca="1">H304*MCDA_Prioritisation!$D$5+I304*MCDA_Prioritisation!$E$5+J304*P304+K304*T304+L304*X304</f>
        <v>73.419263355781197</v>
      </c>
      <c r="AC304" s="54">
        <f t="shared" ca="1" si="62"/>
        <v>1</v>
      </c>
      <c r="AD304" s="54">
        <f t="shared" ca="1" si="63"/>
        <v>2</v>
      </c>
      <c r="AE304" s="54">
        <f t="shared" ca="1" si="64"/>
        <v>3</v>
      </c>
      <c r="AF304" s="54">
        <f t="shared" ca="1" si="65"/>
        <v>4</v>
      </c>
      <c r="AG304" s="54">
        <f t="shared" ca="1" si="66"/>
        <v>1</v>
      </c>
      <c r="AH304" s="54">
        <f t="shared" ca="1" si="67"/>
        <v>1</v>
      </c>
      <c r="AI304" s="54">
        <f t="shared" ca="1" si="68"/>
        <v>1</v>
      </c>
      <c r="AJ304" s="54">
        <f t="shared" ca="1" si="69"/>
        <v>1</v>
      </c>
    </row>
    <row r="305" spans="1:36" x14ac:dyDescent="0.2">
      <c r="A305" s="54">
        <v>282</v>
      </c>
      <c r="B305" s="54">
        <f ca="1">MAX(0.02,MCDA_Prioritisation!$B$9+(RAND()-0.5)*2*$B$6)</f>
        <v>0.27027570219356667</v>
      </c>
      <c r="C305" s="54">
        <f ca="1">MAX(0.02,MCDA_Prioritisation!$B$10+(RAND()-0.5)*2*$B$6)</f>
        <v>0.30656955656220231</v>
      </c>
      <c r="D305" s="54">
        <f ca="1">MAX(0.02,MCDA_Prioritisation!$B$11+(RAND()-0.5)*2*$B$6)</f>
        <v>0.28342042547093405</v>
      </c>
      <c r="E305" s="54">
        <f ca="1">MAX(0.02,MCDA_Prioritisation!$B$12+(RAND()-0.5)*2*$B$6)</f>
        <v>0.15846224964191724</v>
      </c>
      <c r="F305" s="54">
        <f ca="1">MAX(0.02,MCDA_Prioritisation!$B$13+(RAND()-0.5)*2*$B$6)</f>
        <v>0.2165048962290948</v>
      </c>
      <c r="G305" s="54">
        <f t="shared" ca="1" si="56"/>
        <v>1.2352328300977151</v>
      </c>
      <c r="H305" s="54">
        <f t="shared" ca="1" si="57"/>
        <v>0.21880547181715213</v>
      </c>
      <c r="I305" s="54">
        <f t="shared" ca="1" si="58"/>
        <v>0.24818766882835411</v>
      </c>
      <c r="J305" s="54">
        <f t="shared" ca="1" si="59"/>
        <v>0.22944696624401864</v>
      </c>
      <c r="K305" s="54">
        <f t="shared" ca="1" si="60"/>
        <v>0.12828532870955334</v>
      </c>
      <c r="L305" s="54">
        <f t="shared" ca="1" si="61"/>
        <v>0.17527456440092176</v>
      </c>
      <c r="M305" s="54">
        <f ca="1">MIN(100,MAX(0,MCDA_Prioritisation!$F$2+(RAND()-0.5)*2*$B$7))</f>
        <v>81.175398037797578</v>
      </c>
      <c r="N305" s="54">
        <f ca="1">MIN(100,MAX(0,MCDA_Prioritisation!$F$3+(RAND()-0.5)*2*$B$7))</f>
        <v>85.580237189824587</v>
      </c>
      <c r="O305" s="54">
        <f ca="1">MIN(100,MAX(0,MCDA_Prioritisation!$F$4+(RAND()-0.5)*2*$B$7))</f>
        <v>82.136498863234337</v>
      </c>
      <c r="P305" s="54">
        <f ca="1">MIN(100,MAX(0,MCDA_Prioritisation!$F$5+(RAND()-0.5)*2*$B$7))</f>
        <v>71.194730568986557</v>
      </c>
      <c r="Q305" s="54">
        <f ca="1">MIN(100,MAX(0,MCDA_Prioritisation!$G$2+(RAND()-0.5)*2*$B$7))</f>
        <v>85.886767790115883</v>
      </c>
      <c r="R305" s="54">
        <f ca="1">MIN(100,MAX(0,MCDA_Prioritisation!$G$3+(RAND()-0.5)*2*$B$7))</f>
        <v>93.201456969228531</v>
      </c>
      <c r="S305" s="54">
        <f ca="1">MIN(100,MAX(0,MCDA_Prioritisation!$G$4+(RAND()-0.5)*2*$B$7))</f>
        <v>84.787662848133834</v>
      </c>
      <c r="T305" s="54">
        <f ca="1">MIN(100,MAX(0,MCDA_Prioritisation!$G$5+(RAND()-0.5)*2*$B$7))</f>
        <v>69.230507181184095</v>
      </c>
      <c r="U305" s="54">
        <f ca="1">MIN(100,MAX(0,MCDA_Prioritisation!$H$2+(RAND()-0.5)*2*$B$7))</f>
        <v>60.333812956791341</v>
      </c>
      <c r="V305" s="54">
        <f ca="1">MIN(100,MAX(0,MCDA_Prioritisation!$H$3+(RAND()-0.5)*2*$B$7))</f>
        <v>63.3612162556038</v>
      </c>
      <c r="W305" s="54">
        <f ca="1">MIN(100,MAX(0,MCDA_Prioritisation!$H$4+(RAND()-0.5)*2*$B$7))</f>
        <v>72.170859421591416</v>
      </c>
      <c r="X305" s="54">
        <f ca="1">MIN(100,MAX(0,MCDA_Prioritisation!$H$5+(RAND()-0.5)*2*$B$7))</f>
        <v>70.049624358906286</v>
      </c>
      <c r="Y305" s="54">
        <f ca="1">H305*MCDA_Prioritisation!$D$2+I305*MCDA_Prioritisation!$E$2+J305*M305+K305*Q305+L305*U305</f>
        <v>86.917757900378319</v>
      </c>
      <c r="Z305" s="54">
        <f ca="1">H305*MCDA_Prioritisation!$D$3+I305*MCDA_Prioritisation!$E$3+J305*N305+K305*R305+L305*V305</f>
        <v>79.871033844296306</v>
      </c>
      <c r="AA305" s="54">
        <f ca="1">H305*MCDA_Prioritisation!$D$4+I305*MCDA_Prioritisation!$E$4+J305*O305+K305*S305+L305*W305</f>
        <v>71.146535624807996</v>
      </c>
      <c r="AB305" s="54">
        <f ca="1">H305*MCDA_Prioritisation!$D$5+I305*MCDA_Prioritisation!$E$5+J305*P305+K305*T305+L305*X305</f>
        <v>69.978212519550183</v>
      </c>
      <c r="AC305" s="54">
        <f t="shared" ca="1" si="62"/>
        <v>1</v>
      </c>
      <c r="AD305" s="54">
        <f t="shared" ca="1" si="63"/>
        <v>2</v>
      </c>
      <c r="AE305" s="54">
        <f t="shared" ca="1" si="64"/>
        <v>3</v>
      </c>
      <c r="AF305" s="54">
        <f t="shared" ca="1" si="65"/>
        <v>4</v>
      </c>
      <c r="AG305" s="54">
        <f t="shared" ca="1" si="66"/>
        <v>1</v>
      </c>
      <c r="AH305" s="54">
        <f t="shared" ca="1" si="67"/>
        <v>1</v>
      </c>
      <c r="AI305" s="54">
        <f t="shared" ca="1" si="68"/>
        <v>1</v>
      </c>
      <c r="AJ305" s="54">
        <f t="shared" ca="1" si="69"/>
        <v>1</v>
      </c>
    </row>
    <row r="306" spans="1:36" x14ac:dyDescent="0.2">
      <c r="A306" s="54">
        <v>283</v>
      </c>
      <c r="B306" s="54">
        <f ca="1">MAX(0.02,MCDA_Prioritisation!$B$9+(RAND()-0.5)*2*$B$6)</f>
        <v>0.17187831201001136</v>
      </c>
      <c r="C306" s="54">
        <f ca="1">MAX(0.02,MCDA_Prioritisation!$B$10+(RAND()-0.5)*2*$B$6)</f>
        <v>0.20773714719372724</v>
      </c>
      <c r="D306" s="54">
        <f ca="1">MAX(0.02,MCDA_Prioritisation!$B$11+(RAND()-0.5)*2*$B$6)</f>
        <v>0.24628498170270499</v>
      </c>
      <c r="E306" s="54">
        <f ca="1">MAX(0.02,MCDA_Prioritisation!$B$12+(RAND()-0.5)*2*$B$6)</f>
        <v>0.12244014162020586</v>
      </c>
      <c r="F306" s="54">
        <f ca="1">MAX(0.02,MCDA_Prioritisation!$B$13+(RAND()-0.5)*2*$B$6)</f>
        <v>0.20262127916835632</v>
      </c>
      <c r="G306" s="54">
        <f t="shared" ca="1" si="56"/>
        <v>0.95096186169500574</v>
      </c>
      <c r="H306" s="54">
        <f t="shared" ca="1" si="57"/>
        <v>0.18074154067930065</v>
      </c>
      <c r="I306" s="54">
        <f t="shared" ca="1" si="58"/>
        <v>0.21844950419300105</v>
      </c>
      <c r="J306" s="54">
        <f t="shared" ca="1" si="59"/>
        <v>0.25898513034342274</v>
      </c>
      <c r="K306" s="54">
        <f t="shared" ca="1" si="60"/>
        <v>0.12875399798049431</v>
      </c>
      <c r="L306" s="54">
        <f t="shared" ca="1" si="61"/>
        <v>0.21306982680378131</v>
      </c>
      <c r="M306" s="54">
        <f ca="1">MIN(100,MAX(0,MCDA_Prioritisation!$F$2+(RAND()-0.5)*2*$B$7))</f>
        <v>89.169666425366103</v>
      </c>
      <c r="N306" s="54">
        <f ca="1">MIN(100,MAX(0,MCDA_Prioritisation!$F$3+(RAND()-0.5)*2*$B$7))</f>
        <v>94.976613867739857</v>
      </c>
      <c r="O306" s="54">
        <f ca="1">MIN(100,MAX(0,MCDA_Prioritisation!$F$4+(RAND()-0.5)*2*$B$7))</f>
        <v>96.83411881096221</v>
      </c>
      <c r="P306" s="54">
        <f ca="1">MIN(100,MAX(0,MCDA_Prioritisation!$F$5+(RAND()-0.5)*2*$B$7))</f>
        <v>74.949001946880202</v>
      </c>
      <c r="Q306" s="54">
        <f ca="1">MIN(100,MAX(0,MCDA_Prioritisation!$G$2+(RAND()-0.5)*2*$B$7))</f>
        <v>79.46818809096871</v>
      </c>
      <c r="R306" s="54">
        <f ca="1">MIN(100,MAX(0,MCDA_Prioritisation!$G$3+(RAND()-0.5)*2*$B$7))</f>
        <v>88.784848840065251</v>
      </c>
      <c r="S306" s="54">
        <f ca="1">MIN(100,MAX(0,MCDA_Prioritisation!$G$4+(RAND()-0.5)*2*$B$7))</f>
        <v>82.370790158374561</v>
      </c>
      <c r="T306" s="54">
        <f ca="1">MIN(100,MAX(0,MCDA_Prioritisation!$G$5+(RAND()-0.5)*2*$B$7))</f>
        <v>79.136741069233167</v>
      </c>
      <c r="U306" s="54">
        <f ca="1">MIN(100,MAX(0,MCDA_Prioritisation!$H$2+(RAND()-0.5)*2*$B$7))</f>
        <v>73.657040691524315</v>
      </c>
      <c r="V306" s="54">
        <f ca="1">MIN(100,MAX(0,MCDA_Prioritisation!$H$3+(RAND()-0.5)*2*$B$7))</f>
        <v>51.085767031460847</v>
      </c>
      <c r="W306" s="54">
        <f ca="1">MIN(100,MAX(0,MCDA_Prioritisation!$H$4+(RAND()-0.5)*2*$B$7))</f>
        <v>76.691442737318795</v>
      </c>
      <c r="X306" s="54">
        <f ca="1">MIN(100,MAX(0,MCDA_Prioritisation!$H$5+(RAND()-0.5)*2*$B$7))</f>
        <v>75.980083494806834</v>
      </c>
      <c r="Y306" s="54">
        <f ca="1">H306*MCDA_Prioritisation!$D$2+I306*MCDA_Prioritisation!$E$2+J306*M306+K306*Q306+L306*U306</f>
        <v>88.938662001083415</v>
      </c>
      <c r="Z306" s="54">
        <f ca="1">H306*MCDA_Prioritisation!$D$3+I306*MCDA_Prioritisation!$E$3+J306*N306+K306*R306+L306*V306</f>
        <v>78.597246550824153</v>
      </c>
      <c r="AA306" s="54">
        <f ca="1">H306*MCDA_Prioritisation!$D$4+I306*MCDA_Prioritisation!$E$4+J306*O306+K306*S306+L306*W306</f>
        <v>76.526003740035421</v>
      </c>
      <c r="AB306" s="54">
        <f ca="1">H306*MCDA_Prioritisation!$D$5+I306*MCDA_Prioritisation!$E$5+J306*P306+K306*T306+L306*X306</f>
        <v>73.751547566280877</v>
      </c>
      <c r="AC306" s="54">
        <f t="shared" ca="1" si="62"/>
        <v>1</v>
      </c>
      <c r="AD306" s="54">
        <f t="shared" ca="1" si="63"/>
        <v>2</v>
      </c>
      <c r="AE306" s="54">
        <f t="shared" ca="1" si="64"/>
        <v>3</v>
      </c>
      <c r="AF306" s="54">
        <f t="shared" ca="1" si="65"/>
        <v>4</v>
      </c>
      <c r="AG306" s="54">
        <f t="shared" ca="1" si="66"/>
        <v>1</v>
      </c>
      <c r="AH306" s="54">
        <f t="shared" ca="1" si="67"/>
        <v>1</v>
      </c>
      <c r="AI306" s="54">
        <f t="shared" ca="1" si="68"/>
        <v>1</v>
      </c>
      <c r="AJ306" s="54">
        <f t="shared" ca="1" si="69"/>
        <v>1</v>
      </c>
    </row>
    <row r="307" spans="1:36" x14ac:dyDescent="0.2">
      <c r="A307" s="54">
        <v>284</v>
      </c>
      <c r="B307" s="54">
        <f ca="1">MAX(0.02,MCDA_Prioritisation!$B$9+(RAND()-0.5)*2*$B$6)</f>
        <v>0.24397413332838391</v>
      </c>
      <c r="C307" s="54">
        <f ca="1">MAX(0.02,MCDA_Prioritisation!$B$10+(RAND()-0.5)*2*$B$6)</f>
        <v>0.19718805107520693</v>
      </c>
      <c r="D307" s="54">
        <f ca="1">MAX(0.02,MCDA_Prioritisation!$B$11+(RAND()-0.5)*2*$B$6)</f>
        <v>0.3138614689264248</v>
      </c>
      <c r="E307" s="54">
        <f ca="1">MAX(0.02,MCDA_Prioritisation!$B$12+(RAND()-0.5)*2*$B$6)</f>
        <v>0.20541314369579738</v>
      </c>
      <c r="F307" s="54">
        <f ca="1">MAX(0.02,MCDA_Prioritisation!$B$13+(RAND()-0.5)*2*$B$6)</f>
        <v>0.22878495013764569</v>
      </c>
      <c r="G307" s="54">
        <f t="shared" ca="1" si="56"/>
        <v>1.1892217471634587</v>
      </c>
      <c r="H307" s="54">
        <f t="shared" ca="1" si="57"/>
        <v>0.20515444988313825</v>
      </c>
      <c r="I307" s="54">
        <f t="shared" ca="1" si="58"/>
        <v>0.16581268509892411</v>
      </c>
      <c r="J307" s="54">
        <f t="shared" ca="1" si="59"/>
        <v>0.26392173677873759</v>
      </c>
      <c r="K307" s="54">
        <f t="shared" ca="1" si="60"/>
        <v>0.17272905089883403</v>
      </c>
      <c r="L307" s="54">
        <f t="shared" ca="1" si="61"/>
        <v>0.192382077340366</v>
      </c>
      <c r="M307" s="54">
        <f ca="1">MIN(100,MAX(0,MCDA_Prioritisation!$F$2+(RAND()-0.5)*2*$B$7))</f>
        <v>80.556000432778589</v>
      </c>
      <c r="N307" s="54">
        <f ca="1">MIN(100,MAX(0,MCDA_Prioritisation!$F$3+(RAND()-0.5)*2*$B$7))</f>
        <v>87.872229238252274</v>
      </c>
      <c r="O307" s="54">
        <f ca="1">MIN(100,MAX(0,MCDA_Prioritisation!$F$4+(RAND()-0.5)*2*$B$7))</f>
        <v>84.982302128369412</v>
      </c>
      <c r="P307" s="54">
        <f ca="1">MIN(100,MAX(0,MCDA_Prioritisation!$F$5+(RAND()-0.5)*2*$B$7))</f>
        <v>66.922274574167247</v>
      </c>
      <c r="Q307" s="54">
        <f ca="1">MIN(100,MAX(0,MCDA_Prioritisation!$G$2+(RAND()-0.5)*2*$B$7))</f>
        <v>76.09609690526473</v>
      </c>
      <c r="R307" s="54">
        <f ca="1">MIN(100,MAX(0,MCDA_Prioritisation!$G$3+(RAND()-0.5)*2*$B$7))</f>
        <v>100</v>
      </c>
      <c r="S307" s="54">
        <f ca="1">MIN(100,MAX(0,MCDA_Prioritisation!$G$4+(RAND()-0.5)*2*$B$7))</f>
        <v>76.856190594687604</v>
      </c>
      <c r="T307" s="54">
        <f ca="1">MIN(100,MAX(0,MCDA_Prioritisation!$G$5+(RAND()-0.5)*2*$B$7))</f>
        <v>65.667965035389855</v>
      </c>
      <c r="U307" s="54">
        <f ca="1">MIN(100,MAX(0,MCDA_Prioritisation!$H$2+(RAND()-0.5)*2*$B$7))</f>
        <v>68.039433053140073</v>
      </c>
      <c r="V307" s="54">
        <f ca="1">MIN(100,MAX(0,MCDA_Prioritisation!$H$3+(RAND()-0.5)*2*$B$7))</f>
        <v>65.341557541284544</v>
      </c>
      <c r="W307" s="54">
        <f ca="1">MIN(100,MAX(0,MCDA_Prioritisation!$H$4+(RAND()-0.5)*2*$B$7))</f>
        <v>71.556327310072618</v>
      </c>
      <c r="X307" s="54">
        <f ca="1">MIN(100,MAX(0,MCDA_Prioritisation!$H$5+(RAND()-0.5)*2*$B$7))</f>
        <v>84.966306998464461</v>
      </c>
      <c r="Y307" s="54">
        <f ca="1">H307*MCDA_Prioritisation!$D$2+I307*MCDA_Prioritisation!$E$2+J307*M307+K307*Q307+L307*U307</f>
        <v>84.590767107749826</v>
      </c>
      <c r="Z307" s="54">
        <f ca="1">H307*MCDA_Prioritisation!$D$3+I307*MCDA_Prioritisation!$E$3+J307*N307+K307*R307+L307*V307</f>
        <v>83.023795872240882</v>
      </c>
      <c r="AA307" s="54">
        <f ca="1">H307*MCDA_Prioritisation!$D$4+I307*MCDA_Prioritisation!$E$4+J307*O307+K307*S307+L307*W307</f>
        <v>72.800206671965157</v>
      </c>
      <c r="AB307" s="54">
        <f ca="1">H307*MCDA_Prioritisation!$D$5+I307*MCDA_Prioritisation!$E$5+J307*P307+K307*T307+L307*X307</f>
        <v>70.183097261353595</v>
      </c>
      <c r="AC307" s="54">
        <f t="shared" ca="1" si="62"/>
        <v>1</v>
      </c>
      <c r="AD307" s="54">
        <f t="shared" ca="1" si="63"/>
        <v>2</v>
      </c>
      <c r="AE307" s="54">
        <f t="shared" ca="1" si="64"/>
        <v>3</v>
      </c>
      <c r="AF307" s="54">
        <f t="shared" ca="1" si="65"/>
        <v>4</v>
      </c>
      <c r="AG307" s="54">
        <f t="shared" ca="1" si="66"/>
        <v>1</v>
      </c>
      <c r="AH307" s="54">
        <f t="shared" ca="1" si="67"/>
        <v>1</v>
      </c>
      <c r="AI307" s="54">
        <f t="shared" ca="1" si="68"/>
        <v>1</v>
      </c>
      <c r="AJ307" s="54">
        <f t="shared" ca="1" si="69"/>
        <v>1</v>
      </c>
    </row>
    <row r="308" spans="1:36" x14ac:dyDescent="0.2">
      <c r="A308" s="54">
        <v>285</v>
      </c>
      <c r="B308" s="54">
        <f ca="1">MAX(0.02,MCDA_Prioritisation!$B$9+(RAND()-0.5)*2*$B$6)</f>
        <v>0.18301318437592709</v>
      </c>
      <c r="C308" s="54">
        <f ca="1">MAX(0.02,MCDA_Prioritisation!$B$10+(RAND()-0.5)*2*$B$6)</f>
        <v>0.31940900208123879</v>
      </c>
      <c r="D308" s="54">
        <f ca="1">MAX(0.02,MCDA_Prioritisation!$B$11+(RAND()-0.5)*2*$B$6)</f>
        <v>0.27961432729923891</v>
      </c>
      <c r="E308" s="54">
        <f ca="1">MAX(0.02,MCDA_Prioritisation!$B$12+(RAND()-0.5)*2*$B$6)</f>
        <v>0.18278591232672414</v>
      </c>
      <c r="F308" s="54">
        <f ca="1">MAX(0.02,MCDA_Prioritisation!$B$13+(RAND()-0.5)*2*$B$6)</f>
        <v>0.17428755651722064</v>
      </c>
      <c r="G308" s="54">
        <f t="shared" ca="1" si="56"/>
        <v>1.1391099826003495</v>
      </c>
      <c r="H308" s="54">
        <f t="shared" ca="1" si="57"/>
        <v>0.16066331361449956</v>
      </c>
      <c r="I308" s="54">
        <f t="shared" ca="1" si="58"/>
        <v>0.28040224996720242</v>
      </c>
      <c r="J308" s="54">
        <f t="shared" ca="1" si="59"/>
        <v>0.24546736625109541</v>
      </c>
      <c r="K308" s="54">
        <f t="shared" ca="1" si="60"/>
        <v>0.16046379640134678</v>
      </c>
      <c r="L308" s="54">
        <f t="shared" ca="1" si="61"/>
        <v>0.15300327376585593</v>
      </c>
      <c r="M308" s="54">
        <f ca="1">MIN(100,MAX(0,MCDA_Prioritisation!$F$2+(RAND()-0.5)*2*$B$7))</f>
        <v>84.40598667309655</v>
      </c>
      <c r="N308" s="54">
        <f ca="1">MIN(100,MAX(0,MCDA_Prioritisation!$F$3+(RAND()-0.5)*2*$B$7))</f>
        <v>91.020185570270044</v>
      </c>
      <c r="O308" s="54">
        <f ca="1">MIN(100,MAX(0,MCDA_Prioritisation!$F$4+(RAND()-0.5)*2*$B$7))</f>
        <v>92.279794876822351</v>
      </c>
      <c r="P308" s="54">
        <f ca="1">MIN(100,MAX(0,MCDA_Prioritisation!$F$5+(RAND()-0.5)*2*$B$7))</f>
        <v>83.789069834015166</v>
      </c>
      <c r="Q308" s="54">
        <f ca="1">MIN(100,MAX(0,MCDA_Prioritisation!$G$2+(RAND()-0.5)*2*$B$7))</f>
        <v>81.212035933950915</v>
      </c>
      <c r="R308" s="54">
        <f ca="1">MIN(100,MAX(0,MCDA_Prioritisation!$G$3+(RAND()-0.5)*2*$B$7))</f>
        <v>98.41388895706622</v>
      </c>
      <c r="S308" s="54">
        <f ca="1">MIN(100,MAX(0,MCDA_Prioritisation!$G$4+(RAND()-0.5)*2*$B$7))</f>
        <v>76.848094966107041</v>
      </c>
      <c r="T308" s="54">
        <f ca="1">MIN(100,MAX(0,MCDA_Prioritisation!$G$5+(RAND()-0.5)*2*$B$7))</f>
        <v>63.580915656789493</v>
      </c>
      <c r="U308" s="54">
        <f ca="1">MIN(100,MAX(0,MCDA_Prioritisation!$H$2+(RAND()-0.5)*2*$B$7))</f>
        <v>58.361720496323287</v>
      </c>
      <c r="V308" s="54">
        <f ca="1">MIN(100,MAX(0,MCDA_Prioritisation!$H$3+(RAND()-0.5)*2*$B$7))</f>
        <v>58.756607243325888</v>
      </c>
      <c r="W308" s="54">
        <f ca="1">MIN(100,MAX(0,MCDA_Prioritisation!$H$4+(RAND()-0.5)*2*$B$7))</f>
        <v>71.030365248991401</v>
      </c>
      <c r="X308" s="54">
        <f ca="1">MIN(100,MAX(0,MCDA_Prioritisation!$H$5+(RAND()-0.5)*2*$B$7))</f>
        <v>76.097391003987454</v>
      </c>
      <c r="Y308" s="54">
        <f ca="1">H308*MCDA_Prioritisation!$D$2+I308*MCDA_Prioritisation!$E$2+J308*M308+K308*Q308+L308*U308</f>
        <v>86.786597500629938</v>
      </c>
      <c r="Z308" s="54">
        <f ca="1">H308*MCDA_Prioritisation!$D$3+I308*MCDA_Prioritisation!$E$3+J308*N308+K308*R308+L308*V308</f>
        <v>81.558661433538219</v>
      </c>
      <c r="AA308" s="54">
        <f ca="1">H308*MCDA_Prioritisation!$D$4+I308*MCDA_Prioritisation!$E$4+J308*O308+K308*S308+L308*W308</f>
        <v>72.333210555647881</v>
      </c>
      <c r="AB308" s="54">
        <f ca="1">H308*MCDA_Prioritisation!$D$5+I308*MCDA_Prioritisation!$E$5+J308*P308+K308*T308+L308*X308</f>
        <v>74.519695789091202</v>
      </c>
      <c r="AC308" s="54">
        <f t="shared" ca="1" si="62"/>
        <v>1</v>
      </c>
      <c r="AD308" s="54">
        <f t="shared" ca="1" si="63"/>
        <v>2</v>
      </c>
      <c r="AE308" s="54">
        <f t="shared" ca="1" si="64"/>
        <v>4</v>
      </c>
      <c r="AF308" s="54">
        <f t="shared" ca="1" si="65"/>
        <v>3</v>
      </c>
      <c r="AG308" s="54">
        <f t="shared" ca="1" si="66"/>
        <v>1</v>
      </c>
      <c r="AH308" s="54">
        <f t="shared" ca="1" si="67"/>
        <v>1</v>
      </c>
      <c r="AI308" s="54">
        <f t="shared" ca="1" si="68"/>
        <v>0</v>
      </c>
      <c r="AJ308" s="54">
        <f t="shared" ca="1" si="69"/>
        <v>1</v>
      </c>
    </row>
    <row r="309" spans="1:36" x14ac:dyDescent="0.2">
      <c r="A309" s="54">
        <v>286</v>
      </c>
      <c r="B309" s="54">
        <f ca="1">MAX(0.02,MCDA_Prioritisation!$B$9+(RAND()-0.5)*2*$B$6)</f>
        <v>0.25626587431201447</v>
      </c>
      <c r="C309" s="54">
        <f ca="1">MAX(0.02,MCDA_Prioritisation!$B$10+(RAND()-0.5)*2*$B$6)</f>
        <v>0.29911817298604881</v>
      </c>
      <c r="D309" s="54">
        <f ca="1">MAX(0.02,MCDA_Prioritisation!$B$11+(RAND()-0.5)*2*$B$6)</f>
        <v>0.28892377403904729</v>
      </c>
      <c r="E309" s="54">
        <f ca="1">MAX(0.02,MCDA_Prioritisation!$B$12+(RAND()-0.5)*2*$B$6)</f>
        <v>0.17702578998143664</v>
      </c>
      <c r="F309" s="54">
        <f ca="1">MAX(0.02,MCDA_Prioritisation!$B$13+(RAND()-0.5)*2*$B$6)</f>
        <v>0.19853399861481397</v>
      </c>
      <c r="G309" s="54">
        <f t="shared" ca="1" si="56"/>
        <v>1.2198676099333614</v>
      </c>
      <c r="H309" s="54">
        <f t="shared" ca="1" si="57"/>
        <v>0.21007679212501895</v>
      </c>
      <c r="I309" s="54">
        <f t="shared" ca="1" si="58"/>
        <v>0.24520543913973497</v>
      </c>
      <c r="J309" s="54">
        <f t="shared" ca="1" si="59"/>
        <v>0.23684846756020561</v>
      </c>
      <c r="K309" s="54">
        <f t="shared" ca="1" si="60"/>
        <v>0.14511885432477969</v>
      </c>
      <c r="L309" s="54">
        <f t="shared" ca="1" si="61"/>
        <v>0.1627504468502606</v>
      </c>
      <c r="M309" s="54">
        <f ca="1">MIN(100,MAX(0,MCDA_Prioritisation!$F$2+(RAND()-0.5)*2*$B$7))</f>
        <v>86.129782463802201</v>
      </c>
      <c r="N309" s="54">
        <f ca="1">MIN(100,MAX(0,MCDA_Prioritisation!$F$3+(RAND()-0.5)*2*$B$7))</f>
        <v>94.378799744118282</v>
      </c>
      <c r="O309" s="54">
        <f ca="1">MIN(100,MAX(0,MCDA_Prioritisation!$F$4+(RAND()-0.5)*2*$B$7))</f>
        <v>95.278678774980705</v>
      </c>
      <c r="P309" s="54">
        <f ca="1">MIN(100,MAX(0,MCDA_Prioritisation!$F$5+(RAND()-0.5)*2*$B$7))</f>
        <v>78.006337656542641</v>
      </c>
      <c r="Q309" s="54">
        <f ca="1">MIN(100,MAX(0,MCDA_Prioritisation!$G$2+(RAND()-0.5)*2*$B$7))</f>
        <v>78.158378827888811</v>
      </c>
      <c r="R309" s="54">
        <f ca="1">MIN(100,MAX(0,MCDA_Prioritisation!$G$3+(RAND()-0.5)*2*$B$7))</f>
        <v>87.504517357704316</v>
      </c>
      <c r="S309" s="54">
        <f ca="1">MIN(100,MAX(0,MCDA_Prioritisation!$G$4+(RAND()-0.5)*2*$B$7))</f>
        <v>81.641731314083572</v>
      </c>
      <c r="T309" s="54">
        <f ca="1">MIN(100,MAX(0,MCDA_Prioritisation!$G$5+(RAND()-0.5)*2*$B$7))</f>
        <v>75.460715281915157</v>
      </c>
      <c r="U309" s="54">
        <f ca="1">MIN(100,MAX(0,MCDA_Prioritisation!$H$2+(RAND()-0.5)*2*$B$7))</f>
        <v>74.999574872350507</v>
      </c>
      <c r="V309" s="54">
        <f ca="1">MIN(100,MAX(0,MCDA_Prioritisation!$H$3+(RAND()-0.5)*2*$B$7))</f>
        <v>65.577397480382075</v>
      </c>
      <c r="W309" s="54">
        <f ca="1">MIN(100,MAX(0,MCDA_Prioritisation!$H$4+(RAND()-0.5)*2*$B$7))</f>
        <v>78.406212786523142</v>
      </c>
      <c r="X309" s="54">
        <f ca="1">MIN(100,MAX(0,MCDA_Prioritisation!$H$5+(RAND()-0.5)*2*$B$7))</f>
        <v>83.644537604265011</v>
      </c>
      <c r="Y309" s="54">
        <f ca="1">H309*MCDA_Prioritisation!$D$2+I309*MCDA_Prioritisation!$E$2+J309*M309+K309*Q309+L309*U309</f>
        <v>89.476398829760782</v>
      </c>
      <c r="Z309" s="54">
        <f ca="1">H309*MCDA_Prioritisation!$D$3+I309*MCDA_Prioritisation!$E$3+J309*N309+K309*R309+L309*V309</f>
        <v>81.917950620090764</v>
      </c>
      <c r="AA309" s="54">
        <f ca="1">H309*MCDA_Prioritisation!$D$4+I309*MCDA_Prioritisation!$E$4+J309*O309+K309*S309+L309*W309</f>
        <v>75.178364720173079</v>
      </c>
      <c r="AB309" s="54">
        <f ca="1">H309*MCDA_Prioritisation!$D$5+I309*MCDA_Prioritisation!$E$5+J309*P309+K309*T309+L309*X309</f>
        <v>74.809200918103016</v>
      </c>
      <c r="AC309" s="54">
        <f t="shared" ca="1" si="62"/>
        <v>1</v>
      </c>
      <c r="AD309" s="54">
        <f t="shared" ca="1" si="63"/>
        <v>2</v>
      </c>
      <c r="AE309" s="54">
        <f t="shared" ca="1" si="64"/>
        <v>3</v>
      </c>
      <c r="AF309" s="54">
        <f t="shared" ca="1" si="65"/>
        <v>4</v>
      </c>
      <c r="AG309" s="54">
        <f t="shared" ca="1" si="66"/>
        <v>1</v>
      </c>
      <c r="AH309" s="54">
        <f t="shared" ca="1" si="67"/>
        <v>1</v>
      </c>
      <c r="AI309" s="54">
        <f t="shared" ca="1" si="68"/>
        <v>1</v>
      </c>
      <c r="AJ309" s="54">
        <f t="shared" ca="1" si="69"/>
        <v>1</v>
      </c>
    </row>
    <row r="310" spans="1:36" x14ac:dyDescent="0.2">
      <c r="A310" s="54">
        <v>287</v>
      </c>
      <c r="B310" s="54">
        <f ca="1">MAX(0.02,MCDA_Prioritisation!$B$9+(RAND()-0.5)*2*$B$6)</f>
        <v>0.25829840827010253</v>
      </c>
      <c r="C310" s="54">
        <f ca="1">MAX(0.02,MCDA_Prioritisation!$B$10+(RAND()-0.5)*2*$B$6)</f>
        <v>0.28293627274739275</v>
      </c>
      <c r="D310" s="54">
        <f ca="1">MAX(0.02,MCDA_Prioritisation!$B$11+(RAND()-0.5)*2*$B$6)</f>
        <v>0.26016180805129441</v>
      </c>
      <c r="E310" s="54">
        <f ca="1">MAX(0.02,MCDA_Prioritisation!$B$12+(RAND()-0.5)*2*$B$6)</f>
        <v>0.22057947573885847</v>
      </c>
      <c r="F310" s="54">
        <f ca="1">MAX(0.02,MCDA_Prioritisation!$B$13+(RAND()-0.5)*2*$B$6)</f>
        <v>0.1911352555985236</v>
      </c>
      <c r="G310" s="54">
        <f t="shared" ca="1" si="56"/>
        <v>1.2131112204061716</v>
      </c>
      <c r="H310" s="54">
        <f t="shared" ca="1" si="57"/>
        <v>0.21292228109440745</v>
      </c>
      <c r="I310" s="54">
        <f t="shared" ca="1" si="58"/>
        <v>0.23323193124259503</v>
      </c>
      <c r="J310" s="54">
        <f t="shared" ca="1" si="59"/>
        <v>0.21445833133435821</v>
      </c>
      <c r="K310" s="54">
        <f t="shared" ca="1" si="60"/>
        <v>0.18182955695109676</v>
      </c>
      <c r="L310" s="54">
        <f t="shared" ca="1" si="61"/>
        <v>0.15755789937754269</v>
      </c>
      <c r="M310" s="54">
        <f ca="1">MIN(100,MAX(0,MCDA_Prioritisation!$F$2+(RAND()-0.5)*2*$B$7))</f>
        <v>76.003334501820333</v>
      </c>
      <c r="N310" s="54">
        <f ca="1">MIN(100,MAX(0,MCDA_Prioritisation!$F$3+(RAND()-0.5)*2*$B$7))</f>
        <v>90.112808361657201</v>
      </c>
      <c r="O310" s="54">
        <f ca="1">MIN(100,MAX(0,MCDA_Prioritisation!$F$4+(RAND()-0.5)*2*$B$7))</f>
        <v>84.617677236621532</v>
      </c>
      <c r="P310" s="54">
        <f ca="1">MIN(100,MAX(0,MCDA_Prioritisation!$F$5+(RAND()-0.5)*2*$B$7))</f>
        <v>77.460945493489774</v>
      </c>
      <c r="Q310" s="54">
        <f ca="1">MIN(100,MAX(0,MCDA_Prioritisation!$G$2+(RAND()-0.5)*2*$B$7))</f>
        <v>85.627767657379792</v>
      </c>
      <c r="R310" s="54">
        <f ca="1">MIN(100,MAX(0,MCDA_Prioritisation!$G$3+(RAND()-0.5)*2*$B$7))</f>
        <v>95.122894363197034</v>
      </c>
      <c r="S310" s="54">
        <f ca="1">MIN(100,MAX(0,MCDA_Prioritisation!$G$4+(RAND()-0.5)*2*$B$7))</f>
        <v>78.72530037986202</v>
      </c>
      <c r="T310" s="54">
        <f ca="1">MIN(100,MAX(0,MCDA_Prioritisation!$G$5+(RAND()-0.5)*2*$B$7))</f>
        <v>68.10070579191725</v>
      </c>
      <c r="U310" s="54">
        <f ca="1">MIN(100,MAX(0,MCDA_Prioritisation!$H$2+(RAND()-0.5)*2*$B$7))</f>
        <v>58.446074236951574</v>
      </c>
      <c r="V310" s="54">
        <f ca="1">MIN(100,MAX(0,MCDA_Prioritisation!$H$3+(RAND()-0.5)*2*$B$7))</f>
        <v>65.678074852369591</v>
      </c>
      <c r="W310" s="54">
        <f ca="1">MIN(100,MAX(0,MCDA_Prioritisation!$H$4+(RAND()-0.5)*2*$B$7))</f>
        <v>84.931207323597022</v>
      </c>
      <c r="X310" s="54">
        <f ca="1">MIN(100,MAX(0,MCDA_Prioritisation!$H$5+(RAND()-0.5)*2*$B$7))</f>
        <v>80.719138320281758</v>
      </c>
      <c r="Y310" s="54">
        <f ca="1">H310*MCDA_Prioritisation!$D$2+I310*MCDA_Prioritisation!$E$2+J310*M310+K310*Q310+L310*U310</f>
        <v>85.693269266298529</v>
      </c>
      <c r="Z310" s="54">
        <f ca="1">H310*MCDA_Prioritisation!$D$3+I310*MCDA_Prioritisation!$E$3+J310*N310+K310*R310+L310*V310</f>
        <v>82.54075240781907</v>
      </c>
      <c r="AA310" s="54">
        <f ca="1">H310*MCDA_Prioritisation!$D$4+I310*MCDA_Prioritisation!$E$4+J310*O310+K310*S310+L310*W310</f>
        <v>73.391532642477202</v>
      </c>
      <c r="AB310" s="54">
        <f ca="1">H310*MCDA_Prioritisation!$D$5+I310*MCDA_Prioritisation!$E$5+J310*P310+K310*T310+L310*X310</f>
        <v>72.626528808825995</v>
      </c>
      <c r="AC310" s="54">
        <f t="shared" ca="1" si="62"/>
        <v>1</v>
      </c>
      <c r="AD310" s="54">
        <f t="shared" ca="1" si="63"/>
        <v>2</v>
      </c>
      <c r="AE310" s="54">
        <f t="shared" ca="1" si="64"/>
        <v>3</v>
      </c>
      <c r="AF310" s="54">
        <f t="shared" ca="1" si="65"/>
        <v>4</v>
      </c>
      <c r="AG310" s="54">
        <f t="shared" ca="1" si="66"/>
        <v>1</v>
      </c>
      <c r="AH310" s="54">
        <f t="shared" ca="1" si="67"/>
        <v>1</v>
      </c>
      <c r="AI310" s="54">
        <f t="shared" ca="1" si="68"/>
        <v>1</v>
      </c>
      <c r="AJ310" s="54">
        <f t="shared" ca="1" si="69"/>
        <v>1</v>
      </c>
    </row>
    <row r="311" spans="1:36" x14ac:dyDescent="0.2">
      <c r="A311" s="54">
        <v>288</v>
      </c>
      <c r="B311" s="54">
        <f ca="1">MAX(0.02,MCDA_Prioritisation!$B$9+(RAND()-0.5)*2*$B$6)</f>
        <v>0.13666807205091641</v>
      </c>
      <c r="C311" s="54">
        <f ca="1">MAX(0.02,MCDA_Prioritisation!$B$10+(RAND()-0.5)*2*$B$6)</f>
        <v>0.22892828710124627</v>
      </c>
      <c r="D311" s="54">
        <f ca="1">MAX(0.02,MCDA_Prioritisation!$B$11+(RAND()-0.5)*2*$B$6)</f>
        <v>0.3066268266367822</v>
      </c>
      <c r="E311" s="54">
        <f ca="1">MAX(0.02,MCDA_Prioritisation!$B$12+(RAND()-0.5)*2*$B$6)</f>
        <v>0.1036843951552894</v>
      </c>
      <c r="F311" s="54">
        <f ca="1">MAX(0.02,MCDA_Prioritisation!$B$13+(RAND()-0.5)*2*$B$6)</f>
        <v>0.17115745291620382</v>
      </c>
      <c r="G311" s="54">
        <f t="shared" ca="1" si="56"/>
        <v>0.94706503386043805</v>
      </c>
      <c r="H311" s="54">
        <f t="shared" ca="1" si="57"/>
        <v>0.14430695587379924</v>
      </c>
      <c r="I311" s="54">
        <f t="shared" ca="1" si="58"/>
        <v>0.24172393543882198</v>
      </c>
      <c r="J311" s="54">
        <f t="shared" ca="1" si="59"/>
        <v>0.32376533360851278</v>
      </c>
      <c r="K311" s="54">
        <f t="shared" ca="1" si="60"/>
        <v>0.10947969933242051</v>
      </c>
      <c r="L311" s="54">
        <f t="shared" ca="1" si="61"/>
        <v>0.18072407574644556</v>
      </c>
      <c r="M311" s="54">
        <f ca="1">MIN(100,MAX(0,MCDA_Prioritisation!$F$2+(RAND()-0.5)*2*$B$7))</f>
        <v>88.126992976745257</v>
      </c>
      <c r="N311" s="54">
        <f ca="1">MIN(100,MAX(0,MCDA_Prioritisation!$F$3+(RAND()-0.5)*2*$B$7))</f>
        <v>90.083531079758075</v>
      </c>
      <c r="O311" s="54">
        <f ca="1">MIN(100,MAX(0,MCDA_Prioritisation!$F$4+(RAND()-0.5)*2*$B$7))</f>
        <v>82.60111137409514</v>
      </c>
      <c r="P311" s="54">
        <f ca="1">MIN(100,MAX(0,MCDA_Prioritisation!$F$5+(RAND()-0.5)*2*$B$7))</f>
        <v>81.474336611273969</v>
      </c>
      <c r="Q311" s="54">
        <f ca="1">MIN(100,MAX(0,MCDA_Prioritisation!$G$2+(RAND()-0.5)*2*$B$7))</f>
        <v>89.220412533668338</v>
      </c>
      <c r="R311" s="54">
        <f ca="1">MIN(100,MAX(0,MCDA_Prioritisation!$G$3+(RAND()-0.5)*2*$B$7))</f>
        <v>94.225392096962466</v>
      </c>
      <c r="S311" s="54">
        <f ca="1">MIN(100,MAX(0,MCDA_Prioritisation!$G$4+(RAND()-0.5)*2*$B$7))</f>
        <v>93.936068406568822</v>
      </c>
      <c r="T311" s="54">
        <f ca="1">MIN(100,MAX(0,MCDA_Prioritisation!$G$5+(RAND()-0.5)*2*$B$7))</f>
        <v>63.45665639020563</v>
      </c>
      <c r="U311" s="54">
        <f ca="1">MIN(100,MAX(0,MCDA_Prioritisation!$H$2+(RAND()-0.5)*2*$B$7))</f>
        <v>72.604740333253133</v>
      </c>
      <c r="V311" s="54">
        <f ca="1">MIN(100,MAX(0,MCDA_Prioritisation!$H$3+(RAND()-0.5)*2*$B$7))</f>
        <v>63.067980763451779</v>
      </c>
      <c r="W311" s="54">
        <f ca="1">MIN(100,MAX(0,MCDA_Prioritisation!$H$4+(RAND()-0.5)*2*$B$7))</f>
        <v>71.430491626273124</v>
      </c>
      <c r="X311" s="54">
        <f ca="1">MIN(100,MAX(0,MCDA_Prioritisation!$H$5+(RAND()-0.5)*2*$B$7))</f>
        <v>83.248900741374456</v>
      </c>
      <c r="Y311" s="54">
        <f ca="1">H311*MCDA_Prioritisation!$D$2+I311*MCDA_Prioritisation!$E$2+J311*M311+K311*Q311+L311*U311</f>
        <v>90.02480294233149</v>
      </c>
      <c r="Z311" s="54">
        <f ca="1">H311*MCDA_Prioritisation!$D$3+I311*MCDA_Prioritisation!$E$3+J311*N311+K311*R311+L311*V311</f>
        <v>81.071489025559202</v>
      </c>
      <c r="AA311" s="54">
        <f ca="1">H311*MCDA_Prioritisation!$D$4+I311*MCDA_Prioritisation!$E$4+J311*O311+K311*S311+L311*W311</f>
        <v>73.170308502480751</v>
      </c>
      <c r="AB311" s="54">
        <f ca="1">H311*MCDA_Prioritisation!$D$5+I311*MCDA_Prioritisation!$E$5+J311*P311+K311*T311+L311*X311</f>
        <v>76.356867649680268</v>
      </c>
      <c r="AC311" s="54">
        <f t="shared" ca="1" si="62"/>
        <v>1</v>
      </c>
      <c r="AD311" s="54">
        <f t="shared" ca="1" si="63"/>
        <v>2</v>
      </c>
      <c r="AE311" s="54">
        <f t="shared" ca="1" si="64"/>
        <v>4</v>
      </c>
      <c r="AF311" s="54">
        <f t="shared" ca="1" si="65"/>
        <v>3</v>
      </c>
      <c r="AG311" s="54">
        <f t="shared" ca="1" si="66"/>
        <v>1</v>
      </c>
      <c r="AH311" s="54">
        <f t="shared" ca="1" si="67"/>
        <v>1</v>
      </c>
      <c r="AI311" s="54">
        <f t="shared" ca="1" si="68"/>
        <v>0</v>
      </c>
      <c r="AJ311" s="54">
        <f t="shared" ca="1" si="69"/>
        <v>1</v>
      </c>
    </row>
    <row r="312" spans="1:36" x14ac:dyDescent="0.2">
      <c r="A312" s="54">
        <v>289</v>
      </c>
      <c r="B312" s="54">
        <f ca="1">MAX(0.02,MCDA_Prioritisation!$B$9+(RAND()-0.5)*2*$B$6)</f>
        <v>0.23927616002053764</v>
      </c>
      <c r="C312" s="54">
        <f ca="1">MAX(0.02,MCDA_Prioritisation!$B$10+(RAND()-0.5)*2*$B$6)</f>
        <v>0.31178929854716875</v>
      </c>
      <c r="D312" s="54">
        <f ca="1">MAX(0.02,MCDA_Prioritisation!$B$11+(RAND()-0.5)*2*$B$6)</f>
        <v>0.28290280704232201</v>
      </c>
      <c r="E312" s="54">
        <f ca="1">MAX(0.02,MCDA_Prioritisation!$B$12+(RAND()-0.5)*2*$B$6)</f>
        <v>0.21736144246831343</v>
      </c>
      <c r="F312" s="54">
        <f ca="1">MAX(0.02,MCDA_Prioritisation!$B$13+(RAND()-0.5)*2*$B$6)</f>
        <v>0.16104609134162656</v>
      </c>
      <c r="G312" s="54">
        <f t="shared" ca="1" si="56"/>
        <v>1.2123757994199684</v>
      </c>
      <c r="H312" s="54">
        <f t="shared" ca="1" si="57"/>
        <v>0.19736137931408188</v>
      </c>
      <c r="I312" s="54">
        <f t="shared" ca="1" si="58"/>
        <v>0.2571721562706355</v>
      </c>
      <c r="J312" s="54">
        <f t="shared" ca="1" si="59"/>
        <v>0.2333458051353961</v>
      </c>
      <c r="K312" s="54">
        <f t="shared" ca="1" si="60"/>
        <v>0.17928553388504184</v>
      </c>
      <c r="L312" s="54">
        <f t="shared" ca="1" si="61"/>
        <v>0.13283512539484468</v>
      </c>
      <c r="M312" s="54">
        <f ca="1">MIN(100,MAX(0,MCDA_Prioritisation!$F$2+(RAND()-0.5)*2*$B$7))</f>
        <v>89.451285444387011</v>
      </c>
      <c r="N312" s="54">
        <f ca="1">MIN(100,MAX(0,MCDA_Prioritisation!$F$3+(RAND()-0.5)*2*$B$7))</f>
        <v>94.213395835829431</v>
      </c>
      <c r="O312" s="54">
        <f ca="1">MIN(100,MAX(0,MCDA_Prioritisation!$F$4+(RAND()-0.5)*2*$B$7))</f>
        <v>91.135043735333269</v>
      </c>
      <c r="P312" s="54">
        <f ca="1">MIN(100,MAX(0,MCDA_Prioritisation!$F$5+(RAND()-0.5)*2*$B$7))</f>
        <v>70.941980447602546</v>
      </c>
      <c r="Q312" s="54">
        <f ca="1">MIN(100,MAX(0,MCDA_Prioritisation!$G$2+(RAND()-0.5)*2*$B$7))</f>
        <v>75.121467036086329</v>
      </c>
      <c r="R312" s="54">
        <f ca="1">MIN(100,MAX(0,MCDA_Prioritisation!$G$3+(RAND()-0.5)*2*$B$7))</f>
        <v>87.773121480851614</v>
      </c>
      <c r="S312" s="54">
        <f ca="1">MIN(100,MAX(0,MCDA_Prioritisation!$G$4+(RAND()-0.5)*2*$B$7))</f>
        <v>89.137459699262621</v>
      </c>
      <c r="T312" s="54">
        <f ca="1">MIN(100,MAX(0,MCDA_Prioritisation!$G$5+(RAND()-0.5)*2*$B$7))</f>
        <v>78.282539300497447</v>
      </c>
      <c r="U312" s="54">
        <f ca="1">MIN(100,MAX(0,MCDA_Prioritisation!$H$2+(RAND()-0.5)*2*$B$7))</f>
        <v>74.040784293956932</v>
      </c>
      <c r="V312" s="54">
        <f ca="1">MIN(100,MAX(0,MCDA_Prioritisation!$H$3+(RAND()-0.5)*2*$B$7))</f>
        <v>69.465045442721689</v>
      </c>
      <c r="W312" s="54">
        <f ca="1">MIN(100,MAX(0,MCDA_Prioritisation!$H$4+(RAND()-0.5)*2*$B$7))</f>
        <v>75.099932312239076</v>
      </c>
      <c r="X312" s="54">
        <f ca="1">MIN(100,MAX(0,MCDA_Prioritisation!$H$5+(RAND()-0.5)*2*$B$7))</f>
        <v>80.163316787202035</v>
      </c>
      <c r="Y312" s="54">
        <f ca="1">H312*MCDA_Prioritisation!$D$2+I312*MCDA_Prioritisation!$E$2+J312*M312+K312*Q312+L312*U312</f>
        <v>89.629844970701086</v>
      </c>
      <c r="Z312" s="54">
        <f ca="1">H312*MCDA_Prioritisation!$D$3+I312*MCDA_Prioritisation!$E$3+J312*N312+K312*R312+L312*V312</f>
        <v>82.900339964235414</v>
      </c>
      <c r="AA312" s="54">
        <f ca="1">H312*MCDA_Prioritisation!$D$4+I312*MCDA_Prioritisation!$E$4+J312*O312+K312*S312+L312*W312</f>
        <v>74.99360454057512</v>
      </c>
      <c r="AB312" s="54">
        <f ca="1">H312*MCDA_Prioritisation!$D$5+I312*MCDA_Prioritisation!$E$5+J312*P312+K312*T312+L312*X312</f>
        <v>73.338415872534526</v>
      </c>
      <c r="AC312" s="54">
        <f t="shared" ca="1" si="62"/>
        <v>1</v>
      </c>
      <c r="AD312" s="54">
        <f t="shared" ca="1" si="63"/>
        <v>2</v>
      </c>
      <c r="AE312" s="54">
        <f t="shared" ca="1" si="64"/>
        <v>3</v>
      </c>
      <c r="AF312" s="54">
        <f t="shared" ca="1" si="65"/>
        <v>4</v>
      </c>
      <c r="AG312" s="54">
        <f t="shared" ca="1" si="66"/>
        <v>1</v>
      </c>
      <c r="AH312" s="54">
        <f t="shared" ca="1" si="67"/>
        <v>1</v>
      </c>
      <c r="AI312" s="54">
        <f t="shared" ca="1" si="68"/>
        <v>1</v>
      </c>
      <c r="AJ312" s="54">
        <f t="shared" ca="1" si="69"/>
        <v>1</v>
      </c>
    </row>
    <row r="313" spans="1:36" x14ac:dyDescent="0.2">
      <c r="A313" s="54">
        <v>290</v>
      </c>
      <c r="B313" s="54">
        <f ca="1">MAX(0.02,MCDA_Prioritisation!$B$9+(RAND()-0.5)*2*$B$6)</f>
        <v>0.26891960611997273</v>
      </c>
      <c r="C313" s="54">
        <f ca="1">MAX(0.02,MCDA_Prioritisation!$B$10+(RAND()-0.5)*2*$B$6)</f>
        <v>0.19524456906350041</v>
      </c>
      <c r="D313" s="54">
        <f ca="1">MAX(0.02,MCDA_Prioritisation!$B$11+(RAND()-0.5)*2*$B$6)</f>
        <v>0.29248910501714531</v>
      </c>
      <c r="E313" s="54">
        <f ca="1">MAX(0.02,MCDA_Prioritisation!$B$12+(RAND()-0.5)*2*$B$6)</f>
        <v>7.6271024800592335E-2</v>
      </c>
      <c r="F313" s="54">
        <f ca="1">MAX(0.02,MCDA_Prioritisation!$B$13+(RAND()-0.5)*2*$B$6)</f>
        <v>9.6665161485197895E-2</v>
      </c>
      <c r="G313" s="54">
        <f t="shared" ca="1" si="56"/>
        <v>0.92958946648640872</v>
      </c>
      <c r="H313" s="54">
        <f t="shared" ca="1" si="57"/>
        <v>0.28928856857254903</v>
      </c>
      <c r="I313" s="54">
        <f t="shared" ca="1" si="58"/>
        <v>0.21003311257545862</v>
      </c>
      <c r="J313" s="54">
        <f t="shared" ca="1" si="59"/>
        <v>0.31464330821504821</v>
      </c>
      <c r="K313" s="54">
        <f t="shared" ca="1" si="60"/>
        <v>8.2048073424148979E-2</v>
      </c>
      <c r="L313" s="54">
        <f t="shared" ca="1" si="61"/>
        <v>0.10398693721279512</v>
      </c>
      <c r="M313" s="54">
        <f ca="1">MIN(100,MAX(0,MCDA_Prioritisation!$F$2+(RAND()-0.5)*2*$B$7))</f>
        <v>83.342322399358565</v>
      </c>
      <c r="N313" s="54">
        <f ca="1">MIN(100,MAX(0,MCDA_Prioritisation!$F$3+(RAND()-0.5)*2*$B$7))</f>
        <v>100</v>
      </c>
      <c r="O313" s="54">
        <f ca="1">MIN(100,MAX(0,MCDA_Prioritisation!$F$4+(RAND()-0.5)*2*$B$7))</f>
        <v>99.423859267053743</v>
      </c>
      <c r="P313" s="54">
        <f ca="1">MIN(100,MAX(0,MCDA_Prioritisation!$F$5+(RAND()-0.5)*2*$B$7))</f>
        <v>75.782782925430496</v>
      </c>
      <c r="Q313" s="54">
        <f ca="1">MIN(100,MAX(0,MCDA_Prioritisation!$G$2+(RAND()-0.5)*2*$B$7))</f>
        <v>76.884151014436483</v>
      </c>
      <c r="R313" s="54">
        <f ca="1">MIN(100,MAX(0,MCDA_Prioritisation!$G$3+(RAND()-0.5)*2*$B$7))</f>
        <v>85.115738652431119</v>
      </c>
      <c r="S313" s="54">
        <f ca="1">MIN(100,MAX(0,MCDA_Prioritisation!$G$4+(RAND()-0.5)*2*$B$7))</f>
        <v>77.029162480773977</v>
      </c>
      <c r="T313" s="54">
        <f ca="1">MIN(100,MAX(0,MCDA_Prioritisation!$G$5+(RAND()-0.5)*2*$B$7))</f>
        <v>74.947264665934526</v>
      </c>
      <c r="U313" s="54">
        <f ca="1">MIN(100,MAX(0,MCDA_Prioritisation!$H$2+(RAND()-0.5)*2*$B$7))</f>
        <v>68.870085072555867</v>
      </c>
      <c r="V313" s="54">
        <f ca="1">MIN(100,MAX(0,MCDA_Prioritisation!$H$3+(RAND()-0.5)*2*$B$7))</f>
        <v>58.938965180105562</v>
      </c>
      <c r="W313" s="54">
        <f ca="1">MIN(100,MAX(0,MCDA_Prioritisation!$H$4+(RAND()-0.5)*2*$B$7))</f>
        <v>89.532555190773337</v>
      </c>
      <c r="X313" s="54">
        <f ca="1">MIN(100,MAX(0,MCDA_Prioritisation!$H$5+(RAND()-0.5)*2*$B$7))</f>
        <v>65.210401692653321</v>
      </c>
      <c r="Y313" s="54">
        <f ca="1">H313*MCDA_Prioritisation!$D$2+I313*MCDA_Prioritisation!$E$2+J313*M313+K313*Q313+L313*U313</f>
        <v>89.625057828725616</v>
      </c>
      <c r="Z313" s="54">
        <f ca="1">H313*MCDA_Prioritisation!$D$3+I313*MCDA_Prioritisation!$E$3+J313*N313+K313*R313+L313*V313</f>
        <v>85.134837654890731</v>
      </c>
      <c r="AA313" s="54">
        <f ca="1">H313*MCDA_Prioritisation!$D$4+I313*MCDA_Prioritisation!$E$4+J313*O313+K313*S313+L313*W313</f>
        <v>78.514069467902999</v>
      </c>
      <c r="AB313" s="54">
        <f ca="1">H313*MCDA_Prioritisation!$D$5+I313*MCDA_Prioritisation!$E$5+J313*P313+K313*T313+L313*X313</f>
        <v>69.79097771402374</v>
      </c>
      <c r="AC313" s="54">
        <f t="shared" ca="1" si="62"/>
        <v>1</v>
      </c>
      <c r="AD313" s="54">
        <f t="shared" ca="1" si="63"/>
        <v>2</v>
      </c>
      <c r="AE313" s="54">
        <f t="shared" ca="1" si="64"/>
        <v>3</v>
      </c>
      <c r="AF313" s="54">
        <f t="shared" ca="1" si="65"/>
        <v>4</v>
      </c>
      <c r="AG313" s="54">
        <f t="shared" ca="1" si="66"/>
        <v>1</v>
      </c>
      <c r="AH313" s="54">
        <f t="shared" ca="1" si="67"/>
        <v>1</v>
      </c>
      <c r="AI313" s="54">
        <f t="shared" ca="1" si="68"/>
        <v>1</v>
      </c>
      <c r="AJ313" s="54">
        <f t="shared" ca="1" si="69"/>
        <v>1</v>
      </c>
    </row>
    <row r="314" spans="1:36" x14ac:dyDescent="0.2">
      <c r="A314" s="54">
        <v>291</v>
      </c>
      <c r="B314" s="54">
        <f ca="1">MAX(0.02,MCDA_Prioritisation!$B$9+(RAND()-0.5)*2*$B$6)</f>
        <v>0.12561780786832832</v>
      </c>
      <c r="C314" s="54">
        <f ca="1">MAX(0.02,MCDA_Prioritisation!$B$10+(RAND()-0.5)*2*$B$6)</f>
        <v>0.24853817087189331</v>
      </c>
      <c r="D314" s="54">
        <f ca="1">MAX(0.02,MCDA_Prioritisation!$B$11+(RAND()-0.5)*2*$B$6)</f>
        <v>0.28775396838818351</v>
      </c>
      <c r="E314" s="54">
        <f ca="1">MAX(0.02,MCDA_Prioritisation!$B$12+(RAND()-0.5)*2*$B$6)</f>
        <v>0.11234703387887596</v>
      </c>
      <c r="F314" s="54">
        <f ca="1">MAX(0.02,MCDA_Prioritisation!$B$13+(RAND()-0.5)*2*$B$6)</f>
        <v>0.1836148341230307</v>
      </c>
      <c r="G314" s="54">
        <f t="shared" ca="1" si="56"/>
        <v>0.95787181513031172</v>
      </c>
      <c r="H314" s="54">
        <f t="shared" ca="1" si="57"/>
        <v>0.13114260789815482</v>
      </c>
      <c r="I314" s="54">
        <f t="shared" ca="1" si="58"/>
        <v>0.25946913453976245</v>
      </c>
      <c r="J314" s="54">
        <f t="shared" ca="1" si="59"/>
        <v>0.30040968305246207</v>
      </c>
      <c r="K314" s="54">
        <f t="shared" ca="1" si="60"/>
        <v>0.11728817165749045</v>
      </c>
      <c r="L314" s="54">
        <f t="shared" ca="1" si="61"/>
        <v>0.19169040285213026</v>
      </c>
      <c r="M314" s="54">
        <f ca="1">MIN(100,MAX(0,MCDA_Prioritisation!$F$2+(RAND()-0.5)*2*$B$7))</f>
        <v>83.299120059909839</v>
      </c>
      <c r="N314" s="54">
        <f ca="1">MIN(100,MAX(0,MCDA_Prioritisation!$F$3+(RAND()-0.5)*2*$B$7))</f>
        <v>99.67512295786922</v>
      </c>
      <c r="O314" s="54">
        <f ca="1">MIN(100,MAX(0,MCDA_Prioritisation!$F$4+(RAND()-0.5)*2*$B$7))</f>
        <v>81.078727807469804</v>
      </c>
      <c r="P314" s="54">
        <f ca="1">MIN(100,MAX(0,MCDA_Prioritisation!$F$5+(RAND()-0.5)*2*$B$7))</f>
        <v>71.944996058207636</v>
      </c>
      <c r="Q314" s="54">
        <f ca="1">MIN(100,MAX(0,MCDA_Prioritisation!$G$2+(RAND()-0.5)*2*$B$7))</f>
        <v>83.868265819257033</v>
      </c>
      <c r="R314" s="54">
        <f ca="1">MIN(100,MAX(0,MCDA_Prioritisation!$G$3+(RAND()-0.5)*2*$B$7))</f>
        <v>88.037272551389947</v>
      </c>
      <c r="S314" s="54">
        <f ca="1">MIN(100,MAX(0,MCDA_Prioritisation!$G$4+(RAND()-0.5)*2*$B$7))</f>
        <v>81.735775695219814</v>
      </c>
      <c r="T314" s="54">
        <f ca="1">MIN(100,MAX(0,MCDA_Prioritisation!$G$5+(RAND()-0.5)*2*$B$7))</f>
        <v>64.989283681909143</v>
      </c>
      <c r="U314" s="54">
        <f ca="1">MIN(100,MAX(0,MCDA_Prioritisation!$H$2+(RAND()-0.5)*2*$B$7))</f>
        <v>68.463987863007432</v>
      </c>
      <c r="V314" s="54">
        <f ca="1">MIN(100,MAX(0,MCDA_Prioritisation!$H$3+(RAND()-0.5)*2*$B$7))</f>
        <v>53.307453628973214</v>
      </c>
      <c r="W314" s="54">
        <f ca="1">MIN(100,MAX(0,MCDA_Prioritisation!$H$4+(RAND()-0.5)*2*$B$7))</f>
        <v>80.808711508375637</v>
      </c>
      <c r="X314" s="54">
        <f ca="1">MIN(100,MAX(0,MCDA_Prioritisation!$H$5+(RAND()-0.5)*2*$B$7))</f>
        <v>71.52017043471875</v>
      </c>
      <c r="Y314" s="54">
        <f ca="1">H314*MCDA_Prioritisation!$D$2+I314*MCDA_Prioritisation!$E$2+J314*M314+K314*Q314+L314*U314</f>
        <v>87.045681471886553</v>
      </c>
      <c r="Z314" s="54">
        <f ca="1">H314*MCDA_Prioritisation!$D$3+I314*MCDA_Prioritisation!$E$3+J314*N314+K314*R314+L314*V314</f>
        <v>80.819562027001069</v>
      </c>
      <c r="AA314" s="54">
        <f ca="1">H314*MCDA_Prioritisation!$D$4+I314*MCDA_Prioritisation!$E$4+J314*O314+K314*S314+L314*W314</f>
        <v>72.718591239240183</v>
      </c>
      <c r="AB314" s="54">
        <f ca="1">H314*MCDA_Prioritisation!$D$5+I314*MCDA_Prioritisation!$E$5+J314*P314+K314*T314+L314*X314</f>
        <v>71.724684018353685</v>
      </c>
      <c r="AC314" s="54">
        <f t="shared" ca="1" si="62"/>
        <v>1</v>
      </c>
      <c r="AD314" s="54">
        <f t="shared" ca="1" si="63"/>
        <v>2</v>
      </c>
      <c r="AE314" s="54">
        <f t="shared" ca="1" si="64"/>
        <v>3</v>
      </c>
      <c r="AF314" s="54">
        <f t="shared" ca="1" si="65"/>
        <v>4</v>
      </c>
      <c r="AG314" s="54">
        <f t="shared" ca="1" si="66"/>
        <v>1</v>
      </c>
      <c r="AH314" s="54">
        <f t="shared" ca="1" si="67"/>
        <v>1</v>
      </c>
      <c r="AI314" s="54">
        <f t="shared" ca="1" si="68"/>
        <v>1</v>
      </c>
      <c r="AJ314" s="54">
        <f t="shared" ca="1" si="69"/>
        <v>1</v>
      </c>
    </row>
    <row r="315" spans="1:36" x14ac:dyDescent="0.2">
      <c r="A315" s="54">
        <v>292</v>
      </c>
      <c r="B315" s="54">
        <f ca="1">MAX(0.02,MCDA_Prioritisation!$B$9+(RAND()-0.5)*2*$B$6)</f>
        <v>0.20851801141376955</v>
      </c>
      <c r="C315" s="54">
        <f ca="1">MAX(0.02,MCDA_Prioritisation!$B$10+(RAND()-0.5)*2*$B$6)</f>
        <v>0.21988084766306595</v>
      </c>
      <c r="D315" s="54">
        <f ca="1">MAX(0.02,MCDA_Prioritisation!$B$11+(RAND()-0.5)*2*$B$6)</f>
        <v>0.2555333963351511</v>
      </c>
      <c r="E315" s="54">
        <f ca="1">MAX(0.02,MCDA_Prioritisation!$B$12+(RAND()-0.5)*2*$B$6)</f>
        <v>0.13780150416384362</v>
      </c>
      <c r="F315" s="54">
        <f ca="1">MAX(0.02,MCDA_Prioritisation!$B$13+(RAND()-0.5)*2*$B$6)</f>
        <v>0.104379079024458</v>
      </c>
      <c r="G315" s="54">
        <f t="shared" ca="1" si="56"/>
        <v>0.92611283860028826</v>
      </c>
      <c r="H315" s="54">
        <f t="shared" ca="1" si="57"/>
        <v>0.22515400145939046</v>
      </c>
      <c r="I315" s="54">
        <f t="shared" ca="1" si="58"/>
        <v>0.2374233878405036</v>
      </c>
      <c r="J315" s="54">
        <f t="shared" ca="1" si="59"/>
        <v>0.2759203691867182</v>
      </c>
      <c r="K315" s="54">
        <f t="shared" ca="1" si="60"/>
        <v>0.14879558777320759</v>
      </c>
      <c r="L315" s="54">
        <f t="shared" ca="1" si="61"/>
        <v>0.11270665374018012</v>
      </c>
      <c r="M315" s="54">
        <f ca="1">MIN(100,MAX(0,MCDA_Prioritisation!$F$2+(RAND()-0.5)*2*$B$7))</f>
        <v>92.090984577577331</v>
      </c>
      <c r="N315" s="54">
        <f ca="1">MIN(100,MAX(0,MCDA_Prioritisation!$F$3+(RAND()-0.5)*2*$B$7))</f>
        <v>100</v>
      </c>
      <c r="O315" s="54">
        <f ca="1">MIN(100,MAX(0,MCDA_Prioritisation!$F$4+(RAND()-0.5)*2*$B$7))</f>
        <v>80.217590628343203</v>
      </c>
      <c r="P315" s="54">
        <f ca="1">MIN(100,MAX(0,MCDA_Prioritisation!$F$5+(RAND()-0.5)*2*$B$7))</f>
        <v>80.209584412759426</v>
      </c>
      <c r="Q315" s="54">
        <f ca="1">MIN(100,MAX(0,MCDA_Prioritisation!$G$2+(RAND()-0.5)*2*$B$7))</f>
        <v>82.083081317342874</v>
      </c>
      <c r="R315" s="54">
        <f ca="1">MIN(100,MAX(0,MCDA_Prioritisation!$G$3+(RAND()-0.5)*2*$B$7))</f>
        <v>98.28310796042868</v>
      </c>
      <c r="S315" s="54">
        <f ca="1">MIN(100,MAX(0,MCDA_Prioritisation!$G$4+(RAND()-0.5)*2*$B$7))</f>
        <v>94.496407322871221</v>
      </c>
      <c r="T315" s="54">
        <f ca="1">MIN(100,MAX(0,MCDA_Prioritisation!$G$5+(RAND()-0.5)*2*$B$7))</f>
        <v>72.011421906838251</v>
      </c>
      <c r="U315" s="54">
        <f ca="1">MIN(100,MAX(0,MCDA_Prioritisation!$H$2+(RAND()-0.5)*2*$B$7))</f>
        <v>64.664998963431543</v>
      </c>
      <c r="V315" s="54">
        <f ca="1">MIN(100,MAX(0,MCDA_Prioritisation!$H$3+(RAND()-0.5)*2*$B$7))</f>
        <v>50.896294731920726</v>
      </c>
      <c r="W315" s="54">
        <f ca="1">MIN(100,MAX(0,MCDA_Prioritisation!$H$4+(RAND()-0.5)*2*$B$7))</f>
        <v>78.131183298401297</v>
      </c>
      <c r="X315" s="54">
        <f ca="1">MIN(100,MAX(0,MCDA_Prioritisation!$H$5+(RAND()-0.5)*2*$B$7))</f>
        <v>67.948049973228194</v>
      </c>
      <c r="Y315" s="54">
        <f ca="1">H315*MCDA_Prioritisation!$D$2+I315*MCDA_Prioritisation!$E$2+J315*M315+K315*Q315+L315*U315</f>
        <v>91.169293371533527</v>
      </c>
      <c r="Z315" s="54">
        <f ca="1">H315*MCDA_Prioritisation!$D$3+I315*MCDA_Prioritisation!$E$3+J315*N315+K315*R315+L315*V315</f>
        <v>84.897384356420687</v>
      </c>
      <c r="AA315" s="54">
        <f ca="1">H315*MCDA_Prioritisation!$D$4+I315*MCDA_Prioritisation!$E$4+J315*O315+K315*S315+L315*W315</f>
        <v>73.62898759449233</v>
      </c>
      <c r="AB315" s="54">
        <f ca="1">H315*MCDA_Prioritisation!$D$5+I315*MCDA_Prioritisation!$E$5+J315*P315+K315*T315+L315*X315</f>
        <v>72.420034830504278</v>
      </c>
      <c r="AC315" s="54">
        <f t="shared" ca="1" si="62"/>
        <v>1</v>
      </c>
      <c r="AD315" s="54">
        <f t="shared" ca="1" si="63"/>
        <v>2</v>
      </c>
      <c r="AE315" s="54">
        <f t="shared" ca="1" si="64"/>
        <v>3</v>
      </c>
      <c r="AF315" s="54">
        <f t="shared" ca="1" si="65"/>
        <v>4</v>
      </c>
      <c r="AG315" s="54">
        <f t="shared" ca="1" si="66"/>
        <v>1</v>
      </c>
      <c r="AH315" s="54">
        <f t="shared" ca="1" si="67"/>
        <v>1</v>
      </c>
      <c r="AI315" s="54">
        <f t="shared" ca="1" si="68"/>
        <v>1</v>
      </c>
      <c r="AJ315" s="54">
        <f t="shared" ca="1" si="69"/>
        <v>1</v>
      </c>
    </row>
    <row r="316" spans="1:36" x14ac:dyDescent="0.2">
      <c r="A316" s="54">
        <v>293</v>
      </c>
      <c r="B316" s="54">
        <f ca="1">MAX(0.02,MCDA_Prioritisation!$B$9+(RAND()-0.5)*2*$B$6)</f>
        <v>0.23566170582148277</v>
      </c>
      <c r="C316" s="54">
        <f ca="1">MAX(0.02,MCDA_Prioritisation!$B$10+(RAND()-0.5)*2*$B$6)</f>
        <v>0.29457364301182998</v>
      </c>
      <c r="D316" s="54">
        <f ca="1">MAX(0.02,MCDA_Prioritisation!$B$11+(RAND()-0.5)*2*$B$6)</f>
        <v>0.19141039219039838</v>
      </c>
      <c r="E316" s="54">
        <f ca="1">MAX(0.02,MCDA_Prioritisation!$B$12+(RAND()-0.5)*2*$B$6)</f>
        <v>0.10366933384807173</v>
      </c>
      <c r="F316" s="54">
        <f ca="1">MAX(0.02,MCDA_Prioritisation!$B$13+(RAND()-0.5)*2*$B$6)</f>
        <v>0.22548469868800958</v>
      </c>
      <c r="G316" s="54">
        <f t="shared" ca="1" si="56"/>
        <v>1.0507997735597923</v>
      </c>
      <c r="H316" s="54">
        <f t="shared" ca="1" si="57"/>
        <v>0.22426889665490896</v>
      </c>
      <c r="I316" s="54">
        <f t="shared" ca="1" si="58"/>
        <v>0.28033280023833984</v>
      </c>
      <c r="J316" s="54">
        <f t="shared" ca="1" si="59"/>
        <v>0.1821568647107315</v>
      </c>
      <c r="K316" s="54">
        <f t="shared" ca="1" si="60"/>
        <v>9.8657552520087941E-2</v>
      </c>
      <c r="L316" s="54">
        <f t="shared" ca="1" si="61"/>
        <v>0.21458388587593194</v>
      </c>
      <c r="M316" s="54">
        <f ca="1">MIN(100,MAX(0,MCDA_Prioritisation!$F$2+(RAND()-0.5)*2*$B$7))</f>
        <v>86.945522664458679</v>
      </c>
      <c r="N316" s="54">
        <f ca="1">MIN(100,MAX(0,MCDA_Prioritisation!$F$3+(RAND()-0.5)*2*$B$7))</f>
        <v>96.570054097371028</v>
      </c>
      <c r="O316" s="54">
        <f ca="1">MIN(100,MAX(0,MCDA_Prioritisation!$F$4+(RAND()-0.5)*2*$B$7))</f>
        <v>83.306033382209264</v>
      </c>
      <c r="P316" s="54">
        <f ca="1">MIN(100,MAX(0,MCDA_Prioritisation!$F$5+(RAND()-0.5)*2*$B$7))</f>
        <v>67.215957067406762</v>
      </c>
      <c r="Q316" s="54">
        <f ca="1">MIN(100,MAX(0,MCDA_Prioritisation!$G$2+(RAND()-0.5)*2*$B$7))</f>
        <v>89.356187139124941</v>
      </c>
      <c r="R316" s="54">
        <f ca="1">MIN(100,MAX(0,MCDA_Prioritisation!$G$3+(RAND()-0.5)*2*$B$7))</f>
        <v>99.224805332539717</v>
      </c>
      <c r="S316" s="54">
        <f ca="1">MIN(100,MAX(0,MCDA_Prioritisation!$G$4+(RAND()-0.5)*2*$B$7))</f>
        <v>76.211499867678626</v>
      </c>
      <c r="T316" s="54">
        <f ca="1">MIN(100,MAX(0,MCDA_Prioritisation!$G$5+(RAND()-0.5)*2*$B$7))</f>
        <v>72.662170032332554</v>
      </c>
      <c r="U316" s="54">
        <f ca="1">MIN(100,MAX(0,MCDA_Prioritisation!$H$2+(RAND()-0.5)*2*$B$7))</f>
        <v>71.976972506183017</v>
      </c>
      <c r="V316" s="54">
        <f ca="1">MIN(100,MAX(0,MCDA_Prioritisation!$H$3+(RAND()-0.5)*2*$B$7))</f>
        <v>69.413074795789129</v>
      </c>
      <c r="W316" s="54">
        <f ca="1">MIN(100,MAX(0,MCDA_Prioritisation!$H$4+(RAND()-0.5)*2*$B$7))</f>
        <v>79.439359154925427</v>
      </c>
      <c r="X316" s="54">
        <f ca="1">MIN(100,MAX(0,MCDA_Prioritisation!$H$5+(RAND()-0.5)*2*$B$7))</f>
        <v>71.57532101510435</v>
      </c>
      <c r="Y316" s="54">
        <f ca="1">H316*MCDA_Prioritisation!$D$2+I316*MCDA_Prioritisation!$E$2+J316*M316+K316*Q316+L316*U316</f>
        <v>90.558654678153403</v>
      </c>
      <c r="Z316" s="54">
        <f ca="1">H316*MCDA_Prioritisation!$D$3+I316*MCDA_Prioritisation!$E$3+J316*N316+K316*R316+L316*V316</f>
        <v>82.263334772280018</v>
      </c>
      <c r="AA316" s="54">
        <f ca="1">H316*MCDA_Prioritisation!$D$4+I316*MCDA_Prioritisation!$E$4+J316*O316+K316*S316+L316*W316</f>
        <v>70.647659870954868</v>
      </c>
      <c r="AB316" s="54">
        <f ca="1">H316*MCDA_Prioritisation!$D$5+I316*MCDA_Prioritisation!$E$5+J316*P316+K316*T316+L316*X316</f>
        <v>70.24814163972097</v>
      </c>
      <c r="AC316" s="54">
        <f t="shared" ca="1" si="62"/>
        <v>1</v>
      </c>
      <c r="AD316" s="54">
        <f t="shared" ca="1" si="63"/>
        <v>2</v>
      </c>
      <c r="AE316" s="54">
        <f t="shared" ca="1" si="64"/>
        <v>3</v>
      </c>
      <c r="AF316" s="54">
        <f t="shared" ca="1" si="65"/>
        <v>4</v>
      </c>
      <c r="AG316" s="54">
        <f t="shared" ca="1" si="66"/>
        <v>1</v>
      </c>
      <c r="AH316" s="54">
        <f t="shared" ca="1" si="67"/>
        <v>1</v>
      </c>
      <c r="AI316" s="54">
        <f t="shared" ca="1" si="68"/>
        <v>1</v>
      </c>
      <c r="AJ316" s="54">
        <f t="shared" ca="1" si="69"/>
        <v>1</v>
      </c>
    </row>
    <row r="317" spans="1:36" x14ac:dyDescent="0.2">
      <c r="A317" s="54">
        <v>294</v>
      </c>
      <c r="B317" s="54">
        <f ca="1">MAX(0.02,MCDA_Prioritisation!$B$9+(RAND()-0.5)*2*$B$6)</f>
        <v>0.12826609013798246</v>
      </c>
      <c r="C317" s="54">
        <f ca="1">MAX(0.02,MCDA_Prioritisation!$B$10+(RAND()-0.5)*2*$B$6)</f>
        <v>0.22353058600905773</v>
      </c>
      <c r="D317" s="54">
        <f ca="1">MAX(0.02,MCDA_Prioritisation!$B$11+(RAND()-0.5)*2*$B$6)</f>
        <v>0.20566793965574831</v>
      </c>
      <c r="E317" s="54">
        <f ca="1">MAX(0.02,MCDA_Prioritisation!$B$12+(RAND()-0.5)*2*$B$6)</f>
        <v>0.12932709966542838</v>
      </c>
      <c r="F317" s="54">
        <f ca="1">MAX(0.02,MCDA_Prioritisation!$B$13+(RAND()-0.5)*2*$B$6)</f>
        <v>0.17562754916148693</v>
      </c>
      <c r="G317" s="54">
        <f t="shared" ca="1" si="56"/>
        <v>0.86241926462970375</v>
      </c>
      <c r="H317" s="54">
        <f t="shared" ca="1" si="57"/>
        <v>0.14872822929466442</v>
      </c>
      <c r="I317" s="54">
        <f t="shared" ca="1" si="58"/>
        <v>0.25919015863477363</v>
      </c>
      <c r="J317" s="54">
        <f t="shared" ca="1" si="59"/>
        <v>0.23847790522635853</v>
      </c>
      <c r="K317" s="54">
        <f t="shared" ca="1" si="60"/>
        <v>0.14995850042955319</v>
      </c>
      <c r="L317" s="54">
        <f t="shared" ca="1" si="61"/>
        <v>0.20364520641465028</v>
      </c>
      <c r="M317" s="54">
        <f ca="1">MIN(100,MAX(0,MCDA_Prioritisation!$F$2+(RAND()-0.5)*2*$B$7))</f>
        <v>92.8699670720478</v>
      </c>
      <c r="N317" s="54">
        <f ca="1">MIN(100,MAX(0,MCDA_Prioritisation!$F$3+(RAND()-0.5)*2*$B$7))</f>
        <v>100</v>
      </c>
      <c r="O317" s="54">
        <f ca="1">MIN(100,MAX(0,MCDA_Prioritisation!$F$4+(RAND()-0.5)*2*$B$7))</f>
        <v>94.227248920962055</v>
      </c>
      <c r="P317" s="54">
        <f ca="1">MIN(100,MAX(0,MCDA_Prioritisation!$F$5+(RAND()-0.5)*2*$B$7))</f>
        <v>72.892188577851044</v>
      </c>
      <c r="Q317" s="54">
        <f ca="1">MIN(100,MAX(0,MCDA_Prioritisation!$G$2+(RAND()-0.5)*2*$B$7))</f>
        <v>85.942796829327378</v>
      </c>
      <c r="R317" s="54">
        <f ca="1">MIN(100,MAX(0,MCDA_Prioritisation!$G$3+(RAND()-0.5)*2*$B$7))</f>
        <v>100</v>
      </c>
      <c r="S317" s="54">
        <f ca="1">MIN(100,MAX(0,MCDA_Prioritisation!$G$4+(RAND()-0.5)*2*$B$7))</f>
        <v>82.723819172717882</v>
      </c>
      <c r="T317" s="54">
        <f ca="1">MIN(100,MAX(0,MCDA_Prioritisation!$G$5+(RAND()-0.5)*2*$B$7))</f>
        <v>62.732000509909582</v>
      </c>
      <c r="U317" s="54">
        <f ca="1">MIN(100,MAX(0,MCDA_Prioritisation!$H$2+(RAND()-0.5)*2*$B$7))</f>
        <v>71.713038862909741</v>
      </c>
      <c r="V317" s="54">
        <f ca="1">MIN(100,MAX(0,MCDA_Prioritisation!$H$3+(RAND()-0.5)*2*$B$7))</f>
        <v>66.299521972487696</v>
      </c>
      <c r="W317" s="54">
        <f ca="1">MIN(100,MAX(0,MCDA_Prioritisation!$H$4+(RAND()-0.5)*2*$B$7))</f>
        <v>74.164616083315408</v>
      </c>
      <c r="X317" s="54">
        <f ca="1">MIN(100,MAX(0,MCDA_Prioritisation!$H$5+(RAND()-0.5)*2*$B$7))</f>
        <v>82.627515349275683</v>
      </c>
      <c r="Y317" s="54">
        <f ca="1">H317*MCDA_Prioritisation!$D$2+I317*MCDA_Prioritisation!$E$2+J317*M317+K317*Q317+L317*U317</f>
        <v>90.431143535833442</v>
      </c>
      <c r="Z317" s="54">
        <f ca="1">H317*MCDA_Prioritisation!$D$3+I317*MCDA_Prioritisation!$E$3+J317*N317+K317*R317+L317*V317</f>
        <v>84.193790907210285</v>
      </c>
      <c r="AA317" s="54">
        <f ca="1">H317*MCDA_Prioritisation!$D$4+I317*MCDA_Prioritisation!$E$4+J317*O317+K317*S317+L317*W317</f>
        <v>74.473729952473661</v>
      </c>
      <c r="AB317" s="54">
        <f ca="1">H317*MCDA_Prioritisation!$D$5+I317*MCDA_Prioritisation!$E$5+J317*P317+K317*T317+L317*X317</f>
        <v>73.306489762111894</v>
      </c>
      <c r="AC317" s="54">
        <f t="shared" ca="1" si="62"/>
        <v>1</v>
      </c>
      <c r="AD317" s="54">
        <f t="shared" ca="1" si="63"/>
        <v>2</v>
      </c>
      <c r="AE317" s="54">
        <f t="shared" ca="1" si="64"/>
        <v>3</v>
      </c>
      <c r="AF317" s="54">
        <f t="shared" ca="1" si="65"/>
        <v>4</v>
      </c>
      <c r="AG317" s="54">
        <f t="shared" ca="1" si="66"/>
        <v>1</v>
      </c>
      <c r="AH317" s="54">
        <f t="shared" ca="1" si="67"/>
        <v>1</v>
      </c>
      <c r="AI317" s="54">
        <f t="shared" ca="1" si="68"/>
        <v>1</v>
      </c>
      <c r="AJ317" s="54">
        <f t="shared" ca="1" si="69"/>
        <v>1</v>
      </c>
    </row>
    <row r="318" spans="1:36" x14ac:dyDescent="0.2">
      <c r="A318" s="54">
        <v>295</v>
      </c>
      <c r="B318" s="54">
        <f ca="1">MAX(0.02,MCDA_Prioritisation!$B$9+(RAND()-0.5)*2*$B$6)</f>
        <v>0.16532561945485205</v>
      </c>
      <c r="C318" s="54">
        <f ca="1">MAX(0.02,MCDA_Prioritisation!$B$10+(RAND()-0.5)*2*$B$6)</f>
        <v>0.17981202155215945</v>
      </c>
      <c r="D318" s="54">
        <f ca="1">MAX(0.02,MCDA_Prioritisation!$B$11+(RAND()-0.5)*2*$B$6)</f>
        <v>0.31683761109518349</v>
      </c>
      <c r="E318" s="54">
        <f ca="1">MAX(0.02,MCDA_Prioritisation!$B$12+(RAND()-0.5)*2*$B$6)</f>
        <v>0.21162082619675254</v>
      </c>
      <c r="F318" s="54">
        <f ca="1">MAX(0.02,MCDA_Prioritisation!$B$13+(RAND()-0.5)*2*$B$6)</f>
        <v>0.15974612435948382</v>
      </c>
      <c r="G318" s="54">
        <f t="shared" ca="1" si="56"/>
        <v>1.0333422026584314</v>
      </c>
      <c r="H318" s="54">
        <f t="shared" ca="1" si="57"/>
        <v>0.15999116171731545</v>
      </c>
      <c r="I318" s="54">
        <f t="shared" ca="1" si="58"/>
        <v>0.1740101401932152</v>
      </c>
      <c r="J318" s="54">
        <f t="shared" ca="1" si="59"/>
        <v>0.30661441125705513</v>
      </c>
      <c r="K318" s="54">
        <f t="shared" ca="1" si="60"/>
        <v>0.20479259015292853</v>
      </c>
      <c r="L318" s="54">
        <f t="shared" ca="1" si="61"/>
        <v>0.15459169667948566</v>
      </c>
      <c r="M318" s="54">
        <f ca="1">MIN(100,MAX(0,MCDA_Prioritisation!$F$2+(RAND()-0.5)*2*$B$7))</f>
        <v>76.546930662286556</v>
      </c>
      <c r="N318" s="54">
        <f ca="1">MIN(100,MAX(0,MCDA_Prioritisation!$F$3+(RAND()-0.5)*2*$B$7))</f>
        <v>100</v>
      </c>
      <c r="O318" s="54">
        <f ca="1">MIN(100,MAX(0,MCDA_Prioritisation!$F$4+(RAND()-0.5)*2*$B$7))</f>
        <v>86.575645581007024</v>
      </c>
      <c r="P318" s="54">
        <f ca="1">MIN(100,MAX(0,MCDA_Prioritisation!$F$5+(RAND()-0.5)*2*$B$7))</f>
        <v>77.806452098387382</v>
      </c>
      <c r="Q318" s="54">
        <f ca="1">MIN(100,MAX(0,MCDA_Prioritisation!$G$2+(RAND()-0.5)*2*$B$7))</f>
        <v>79.369102959804493</v>
      </c>
      <c r="R318" s="54">
        <f ca="1">MIN(100,MAX(0,MCDA_Prioritisation!$G$3+(RAND()-0.5)*2*$B$7))</f>
        <v>87.705984532896807</v>
      </c>
      <c r="S318" s="54">
        <f ca="1">MIN(100,MAX(0,MCDA_Prioritisation!$G$4+(RAND()-0.5)*2*$B$7))</f>
        <v>80.995714180224212</v>
      </c>
      <c r="T318" s="54">
        <f ca="1">MIN(100,MAX(0,MCDA_Prioritisation!$G$5+(RAND()-0.5)*2*$B$7))</f>
        <v>78.054160020828363</v>
      </c>
      <c r="U318" s="54">
        <f ca="1">MIN(100,MAX(0,MCDA_Prioritisation!$H$2+(RAND()-0.5)*2*$B$7))</f>
        <v>73.237823923244378</v>
      </c>
      <c r="V318" s="54">
        <f ca="1">MIN(100,MAX(0,MCDA_Prioritisation!$H$3+(RAND()-0.5)*2*$B$7))</f>
        <v>67.657731411820649</v>
      </c>
      <c r="W318" s="54">
        <f ca="1">MIN(100,MAX(0,MCDA_Prioritisation!$H$4+(RAND()-0.5)*2*$B$7))</f>
        <v>87.297999279748254</v>
      </c>
      <c r="X318" s="54">
        <f ca="1">MIN(100,MAX(0,MCDA_Prioritisation!$H$5+(RAND()-0.5)*2*$B$7))</f>
        <v>73.557196964184286</v>
      </c>
      <c r="Y318" s="54">
        <f ca="1">H318*MCDA_Prioritisation!$D$2+I318*MCDA_Prioritisation!$E$2+J318*M318+K318*Q318+L318*U318</f>
        <v>84.44668590426528</v>
      </c>
      <c r="Z318" s="54">
        <f ca="1">H318*MCDA_Prioritisation!$D$3+I318*MCDA_Prioritisation!$E$3+J318*N318+K318*R318+L318*V318</f>
        <v>85.720305129312436</v>
      </c>
      <c r="AA318" s="54">
        <f ca="1">H318*MCDA_Prioritisation!$D$4+I318*MCDA_Prioritisation!$E$4+J318*O318+K318*S318+L318*W318</f>
        <v>77.260514692865783</v>
      </c>
      <c r="AB318" s="54">
        <f ca="1">H318*MCDA_Prioritisation!$D$5+I318*MCDA_Prioritisation!$E$5+J318*P318+K318*T318+L318*X318</f>
        <v>74.337169138365041</v>
      </c>
      <c r="AC318" s="54">
        <f t="shared" ca="1" si="62"/>
        <v>2</v>
      </c>
      <c r="AD318" s="54">
        <f t="shared" ca="1" si="63"/>
        <v>1</v>
      </c>
      <c r="AE318" s="54">
        <f t="shared" ca="1" si="64"/>
        <v>3</v>
      </c>
      <c r="AF318" s="54">
        <f t="shared" ca="1" si="65"/>
        <v>4</v>
      </c>
      <c r="AG318" s="54">
        <f t="shared" ca="1" si="66"/>
        <v>0</v>
      </c>
      <c r="AH318" s="54">
        <f t="shared" ca="1" si="67"/>
        <v>0</v>
      </c>
      <c r="AI318" s="54">
        <f t="shared" ca="1" si="68"/>
        <v>0</v>
      </c>
      <c r="AJ318" s="54">
        <f t="shared" ca="1" si="69"/>
        <v>1</v>
      </c>
    </row>
    <row r="319" spans="1:36" x14ac:dyDescent="0.2">
      <c r="A319" s="54">
        <v>296</v>
      </c>
      <c r="B319" s="54">
        <f ca="1">MAX(0.02,MCDA_Prioritisation!$B$9+(RAND()-0.5)*2*$B$6)</f>
        <v>0.24875746109902941</v>
      </c>
      <c r="C319" s="54">
        <f ca="1">MAX(0.02,MCDA_Prioritisation!$B$10+(RAND()-0.5)*2*$B$6)</f>
        <v>0.30477764896231796</v>
      </c>
      <c r="D319" s="54">
        <f ca="1">MAX(0.02,MCDA_Prioritisation!$B$11+(RAND()-0.5)*2*$B$6)</f>
        <v>0.24644252129555197</v>
      </c>
      <c r="E319" s="54">
        <f ca="1">MAX(0.02,MCDA_Prioritisation!$B$12+(RAND()-0.5)*2*$B$6)</f>
        <v>8.4281934387449534E-2</v>
      </c>
      <c r="F319" s="54">
        <f ca="1">MAX(0.02,MCDA_Prioritisation!$B$13+(RAND()-0.5)*2*$B$6)</f>
        <v>0.14626833091794439</v>
      </c>
      <c r="G319" s="54">
        <f t="shared" ca="1" si="56"/>
        <v>1.0305278966622933</v>
      </c>
      <c r="H319" s="54">
        <f t="shared" ca="1" si="57"/>
        <v>0.24138838153213807</v>
      </c>
      <c r="I319" s="54">
        <f t="shared" ca="1" si="58"/>
        <v>0.29574905245111904</v>
      </c>
      <c r="J319" s="54">
        <f t="shared" ca="1" si="59"/>
        <v>0.23914201846814423</v>
      </c>
      <c r="K319" s="54">
        <f t="shared" ca="1" si="60"/>
        <v>8.1785204127345371E-2</v>
      </c>
      <c r="L319" s="54">
        <f t="shared" ca="1" si="61"/>
        <v>0.14193534342125327</v>
      </c>
      <c r="M319" s="54">
        <f ca="1">MIN(100,MAX(0,MCDA_Prioritisation!$F$2+(RAND()-0.5)*2*$B$7))</f>
        <v>84.419377843587526</v>
      </c>
      <c r="N319" s="54">
        <f ca="1">MIN(100,MAX(0,MCDA_Prioritisation!$F$3+(RAND()-0.5)*2*$B$7))</f>
        <v>85.142549785006167</v>
      </c>
      <c r="O319" s="54">
        <f ca="1">MIN(100,MAX(0,MCDA_Prioritisation!$F$4+(RAND()-0.5)*2*$B$7))</f>
        <v>96.652917618969965</v>
      </c>
      <c r="P319" s="54">
        <f ca="1">MIN(100,MAX(0,MCDA_Prioritisation!$F$5+(RAND()-0.5)*2*$B$7))</f>
        <v>76.806899308989941</v>
      </c>
      <c r="Q319" s="54">
        <f ca="1">MIN(100,MAX(0,MCDA_Prioritisation!$G$2+(RAND()-0.5)*2*$B$7))</f>
        <v>78.837904598636499</v>
      </c>
      <c r="R319" s="54">
        <f ca="1">MIN(100,MAX(0,MCDA_Prioritisation!$G$3+(RAND()-0.5)*2*$B$7))</f>
        <v>98.66578813249528</v>
      </c>
      <c r="S319" s="54">
        <f ca="1">MIN(100,MAX(0,MCDA_Prioritisation!$G$4+(RAND()-0.5)*2*$B$7))</f>
        <v>84.383153033996336</v>
      </c>
      <c r="T319" s="54">
        <f ca="1">MIN(100,MAX(0,MCDA_Prioritisation!$G$5+(RAND()-0.5)*2*$B$7))</f>
        <v>77.549152651355328</v>
      </c>
      <c r="U319" s="54">
        <f ca="1">MIN(100,MAX(0,MCDA_Prioritisation!$H$2+(RAND()-0.5)*2*$B$7))</f>
        <v>66.426304126687398</v>
      </c>
      <c r="V319" s="54">
        <f ca="1">MIN(100,MAX(0,MCDA_Prioritisation!$H$3+(RAND()-0.5)*2*$B$7))</f>
        <v>61.435566200929934</v>
      </c>
      <c r="W319" s="54">
        <f ca="1">MIN(100,MAX(0,MCDA_Prioritisation!$H$4+(RAND()-0.5)*2*$B$7))</f>
        <v>72.974736858151871</v>
      </c>
      <c r="X319" s="54">
        <f ca="1">MIN(100,MAX(0,MCDA_Prioritisation!$H$5+(RAND()-0.5)*2*$B$7))</f>
        <v>78.175162457647488</v>
      </c>
      <c r="Y319" s="54">
        <f ca="1">H319*MCDA_Prioritisation!$D$2+I319*MCDA_Prioritisation!$E$2+J319*M319+K319*Q319+L319*U319</f>
        <v>89.777978222663819</v>
      </c>
      <c r="Z319" s="54">
        <f ca="1">H319*MCDA_Prioritisation!$D$3+I319*MCDA_Prioritisation!$E$3+J319*N319+K319*R319+L319*V319</f>
        <v>79.756044599349579</v>
      </c>
      <c r="AA319" s="54">
        <f ca="1">H319*MCDA_Prioritisation!$D$4+I319*MCDA_Prioritisation!$E$4+J319*O319+K319*S319+L319*W319</f>
        <v>73.313395904413198</v>
      </c>
      <c r="AB319" s="54">
        <f ca="1">H319*MCDA_Prioritisation!$D$5+I319*MCDA_Prioritisation!$E$5+J319*P319+K319*T319+L319*X319</f>
        <v>73.487658568825708</v>
      </c>
      <c r="AC319" s="54">
        <f t="shared" ca="1" si="62"/>
        <v>1</v>
      </c>
      <c r="AD319" s="54">
        <f t="shared" ca="1" si="63"/>
        <v>2</v>
      </c>
      <c r="AE319" s="54">
        <f t="shared" ca="1" si="64"/>
        <v>4</v>
      </c>
      <c r="AF319" s="54">
        <f t="shared" ca="1" si="65"/>
        <v>3</v>
      </c>
      <c r="AG319" s="54">
        <f t="shared" ca="1" si="66"/>
        <v>1</v>
      </c>
      <c r="AH319" s="54">
        <f t="shared" ca="1" si="67"/>
        <v>1</v>
      </c>
      <c r="AI319" s="54">
        <f t="shared" ca="1" si="68"/>
        <v>0</v>
      </c>
      <c r="AJ319" s="54">
        <f t="shared" ca="1" si="69"/>
        <v>1</v>
      </c>
    </row>
    <row r="320" spans="1:36" x14ac:dyDescent="0.2">
      <c r="A320" s="54">
        <v>297</v>
      </c>
      <c r="B320" s="54">
        <f ca="1">MAX(0.02,MCDA_Prioritisation!$B$9+(RAND()-0.5)*2*$B$6)</f>
        <v>0.25941212042697304</v>
      </c>
      <c r="C320" s="54">
        <f ca="1">MAX(0.02,MCDA_Prioritisation!$B$10+(RAND()-0.5)*2*$B$6)</f>
        <v>0.29677580712904139</v>
      </c>
      <c r="D320" s="54">
        <f ca="1">MAX(0.02,MCDA_Prioritisation!$B$11+(RAND()-0.5)*2*$B$6)</f>
        <v>0.27206488178538735</v>
      </c>
      <c r="E320" s="54">
        <f ca="1">MAX(0.02,MCDA_Prioritisation!$B$12+(RAND()-0.5)*2*$B$6)</f>
        <v>0.21034094259534053</v>
      </c>
      <c r="F320" s="54">
        <f ca="1">MAX(0.02,MCDA_Prioritisation!$B$13+(RAND()-0.5)*2*$B$6)</f>
        <v>0.12232932639614899</v>
      </c>
      <c r="G320" s="54">
        <f t="shared" ca="1" si="56"/>
        <v>1.1609230783328912</v>
      </c>
      <c r="H320" s="54">
        <f t="shared" ca="1" si="57"/>
        <v>0.22345332371158821</v>
      </c>
      <c r="I320" s="54">
        <f t="shared" ca="1" si="58"/>
        <v>0.25563778743654353</v>
      </c>
      <c r="J320" s="54">
        <f t="shared" ca="1" si="59"/>
        <v>0.23435220374469423</v>
      </c>
      <c r="K320" s="54">
        <f t="shared" ca="1" si="60"/>
        <v>0.18118422014436505</v>
      </c>
      <c r="L320" s="54">
        <f t="shared" ca="1" si="61"/>
        <v>0.10537246496280904</v>
      </c>
      <c r="M320" s="54">
        <f ca="1">MIN(100,MAX(0,MCDA_Prioritisation!$F$2+(RAND()-0.5)*2*$B$7))</f>
        <v>88.374460769159128</v>
      </c>
      <c r="N320" s="54">
        <f ca="1">MIN(100,MAX(0,MCDA_Prioritisation!$F$3+(RAND()-0.5)*2*$B$7))</f>
        <v>86.899695042906117</v>
      </c>
      <c r="O320" s="54">
        <f ca="1">MIN(100,MAX(0,MCDA_Prioritisation!$F$4+(RAND()-0.5)*2*$B$7))</f>
        <v>91.339769060103492</v>
      </c>
      <c r="P320" s="54">
        <f ca="1">MIN(100,MAX(0,MCDA_Prioritisation!$F$5+(RAND()-0.5)*2*$B$7))</f>
        <v>71.24235859881739</v>
      </c>
      <c r="Q320" s="54">
        <f ca="1">MIN(100,MAX(0,MCDA_Prioritisation!$G$2+(RAND()-0.5)*2*$B$7))</f>
        <v>81.044345005574812</v>
      </c>
      <c r="R320" s="54">
        <f ca="1">MIN(100,MAX(0,MCDA_Prioritisation!$G$3+(RAND()-0.5)*2*$B$7))</f>
        <v>96.742317161212981</v>
      </c>
      <c r="S320" s="54">
        <f ca="1">MIN(100,MAX(0,MCDA_Prioritisation!$G$4+(RAND()-0.5)*2*$B$7))</f>
        <v>93.966619836847386</v>
      </c>
      <c r="T320" s="54">
        <f ca="1">MIN(100,MAX(0,MCDA_Prioritisation!$G$5+(RAND()-0.5)*2*$B$7))</f>
        <v>75.021405437118844</v>
      </c>
      <c r="U320" s="54">
        <f ca="1">MIN(100,MAX(0,MCDA_Prioritisation!$H$2+(RAND()-0.5)*2*$B$7))</f>
        <v>68.619000398104603</v>
      </c>
      <c r="V320" s="54">
        <f ca="1">MIN(100,MAX(0,MCDA_Prioritisation!$H$3+(RAND()-0.5)*2*$B$7))</f>
        <v>52.023636382845197</v>
      </c>
      <c r="W320" s="54">
        <f ca="1">MIN(100,MAX(0,MCDA_Prioritisation!$H$4+(RAND()-0.5)*2*$B$7))</f>
        <v>76.724677465360799</v>
      </c>
      <c r="X320" s="54">
        <f ca="1">MIN(100,MAX(0,MCDA_Prioritisation!$H$5+(RAND()-0.5)*2*$B$7))</f>
        <v>75.751678123058994</v>
      </c>
      <c r="Y320" s="54">
        <f ca="1">H320*MCDA_Prioritisation!$D$2+I320*MCDA_Prioritisation!$E$2+J320*M320+K320*Q320+L320*U320</f>
        <v>90.534370412992843</v>
      </c>
      <c r="Z320" s="54">
        <f ca="1">H320*MCDA_Prioritisation!$D$3+I320*MCDA_Prioritisation!$E$3+J320*N320+K320*R320+L320*V320</f>
        <v>81.496128430667014</v>
      </c>
      <c r="AA320" s="54">
        <f ca="1">H320*MCDA_Prioritisation!$D$4+I320*MCDA_Prioritisation!$E$4+J320*O320+K320*S320+L320*W320</f>
        <v>76.019468476660634</v>
      </c>
      <c r="AB320" s="54">
        <f ca="1">H320*MCDA_Prioritisation!$D$5+I320*MCDA_Prioritisation!$E$5+J320*P320+K320*T320+L320*X320</f>
        <v>71.627437557925461</v>
      </c>
      <c r="AC320" s="54">
        <f t="shared" ca="1" si="62"/>
        <v>1</v>
      </c>
      <c r="AD320" s="54">
        <f t="shared" ca="1" si="63"/>
        <v>2</v>
      </c>
      <c r="AE320" s="54">
        <f t="shared" ca="1" si="64"/>
        <v>3</v>
      </c>
      <c r="AF320" s="54">
        <f t="shared" ca="1" si="65"/>
        <v>4</v>
      </c>
      <c r="AG320" s="54">
        <f t="shared" ca="1" si="66"/>
        <v>1</v>
      </c>
      <c r="AH320" s="54">
        <f t="shared" ca="1" si="67"/>
        <v>1</v>
      </c>
      <c r="AI320" s="54">
        <f t="shared" ca="1" si="68"/>
        <v>1</v>
      </c>
      <c r="AJ320" s="54">
        <f t="shared" ca="1" si="69"/>
        <v>1</v>
      </c>
    </row>
    <row r="321" spans="1:36" x14ac:dyDescent="0.2">
      <c r="A321" s="54">
        <v>298</v>
      </c>
      <c r="B321" s="54">
        <f ca="1">MAX(0.02,MCDA_Prioritisation!$B$9+(RAND()-0.5)*2*$B$6)</f>
        <v>0.12237064026980261</v>
      </c>
      <c r="C321" s="54">
        <f ca="1">MAX(0.02,MCDA_Prioritisation!$B$10+(RAND()-0.5)*2*$B$6)</f>
        <v>0.32201744809681732</v>
      </c>
      <c r="D321" s="54">
        <f ca="1">MAX(0.02,MCDA_Prioritisation!$B$11+(RAND()-0.5)*2*$B$6)</f>
        <v>0.17393019132797988</v>
      </c>
      <c r="E321" s="54">
        <f ca="1">MAX(0.02,MCDA_Prioritisation!$B$12+(RAND()-0.5)*2*$B$6)</f>
        <v>0.22603791503628018</v>
      </c>
      <c r="F321" s="54">
        <f ca="1">MAX(0.02,MCDA_Prioritisation!$B$13+(RAND()-0.5)*2*$B$6)</f>
        <v>0.11346127322809189</v>
      </c>
      <c r="G321" s="54">
        <f t="shared" ca="1" si="56"/>
        <v>0.95781746795897182</v>
      </c>
      <c r="H321" s="54">
        <f t="shared" ca="1" si="57"/>
        <v>0.12775987530334368</v>
      </c>
      <c r="I321" s="54">
        <f t="shared" ca="1" si="58"/>
        <v>0.33619918081365679</v>
      </c>
      <c r="J321" s="54">
        <f t="shared" ca="1" si="59"/>
        <v>0.18159012248817138</v>
      </c>
      <c r="K321" s="54">
        <f t="shared" ca="1" si="60"/>
        <v>0.23599268399014262</v>
      </c>
      <c r="L321" s="54">
        <f t="shared" ca="1" si="61"/>
        <v>0.11845813740468555</v>
      </c>
      <c r="M321" s="54">
        <f ca="1">MIN(100,MAX(0,MCDA_Prioritisation!$F$2+(RAND()-0.5)*2*$B$7))</f>
        <v>81.721543357166524</v>
      </c>
      <c r="N321" s="54">
        <f ca="1">MIN(100,MAX(0,MCDA_Prioritisation!$F$3+(RAND()-0.5)*2*$B$7))</f>
        <v>86.658810480638849</v>
      </c>
      <c r="O321" s="54">
        <f ca="1">MIN(100,MAX(0,MCDA_Prioritisation!$F$4+(RAND()-0.5)*2*$B$7))</f>
        <v>98.62106834468419</v>
      </c>
      <c r="P321" s="54">
        <f ca="1">MIN(100,MAX(0,MCDA_Prioritisation!$F$5+(RAND()-0.5)*2*$B$7))</f>
        <v>69.684565892259954</v>
      </c>
      <c r="Q321" s="54">
        <f ca="1">MIN(100,MAX(0,MCDA_Prioritisation!$G$2+(RAND()-0.5)*2*$B$7))</f>
        <v>82.80102600471163</v>
      </c>
      <c r="R321" s="54">
        <f ca="1">MIN(100,MAX(0,MCDA_Prioritisation!$G$3+(RAND()-0.5)*2*$B$7))</f>
        <v>95.584203119758669</v>
      </c>
      <c r="S321" s="54">
        <f ca="1">MIN(100,MAX(0,MCDA_Prioritisation!$G$4+(RAND()-0.5)*2*$B$7))</f>
        <v>78.029334231930747</v>
      </c>
      <c r="T321" s="54">
        <f ca="1">MIN(100,MAX(0,MCDA_Prioritisation!$G$5+(RAND()-0.5)*2*$B$7))</f>
        <v>76.297341475928263</v>
      </c>
      <c r="U321" s="54">
        <f ca="1">MIN(100,MAX(0,MCDA_Prioritisation!$H$2+(RAND()-0.5)*2*$B$7))</f>
        <v>72.520139329540626</v>
      </c>
      <c r="V321" s="54">
        <f ca="1">MIN(100,MAX(0,MCDA_Prioritisation!$H$3+(RAND()-0.5)*2*$B$7))</f>
        <v>68.660325413970085</v>
      </c>
      <c r="W321" s="54">
        <f ca="1">MIN(100,MAX(0,MCDA_Prioritisation!$H$4+(RAND()-0.5)*2*$B$7))</f>
        <v>80.107809804162514</v>
      </c>
      <c r="X321" s="54">
        <f ca="1">MIN(100,MAX(0,MCDA_Prioritisation!$H$5+(RAND()-0.5)*2*$B$7))</f>
        <v>78.815935221578343</v>
      </c>
      <c r="Y321" s="54">
        <f ca="1">H321*MCDA_Prioritisation!$D$2+I321*MCDA_Prioritisation!$E$2+J321*M321+K321*Q321+L321*U321</f>
        <v>89.366767673145489</v>
      </c>
      <c r="Z321" s="54">
        <f ca="1">H321*MCDA_Prioritisation!$D$3+I321*MCDA_Prioritisation!$E$3+J321*N321+K321*R321+L321*V321</f>
        <v>82.043589712765979</v>
      </c>
      <c r="AA321" s="54">
        <f ca="1">H321*MCDA_Prioritisation!$D$4+I321*MCDA_Prioritisation!$E$4+J321*O321+K321*S321+L321*W321</f>
        <v>73.046969639087393</v>
      </c>
      <c r="AB321" s="54">
        <f ca="1">H321*MCDA_Prioritisation!$D$5+I321*MCDA_Prioritisation!$E$5+J321*P321+K321*T321+L321*X321</f>
        <v>75.048295951775685</v>
      </c>
      <c r="AC321" s="54">
        <f t="shared" ca="1" si="62"/>
        <v>1</v>
      </c>
      <c r="AD321" s="54">
        <f t="shared" ca="1" si="63"/>
        <v>2</v>
      </c>
      <c r="AE321" s="54">
        <f t="shared" ca="1" si="64"/>
        <v>4</v>
      </c>
      <c r="AF321" s="54">
        <f t="shared" ca="1" si="65"/>
        <v>3</v>
      </c>
      <c r="AG321" s="54">
        <f t="shared" ca="1" si="66"/>
        <v>1</v>
      </c>
      <c r="AH321" s="54">
        <f t="shared" ca="1" si="67"/>
        <v>1</v>
      </c>
      <c r="AI321" s="54">
        <f t="shared" ca="1" si="68"/>
        <v>0</v>
      </c>
      <c r="AJ321" s="54">
        <f t="shared" ca="1" si="69"/>
        <v>1</v>
      </c>
    </row>
    <row r="322" spans="1:36" x14ac:dyDescent="0.2">
      <c r="A322" s="54">
        <v>299</v>
      </c>
      <c r="B322" s="54">
        <f ca="1">MAX(0.02,MCDA_Prioritisation!$B$9+(RAND()-0.5)*2*$B$6)</f>
        <v>0.25589118580860631</v>
      </c>
      <c r="C322" s="54">
        <f ca="1">MAX(0.02,MCDA_Prioritisation!$B$10+(RAND()-0.5)*2*$B$6)</f>
        <v>0.30088406300265508</v>
      </c>
      <c r="D322" s="54">
        <f ca="1">MAX(0.02,MCDA_Prioritisation!$B$11+(RAND()-0.5)*2*$B$6)</f>
        <v>0.21296111731885609</v>
      </c>
      <c r="E322" s="54">
        <f ca="1">MAX(0.02,MCDA_Prioritisation!$B$12+(RAND()-0.5)*2*$B$6)</f>
        <v>0.1366303667205746</v>
      </c>
      <c r="F322" s="54">
        <f ca="1">MAX(0.02,MCDA_Prioritisation!$B$13+(RAND()-0.5)*2*$B$6)</f>
        <v>0.1173377115154489</v>
      </c>
      <c r="G322" s="54">
        <f t="shared" ca="1" si="56"/>
        <v>1.0237044443661409</v>
      </c>
      <c r="H322" s="54">
        <f t="shared" ca="1" si="57"/>
        <v>0.24996588343137405</v>
      </c>
      <c r="I322" s="54">
        <f t="shared" ca="1" si="58"/>
        <v>0.29391692559169946</v>
      </c>
      <c r="J322" s="54">
        <f t="shared" ca="1" si="59"/>
        <v>0.20802988449534154</v>
      </c>
      <c r="K322" s="54">
        <f t="shared" ca="1" si="60"/>
        <v>0.13346661477588254</v>
      </c>
      <c r="L322" s="54">
        <f t="shared" ca="1" si="61"/>
        <v>0.11462069170570248</v>
      </c>
      <c r="M322" s="54">
        <f ca="1">MIN(100,MAX(0,MCDA_Prioritisation!$F$2+(RAND()-0.5)*2*$B$7))</f>
        <v>77.309483651984038</v>
      </c>
      <c r="N322" s="54">
        <f ca="1">MIN(100,MAX(0,MCDA_Prioritisation!$F$3+(RAND()-0.5)*2*$B$7))</f>
        <v>90.106989248215555</v>
      </c>
      <c r="O322" s="54">
        <f ca="1">MIN(100,MAX(0,MCDA_Prioritisation!$F$4+(RAND()-0.5)*2*$B$7))</f>
        <v>82.535084030854321</v>
      </c>
      <c r="P322" s="54">
        <f ca="1">MIN(100,MAX(0,MCDA_Prioritisation!$F$5+(RAND()-0.5)*2*$B$7))</f>
        <v>76.357138442070152</v>
      </c>
      <c r="Q322" s="54">
        <f ca="1">MIN(100,MAX(0,MCDA_Prioritisation!$G$2+(RAND()-0.5)*2*$B$7))</f>
        <v>87.835470129724868</v>
      </c>
      <c r="R322" s="54">
        <f ca="1">MIN(100,MAX(0,MCDA_Prioritisation!$G$3+(RAND()-0.5)*2*$B$7))</f>
        <v>95.472127430694925</v>
      </c>
      <c r="S322" s="54">
        <f ca="1">MIN(100,MAX(0,MCDA_Prioritisation!$G$4+(RAND()-0.5)*2*$B$7))</f>
        <v>92.707919970623749</v>
      </c>
      <c r="T322" s="54">
        <f ca="1">MIN(100,MAX(0,MCDA_Prioritisation!$G$5+(RAND()-0.5)*2*$B$7))</f>
        <v>75.001471455233514</v>
      </c>
      <c r="U322" s="54">
        <f ca="1">MIN(100,MAX(0,MCDA_Prioritisation!$H$2+(RAND()-0.5)*2*$B$7))</f>
        <v>56.664960535512698</v>
      </c>
      <c r="V322" s="54">
        <f ca="1">MIN(100,MAX(0,MCDA_Prioritisation!$H$3+(RAND()-0.5)*2*$B$7))</f>
        <v>65.53302699943292</v>
      </c>
      <c r="W322" s="54">
        <f ca="1">MIN(100,MAX(0,MCDA_Prioritisation!$H$4+(RAND()-0.5)*2*$B$7))</f>
        <v>80.89408387987676</v>
      </c>
      <c r="X322" s="54">
        <f ca="1">MIN(100,MAX(0,MCDA_Prioritisation!$H$5+(RAND()-0.5)*2*$B$7))</f>
        <v>70.136978009764505</v>
      </c>
      <c r="Y322" s="54">
        <f ca="1">H322*MCDA_Prioritisation!$D$2+I322*MCDA_Prioritisation!$E$2+J322*M322+K322*Q322+L322*U322</f>
        <v>88.689043684343417</v>
      </c>
      <c r="Z322" s="54">
        <f ca="1">H322*MCDA_Prioritisation!$D$3+I322*MCDA_Prioritisation!$E$3+J322*N322+K322*R322+L322*V322</f>
        <v>82.220733644791835</v>
      </c>
      <c r="AA322" s="54">
        <f ca="1">H322*MCDA_Prioritisation!$D$4+I322*MCDA_Prioritisation!$E$4+J322*O322+K322*S322+L322*W322</f>
        <v>72.253299065923727</v>
      </c>
      <c r="AB322" s="54">
        <f ca="1">H322*MCDA_Prioritisation!$D$5+I322*MCDA_Prioritisation!$E$5+J322*P322+K322*T322+L322*X322</f>
        <v>71.916811280899651</v>
      </c>
      <c r="AC322" s="54">
        <f t="shared" ca="1" si="62"/>
        <v>1</v>
      </c>
      <c r="AD322" s="54">
        <f t="shared" ca="1" si="63"/>
        <v>2</v>
      </c>
      <c r="AE322" s="54">
        <f t="shared" ca="1" si="64"/>
        <v>3</v>
      </c>
      <c r="AF322" s="54">
        <f t="shared" ca="1" si="65"/>
        <v>4</v>
      </c>
      <c r="AG322" s="54">
        <f t="shared" ca="1" si="66"/>
        <v>1</v>
      </c>
      <c r="AH322" s="54">
        <f t="shared" ca="1" si="67"/>
        <v>1</v>
      </c>
      <c r="AI322" s="54">
        <f t="shared" ca="1" si="68"/>
        <v>1</v>
      </c>
      <c r="AJ322" s="54">
        <f t="shared" ca="1" si="69"/>
        <v>1</v>
      </c>
    </row>
    <row r="323" spans="1:36" x14ac:dyDescent="0.2">
      <c r="A323" s="54">
        <v>300</v>
      </c>
      <c r="B323" s="54">
        <f ca="1">MAX(0.02,MCDA_Prioritisation!$B$9+(RAND()-0.5)*2*$B$6)</f>
        <v>0.19959428419537578</v>
      </c>
      <c r="C323" s="54">
        <f ca="1">MAX(0.02,MCDA_Prioritisation!$B$10+(RAND()-0.5)*2*$B$6)</f>
        <v>0.17621971821107285</v>
      </c>
      <c r="D323" s="54">
        <f ca="1">MAX(0.02,MCDA_Prioritisation!$B$11+(RAND()-0.5)*2*$B$6)</f>
        <v>0.26103607481741964</v>
      </c>
      <c r="E323" s="54">
        <f ca="1">MAX(0.02,MCDA_Prioritisation!$B$12+(RAND()-0.5)*2*$B$6)</f>
        <v>0.2063050238140563</v>
      </c>
      <c r="F323" s="54">
        <f ca="1">MAX(0.02,MCDA_Prioritisation!$B$13+(RAND()-0.5)*2*$B$6)</f>
        <v>8.2656316466731064E-2</v>
      </c>
      <c r="G323" s="54">
        <f t="shared" ca="1" si="56"/>
        <v>0.92581141750465568</v>
      </c>
      <c r="H323" s="54">
        <f t="shared" ca="1" si="57"/>
        <v>0.21558848856427293</v>
      </c>
      <c r="I323" s="54">
        <f t="shared" ca="1" si="58"/>
        <v>0.19034083494675275</v>
      </c>
      <c r="J323" s="54">
        <f t="shared" ca="1" si="59"/>
        <v>0.28195382977776567</v>
      </c>
      <c r="K323" s="54">
        <f t="shared" ca="1" si="60"/>
        <v>0.22283698376728955</v>
      </c>
      <c r="L323" s="54">
        <f t="shared" ca="1" si="61"/>
        <v>8.9279862943919042E-2</v>
      </c>
      <c r="M323" s="54">
        <f ca="1">MIN(100,MAX(0,MCDA_Prioritisation!$F$2+(RAND()-0.5)*2*$B$7))</f>
        <v>78.350121537667931</v>
      </c>
      <c r="N323" s="54">
        <f ca="1">MIN(100,MAX(0,MCDA_Prioritisation!$F$3+(RAND()-0.5)*2*$B$7))</f>
        <v>98.309960605783289</v>
      </c>
      <c r="O323" s="54">
        <f ca="1">MIN(100,MAX(0,MCDA_Prioritisation!$F$4+(RAND()-0.5)*2*$B$7))</f>
        <v>89.602953677736409</v>
      </c>
      <c r="P323" s="54">
        <f ca="1">MIN(100,MAX(0,MCDA_Prioritisation!$F$5+(RAND()-0.5)*2*$B$7))</f>
        <v>79.441586581939546</v>
      </c>
      <c r="Q323" s="54">
        <f ca="1">MIN(100,MAX(0,MCDA_Prioritisation!$G$2+(RAND()-0.5)*2*$B$7))</f>
        <v>71.23890989959061</v>
      </c>
      <c r="R323" s="54">
        <f ca="1">MIN(100,MAX(0,MCDA_Prioritisation!$G$3+(RAND()-0.5)*2*$B$7))</f>
        <v>86.564356029742385</v>
      </c>
      <c r="S323" s="54">
        <f ca="1">MIN(100,MAX(0,MCDA_Prioritisation!$G$4+(RAND()-0.5)*2*$B$7))</f>
        <v>85.919664369779156</v>
      </c>
      <c r="T323" s="54">
        <f ca="1">MIN(100,MAX(0,MCDA_Prioritisation!$G$5+(RAND()-0.5)*2*$B$7))</f>
        <v>62.056615169525315</v>
      </c>
      <c r="U323" s="54">
        <f ca="1">MIN(100,MAX(0,MCDA_Prioritisation!$H$2+(RAND()-0.5)*2*$B$7))</f>
        <v>62.62667595412767</v>
      </c>
      <c r="V323" s="54">
        <f ca="1">MIN(100,MAX(0,MCDA_Prioritisation!$H$3+(RAND()-0.5)*2*$B$7))</f>
        <v>63.186016452645063</v>
      </c>
      <c r="W323" s="54">
        <f ca="1">MIN(100,MAX(0,MCDA_Prioritisation!$H$4+(RAND()-0.5)*2*$B$7))</f>
        <v>82.014541862460263</v>
      </c>
      <c r="X323" s="54">
        <f ca="1">MIN(100,MAX(0,MCDA_Prioritisation!$H$5+(RAND()-0.5)*2*$B$7))</f>
        <v>75.25880297670372</v>
      </c>
      <c r="Y323" s="54">
        <f ca="1">H323*MCDA_Prioritisation!$D$2+I323*MCDA_Prioritisation!$E$2+J323*M323+K323*Q323+L323*U323</f>
        <v>84.15001403691366</v>
      </c>
      <c r="Z323" s="54">
        <f ca="1">H323*MCDA_Prioritisation!$D$3+I323*MCDA_Prioritisation!$E$3+J323*N323+K323*R323+L323*V323</f>
        <v>85.334571082048711</v>
      </c>
      <c r="AA323" s="54">
        <f ca="1">H323*MCDA_Prioritisation!$D$4+I323*MCDA_Prioritisation!$E$4+J323*O323+K323*S323+L323*W323</f>
        <v>77.126764205913929</v>
      </c>
      <c r="AB323" s="54">
        <f ca="1">H323*MCDA_Prioritisation!$D$5+I323*MCDA_Prioritisation!$E$5+J323*P323+K323*T323+L323*X323</f>
        <v>70.394948856357715</v>
      </c>
      <c r="AC323" s="54">
        <f t="shared" ca="1" si="62"/>
        <v>2</v>
      </c>
      <c r="AD323" s="54">
        <f t="shared" ca="1" si="63"/>
        <v>1</v>
      </c>
      <c r="AE323" s="54">
        <f t="shared" ca="1" si="64"/>
        <v>3</v>
      </c>
      <c r="AF323" s="54">
        <f t="shared" ca="1" si="65"/>
        <v>4</v>
      </c>
      <c r="AG323" s="54">
        <f t="shared" ca="1" si="66"/>
        <v>0</v>
      </c>
      <c r="AH323" s="54">
        <f t="shared" ca="1" si="67"/>
        <v>0</v>
      </c>
      <c r="AI323" s="54">
        <f t="shared" ca="1" si="68"/>
        <v>0</v>
      </c>
      <c r="AJ323" s="54">
        <f t="shared" ca="1" si="69"/>
        <v>1</v>
      </c>
    </row>
    <row r="324" spans="1:36" x14ac:dyDescent="0.2">
      <c r="A324" s="54">
        <v>301</v>
      </c>
      <c r="B324" s="54">
        <f ca="1">MAX(0.02,MCDA_Prioritisation!$B$9+(RAND()-0.5)*2*$B$6)</f>
        <v>0.21075015121554369</v>
      </c>
      <c r="C324" s="54">
        <f ca="1">MAX(0.02,MCDA_Prioritisation!$B$10+(RAND()-0.5)*2*$B$6)</f>
        <v>0.26828022536675555</v>
      </c>
      <c r="D324" s="54">
        <f ca="1">MAX(0.02,MCDA_Prioritisation!$B$11+(RAND()-0.5)*2*$B$6)</f>
        <v>0.22690690030401056</v>
      </c>
      <c r="E324" s="54">
        <f ca="1">MAX(0.02,MCDA_Prioritisation!$B$12+(RAND()-0.5)*2*$B$6)</f>
        <v>0.22474107113956449</v>
      </c>
      <c r="F324" s="54">
        <f ca="1">MAX(0.02,MCDA_Prioritisation!$B$13+(RAND()-0.5)*2*$B$6)</f>
        <v>0.15883917313776177</v>
      </c>
      <c r="G324" s="54">
        <f t="shared" ca="1" si="56"/>
        <v>1.0895175211636361</v>
      </c>
      <c r="H324" s="54">
        <f t="shared" ca="1" si="57"/>
        <v>0.19343438459847481</v>
      </c>
      <c r="I324" s="54">
        <f t="shared" ca="1" si="58"/>
        <v>0.24623764203463616</v>
      </c>
      <c r="J324" s="54">
        <f t="shared" ca="1" si="59"/>
        <v>0.20826365422895399</v>
      </c>
      <c r="K324" s="54">
        <f t="shared" ca="1" si="60"/>
        <v>0.20627577507843523</v>
      </c>
      <c r="L324" s="54">
        <f t="shared" ca="1" si="61"/>
        <v>0.14578854405949981</v>
      </c>
      <c r="M324" s="54">
        <f ca="1">MIN(100,MAX(0,MCDA_Prioritisation!$F$2+(RAND()-0.5)*2*$B$7))</f>
        <v>89.536727034173609</v>
      </c>
      <c r="N324" s="54">
        <f ca="1">MIN(100,MAX(0,MCDA_Prioritisation!$F$3+(RAND()-0.5)*2*$B$7))</f>
        <v>93.005496984753265</v>
      </c>
      <c r="O324" s="54">
        <f ca="1">MIN(100,MAX(0,MCDA_Prioritisation!$F$4+(RAND()-0.5)*2*$B$7))</f>
        <v>96.326022233251805</v>
      </c>
      <c r="P324" s="54">
        <f ca="1">MIN(100,MAX(0,MCDA_Prioritisation!$F$5+(RAND()-0.5)*2*$B$7))</f>
        <v>78.916024951460273</v>
      </c>
      <c r="Q324" s="54">
        <f ca="1">MIN(100,MAX(0,MCDA_Prioritisation!$G$2+(RAND()-0.5)*2*$B$7))</f>
        <v>86.658955501164144</v>
      </c>
      <c r="R324" s="54">
        <f ca="1">MIN(100,MAX(0,MCDA_Prioritisation!$G$3+(RAND()-0.5)*2*$B$7))</f>
        <v>98.23902459669884</v>
      </c>
      <c r="S324" s="54">
        <f ca="1">MIN(100,MAX(0,MCDA_Prioritisation!$G$4+(RAND()-0.5)*2*$B$7))</f>
        <v>77.92513522212127</v>
      </c>
      <c r="T324" s="54">
        <f ca="1">MIN(100,MAX(0,MCDA_Prioritisation!$G$5+(RAND()-0.5)*2*$B$7))</f>
        <v>69.89910775443208</v>
      </c>
      <c r="U324" s="54">
        <f ca="1">MIN(100,MAX(0,MCDA_Prioritisation!$H$2+(RAND()-0.5)*2*$B$7))</f>
        <v>68.69465479916407</v>
      </c>
      <c r="V324" s="54">
        <f ca="1">MIN(100,MAX(0,MCDA_Prioritisation!$H$3+(RAND()-0.5)*2*$B$7))</f>
        <v>62.978418466346795</v>
      </c>
      <c r="W324" s="54">
        <f ca="1">MIN(100,MAX(0,MCDA_Prioritisation!$H$4+(RAND()-0.5)*2*$B$7))</f>
        <v>71.154170992845977</v>
      </c>
      <c r="X324" s="54">
        <f ca="1">MIN(100,MAX(0,MCDA_Prioritisation!$H$5+(RAND()-0.5)*2*$B$7))</f>
        <v>75.279892674366835</v>
      </c>
      <c r="Y324" s="54">
        <f ca="1">H324*MCDA_Prioritisation!$D$2+I324*MCDA_Prioritisation!$E$2+J324*M324+K324*Q324+L324*U324</f>
        <v>90.504985544478785</v>
      </c>
      <c r="Z324" s="54">
        <f ca="1">H324*MCDA_Prioritisation!$D$3+I324*MCDA_Prioritisation!$E$3+J324*N324+K324*R324+L324*V324</f>
        <v>83.629273508510835</v>
      </c>
      <c r="AA324" s="54">
        <f ca="1">H324*MCDA_Prioritisation!$D$4+I324*MCDA_Prioritisation!$E$4+J324*O324+K324*S324+L324*W324</f>
        <v>73.409517577406376</v>
      </c>
      <c r="AB324" s="54">
        <f ca="1">H324*MCDA_Prioritisation!$D$5+I324*MCDA_Prioritisation!$E$5+J324*P324+K324*T324+L324*X324</f>
        <v>72.801827568701214</v>
      </c>
      <c r="AC324" s="54">
        <f t="shared" ca="1" si="62"/>
        <v>1</v>
      </c>
      <c r="AD324" s="54">
        <f t="shared" ca="1" si="63"/>
        <v>2</v>
      </c>
      <c r="AE324" s="54">
        <f t="shared" ca="1" si="64"/>
        <v>3</v>
      </c>
      <c r="AF324" s="54">
        <f t="shared" ca="1" si="65"/>
        <v>4</v>
      </c>
      <c r="AG324" s="54">
        <f t="shared" ca="1" si="66"/>
        <v>1</v>
      </c>
      <c r="AH324" s="54">
        <f t="shared" ca="1" si="67"/>
        <v>1</v>
      </c>
      <c r="AI324" s="54">
        <f t="shared" ca="1" si="68"/>
        <v>1</v>
      </c>
      <c r="AJ324" s="54">
        <f t="shared" ca="1" si="69"/>
        <v>1</v>
      </c>
    </row>
    <row r="325" spans="1:36" x14ac:dyDescent="0.2">
      <c r="A325" s="54">
        <v>302</v>
      </c>
      <c r="B325" s="54">
        <f ca="1">MAX(0.02,MCDA_Prioritisation!$B$9+(RAND()-0.5)*2*$B$6)</f>
        <v>0.22093362249138773</v>
      </c>
      <c r="C325" s="54">
        <f ca="1">MAX(0.02,MCDA_Prioritisation!$B$10+(RAND()-0.5)*2*$B$6)</f>
        <v>0.24253823801117508</v>
      </c>
      <c r="D325" s="54">
        <f ca="1">MAX(0.02,MCDA_Prioritisation!$B$11+(RAND()-0.5)*2*$B$6)</f>
        <v>0.30802813152733399</v>
      </c>
      <c r="E325" s="54">
        <f ca="1">MAX(0.02,MCDA_Prioritisation!$B$12+(RAND()-0.5)*2*$B$6)</f>
        <v>0.18901596446185406</v>
      </c>
      <c r="F325" s="54">
        <f ca="1">MAX(0.02,MCDA_Prioritisation!$B$13+(RAND()-0.5)*2*$B$6)</f>
        <v>0.12460397553377553</v>
      </c>
      <c r="G325" s="54">
        <f t="shared" ca="1" si="56"/>
        <v>1.0851199320255265</v>
      </c>
      <c r="H325" s="54">
        <f t="shared" ca="1" si="57"/>
        <v>0.20360295297404091</v>
      </c>
      <c r="I325" s="54">
        <f t="shared" ca="1" si="58"/>
        <v>0.22351284024286966</v>
      </c>
      <c r="J325" s="54">
        <f t="shared" ca="1" si="59"/>
        <v>0.28386551793621267</v>
      </c>
      <c r="K325" s="54">
        <f t="shared" ca="1" si="60"/>
        <v>0.17418900794590475</v>
      </c>
      <c r="L325" s="54">
        <f t="shared" ca="1" si="61"/>
        <v>0.11482968090097191</v>
      </c>
      <c r="M325" s="54">
        <f ca="1">MIN(100,MAX(0,MCDA_Prioritisation!$F$2+(RAND()-0.5)*2*$B$7))</f>
        <v>77.374944469841495</v>
      </c>
      <c r="N325" s="54">
        <f ca="1">MIN(100,MAX(0,MCDA_Prioritisation!$F$3+(RAND()-0.5)*2*$B$7))</f>
        <v>87.457812204644583</v>
      </c>
      <c r="O325" s="54">
        <f ca="1">MIN(100,MAX(0,MCDA_Prioritisation!$F$4+(RAND()-0.5)*2*$B$7))</f>
        <v>93.958360614153136</v>
      </c>
      <c r="P325" s="54">
        <f ca="1">MIN(100,MAX(0,MCDA_Prioritisation!$F$5+(RAND()-0.5)*2*$B$7))</f>
        <v>79.340026836833218</v>
      </c>
      <c r="Q325" s="54">
        <f ca="1">MIN(100,MAX(0,MCDA_Prioritisation!$G$2+(RAND()-0.5)*2*$B$7))</f>
        <v>82.503181928376449</v>
      </c>
      <c r="R325" s="54">
        <f ca="1">MIN(100,MAX(0,MCDA_Prioritisation!$G$3+(RAND()-0.5)*2*$B$7))</f>
        <v>86.33928301901831</v>
      </c>
      <c r="S325" s="54">
        <f ca="1">MIN(100,MAX(0,MCDA_Prioritisation!$G$4+(RAND()-0.5)*2*$B$7))</f>
        <v>75.264156115446156</v>
      </c>
      <c r="T325" s="54">
        <f ca="1">MIN(100,MAX(0,MCDA_Prioritisation!$G$5+(RAND()-0.5)*2*$B$7))</f>
        <v>79.327195214536985</v>
      </c>
      <c r="U325" s="54">
        <f ca="1">MIN(100,MAX(0,MCDA_Prioritisation!$H$2+(RAND()-0.5)*2*$B$7))</f>
        <v>70.923279960626587</v>
      </c>
      <c r="V325" s="54">
        <f ca="1">MIN(100,MAX(0,MCDA_Prioritisation!$H$3+(RAND()-0.5)*2*$B$7))</f>
        <v>53.969454021814627</v>
      </c>
      <c r="W325" s="54">
        <f ca="1">MIN(100,MAX(0,MCDA_Prioritisation!$H$4+(RAND()-0.5)*2*$B$7))</f>
        <v>79.086303641052453</v>
      </c>
      <c r="X325" s="54">
        <f ca="1">MIN(100,MAX(0,MCDA_Prioritisation!$H$5+(RAND()-0.5)*2*$B$7))</f>
        <v>84.838295749322654</v>
      </c>
      <c r="Y325" s="54">
        <f ca="1">H325*MCDA_Prioritisation!$D$2+I325*MCDA_Prioritisation!$E$2+J325*M325+K325*Q325+L325*U325</f>
        <v>87.190903027721731</v>
      </c>
      <c r="Z325" s="54">
        <f ca="1">H325*MCDA_Prioritisation!$D$3+I325*MCDA_Prioritisation!$E$3+J325*N325+K325*R325+L325*V325</f>
        <v>80.112640242921799</v>
      </c>
      <c r="AA325" s="54">
        <f ca="1">H325*MCDA_Prioritisation!$D$4+I325*MCDA_Prioritisation!$E$4+J325*O325+K325*S325+L325*W325</f>
        <v>75.232504611010881</v>
      </c>
      <c r="AB325" s="54">
        <f ca="1">H325*MCDA_Prioritisation!$D$5+I325*MCDA_Prioritisation!$E$5+J325*P325+K325*T325+L325*X325</f>
        <v>75.683583506704935</v>
      </c>
      <c r="AC325" s="54">
        <f t="shared" ca="1" si="62"/>
        <v>1</v>
      </c>
      <c r="AD325" s="54">
        <f t="shared" ca="1" si="63"/>
        <v>2</v>
      </c>
      <c r="AE325" s="54">
        <f t="shared" ca="1" si="64"/>
        <v>4</v>
      </c>
      <c r="AF325" s="54">
        <f t="shared" ca="1" si="65"/>
        <v>3</v>
      </c>
      <c r="AG325" s="54">
        <f t="shared" ca="1" si="66"/>
        <v>1</v>
      </c>
      <c r="AH325" s="54">
        <f t="shared" ca="1" si="67"/>
        <v>1</v>
      </c>
      <c r="AI325" s="54">
        <f t="shared" ca="1" si="68"/>
        <v>0</v>
      </c>
      <c r="AJ325" s="54">
        <f t="shared" ca="1" si="69"/>
        <v>1</v>
      </c>
    </row>
    <row r="326" spans="1:36" x14ac:dyDescent="0.2">
      <c r="A326" s="54">
        <v>303</v>
      </c>
      <c r="B326" s="54">
        <f ca="1">MAX(0.02,MCDA_Prioritisation!$B$9+(RAND()-0.5)*2*$B$6)</f>
        <v>0.21416714161284062</v>
      </c>
      <c r="C326" s="54">
        <f ca="1">MAX(0.02,MCDA_Prioritisation!$B$10+(RAND()-0.5)*2*$B$6)</f>
        <v>0.27031561891843153</v>
      </c>
      <c r="D326" s="54">
        <f ca="1">MAX(0.02,MCDA_Prioritisation!$B$11+(RAND()-0.5)*2*$B$6)</f>
        <v>0.27595471995003001</v>
      </c>
      <c r="E326" s="54">
        <f ca="1">MAX(0.02,MCDA_Prioritisation!$B$12+(RAND()-0.5)*2*$B$6)</f>
        <v>9.1658284521624972E-2</v>
      </c>
      <c r="F326" s="54">
        <f ca="1">MAX(0.02,MCDA_Prioritisation!$B$13+(RAND()-0.5)*2*$B$6)</f>
        <v>0.17902187010342258</v>
      </c>
      <c r="G326" s="54">
        <f t="shared" ca="1" si="56"/>
        <v>1.0311176351063496</v>
      </c>
      <c r="H326" s="54">
        <f t="shared" ca="1" si="57"/>
        <v>0.20770388782144281</v>
      </c>
      <c r="I326" s="54">
        <f t="shared" ca="1" si="58"/>
        <v>0.26215788549727514</v>
      </c>
      <c r="J326" s="54">
        <f t="shared" ca="1" si="59"/>
        <v>0.26762680663643973</v>
      </c>
      <c r="K326" s="54">
        <f t="shared" ca="1" si="60"/>
        <v>8.8892170399327258E-2</v>
      </c>
      <c r="L326" s="54">
        <f t="shared" ca="1" si="61"/>
        <v>0.17361924964551523</v>
      </c>
      <c r="M326" s="54">
        <f ca="1">MIN(100,MAX(0,MCDA_Prioritisation!$F$2+(RAND()-0.5)*2*$B$7))</f>
        <v>89.922527311063774</v>
      </c>
      <c r="N326" s="54">
        <f ca="1">MIN(100,MAX(0,MCDA_Prioritisation!$F$3+(RAND()-0.5)*2*$B$7))</f>
        <v>94.862643685258504</v>
      </c>
      <c r="O326" s="54">
        <f ca="1">MIN(100,MAX(0,MCDA_Prioritisation!$F$4+(RAND()-0.5)*2*$B$7))</f>
        <v>91.170296383094396</v>
      </c>
      <c r="P326" s="54">
        <f ca="1">MIN(100,MAX(0,MCDA_Prioritisation!$F$5+(RAND()-0.5)*2*$B$7))</f>
        <v>68.022749314470914</v>
      </c>
      <c r="Q326" s="54">
        <f ca="1">MIN(100,MAX(0,MCDA_Prioritisation!$G$2+(RAND()-0.5)*2*$B$7))</f>
        <v>77.575555724754864</v>
      </c>
      <c r="R326" s="54">
        <f ca="1">MIN(100,MAX(0,MCDA_Prioritisation!$G$3+(RAND()-0.5)*2*$B$7))</f>
        <v>100</v>
      </c>
      <c r="S326" s="54">
        <f ca="1">MIN(100,MAX(0,MCDA_Prioritisation!$G$4+(RAND()-0.5)*2*$B$7))</f>
        <v>87.827596773003251</v>
      </c>
      <c r="T326" s="54">
        <f ca="1">MIN(100,MAX(0,MCDA_Prioritisation!$G$5+(RAND()-0.5)*2*$B$7))</f>
        <v>62.057660164894557</v>
      </c>
      <c r="U326" s="54">
        <f ca="1">MIN(100,MAX(0,MCDA_Prioritisation!$H$2+(RAND()-0.5)*2*$B$7))</f>
        <v>59.278175321095446</v>
      </c>
      <c r="V326" s="54">
        <f ca="1">MIN(100,MAX(0,MCDA_Prioritisation!$H$3+(RAND()-0.5)*2*$B$7))</f>
        <v>69.180729592365211</v>
      </c>
      <c r="W326" s="54">
        <f ca="1">MIN(100,MAX(0,MCDA_Prioritisation!$H$4+(RAND()-0.5)*2*$B$7))</f>
        <v>86.302581927690994</v>
      </c>
      <c r="X326" s="54">
        <f ca="1">MIN(100,MAX(0,MCDA_Prioritisation!$H$5+(RAND()-0.5)*2*$B$7))</f>
        <v>65.338322721369153</v>
      </c>
      <c r="Y326" s="54">
        <f ca="1">H326*MCDA_Prioritisation!$D$2+I326*MCDA_Prioritisation!$E$2+J326*M326+K326*Q326+L326*U326</f>
        <v>88.239547998721136</v>
      </c>
      <c r="Z326" s="54">
        <f ca="1">H326*MCDA_Prioritisation!$D$3+I326*MCDA_Prioritisation!$E$3+J326*N326+K326*R326+L326*V326</f>
        <v>83.506801134027668</v>
      </c>
      <c r="AA326" s="54">
        <f ca="1">H326*MCDA_Prioritisation!$D$4+I326*MCDA_Prioritisation!$E$4+J326*O326+K326*S326+L326*W326</f>
        <v>75.953389262779183</v>
      </c>
      <c r="AB326" s="54">
        <f ca="1">H326*MCDA_Prioritisation!$D$5+I326*MCDA_Prioritisation!$E$5+J326*P326+K326*T326+L326*X326</f>
        <v>68.134305426000381</v>
      </c>
      <c r="AC326" s="54">
        <f t="shared" ca="1" si="62"/>
        <v>1</v>
      </c>
      <c r="AD326" s="54">
        <f t="shared" ca="1" si="63"/>
        <v>2</v>
      </c>
      <c r="AE326" s="54">
        <f t="shared" ca="1" si="64"/>
        <v>3</v>
      </c>
      <c r="AF326" s="54">
        <f t="shared" ca="1" si="65"/>
        <v>4</v>
      </c>
      <c r="AG326" s="54">
        <f t="shared" ca="1" si="66"/>
        <v>1</v>
      </c>
      <c r="AH326" s="54">
        <f t="shared" ca="1" si="67"/>
        <v>1</v>
      </c>
      <c r="AI326" s="54">
        <f t="shared" ca="1" si="68"/>
        <v>1</v>
      </c>
      <c r="AJ326" s="54">
        <f t="shared" ca="1" si="69"/>
        <v>1</v>
      </c>
    </row>
    <row r="327" spans="1:36" x14ac:dyDescent="0.2">
      <c r="A327" s="54">
        <v>304</v>
      </c>
      <c r="B327" s="54">
        <f ca="1">MAX(0.02,MCDA_Prioritisation!$B$9+(RAND()-0.5)*2*$B$6)</f>
        <v>0.19755059031951216</v>
      </c>
      <c r="C327" s="54">
        <f ca="1">MAX(0.02,MCDA_Prioritisation!$B$10+(RAND()-0.5)*2*$B$6)</f>
        <v>0.24598260251625845</v>
      </c>
      <c r="D327" s="54">
        <f ca="1">MAX(0.02,MCDA_Prioritisation!$B$11+(RAND()-0.5)*2*$B$6)</f>
        <v>0.20504897337917327</v>
      </c>
      <c r="E327" s="54">
        <f ca="1">MAX(0.02,MCDA_Prioritisation!$B$12+(RAND()-0.5)*2*$B$6)</f>
        <v>9.6089221145111814E-2</v>
      </c>
      <c r="F327" s="54">
        <f ca="1">MAX(0.02,MCDA_Prioritisation!$B$13+(RAND()-0.5)*2*$B$6)</f>
        <v>0.20457388628176401</v>
      </c>
      <c r="G327" s="54">
        <f t="shared" ca="1" si="56"/>
        <v>0.94924527364181965</v>
      </c>
      <c r="H327" s="54">
        <f t="shared" ca="1" si="57"/>
        <v>0.20811332519107625</v>
      </c>
      <c r="I327" s="54">
        <f t="shared" ca="1" si="58"/>
        <v>0.25913492470974947</v>
      </c>
      <c r="J327" s="54">
        <f t="shared" ca="1" si="59"/>
        <v>0.21601263558837033</v>
      </c>
      <c r="K327" s="54">
        <f t="shared" ca="1" si="60"/>
        <v>0.10122696821703568</v>
      </c>
      <c r="L327" s="54">
        <f t="shared" ca="1" si="61"/>
        <v>0.21551214629376836</v>
      </c>
      <c r="M327" s="54">
        <f ca="1">MIN(100,MAX(0,MCDA_Prioritisation!$F$2+(RAND()-0.5)*2*$B$7))</f>
        <v>82.236517225081769</v>
      </c>
      <c r="N327" s="54">
        <f ca="1">MIN(100,MAX(0,MCDA_Prioritisation!$F$3+(RAND()-0.5)*2*$B$7))</f>
        <v>93.3825468523371</v>
      </c>
      <c r="O327" s="54">
        <f ca="1">MIN(100,MAX(0,MCDA_Prioritisation!$F$4+(RAND()-0.5)*2*$B$7))</f>
        <v>86.233096582026221</v>
      </c>
      <c r="P327" s="54">
        <f ca="1">MIN(100,MAX(0,MCDA_Prioritisation!$F$5+(RAND()-0.5)*2*$B$7))</f>
        <v>78.759122115550156</v>
      </c>
      <c r="Q327" s="54">
        <f ca="1">MIN(100,MAX(0,MCDA_Prioritisation!$G$2+(RAND()-0.5)*2*$B$7))</f>
        <v>87.545489857709839</v>
      </c>
      <c r="R327" s="54">
        <f ca="1">MIN(100,MAX(0,MCDA_Prioritisation!$G$3+(RAND()-0.5)*2*$B$7))</f>
        <v>88.589071389994729</v>
      </c>
      <c r="S327" s="54">
        <f ca="1">MIN(100,MAX(0,MCDA_Prioritisation!$G$4+(RAND()-0.5)*2*$B$7))</f>
        <v>88.446453783048526</v>
      </c>
      <c r="T327" s="54">
        <f ca="1">MIN(100,MAX(0,MCDA_Prioritisation!$G$5+(RAND()-0.5)*2*$B$7))</f>
        <v>78.484711807040668</v>
      </c>
      <c r="U327" s="54">
        <f ca="1">MIN(100,MAX(0,MCDA_Prioritisation!$H$2+(RAND()-0.5)*2*$B$7))</f>
        <v>67.551206214612236</v>
      </c>
      <c r="V327" s="54">
        <f ca="1">MIN(100,MAX(0,MCDA_Prioritisation!$H$3+(RAND()-0.5)*2*$B$7))</f>
        <v>51.220680292961688</v>
      </c>
      <c r="W327" s="54">
        <f ca="1">MIN(100,MAX(0,MCDA_Prioritisation!$H$4+(RAND()-0.5)*2*$B$7))</f>
        <v>81.454642592878614</v>
      </c>
      <c r="X327" s="54">
        <f ca="1">MIN(100,MAX(0,MCDA_Prioritisation!$H$5+(RAND()-0.5)*2*$B$7))</f>
        <v>72.145629859047943</v>
      </c>
      <c r="Y327" s="54">
        <f ca="1">H327*MCDA_Prioritisation!$D$2+I327*MCDA_Prioritisation!$E$2+J327*M327+K327*Q327+L327*U327</f>
        <v>87.909021772896153</v>
      </c>
      <c r="Z327" s="54">
        <f ca="1">H327*MCDA_Prioritisation!$D$3+I327*MCDA_Prioritisation!$E$3+J327*N327+K327*R327+L327*V327</f>
        <v>77.212715094168303</v>
      </c>
      <c r="AA327" s="54">
        <f ca="1">H327*MCDA_Prioritisation!$D$4+I327*MCDA_Prioritisation!$E$4+J327*O327+K327*S327+L327*W327</f>
        <v>73.761490492501395</v>
      </c>
      <c r="AB327" s="54">
        <f ca="1">H327*MCDA_Prioritisation!$D$5+I327*MCDA_Prioritisation!$E$5+J327*P327+K327*T327+L327*X327</f>
        <v>73.342685823405887</v>
      </c>
      <c r="AC327" s="54">
        <f t="shared" ca="1" si="62"/>
        <v>1</v>
      </c>
      <c r="AD327" s="54">
        <f t="shared" ca="1" si="63"/>
        <v>2</v>
      </c>
      <c r="AE327" s="54">
        <f t="shared" ca="1" si="64"/>
        <v>3</v>
      </c>
      <c r="AF327" s="54">
        <f t="shared" ca="1" si="65"/>
        <v>4</v>
      </c>
      <c r="AG327" s="54">
        <f t="shared" ca="1" si="66"/>
        <v>1</v>
      </c>
      <c r="AH327" s="54">
        <f t="shared" ca="1" si="67"/>
        <v>1</v>
      </c>
      <c r="AI327" s="54">
        <f t="shared" ca="1" si="68"/>
        <v>1</v>
      </c>
      <c r="AJ327" s="54">
        <f t="shared" ca="1" si="69"/>
        <v>1</v>
      </c>
    </row>
    <row r="328" spans="1:36" x14ac:dyDescent="0.2">
      <c r="A328" s="54">
        <v>305</v>
      </c>
      <c r="B328" s="54">
        <f ca="1">MAX(0.02,MCDA_Prioritisation!$B$9+(RAND()-0.5)*2*$B$6)</f>
        <v>0.23269627686893873</v>
      </c>
      <c r="C328" s="54">
        <f ca="1">MAX(0.02,MCDA_Prioritisation!$B$10+(RAND()-0.5)*2*$B$6)</f>
        <v>0.19073000084011102</v>
      </c>
      <c r="D328" s="54">
        <f ca="1">MAX(0.02,MCDA_Prioritisation!$B$11+(RAND()-0.5)*2*$B$6)</f>
        <v>0.32301123872911142</v>
      </c>
      <c r="E328" s="54">
        <f ca="1">MAX(0.02,MCDA_Prioritisation!$B$12+(RAND()-0.5)*2*$B$6)</f>
        <v>7.957454974676112E-2</v>
      </c>
      <c r="F328" s="54">
        <f ca="1">MAX(0.02,MCDA_Prioritisation!$B$13+(RAND()-0.5)*2*$B$6)</f>
        <v>0.11978988096218866</v>
      </c>
      <c r="G328" s="54">
        <f t="shared" ca="1" si="56"/>
        <v>0.94580194714711097</v>
      </c>
      <c r="H328" s="54">
        <f t="shared" ca="1" si="57"/>
        <v>0.24603065955915707</v>
      </c>
      <c r="I328" s="54">
        <f t="shared" ca="1" si="58"/>
        <v>0.20165955612104983</v>
      </c>
      <c r="J328" s="54">
        <f t="shared" ca="1" si="59"/>
        <v>0.34152101262154616</v>
      </c>
      <c r="K328" s="54">
        <f t="shared" ca="1" si="60"/>
        <v>8.4134474439165025E-2</v>
      </c>
      <c r="L328" s="54">
        <f t="shared" ca="1" si="61"/>
        <v>0.12665429725908189</v>
      </c>
      <c r="M328" s="54">
        <f ca="1">MIN(100,MAX(0,MCDA_Prioritisation!$F$2+(RAND()-0.5)*2*$B$7))</f>
        <v>83.833029709056134</v>
      </c>
      <c r="N328" s="54">
        <f ca="1">MIN(100,MAX(0,MCDA_Prioritisation!$F$3+(RAND()-0.5)*2*$B$7))</f>
        <v>100</v>
      </c>
      <c r="O328" s="54">
        <f ca="1">MIN(100,MAX(0,MCDA_Prioritisation!$F$4+(RAND()-0.5)*2*$B$7))</f>
        <v>92.215573152724019</v>
      </c>
      <c r="P328" s="54">
        <f ca="1">MIN(100,MAX(0,MCDA_Prioritisation!$F$5+(RAND()-0.5)*2*$B$7))</f>
        <v>83.538702677833058</v>
      </c>
      <c r="Q328" s="54">
        <f ca="1">MIN(100,MAX(0,MCDA_Prioritisation!$G$2+(RAND()-0.5)*2*$B$7))</f>
        <v>72.062706865707625</v>
      </c>
      <c r="R328" s="54">
        <f ca="1">MIN(100,MAX(0,MCDA_Prioritisation!$G$3+(RAND()-0.5)*2*$B$7))</f>
        <v>89.769696558619714</v>
      </c>
      <c r="S328" s="54">
        <f ca="1">MIN(100,MAX(0,MCDA_Prioritisation!$G$4+(RAND()-0.5)*2*$B$7))</f>
        <v>88.255534931375877</v>
      </c>
      <c r="T328" s="54">
        <f ca="1">MIN(100,MAX(0,MCDA_Prioritisation!$G$5+(RAND()-0.5)*2*$B$7))</f>
        <v>67.854713879938032</v>
      </c>
      <c r="U328" s="54">
        <f ca="1">MIN(100,MAX(0,MCDA_Prioritisation!$H$2+(RAND()-0.5)*2*$B$7))</f>
        <v>57.633572205952746</v>
      </c>
      <c r="V328" s="54">
        <f ca="1">MIN(100,MAX(0,MCDA_Prioritisation!$H$3+(RAND()-0.5)*2*$B$7))</f>
        <v>53.319384580352278</v>
      </c>
      <c r="W328" s="54">
        <f ca="1">MIN(100,MAX(0,MCDA_Prioritisation!$H$4+(RAND()-0.5)*2*$B$7))</f>
        <v>79.948238159759825</v>
      </c>
      <c r="X328" s="54">
        <f ca="1">MIN(100,MAX(0,MCDA_Prioritisation!$H$5+(RAND()-0.5)*2*$B$7))</f>
        <v>68.545777866998421</v>
      </c>
      <c r="Y328" s="54">
        <f ca="1">H328*MCDA_Prioritisation!$D$2+I328*MCDA_Prioritisation!$E$2+J328*M328+K328*Q328+L328*U328</f>
        <v>86.762260320475136</v>
      </c>
      <c r="Z328" s="54">
        <f ca="1">H328*MCDA_Prioritisation!$D$3+I328*MCDA_Prioritisation!$E$3+J328*N328+K328*R328+L328*V328</f>
        <v>84.626408229576441</v>
      </c>
      <c r="AA328" s="54">
        <f ca="1">H328*MCDA_Prioritisation!$D$4+I328*MCDA_Prioritisation!$E$4+J328*O328+K328*S328+L328*W328</f>
        <v>77.176417859391691</v>
      </c>
      <c r="AB328" s="54">
        <f ca="1">H328*MCDA_Prioritisation!$D$5+I328*MCDA_Prioritisation!$E$5+J328*P328+K328*T328+L328*X328</f>
        <v>72.936791928599405</v>
      </c>
      <c r="AC328" s="54">
        <f t="shared" ca="1" si="62"/>
        <v>1</v>
      </c>
      <c r="AD328" s="54">
        <f t="shared" ca="1" si="63"/>
        <v>2</v>
      </c>
      <c r="AE328" s="54">
        <f t="shared" ca="1" si="64"/>
        <v>3</v>
      </c>
      <c r="AF328" s="54">
        <f t="shared" ca="1" si="65"/>
        <v>4</v>
      </c>
      <c r="AG328" s="54">
        <f t="shared" ca="1" si="66"/>
        <v>1</v>
      </c>
      <c r="AH328" s="54">
        <f t="shared" ca="1" si="67"/>
        <v>1</v>
      </c>
      <c r="AI328" s="54">
        <f t="shared" ca="1" si="68"/>
        <v>1</v>
      </c>
      <c r="AJ328" s="54">
        <f t="shared" ca="1" si="69"/>
        <v>1</v>
      </c>
    </row>
    <row r="329" spans="1:36" x14ac:dyDescent="0.2">
      <c r="A329" s="54">
        <v>306</v>
      </c>
      <c r="B329" s="54">
        <f ca="1">MAX(0.02,MCDA_Prioritisation!$B$9+(RAND()-0.5)*2*$B$6)</f>
        <v>0.15505205330172672</v>
      </c>
      <c r="C329" s="54">
        <f ca="1">MAX(0.02,MCDA_Prioritisation!$B$10+(RAND()-0.5)*2*$B$6)</f>
        <v>0.28156237925796457</v>
      </c>
      <c r="D329" s="54">
        <f ca="1">MAX(0.02,MCDA_Prioritisation!$B$11+(RAND()-0.5)*2*$B$6)</f>
        <v>0.22466194216511537</v>
      </c>
      <c r="E329" s="54">
        <f ca="1">MAX(0.02,MCDA_Prioritisation!$B$12+(RAND()-0.5)*2*$B$6)</f>
        <v>0.21536857254545266</v>
      </c>
      <c r="F329" s="54">
        <f ca="1">MAX(0.02,MCDA_Prioritisation!$B$13+(RAND()-0.5)*2*$B$6)</f>
        <v>0.19911123229266631</v>
      </c>
      <c r="G329" s="54">
        <f t="shared" ca="1" si="56"/>
        <v>1.0757561795629256</v>
      </c>
      <c r="H329" s="54">
        <f t="shared" ca="1" si="57"/>
        <v>0.1441330816846654</v>
      </c>
      <c r="I329" s="54">
        <f t="shared" ca="1" si="58"/>
        <v>0.26173438238798868</v>
      </c>
      <c r="J329" s="54">
        <f t="shared" ca="1" si="59"/>
        <v>0.20884094968099035</v>
      </c>
      <c r="K329" s="54">
        <f t="shared" ca="1" si="60"/>
        <v>0.20020203149839758</v>
      </c>
      <c r="L329" s="54">
        <f t="shared" ca="1" si="61"/>
        <v>0.18508955474795805</v>
      </c>
      <c r="M329" s="54">
        <f ca="1">MIN(100,MAX(0,MCDA_Prioritisation!$F$2+(RAND()-0.5)*2*$B$7))</f>
        <v>81.936101546565155</v>
      </c>
      <c r="N329" s="54">
        <f ca="1">MIN(100,MAX(0,MCDA_Prioritisation!$F$3+(RAND()-0.5)*2*$B$7))</f>
        <v>100</v>
      </c>
      <c r="O329" s="54">
        <f ca="1">MIN(100,MAX(0,MCDA_Prioritisation!$F$4+(RAND()-0.5)*2*$B$7))</f>
        <v>91.503804249250962</v>
      </c>
      <c r="P329" s="54">
        <f ca="1">MIN(100,MAX(0,MCDA_Prioritisation!$F$5+(RAND()-0.5)*2*$B$7))</f>
        <v>75.299599841860882</v>
      </c>
      <c r="Q329" s="54">
        <f ca="1">MIN(100,MAX(0,MCDA_Prioritisation!$G$2+(RAND()-0.5)*2*$B$7))</f>
        <v>77.161870183228203</v>
      </c>
      <c r="R329" s="54">
        <f ca="1">MIN(100,MAX(0,MCDA_Prioritisation!$G$3+(RAND()-0.5)*2*$B$7))</f>
        <v>98.532490472864609</v>
      </c>
      <c r="S329" s="54">
        <f ca="1">MIN(100,MAX(0,MCDA_Prioritisation!$G$4+(RAND()-0.5)*2*$B$7))</f>
        <v>78.770307026142163</v>
      </c>
      <c r="T329" s="54">
        <f ca="1">MIN(100,MAX(0,MCDA_Prioritisation!$G$5+(RAND()-0.5)*2*$B$7))</f>
        <v>65.209123404845812</v>
      </c>
      <c r="U329" s="54">
        <f ca="1">MIN(100,MAX(0,MCDA_Prioritisation!$H$2+(RAND()-0.5)*2*$B$7))</f>
        <v>55.713712281187227</v>
      </c>
      <c r="V329" s="54">
        <f ca="1">MIN(100,MAX(0,MCDA_Prioritisation!$H$3+(RAND()-0.5)*2*$B$7))</f>
        <v>51.336052386156844</v>
      </c>
      <c r="W329" s="54">
        <f ca="1">MIN(100,MAX(0,MCDA_Prioritisation!$H$4+(RAND()-0.5)*2*$B$7))</f>
        <v>86.297090206424926</v>
      </c>
      <c r="X329" s="54">
        <f ca="1">MIN(100,MAX(0,MCDA_Prioritisation!$H$5+(RAND()-0.5)*2*$B$7))</f>
        <v>66.871084403764044</v>
      </c>
      <c r="Y329" s="54">
        <f ca="1">H329*MCDA_Prioritisation!$D$2+I329*MCDA_Prioritisation!$E$2+J329*M329+K329*Q329+L329*U329</f>
        <v>83.458349031786838</v>
      </c>
      <c r="Z329" s="54">
        <f ca="1">H329*MCDA_Prioritisation!$D$3+I329*MCDA_Prioritisation!$E$3+J329*N329+K329*R329+L329*V329</f>
        <v>81.744270390106323</v>
      </c>
      <c r="AA329" s="54">
        <f ca="1">H329*MCDA_Prioritisation!$D$4+I329*MCDA_Prioritisation!$E$4+J329*O329+K329*S329+L329*W329</f>
        <v>75.165408234800012</v>
      </c>
      <c r="AB329" s="54">
        <f ca="1">H329*MCDA_Prioritisation!$D$5+I329*MCDA_Prioritisation!$E$5+J329*P329+K329*T329+L329*X329</f>
        <v>70.817251875789893</v>
      </c>
      <c r="AC329" s="54">
        <f t="shared" ca="1" si="62"/>
        <v>1</v>
      </c>
      <c r="AD329" s="54">
        <f t="shared" ca="1" si="63"/>
        <v>2</v>
      </c>
      <c r="AE329" s="54">
        <f t="shared" ca="1" si="64"/>
        <v>3</v>
      </c>
      <c r="AF329" s="54">
        <f t="shared" ca="1" si="65"/>
        <v>4</v>
      </c>
      <c r="AG329" s="54">
        <f t="shared" ca="1" si="66"/>
        <v>1</v>
      </c>
      <c r="AH329" s="54">
        <f t="shared" ca="1" si="67"/>
        <v>1</v>
      </c>
      <c r="AI329" s="54">
        <f t="shared" ca="1" si="68"/>
        <v>1</v>
      </c>
      <c r="AJ329" s="54">
        <f t="shared" ca="1" si="69"/>
        <v>1</v>
      </c>
    </row>
    <row r="330" spans="1:36" x14ac:dyDescent="0.2">
      <c r="A330" s="54">
        <v>307</v>
      </c>
      <c r="B330" s="54">
        <f ca="1">MAX(0.02,MCDA_Prioritisation!$B$9+(RAND()-0.5)*2*$B$6)</f>
        <v>0.18926244933839378</v>
      </c>
      <c r="C330" s="54">
        <f ca="1">MAX(0.02,MCDA_Prioritisation!$B$10+(RAND()-0.5)*2*$B$6)</f>
        <v>0.24292558554261884</v>
      </c>
      <c r="D330" s="54">
        <f ca="1">MAX(0.02,MCDA_Prioritisation!$B$11+(RAND()-0.5)*2*$B$6)</f>
        <v>0.17360381578980111</v>
      </c>
      <c r="E330" s="54">
        <f ca="1">MAX(0.02,MCDA_Prioritisation!$B$12+(RAND()-0.5)*2*$B$6)</f>
        <v>0.10826496797643644</v>
      </c>
      <c r="F330" s="54">
        <f ca="1">MAX(0.02,MCDA_Prioritisation!$B$13+(RAND()-0.5)*2*$B$6)</f>
        <v>0.14311408772534556</v>
      </c>
      <c r="G330" s="54">
        <f t="shared" ca="1" si="56"/>
        <v>0.85717090637259585</v>
      </c>
      <c r="H330" s="54">
        <f t="shared" ca="1" si="57"/>
        <v>0.22079896544706687</v>
      </c>
      <c r="I330" s="54">
        <f t="shared" ca="1" si="58"/>
        <v>0.28340390899481105</v>
      </c>
      <c r="J330" s="54">
        <f t="shared" ca="1" si="59"/>
        <v>0.20253115743797637</v>
      </c>
      <c r="K330" s="54">
        <f t="shared" ca="1" si="60"/>
        <v>0.126304996088348</v>
      </c>
      <c r="L330" s="54">
        <f t="shared" ca="1" si="61"/>
        <v>0.16696097203179758</v>
      </c>
      <c r="M330" s="54">
        <f ca="1">MIN(100,MAX(0,MCDA_Prioritisation!$F$2+(RAND()-0.5)*2*$B$7))</f>
        <v>76.297845984960404</v>
      </c>
      <c r="N330" s="54">
        <f ca="1">MIN(100,MAX(0,MCDA_Prioritisation!$F$3+(RAND()-0.5)*2*$B$7))</f>
        <v>98.922215702641282</v>
      </c>
      <c r="O330" s="54">
        <f ca="1">MIN(100,MAX(0,MCDA_Prioritisation!$F$4+(RAND()-0.5)*2*$B$7))</f>
        <v>81.411594479621527</v>
      </c>
      <c r="P330" s="54">
        <f ca="1">MIN(100,MAX(0,MCDA_Prioritisation!$F$5+(RAND()-0.5)*2*$B$7))</f>
        <v>77.500408932828648</v>
      </c>
      <c r="Q330" s="54">
        <f ca="1">MIN(100,MAX(0,MCDA_Prioritisation!$G$2+(RAND()-0.5)*2*$B$7))</f>
        <v>77.619522269941243</v>
      </c>
      <c r="R330" s="54">
        <f ca="1">MIN(100,MAX(0,MCDA_Prioritisation!$G$3+(RAND()-0.5)*2*$B$7))</f>
        <v>100</v>
      </c>
      <c r="S330" s="54">
        <f ca="1">MIN(100,MAX(0,MCDA_Prioritisation!$G$4+(RAND()-0.5)*2*$B$7))</f>
        <v>88.336420592728615</v>
      </c>
      <c r="T330" s="54">
        <f ca="1">MIN(100,MAX(0,MCDA_Prioritisation!$G$5+(RAND()-0.5)*2*$B$7))</f>
        <v>75.431682143103572</v>
      </c>
      <c r="U330" s="54">
        <f ca="1">MIN(100,MAX(0,MCDA_Prioritisation!$H$2+(RAND()-0.5)*2*$B$7))</f>
        <v>65.604230892549793</v>
      </c>
      <c r="V330" s="54">
        <f ca="1">MIN(100,MAX(0,MCDA_Prioritisation!$H$3+(RAND()-0.5)*2*$B$7))</f>
        <v>69.814231157605334</v>
      </c>
      <c r="W330" s="54">
        <f ca="1">MIN(100,MAX(0,MCDA_Prioritisation!$H$4+(RAND()-0.5)*2*$B$7))</f>
        <v>87.886238055982389</v>
      </c>
      <c r="X330" s="54">
        <f ca="1">MIN(100,MAX(0,MCDA_Prioritisation!$H$5+(RAND()-0.5)*2*$B$7))</f>
        <v>69.797735802933872</v>
      </c>
      <c r="Y330" s="54">
        <f ca="1">H330*MCDA_Prioritisation!$D$2+I330*MCDA_Prioritisation!$E$2+J330*M330+K330*Q330+L330*U330</f>
        <v>86.630058117449252</v>
      </c>
      <c r="Z330" s="54">
        <f ca="1">H330*MCDA_Prioritisation!$D$3+I330*MCDA_Prioritisation!$E$3+J330*N330+K330*R330+L330*V330</f>
        <v>84.229907420527923</v>
      </c>
      <c r="AA330" s="54">
        <f ca="1">H330*MCDA_Prioritisation!$D$4+I330*MCDA_Prioritisation!$E$4+J330*O330+K330*S330+L330*W330</f>
        <v>73.152824451179001</v>
      </c>
      <c r="AB330" s="54">
        <f ca="1">H330*MCDA_Prioritisation!$D$5+I330*MCDA_Prioritisation!$E$5+J330*P330+K330*T330+L330*X330</f>
        <v>72.427937566517102</v>
      </c>
      <c r="AC330" s="54">
        <f t="shared" ca="1" si="62"/>
        <v>1</v>
      </c>
      <c r="AD330" s="54">
        <f t="shared" ca="1" si="63"/>
        <v>2</v>
      </c>
      <c r="AE330" s="54">
        <f t="shared" ca="1" si="64"/>
        <v>3</v>
      </c>
      <c r="AF330" s="54">
        <f t="shared" ca="1" si="65"/>
        <v>4</v>
      </c>
      <c r="AG330" s="54">
        <f t="shared" ca="1" si="66"/>
        <v>1</v>
      </c>
      <c r="AH330" s="54">
        <f t="shared" ca="1" si="67"/>
        <v>1</v>
      </c>
      <c r="AI330" s="54">
        <f t="shared" ca="1" si="68"/>
        <v>1</v>
      </c>
      <c r="AJ330" s="54">
        <f t="shared" ca="1" si="69"/>
        <v>1</v>
      </c>
    </row>
    <row r="331" spans="1:36" x14ac:dyDescent="0.2">
      <c r="A331" s="54">
        <v>308</v>
      </c>
      <c r="B331" s="54">
        <f ca="1">MAX(0.02,MCDA_Prioritisation!$B$9+(RAND()-0.5)*2*$B$6)</f>
        <v>0.1471178832252516</v>
      </c>
      <c r="C331" s="54">
        <f ca="1">MAX(0.02,MCDA_Prioritisation!$B$10+(RAND()-0.5)*2*$B$6)</f>
        <v>0.20964121242742895</v>
      </c>
      <c r="D331" s="54">
        <f ca="1">MAX(0.02,MCDA_Prioritisation!$B$11+(RAND()-0.5)*2*$B$6)</f>
        <v>0.26838458039809304</v>
      </c>
      <c r="E331" s="54">
        <f ca="1">MAX(0.02,MCDA_Prioritisation!$B$12+(RAND()-0.5)*2*$B$6)</f>
        <v>0.11473627447693889</v>
      </c>
      <c r="F331" s="54">
        <f ca="1">MAX(0.02,MCDA_Prioritisation!$B$13+(RAND()-0.5)*2*$B$6)</f>
        <v>0.22207402414055577</v>
      </c>
      <c r="G331" s="54">
        <f t="shared" ca="1" si="56"/>
        <v>0.96195397466826826</v>
      </c>
      <c r="H331" s="54">
        <f t="shared" ca="1" si="57"/>
        <v>0.15293650954141075</v>
      </c>
      <c r="I331" s="54">
        <f t="shared" ca="1" si="58"/>
        <v>0.21793268487686651</v>
      </c>
      <c r="J331" s="54">
        <f t="shared" ca="1" si="59"/>
        <v>0.27899939858416406</v>
      </c>
      <c r="K331" s="54">
        <f t="shared" ca="1" si="60"/>
        <v>0.11927418306734054</v>
      </c>
      <c r="L331" s="54">
        <f t="shared" ca="1" si="61"/>
        <v>0.23085722393021813</v>
      </c>
      <c r="M331" s="54">
        <f ca="1">MIN(100,MAX(0,MCDA_Prioritisation!$F$2+(RAND()-0.5)*2*$B$7))</f>
        <v>78.731479849843367</v>
      </c>
      <c r="N331" s="54">
        <f ca="1">MIN(100,MAX(0,MCDA_Prioritisation!$F$3+(RAND()-0.5)*2*$B$7))</f>
        <v>100</v>
      </c>
      <c r="O331" s="54">
        <f ca="1">MIN(100,MAX(0,MCDA_Prioritisation!$F$4+(RAND()-0.5)*2*$B$7))</f>
        <v>99.609156191812303</v>
      </c>
      <c r="P331" s="54">
        <f ca="1">MIN(100,MAX(0,MCDA_Prioritisation!$F$5+(RAND()-0.5)*2*$B$7))</f>
        <v>73.477738204309034</v>
      </c>
      <c r="Q331" s="54">
        <f ca="1">MIN(100,MAX(0,MCDA_Prioritisation!$G$2+(RAND()-0.5)*2*$B$7))</f>
        <v>88.339962835571853</v>
      </c>
      <c r="R331" s="54">
        <f ca="1">MIN(100,MAX(0,MCDA_Prioritisation!$G$3+(RAND()-0.5)*2*$B$7))</f>
        <v>86.397751231952128</v>
      </c>
      <c r="S331" s="54">
        <f ca="1">MIN(100,MAX(0,MCDA_Prioritisation!$G$4+(RAND()-0.5)*2*$B$7))</f>
        <v>79.562780618680492</v>
      </c>
      <c r="T331" s="54">
        <f ca="1">MIN(100,MAX(0,MCDA_Prioritisation!$G$5+(RAND()-0.5)*2*$B$7))</f>
        <v>75.891551750619087</v>
      </c>
      <c r="U331" s="54">
        <f ca="1">MIN(100,MAX(0,MCDA_Prioritisation!$H$2+(RAND()-0.5)*2*$B$7))</f>
        <v>59.296622218053265</v>
      </c>
      <c r="V331" s="54">
        <f ca="1">MIN(100,MAX(0,MCDA_Prioritisation!$H$3+(RAND()-0.5)*2*$B$7))</f>
        <v>69.63482439507861</v>
      </c>
      <c r="W331" s="54">
        <f ca="1">MIN(100,MAX(0,MCDA_Prioritisation!$H$4+(RAND()-0.5)*2*$B$7))</f>
        <v>87.843821748328111</v>
      </c>
      <c r="X331" s="54">
        <f ca="1">MIN(100,MAX(0,MCDA_Prioritisation!$H$5+(RAND()-0.5)*2*$B$7))</f>
        <v>67.150481079285001</v>
      </c>
      <c r="Y331" s="54">
        <f ca="1">H331*MCDA_Prioritisation!$D$2+I331*MCDA_Prioritisation!$E$2+J331*M331+K331*Q331+L331*U331</f>
        <v>83.278685462685985</v>
      </c>
      <c r="Z331" s="54">
        <f ca="1">H331*MCDA_Prioritisation!$D$3+I331*MCDA_Prioritisation!$E$3+J331*N331+K331*R331+L331*V331</f>
        <v>83.496480654774217</v>
      </c>
      <c r="AA331" s="54">
        <f ca="1">H331*MCDA_Prioritisation!$D$4+I331*MCDA_Prioritisation!$E$4+J331*O331+K331*S331+L331*W331</f>
        <v>80.096897988816821</v>
      </c>
      <c r="AB331" s="54">
        <f ca="1">H331*MCDA_Prioritisation!$D$5+I331*MCDA_Prioritisation!$E$5+J331*P331+K331*T331+L331*X331</f>
        <v>71.497720174712484</v>
      </c>
      <c r="AC331" s="54">
        <f t="shared" ca="1" si="62"/>
        <v>2</v>
      </c>
      <c r="AD331" s="54">
        <f t="shared" ca="1" si="63"/>
        <v>1</v>
      </c>
      <c r="AE331" s="54">
        <f t="shared" ca="1" si="64"/>
        <v>3</v>
      </c>
      <c r="AF331" s="54">
        <f t="shared" ca="1" si="65"/>
        <v>4</v>
      </c>
      <c r="AG331" s="54">
        <f t="shared" ca="1" si="66"/>
        <v>0</v>
      </c>
      <c r="AH331" s="54">
        <f t="shared" ca="1" si="67"/>
        <v>0</v>
      </c>
      <c r="AI331" s="54">
        <f t="shared" ca="1" si="68"/>
        <v>0</v>
      </c>
      <c r="AJ331" s="54">
        <f t="shared" ca="1" si="69"/>
        <v>1</v>
      </c>
    </row>
    <row r="332" spans="1:36" x14ac:dyDescent="0.2">
      <c r="A332" s="54">
        <v>309</v>
      </c>
      <c r="B332" s="54">
        <f ca="1">MAX(0.02,MCDA_Prioritisation!$B$9+(RAND()-0.5)*2*$B$6)</f>
        <v>0.15821582703230777</v>
      </c>
      <c r="C332" s="54">
        <f ca="1">MAX(0.02,MCDA_Prioritisation!$B$10+(RAND()-0.5)*2*$B$6)</f>
        <v>0.2495111166015537</v>
      </c>
      <c r="D332" s="54">
        <f ca="1">MAX(0.02,MCDA_Prioritisation!$B$11+(RAND()-0.5)*2*$B$6)</f>
        <v>0.1843941558956535</v>
      </c>
      <c r="E332" s="54">
        <f ca="1">MAX(0.02,MCDA_Prioritisation!$B$12+(RAND()-0.5)*2*$B$6)</f>
        <v>0.12394041448866941</v>
      </c>
      <c r="F332" s="54">
        <f ca="1">MAX(0.02,MCDA_Prioritisation!$B$13+(RAND()-0.5)*2*$B$6)</f>
        <v>0.17397552521255444</v>
      </c>
      <c r="G332" s="54">
        <f t="shared" ca="1" si="56"/>
        <v>0.89003703923073885</v>
      </c>
      <c r="H332" s="54">
        <f t="shared" ca="1" si="57"/>
        <v>0.17776319418015918</v>
      </c>
      <c r="I332" s="54">
        <f t="shared" ca="1" si="58"/>
        <v>0.28033790236101497</v>
      </c>
      <c r="J332" s="54">
        <f t="shared" ca="1" si="59"/>
        <v>0.20717582276691071</v>
      </c>
      <c r="K332" s="54">
        <f t="shared" ca="1" si="60"/>
        <v>0.13925309737198285</v>
      </c>
      <c r="L332" s="54">
        <f t="shared" ca="1" si="61"/>
        <v>0.19546998331993229</v>
      </c>
      <c r="M332" s="54">
        <f ca="1">MIN(100,MAX(0,MCDA_Prioritisation!$F$2+(RAND()-0.5)*2*$B$7))</f>
        <v>94.435479314308878</v>
      </c>
      <c r="N332" s="54">
        <f ca="1">MIN(100,MAX(0,MCDA_Prioritisation!$F$3+(RAND()-0.5)*2*$B$7))</f>
        <v>93.985229357811761</v>
      </c>
      <c r="O332" s="54">
        <f ca="1">MIN(100,MAX(0,MCDA_Prioritisation!$F$4+(RAND()-0.5)*2*$B$7))</f>
        <v>82.760316270823168</v>
      </c>
      <c r="P332" s="54">
        <f ca="1">MIN(100,MAX(0,MCDA_Prioritisation!$F$5+(RAND()-0.5)*2*$B$7))</f>
        <v>82.981720402090843</v>
      </c>
      <c r="Q332" s="54">
        <f ca="1">MIN(100,MAX(0,MCDA_Prioritisation!$G$2+(RAND()-0.5)*2*$B$7))</f>
        <v>70.318867580630183</v>
      </c>
      <c r="R332" s="54">
        <f ca="1">MIN(100,MAX(0,MCDA_Prioritisation!$G$3+(RAND()-0.5)*2*$B$7))</f>
        <v>100</v>
      </c>
      <c r="S332" s="54">
        <f ca="1">MIN(100,MAX(0,MCDA_Prioritisation!$G$4+(RAND()-0.5)*2*$B$7))</f>
        <v>83.409622559123662</v>
      </c>
      <c r="T332" s="54">
        <f ca="1">MIN(100,MAX(0,MCDA_Prioritisation!$G$5+(RAND()-0.5)*2*$B$7))</f>
        <v>66.388341731410193</v>
      </c>
      <c r="U332" s="54">
        <f ca="1">MIN(100,MAX(0,MCDA_Prioritisation!$H$2+(RAND()-0.5)*2*$B$7))</f>
        <v>66.185028887385513</v>
      </c>
      <c r="V332" s="54">
        <f ca="1">MIN(100,MAX(0,MCDA_Prioritisation!$H$3+(RAND()-0.5)*2*$B$7))</f>
        <v>63.304460809831845</v>
      </c>
      <c r="W332" s="54">
        <f ca="1">MIN(100,MAX(0,MCDA_Prioritisation!$H$4+(RAND()-0.5)*2*$B$7))</f>
        <v>77.108548035792154</v>
      </c>
      <c r="X332" s="54">
        <f ca="1">MIN(100,MAX(0,MCDA_Prioritisation!$H$5+(RAND()-0.5)*2*$B$7))</f>
        <v>66.127213325020975</v>
      </c>
      <c r="Y332" s="54">
        <f ca="1">H332*MCDA_Prioritisation!$D$2+I332*MCDA_Prioritisation!$E$2+J332*M332+K332*Q332+L332*U332</f>
        <v>88.104164386386458</v>
      </c>
      <c r="Z332" s="54">
        <f ca="1">H332*MCDA_Prioritisation!$D$3+I332*MCDA_Prioritisation!$E$3+J332*N332+K332*R332+L332*V332</f>
        <v>81.695051244814849</v>
      </c>
      <c r="AA332" s="54">
        <f ca="1">H332*MCDA_Prioritisation!$D$4+I332*MCDA_Prioritisation!$E$4+J332*O332+K332*S332+L332*W332</f>
        <v>71.502933660709914</v>
      </c>
      <c r="AB332" s="54">
        <f ca="1">H332*MCDA_Prioritisation!$D$5+I332*MCDA_Prioritisation!$E$5+J332*P332+K332*T332+L332*X332</f>
        <v>72.371282470902017</v>
      </c>
      <c r="AC332" s="54">
        <f t="shared" ca="1" si="62"/>
        <v>1</v>
      </c>
      <c r="AD332" s="54">
        <f t="shared" ca="1" si="63"/>
        <v>2</v>
      </c>
      <c r="AE332" s="54">
        <f t="shared" ca="1" si="64"/>
        <v>4</v>
      </c>
      <c r="AF332" s="54">
        <f t="shared" ca="1" si="65"/>
        <v>3</v>
      </c>
      <c r="AG332" s="54">
        <f t="shared" ca="1" si="66"/>
        <v>1</v>
      </c>
      <c r="AH332" s="54">
        <f t="shared" ca="1" si="67"/>
        <v>1</v>
      </c>
      <c r="AI332" s="54">
        <f t="shared" ca="1" si="68"/>
        <v>0</v>
      </c>
      <c r="AJ332" s="54">
        <f t="shared" ca="1" si="69"/>
        <v>1</v>
      </c>
    </row>
    <row r="333" spans="1:36" x14ac:dyDescent="0.2">
      <c r="A333" s="54">
        <v>310</v>
      </c>
      <c r="B333" s="54">
        <f ca="1">MAX(0.02,MCDA_Prioritisation!$B$9+(RAND()-0.5)*2*$B$6)</f>
        <v>0.16164917578612983</v>
      </c>
      <c r="C333" s="54">
        <f ca="1">MAX(0.02,MCDA_Prioritisation!$B$10+(RAND()-0.5)*2*$B$6)</f>
        <v>0.32209703412774404</v>
      </c>
      <c r="D333" s="54">
        <f ca="1">MAX(0.02,MCDA_Prioritisation!$B$11+(RAND()-0.5)*2*$B$6)</f>
        <v>0.32910587939617114</v>
      </c>
      <c r="E333" s="54">
        <f ca="1">MAX(0.02,MCDA_Prioritisation!$B$12+(RAND()-0.5)*2*$B$6)</f>
        <v>0.13062654468321744</v>
      </c>
      <c r="F333" s="54">
        <f ca="1">MAX(0.02,MCDA_Prioritisation!$B$13+(RAND()-0.5)*2*$B$6)</f>
        <v>0.14214174915420552</v>
      </c>
      <c r="G333" s="54">
        <f t="shared" ca="1" si="56"/>
        <v>1.085620383147468</v>
      </c>
      <c r="H333" s="54">
        <f t="shared" ca="1" si="57"/>
        <v>0.14890027701715675</v>
      </c>
      <c r="I333" s="54">
        <f t="shared" ca="1" si="58"/>
        <v>0.29669398173412076</v>
      </c>
      <c r="J333" s="54">
        <f t="shared" ca="1" si="59"/>
        <v>0.30315005549363033</v>
      </c>
      <c r="K333" s="54">
        <f t="shared" ca="1" si="60"/>
        <v>0.1203243294902961</v>
      </c>
      <c r="L333" s="54">
        <f t="shared" ca="1" si="61"/>
        <v>0.13093135626479604</v>
      </c>
      <c r="M333" s="54">
        <f ca="1">MIN(100,MAX(0,MCDA_Prioritisation!$F$2+(RAND()-0.5)*2*$B$7))</f>
        <v>78.742232210653626</v>
      </c>
      <c r="N333" s="54">
        <f ca="1">MIN(100,MAX(0,MCDA_Prioritisation!$F$3+(RAND()-0.5)*2*$B$7))</f>
        <v>100</v>
      </c>
      <c r="O333" s="54">
        <f ca="1">MIN(100,MAX(0,MCDA_Prioritisation!$F$4+(RAND()-0.5)*2*$B$7))</f>
        <v>89.355804022203046</v>
      </c>
      <c r="P333" s="54">
        <f ca="1">MIN(100,MAX(0,MCDA_Prioritisation!$F$5+(RAND()-0.5)*2*$B$7))</f>
        <v>75.182225001166586</v>
      </c>
      <c r="Q333" s="54">
        <f ca="1">MIN(100,MAX(0,MCDA_Prioritisation!$G$2+(RAND()-0.5)*2*$B$7))</f>
        <v>75.307346977253275</v>
      </c>
      <c r="R333" s="54">
        <f ca="1">MIN(100,MAX(0,MCDA_Prioritisation!$G$3+(RAND()-0.5)*2*$B$7))</f>
        <v>100</v>
      </c>
      <c r="S333" s="54">
        <f ca="1">MIN(100,MAX(0,MCDA_Prioritisation!$G$4+(RAND()-0.5)*2*$B$7))</f>
        <v>84.95427126658997</v>
      </c>
      <c r="T333" s="54">
        <f ca="1">MIN(100,MAX(0,MCDA_Prioritisation!$G$5+(RAND()-0.5)*2*$B$7))</f>
        <v>76.527230456766134</v>
      </c>
      <c r="U333" s="54">
        <f ca="1">MIN(100,MAX(0,MCDA_Prioritisation!$H$2+(RAND()-0.5)*2*$B$7))</f>
        <v>63.040787608869387</v>
      </c>
      <c r="V333" s="54">
        <f ca="1">MIN(100,MAX(0,MCDA_Prioritisation!$H$3+(RAND()-0.5)*2*$B$7))</f>
        <v>66.771638546255971</v>
      </c>
      <c r="W333" s="54">
        <f ca="1">MIN(100,MAX(0,MCDA_Prioritisation!$H$4+(RAND()-0.5)*2*$B$7))</f>
        <v>80.578596377860251</v>
      </c>
      <c r="X333" s="54">
        <f ca="1">MIN(100,MAX(0,MCDA_Prioritisation!$H$5+(RAND()-0.5)*2*$B$7))</f>
        <v>67.872950734308475</v>
      </c>
      <c r="Y333" s="54">
        <f ca="1">H333*MCDA_Prioritisation!$D$2+I333*MCDA_Prioritisation!$E$2+J333*M333+K333*Q333+L333*U333</f>
        <v>85.745459791841014</v>
      </c>
      <c r="Z333" s="54">
        <f ca="1">H333*MCDA_Prioritisation!$D$3+I333*MCDA_Prioritisation!$E$3+J333*N333+K333*R333+L333*V333</f>
        <v>85.681097395625201</v>
      </c>
      <c r="AA333" s="54">
        <f ca="1">H333*MCDA_Prioritisation!$D$4+I333*MCDA_Prioritisation!$E$4+J333*O333+K333*S333+L333*W333</f>
        <v>74.412395645969156</v>
      </c>
      <c r="AB333" s="54">
        <f ca="1">H333*MCDA_Prioritisation!$D$5+I333*MCDA_Prioritisation!$E$5+J333*P333+K333*T333+L333*X333</f>
        <v>73.738562210262884</v>
      </c>
      <c r="AC333" s="54">
        <f t="shared" ca="1" si="62"/>
        <v>1</v>
      </c>
      <c r="AD333" s="54">
        <f t="shared" ca="1" si="63"/>
        <v>2</v>
      </c>
      <c r="AE333" s="54">
        <f t="shared" ca="1" si="64"/>
        <v>3</v>
      </c>
      <c r="AF333" s="54">
        <f t="shared" ca="1" si="65"/>
        <v>4</v>
      </c>
      <c r="AG333" s="54">
        <f t="shared" ca="1" si="66"/>
        <v>1</v>
      </c>
      <c r="AH333" s="54">
        <f t="shared" ca="1" si="67"/>
        <v>1</v>
      </c>
      <c r="AI333" s="54">
        <f t="shared" ca="1" si="68"/>
        <v>1</v>
      </c>
      <c r="AJ333" s="54">
        <f t="shared" ca="1" si="69"/>
        <v>1</v>
      </c>
    </row>
    <row r="334" spans="1:36" x14ac:dyDescent="0.2">
      <c r="A334" s="54">
        <v>311</v>
      </c>
      <c r="B334" s="54">
        <f ca="1">MAX(0.02,MCDA_Prioritisation!$B$9+(RAND()-0.5)*2*$B$6)</f>
        <v>0.26145795087865514</v>
      </c>
      <c r="C334" s="54">
        <f ca="1">MAX(0.02,MCDA_Prioritisation!$B$10+(RAND()-0.5)*2*$B$6)</f>
        <v>0.25351862937632008</v>
      </c>
      <c r="D334" s="54">
        <f ca="1">MAX(0.02,MCDA_Prioritisation!$B$11+(RAND()-0.5)*2*$B$6)</f>
        <v>0.23264185373865487</v>
      </c>
      <c r="E334" s="54">
        <f ca="1">MAX(0.02,MCDA_Prioritisation!$B$12+(RAND()-0.5)*2*$B$6)</f>
        <v>9.8833313467042105E-2</v>
      </c>
      <c r="F334" s="54">
        <f ca="1">MAX(0.02,MCDA_Prioritisation!$B$13+(RAND()-0.5)*2*$B$6)</f>
        <v>9.9003597463329568E-2</v>
      </c>
      <c r="G334" s="54">
        <f t="shared" ca="1" si="56"/>
        <v>0.94545534492400185</v>
      </c>
      <c r="H334" s="54">
        <f t="shared" ca="1" si="57"/>
        <v>0.27654182958759604</v>
      </c>
      <c r="I334" s="54">
        <f t="shared" ca="1" si="58"/>
        <v>0.26814447740701974</v>
      </c>
      <c r="J334" s="54">
        <f t="shared" ca="1" si="59"/>
        <v>0.24606329107733294</v>
      </c>
      <c r="K334" s="54">
        <f t="shared" ca="1" si="60"/>
        <v>0.1045351470036764</v>
      </c>
      <c r="L334" s="54">
        <f t="shared" ca="1" si="61"/>
        <v>0.10471525492437481</v>
      </c>
      <c r="M334" s="54">
        <f ca="1">MIN(100,MAX(0,MCDA_Prioritisation!$F$2+(RAND()-0.5)*2*$B$7))</f>
        <v>76.985819269800885</v>
      </c>
      <c r="N334" s="54">
        <f ca="1">MIN(100,MAX(0,MCDA_Prioritisation!$F$3+(RAND()-0.5)*2*$B$7))</f>
        <v>94.062407737193951</v>
      </c>
      <c r="O334" s="54">
        <f ca="1">MIN(100,MAX(0,MCDA_Prioritisation!$F$4+(RAND()-0.5)*2*$B$7))</f>
        <v>82.819713718930942</v>
      </c>
      <c r="P334" s="54">
        <f ca="1">MIN(100,MAX(0,MCDA_Prioritisation!$F$5+(RAND()-0.5)*2*$B$7))</f>
        <v>68.93876911021114</v>
      </c>
      <c r="Q334" s="54">
        <f ca="1">MIN(100,MAX(0,MCDA_Prioritisation!$G$2+(RAND()-0.5)*2*$B$7))</f>
        <v>80.946381307286131</v>
      </c>
      <c r="R334" s="54">
        <f ca="1">MIN(100,MAX(0,MCDA_Prioritisation!$G$3+(RAND()-0.5)*2*$B$7))</f>
        <v>99.744053991264764</v>
      </c>
      <c r="S334" s="54">
        <f ca="1">MIN(100,MAX(0,MCDA_Prioritisation!$G$4+(RAND()-0.5)*2*$B$7))</f>
        <v>88.787464804006149</v>
      </c>
      <c r="T334" s="54">
        <f ca="1">MIN(100,MAX(0,MCDA_Prioritisation!$G$5+(RAND()-0.5)*2*$B$7))</f>
        <v>69.865603334652192</v>
      </c>
      <c r="U334" s="54">
        <f ca="1">MIN(100,MAX(0,MCDA_Prioritisation!$H$2+(RAND()-0.5)*2*$B$7))</f>
        <v>67.033328706230122</v>
      </c>
      <c r="V334" s="54">
        <f ca="1">MIN(100,MAX(0,MCDA_Prioritisation!$H$3+(RAND()-0.5)*2*$B$7))</f>
        <v>57.491411001646298</v>
      </c>
      <c r="W334" s="54">
        <f ca="1">MIN(100,MAX(0,MCDA_Prioritisation!$H$4+(RAND()-0.5)*2*$B$7))</f>
        <v>75.39072163822874</v>
      </c>
      <c r="X334" s="54">
        <f ca="1">MIN(100,MAX(0,MCDA_Prioritisation!$H$5+(RAND()-0.5)*2*$B$7))</f>
        <v>72.459233683483191</v>
      </c>
      <c r="Y334" s="54">
        <f ca="1">H334*MCDA_Prioritisation!$D$2+I334*MCDA_Prioritisation!$E$2+J334*M334+K334*Q334+L334*U334</f>
        <v>88.893168728548645</v>
      </c>
      <c r="Z334" s="54">
        <f ca="1">H334*MCDA_Prioritisation!$D$3+I334*MCDA_Prioritisation!$E$3+J334*N334+K334*R334+L334*V334</f>
        <v>83.262591088003134</v>
      </c>
      <c r="AA334" s="54">
        <f ca="1">H334*MCDA_Prioritisation!$D$4+I334*MCDA_Prioritisation!$E$4+J334*O334+K334*S334+L334*W334</f>
        <v>71.437670381945111</v>
      </c>
      <c r="AB334" s="54">
        <f ca="1">H334*MCDA_Prioritisation!$D$5+I334*MCDA_Prioritisation!$E$5+J334*P334+K334*T334+L334*X334</f>
        <v>69.080515203143051</v>
      </c>
      <c r="AC334" s="54">
        <f t="shared" ca="1" si="62"/>
        <v>1</v>
      </c>
      <c r="AD334" s="54">
        <f t="shared" ca="1" si="63"/>
        <v>2</v>
      </c>
      <c r="AE334" s="54">
        <f t="shared" ca="1" si="64"/>
        <v>3</v>
      </c>
      <c r="AF334" s="54">
        <f t="shared" ca="1" si="65"/>
        <v>4</v>
      </c>
      <c r="AG334" s="54">
        <f t="shared" ca="1" si="66"/>
        <v>1</v>
      </c>
      <c r="AH334" s="54">
        <f t="shared" ca="1" si="67"/>
        <v>1</v>
      </c>
      <c r="AI334" s="54">
        <f t="shared" ca="1" si="68"/>
        <v>1</v>
      </c>
      <c r="AJ334" s="54">
        <f t="shared" ca="1" si="69"/>
        <v>1</v>
      </c>
    </row>
    <row r="335" spans="1:36" x14ac:dyDescent="0.2">
      <c r="A335" s="54">
        <v>312</v>
      </c>
      <c r="B335" s="54">
        <f ca="1">MAX(0.02,MCDA_Prioritisation!$B$9+(RAND()-0.5)*2*$B$6)</f>
        <v>0.16740374223746485</v>
      </c>
      <c r="C335" s="54">
        <f ca="1">MAX(0.02,MCDA_Prioritisation!$B$10+(RAND()-0.5)*2*$B$6)</f>
        <v>0.27226411350207153</v>
      </c>
      <c r="D335" s="54">
        <f ca="1">MAX(0.02,MCDA_Prioritisation!$B$11+(RAND()-0.5)*2*$B$6)</f>
        <v>0.2790996830191389</v>
      </c>
      <c r="E335" s="54">
        <f ca="1">MAX(0.02,MCDA_Prioritisation!$B$12+(RAND()-0.5)*2*$B$6)</f>
        <v>0.20401542365672212</v>
      </c>
      <c r="F335" s="54">
        <f ca="1">MAX(0.02,MCDA_Prioritisation!$B$13+(RAND()-0.5)*2*$B$6)</f>
        <v>0.19690275864760512</v>
      </c>
      <c r="G335" s="54">
        <f t="shared" ca="1" si="56"/>
        <v>1.1196857210630025</v>
      </c>
      <c r="H335" s="54">
        <f t="shared" ca="1" si="57"/>
        <v>0.14950958031199665</v>
      </c>
      <c r="I335" s="54">
        <f t="shared" ca="1" si="58"/>
        <v>0.24316119102027181</v>
      </c>
      <c r="J335" s="54">
        <f t="shared" ca="1" si="59"/>
        <v>0.24926609116187393</v>
      </c>
      <c r="K335" s="54">
        <f t="shared" ca="1" si="60"/>
        <v>0.18220775689006272</v>
      </c>
      <c r="L335" s="54">
        <f t="shared" ca="1" si="61"/>
        <v>0.17585538061579495</v>
      </c>
      <c r="M335" s="54">
        <f ca="1">MIN(100,MAX(0,MCDA_Prioritisation!$F$2+(RAND()-0.5)*2*$B$7))</f>
        <v>81.070754958275671</v>
      </c>
      <c r="N335" s="54">
        <f ca="1">MIN(100,MAX(0,MCDA_Prioritisation!$F$3+(RAND()-0.5)*2*$B$7))</f>
        <v>89.388094893386864</v>
      </c>
      <c r="O335" s="54">
        <f ca="1">MIN(100,MAX(0,MCDA_Prioritisation!$F$4+(RAND()-0.5)*2*$B$7))</f>
        <v>86.570368213063574</v>
      </c>
      <c r="P335" s="54">
        <f ca="1">MIN(100,MAX(0,MCDA_Prioritisation!$F$5+(RAND()-0.5)*2*$B$7))</f>
        <v>67.205359979439663</v>
      </c>
      <c r="Q335" s="54">
        <f ca="1">MIN(100,MAX(0,MCDA_Prioritisation!$G$2+(RAND()-0.5)*2*$B$7))</f>
        <v>72.728518767956601</v>
      </c>
      <c r="R335" s="54">
        <f ca="1">MIN(100,MAX(0,MCDA_Prioritisation!$G$3+(RAND()-0.5)*2*$B$7))</f>
        <v>86.330112273144522</v>
      </c>
      <c r="S335" s="54">
        <f ca="1">MIN(100,MAX(0,MCDA_Prioritisation!$G$4+(RAND()-0.5)*2*$B$7))</f>
        <v>80.241506910983077</v>
      </c>
      <c r="T335" s="54">
        <f ca="1">MIN(100,MAX(0,MCDA_Prioritisation!$G$5+(RAND()-0.5)*2*$B$7))</f>
        <v>69.028893402245231</v>
      </c>
      <c r="U335" s="54">
        <f ca="1">MIN(100,MAX(0,MCDA_Prioritisation!$H$2+(RAND()-0.5)*2*$B$7))</f>
        <v>63.91591371960758</v>
      </c>
      <c r="V335" s="54">
        <f ca="1">MIN(100,MAX(0,MCDA_Prioritisation!$H$3+(RAND()-0.5)*2*$B$7))</f>
        <v>63.701714115234907</v>
      </c>
      <c r="W335" s="54">
        <f ca="1">MIN(100,MAX(0,MCDA_Prioritisation!$H$4+(RAND()-0.5)*2*$B$7))</f>
        <v>73.071498468781499</v>
      </c>
      <c r="X335" s="54">
        <f ca="1">MIN(100,MAX(0,MCDA_Prioritisation!$H$5+(RAND()-0.5)*2*$B$7))</f>
        <v>81.057195124389963</v>
      </c>
      <c r="Y335" s="54">
        <f ca="1">H335*MCDA_Prioritisation!$D$2+I335*MCDA_Prioritisation!$E$2+J335*M335+K335*Q335+L335*U335</f>
        <v>83.966924930432441</v>
      </c>
      <c r="Z335" s="54">
        <f ca="1">H335*MCDA_Prioritisation!$D$3+I335*MCDA_Prioritisation!$E$3+J335*N335+K335*R335+L335*V335</f>
        <v>79.964841315821445</v>
      </c>
      <c r="AA335" s="54">
        <f ca="1">H335*MCDA_Prioritisation!$D$4+I335*MCDA_Prioritisation!$E$4+J335*O335+K335*S335+L335*W335</f>
        <v>72.724004411869942</v>
      </c>
      <c r="AB335" s="54">
        <f ca="1">H335*MCDA_Prioritisation!$D$5+I335*MCDA_Prioritisation!$E$5+J335*P335+K335*T335+L335*X335</f>
        <v>71.966960735348522</v>
      </c>
      <c r="AC335" s="54">
        <f t="shared" ca="1" si="62"/>
        <v>1</v>
      </c>
      <c r="AD335" s="54">
        <f t="shared" ca="1" si="63"/>
        <v>2</v>
      </c>
      <c r="AE335" s="54">
        <f t="shared" ca="1" si="64"/>
        <v>3</v>
      </c>
      <c r="AF335" s="54">
        <f t="shared" ca="1" si="65"/>
        <v>4</v>
      </c>
      <c r="AG335" s="54">
        <f t="shared" ca="1" si="66"/>
        <v>1</v>
      </c>
      <c r="AH335" s="54">
        <f t="shared" ca="1" si="67"/>
        <v>1</v>
      </c>
      <c r="AI335" s="54">
        <f t="shared" ca="1" si="68"/>
        <v>1</v>
      </c>
      <c r="AJ335" s="54">
        <f t="shared" ca="1" si="69"/>
        <v>1</v>
      </c>
    </row>
    <row r="336" spans="1:36" x14ac:dyDescent="0.2">
      <c r="A336" s="54">
        <v>313</v>
      </c>
      <c r="B336" s="54">
        <f ca="1">MAX(0.02,MCDA_Prioritisation!$B$9+(RAND()-0.5)*2*$B$6)</f>
        <v>0.26984027615262385</v>
      </c>
      <c r="C336" s="54">
        <f ca="1">MAX(0.02,MCDA_Prioritisation!$B$10+(RAND()-0.5)*2*$B$6)</f>
        <v>0.32911823846874588</v>
      </c>
      <c r="D336" s="54">
        <f ca="1">MAX(0.02,MCDA_Prioritisation!$B$11+(RAND()-0.5)*2*$B$6)</f>
        <v>0.1838854322884112</v>
      </c>
      <c r="E336" s="54">
        <f ca="1">MAX(0.02,MCDA_Prioritisation!$B$12+(RAND()-0.5)*2*$B$6)</f>
        <v>0.18523414718133174</v>
      </c>
      <c r="F336" s="54">
        <f ca="1">MAX(0.02,MCDA_Prioritisation!$B$13+(RAND()-0.5)*2*$B$6)</f>
        <v>0.17830690498984014</v>
      </c>
      <c r="G336" s="54">
        <f t="shared" ca="1" si="56"/>
        <v>1.1463849990809529</v>
      </c>
      <c r="H336" s="54">
        <f t="shared" ca="1" si="57"/>
        <v>0.23538364194311029</v>
      </c>
      <c r="I336" s="54">
        <f t="shared" ca="1" si="58"/>
        <v>0.2870922410294946</v>
      </c>
      <c r="J336" s="54">
        <f t="shared" ca="1" si="59"/>
        <v>0.16040460441808868</v>
      </c>
      <c r="K336" s="54">
        <f t="shared" ca="1" si="60"/>
        <v>0.16158109826090919</v>
      </c>
      <c r="L336" s="54">
        <f t="shared" ca="1" si="61"/>
        <v>0.15553841434839716</v>
      </c>
      <c r="M336" s="54">
        <f ca="1">MIN(100,MAX(0,MCDA_Prioritisation!$F$2+(RAND()-0.5)*2*$B$7))</f>
        <v>75.955371673477714</v>
      </c>
      <c r="N336" s="54">
        <f ca="1">MIN(100,MAX(0,MCDA_Prioritisation!$F$3+(RAND()-0.5)*2*$B$7))</f>
        <v>99.649015988202834</v>
      </c>
      <c r="O336" s="54">
        <f ca="1">MIN(100,MAX(0,MCDA_Prioritisation!$F$4+(RAND()-0.5)*2*$B$7))</f>
        <v>92.086231953980402</v>
      </c>
      <c r="P336" s="54">
        <f ca="1">MIN(100,MAX(0,MCDA_Prioritisation!$F$5+(RAND()-0.5)*2*$B$7))</f>
        <v>75.741105136731022</v>
      </c>
      <c r="Q336" s="54">
        <f ca="1">MIN(100,MAX(0,MCDA_Prioritisation!$G$2+(RAND()-0.5)*2*$B$7))</f>
        <v>75.238428456871617</v>
      </c>
      <c r="R336" s="54">
        <f ca="1">MIN(100,MAX(0,MCDA_Prioritisation!$G$3+(RAND()-0.5)*2*$B$7))</f>
        <v>86.60790607293832</v>
      </c>
      <c r="S336" s="54">
        <f ca="1">MIN(100,MAX(0,MCDA_Prioritisation!$G$4+(RAND()-0.5)*2*$B$7))</f>
        <v>82.510271320526243</v>
      </c>
      <c r="T336" s="54">
        <f ca="1">MIN(100,MAX(0,MCDA_Prioritisation!$G$5+(RAND()-0.5)*2*$B$7))</f>
        <v>73.91692948935578</v>
      </c>
      <c r="U336" s="54">
        <f ca="1">MIN(100,MAX(0,MCDA_Prioritisation!$H$2+(RAND()-0.5)*2*$B$7))</f>
        <v>71.96858078757613</v>
      </c>
      <c r="V336" s="54">
        <f ca="1">MIN(100,MAX(0,MCDA_Prioritisation!$H$3+(RAND()-0.5)*2*$B$7))</f>
        <v>55.511102937374247</v>
      </c>
      <c r="W336" s="54">
        <f ca="1">MIN(100,MAX(0,MCDA_Prioritisation!$H$4+(RAND()-0.5)*2*$B$7))</f>
        <v>81.797268698273868</v>
      </c>
      <c r="X336" s="54">
        <f ca="1">MIN(100,MAX(0,MCDA_Prioritisation!$H$5+(RAND()-0.5)*2*$B$7))</f>
        <v>68.733632162424641</v>
      </c>
      <c r="Y336" s="54">
        <f ca="1">H336*MCDA_Prioritisation!$D$2+I336*MCDA_Prioritisation!$E$2+J336*M336+K336*Q336+L336*U336</f>
        <v>87.78216648406385</v>
      </c>
      <c r="Z336" s="54">
        <f ca="1">H336*MCDA_Prioritisation!$D$3+I336*MCDA_Prioritisation!$E$3+J336*N336+K336*R336+L336*V336</f>
        <v>80.063692531752253</v>
      </c>
      <c r="AA336" s="54">
        <f ca="1">H336*MCDA_Prioritisation!$D$4+I336*MCDA_Prioritisation!$E$4+J336*O336+K336*S336+L336*W336</f>
        <v>72.876083219990889</v>
      </c>
      <c r="AB336" s="54">
        <f ca="1">H336*MCDA_Prioritisation!$D$5+I336*MCDA_Prioritisation!$E$5+J336*P336+K336*T336+L336*X336</f>
        <v>71.418564600313076</v>
      </c>
      <c r="AC336" s="54">
        <f t="shared" ca="1" si="62"/>
        <v>1</v>
      </c>
      <c r="AD336" s="54">
        <f t="shared" ca="1" si="63"/>
        <v>2</v>
      </c>
      <c r="AE336" s="54">
        <f t="shared" ca="1" si="64"/>
        <v>3</v>
      </c>
      <c r="AF336" s="54">
        <f t="shared" ca="1" si="65"/>
        <v>4</v>
      </c>
      <c r="AG336" s="54">
        <f t="shared" ca="1" si="66"/>
        <v>1</v>
      </c>
      <c r="AH336" s="54">
        <f t="shared" ca="1" si="67"/>
        <v>1</v>
      </c>
      <c r="AI336" s="54">
        <f t="shared" ca="1" si="68"/>
        <v>1</v>
      </c>
      <c r="AJ336" s="54">
        <f t="shared" ca="1" si="69"/>
        <v>1</v>
      </c>
    </row>
    <row r="337" spans="1:36" x14ac:dyDescent="0.2">
      <c r="A337" s="54">
        <v>314</v>
      </c>
      <c r="B337" s="54">
        <f ca="1">MAX(0.02,MCDA_Prioritisation!$B$9+(RAND()-0.5)*2*$B$6)</f>
        <v>0.24158566979803692</v>
      </c>
      <c r="C337" s="54">
        <f ca="1">MAX(0.02,MCDA_Prioritisation!$B$10+(RAND()-0.5)*2*$B$6)</f>
        <v>0.17495023101396975</v>
      </c>
      <c r="D337" s="54">
        <f ca="1">MAX(0.02,MCDA_Prioritisation!$B$11+(RAND()-0.5)*2*$B$6)</f>
        <v>0.17949784702935473</v>
      </c>
      <c r="E337" s="54">
        <f ca="1">MAX(0.02,MCDA_Prioritisation!$B$12+(RAND()-0.5)*2*$B$6)</f>
        <v>0.17310462040110491</v>
      </c>
      <c r="F337" s="54">
        <f ca="1">MAX(0.02,MCDA_Prioritisation!$B$13+(RAND()-0.5)*2*$B$6)</f>
        <v>0.2071037707229097</v>
      </c>
      <c r="G337" s="54">
        <f t="shared" ca="1" si="56"/>
        <v>0.97624213896537593</v>
      </c>
      <c r="H337" s="54">
        <f t="shared" ca="1" si="57"/>
        <v>0.24746490666144577</v>
      </c>
      <c r="I337" s="54">
        <f t="shared" ca="1" si="58"/>
        <v>0.17920782563164347</v>
      </c>
      <c r="J337" s="54">
        <f t="shared" ca="1" si="59"/>
        <v>0.18386611258103142</v>
      </c>
      <c r="K337" s="54">
        <f t="shared" ca="1" si="60"/>
        <v>0.17731730017776293</v>
      </c>
      <c r="L337" s="54">
        <f t="shared" ca="1" si="61"/>
        <v>0.21214385494811649</v>
      </c>
      <c r="M337" s="54">
        <f ca="1">MIN(100,MAX(0,MCDA_Prioritisation!$F$2+(RAND()-0.5)*2*$B$7))</f>
        <v>82.703390894514357</v>
      </c>
      <c r="N337" s="54">
        <f ca="1">MIN(100,MAX(0,MCDA_Prioritisation!$F$3+(RAND()-0.5)*2*$B$7))</f>
        <v>87.414471120782054</v>
      </c>
      <c r="O337" s="54">
        <f ca="1">MIN(100,MAX(0,MCDA_Prioritisation!$F$4+(RAND()-0.5)*2*$B$7))</f>
        <v>90.097622073491124</v>
      </c>
      <c r="P337" s="54">
        <f ca="1">MIN(100,MAX(0,MCDA_Prioritisation!$F$5+(RAND()-0.5)*2*$B$7))</f>
        <v>66.957435862941722</v>
      </c>
      <c r="Q337" s="54">
        <f ca="1">MIN(100,MAX(0,MCDA_Prioritisation!$G$2+(RAND()-0.5)*2*$B$7))</f>
        <v>87.651349908587392</v>
      </c>
      <c r="R337" s="54">
        <f ca="1">MIN(100,MAX(0,MCDA_Prioritisation!$G$3+(RAND()-0.5)*2*$B$7))</f>
        <v>89.017564533566301</v>
      </c>
      <c r="S337" s="54">
        <f ca="1">MIN(100,MAX(0,MCDA_Prioritisation!$G$4+(RAND()-0.5)*2*$B$7))</f>
        <v>85.979265931681269</v>
      </c>
      <c r="T337" s="54">
        <f ca="1">MIN(100,MAX(0,MCDA_Prioritisation!$G$5+(RAND()-0.5)*2*$B$7))</f>
        <v>66.551071516932964</v>
      </c>
      <c r="U337" s="54">
        <f ca="1">MIN(100,MAX(0,MCDA_Prioritisation!$H$2+(RAND()-0.5)*2*$B$7))</f>
        <v>73.926274011119347</v>
      </c>
      <c r="V337" s="54">
        <f ca="1">MIN(100,MAX(0,MCDA_Prioritisation!$H$3+(RAND()-0.5)*2*$B$7))</f>
        <v>69.936546579836417</v>
      </c>
      <c r="W337" s="54">
        <f ca="1">MIN(100,MAX(0,MCDA_Prioritisation!$H$4+(RAND()-0.5)*2*$B$7))</f>
        <v>78.417650587676107</v>
      </c>
      <c r="X337" s="54">
        <f ca="1">MIN(100,MAX(0,MCDA_Prioritisation!$H$5+(RAND()-0.5)*2*$B$7))</f>
        <v>80.258076509583077</v>
      </c>
      <c r="Y337" s="54">
        <f ca="1">H337*MCDA_Prioritisation!$D$2+I337*MCDA_Prioritisation!$E$2+J337*M337+K337*Q337+L337*U337</f>
        <v>89.098729683749497</v>
      </c>
      <c r="Z337" s="54">
        <f ca="1">H337*MCDA_Prioritisation!$D$3+I337*MCDA_Prioritisation!$E$3+J337*N337+K337*R337+L337*V337</f>
        <v>81.354468872545084</v>
      </c>
      <c r="AA337" s="54">
        <f ca="1">H337*MCDA_Prioritisation!$D$4+I337*MCDA_Prioritisation!$E$4+J337*O337+K337*S337+L337*W337</f>
        <v>75.454307181096553</v>
      </c>
      <c r="AB337" s="54">
        <f ca="1">H337*MCDA_Prioritisation!$D$5+I337*MCDA_Prioritisation!$E$5+J337*P337+K337*T337+L337*X337</f>
        <v>69.342286601601799</v>
      </c>
      <c r="AC337" s="54">
        <f t="shared" ca="1" si="62"/>
        <v>1</v>
      </c>
      <c r="AD337" s="54">
        <f t="shared" ca="1" si="63"/>
        <v>2</v>
      </c>
      <c r="AE337" s="54">
        <f t="shared" ca="1" si="64"/>
        <v>3</v>
      </c>
      <c r="AF337" s="54">
        <f t="shared" ca="1" si="65"/>
        <v>4</v>
      </c>
      <c r="AG337" s="54">
        <f t="shared" ca="1" si="66"/>
        <v>1</v>
      </c>
      <c r="AH337" s="54">
        <f t="shared" ca="1" si="67"/>
        <v>1</v>
      </c>
      <c r="AI337" s="54">
        <f t="shared" ca="1" si="68"/>
        <v>1</v>
      </c>
      <c r="AJ337" s="54">
        <f t="shared" ca="1" si="69"/>
        <v>1</v>
      </c>
    </row>
    <row r="338" spans="1:36" x14ac:dyDescent="0.2">
      <c r="A338" s="54">
        <v>315</v>
      </c>
      <c r="B338" s="54">
        <f ca="1">MAX(0.02,MCDA_Prioritisation!$B$9+(RAND()-0.5)*2*$B$6)</f>
        <v>0.27315472673144697</v>
      </c>
      <c r="C338" s="54">
        <f ca="1">MAX(0.02,MCDA_Prioritisation!$B$10+(RAND()-0.5)*2*$B$6)</f>
        <v>0.29235371879167921</v>
      </c>
      <c r="D338" s="54">
        <f ca="1">MAX(0.02,MCDA_Prioritisation!$B$11+(RAND()-0.5)*2*$B$6)</f>
        <v>0.22143769332006522</v>
      </c>
      <c r="E338" s="54">
        <f ca="1">MAX(0.02,MCDA_Prioritisation!$B$12+(RAND()-0.5)*2*$B$6)</f>
        <v>0.19491886362272839</v>
      </c>
      <c r="F338" s="54">
        <f ca="1">MAX(0.02,MCDA_Prioritisation!$B$13+(RAND()-0.5)*2*$B$6)</f>
        <v>0.18571901639676305</v>
      </c>
      <c r="G338" s="54">
        <f t="shared" ca="1" si="56"/>
        <v>1.1675840188626829</v>
      </c>
      <c r="H338" s="54">
        <f t="shared" ca="1" si="57"/>
        <v>0.23394866863416031</v>
      </c>
      <c r="I338" s="54">
        <f t="shared" ca="1" si="58"/>
        <v>0.25039201810628953</v>
      </c>
      <c r="J338" s="54">
        <f t="shared" ca="1" si="59"/>
        <v>0.18965461135359032</v>
      </c>
      <c r="K338" s="54">
        <f t="shared" ca="1" si="60"/>
        <v>0.16694204483253755</v>
      </c>
      <c r="L338" s="54">
        <f t="shared" ca="1" si="61"/>
        <v>0.15906265707342221</v>
      </c>
      <c r="M338" s="54">
        <f ca="1">MIN(100,MAX(0,MCDA_Prioritisation!$F$2+(RAND()-0.5)*2*$B$7))</f>
        <v>89.351022308736887</v>
      </c>
      <c r="N338" s="54">
        <f ca="1">MIN(100,MAX(0,MCDA_Prioritisation!$F$3+(RAND()-0.5)*2*$B$7))</f>
        <v>85.633407633146874</v>
      </c>
      <c r="O338" s="54">
        <f ca="1">MIN(100,MAX(0,MCDA_Prioritisation!$F$4+(RAND()-0.5)*2*$B$7))</f>
        <v>98.707654322864883</v>
      </c>
      <c r="P338" s="54">
        <f ca="1">MIN(100,MAX(0,MCDA_Prioritisation!$F$5+(RAND()-0.5)*2*$B$7))</f>
        <v>65.549162438239421</v>
      </c>
      <c r="Q338" s="54">
        <f ca="1">MIN(100,MAX(0,MCDA_Prioritisation!$G$2+(RAND()-0.5)*2*$B$7))</f>
        <v>80.697594532277719</v>
      </c>
      <c r="R338" s="54">
        <f ca="1">MIN(100,MAX(0,MCDA_Prioritisation!$G$3+(RAND()-0.5)*2*$B$7))</f>
        <v>100</v>
      </c>
      <c r="S338" s="54">
        <f ca="1">MIN(100,MAX(0,MCDA_Prioritisation!$G$4+(RAND()-0.5)*2*$B$7))</f>
        <v>94.139225403909265</v>
      </c>
      <c r="T338" s="54">
        <f ca="1">MIN(100,MAX(0,MCDA_Prioritisation!$G$5+(RAND()-0.5)*2*$B$7))</f>
        <v>79.243100020524679</v>
      </c>
      <c r="U338" s="54">
        <f ca="1">MIN(100,MAX(0,MCDA_Prioritisation!$H$2+(RAND()-0.5)*2*$B$7))</f>
        <v>69.921483916973429</v>
      </c>
      <c r="V338" s="54">
        <f ca="1">MIN(100,MAX(0,MCDA_Prioritisation!$H$3+(RAND()-0.5)*2*$B$7))</f>
        <v>63.876084330400474</v>
      </c>
      <c r="W338" s="54">
        <f ca="1">MIN(100,MAX(0,MCDA_Prioritisation!$H$4+(RAND()-0.5)*2*$B$7))</f>
        <v>73.285942974969956</v>
      </c>
      <c r="X338" s="54">
        <f ca="1">MIN(100,MAX(0,MCDA_Prioritisation!$H$5+(RAND()-0.5)*2*$B$7))</f>
        <v>73.802492625731659</v>
      </c>
      <c r="Y338" s="54">
        <f ca="1">H338*MCDA_Prioritisation!$D$2+I338*MCDA_Prioritisation!$E$2+J338*M338+K338*Q338+L338*U338</f>
        <v>89.973620546690242</v>
      </c>
      <c r="Z338" s="54">
        <f ca="1">H338*MCDA_Prioritisation!$D$3+I338*MCDA_Prioritisation!$E$3+J338*N338+K338*R338+L338*V338</f>
        <v>81.751977601088925</v>
      </c>
      <c r="AA338" s="54">
        <f ca="1">H338*MCDA_Prioritisation!$D$4+I338*MCDA_Prioritisation!$E$4+J338*O338+K338*S338+L338*W338</f>
        <v>76.041769856896011</v>
      </c>
      <c r="AB338" s="54">
        <f ca="1">H338*MCDA_Prioritisation!$D$5+I338*MCDA_Prioritisation!$E$5+J338*P338+K338*T338+L338*X338</f>
        <v>70.872652850822476</v>
      </c>
      <c r="AC338" s="54">
        <f t="shared" ca="1" si="62"/>
        <v>1</v>
      </c>
      <c r="AD338" s="54">
        <f t="shared" ca="1" si="63"/>
        <v>2</v>
      </c>
      <c r="AE338" s="54">
        <f t="shared" ca="1" si="64"/>
        <v>3</v>
      </c>
      <c r="AF338" s="54">
        <f t="shared" ca="1" si="65"/>
        <v>4</v>
      </c>
      <c r="AG338" s="54">
        <f t="shared" ca="1" si="66"/>
        <v>1</v>
      </c>
      <c r="AH338" s="54">
        <f t="shared" ca="1" si="67"/>
        <v>1</v>
      </c>
      <c r="AI338" s="54">
        <f t="shared" ca="1" si="68"/>
        <v>1</v>
      </c>
      <c r="AJ338" s="54">
        <f t="shared" ca="1" si="69"/>
        <v>1</v>
      </c>
    </row>
    <row r="339" spans="1:36" x14ac:dyDescent="0.2">
      <c r="A339" s="54">
        <v>316</v>
      </c>
      <c r="B339" s="54">
        <f ca="1">MAX(0.02,MCDA_Prioritisation!$B$9+(RAND()-0.5)*2*$B$6)</f>
        <v>0.20465237051750743</v>
      </c>
      <c r="C339" s="54">
        <f ca="1">MAX(0.02,MCDA_Prioritisation!$B$10+(RAND()-0.5)*2*$B$6)</f>
        <v>0.30601532372452928</v>
      </c>
      <c r="D339" s="54">
        <f ca="1">MAX(0.02,MCDA_Prioritisation!$B$11+(RAND()-0.5)*2*$B$6)</f>
        <v>0.21514789394750633</v>
      </c>
      <c r="E339" s="54">
        <f ca="1">MAX(0.02,MCDA_Prioritisation!$B$12+(RAND()-0.5)*2*$B$6)</f>
        <v>0.17925698414411337</v>
      </c>
      <c r="F339" s="54">
        <f ca="1">MAX(0.02,MCDA_Prioritisation!$B$13+(RAND()-0.5)*2*$B$6)</f>
        <v>9.2110077730820333E-2</v>
      </c>
      <c r="G339" s="54">
        <f t="shared" ca="1" si="56"/>
        <v>0.99718265006447682</v>
      </c>
      <c r="H339" s="54">
        <f t="shared" ca="1" si="57"/>
        <v>0.20523057687001955</v>
      </c>
      <c r="I339" s="54">
        <f t="shared" ca="1" si="58"/>
        <v>0.30687991182432089</v>
      </c>
      <c r="J339" s="54">
        <f t="shared" ca="1" si="59"/>
        <v>0.21575575340545194</v>
      </c>
      <c r="K339" s="54">
        <f t="shared" ca="1" si="60"/>
        <v>0.17976344066207209</v>
      </c>
      <c r="L339" s="54">
        <f t="shared" ca="1" si="61"/>
        <v>9.2370317238135449E-2</v>
      </c>
      <c r="M339" s="54">
        <f ca="1">MIN(100,MAX(0,MCDA_Prioritisation!$F$2+(RAND()-0.5)*2*$B$7))</f>
        <v>75.441503219451562</v>
      </c>
      <c r="N339" s="54">
        <f ca="1">MIN(100,MAX(0,MCDA_Prioritisation!$F$3+(RAND()-0.5)*2*$B$7))</f>
        <v>85.760986006408231</v>
      </c>
      <c r="O339" s="54">
        <f ca="1">MIN(100,MAX(0,MCDA_Prioritisation!$F$4+(RAND()-0.5)*2*$B$7))</f>
        <v>94.281671536859079</v>
      </c>
      <c r="P339" s="54">
        <f ca="1">MIN(100,MAX(0,MCDA_Prioritisation!$F$5+(RAND()-0.5)*2*$B$7))</f>
        <v>75.483584621129168</v>
      </c>
      <c r="Q339" s="54">
        <f ca="1">MIN(100,MAX(0,MCDA_Prioritisation!$G$2+(RAND()-0.5)*2*$B$7))</f>
        <v>81.798474246964759</v>
      </c>
      <c r="R339" s="54">
        <f ca="1">MIN(100,MAX(0,MCDA_Prioritisation!$G$3+(RAND()-0.5)*2*$B$7))</f>
        <v>97.545768461815186</v>
      </c>
      <c r="S339" s="54">
        <f ca="1">MIN(100,MAX(0,MCDA_Prioritisation!$G$4+(RAND()-0.5)*2*$B$7))</f>
        <v>82.885095454226047</v>
      </c>
      <c r="T339" s="54">
        <f ca="1">MIN(100,MAX(0,MCDA_Prioritisation!$G$5+(RAND()-0.5)*2*$B$7))</f>
        <v>71.844310939859071</v>
      </c>
      <c r="U339" s="54">
        <f ca="1">MIN(100,MAX(0,MCDA_Prioritisation!$H$2+(RAND()-0.5)*2*$B$7))</f>
        <v>61.665700806916917</v>
      </c>
      <c r="V339" s="54">
        <f ca="1">MIN(100,MAX(0,MCDA_Prioritisation!$H$3+(RAND()-0.5)*2*$B$7))</f>
        <v>52.12978804525126</v>
      </c>
      <c r="W339" s="54">
        <f ca="1">MIN(100,MAX(0,MCDA_Prioritisation!$H$4+(RAND()-0.5)*2*$B$7))</f>
        <v>86.05372690838324</v>
      </c>
      <c r="X339" s="54">
        <f ca="1">MIN(100,MAX(0,MCDA_Prioritisation!$H$5+(RAND()-0.5)*2*$B$7))</f>
        <v>79.68164640122383</v>
      </c>
      <c r="Y339" s="54">
        <f ca="1">H339*MCDA_Prioritisation!$D$2+I339*MCDA_Prioritisation!$E$2+J339*M339+K339*Q339+L339*U339</f>
        <v>87.888442752375781</v>
      </c>
      <c r="Z339" s="54">
        <f ca="1">H339*MCDA_Prioritisation!$D$3+I339*MCDA_Prioritisation!$E$3+J339*N339+K339*R339+L339*V339</f>
        <v>81.108876948330334</v>
      </c>
      <c r="AA339" s="54">
        <f ca="1">H339*MCDA_Prioritisation!$D$4+I339*MCDA_Prioritisation!$E$4+J339*O339+K339*S339+L339*W339</f>
        <v>74.220288253228574</v>
      </c>
      <c r="AB339" s="54">
        <f ca="1">H339*MCDA_Prioritisation!$D$5+I339*MCDA_Prioritisation!$E$5+J339*P339+K339*T339+L339*X339</f>
        <v>73.25982340543014</v>
      </c>
      <c r="AC339" s="54">
        <f t="shared" ca="1" si="62"/>
        <v>1</v>
      </c>
      <c r="AD339" s="54">
        <f t="shared" ca="1" si="63"/>
        <v>2</v>
      </c>
      <c r="AE339" s="54">
        <f t="shared" ca="1" si="64"/>
        <v>3</v>
      </c>
      <c r="AF339" s="54">
        <f t="shared" ca="1" si="65"/>
        <v>4</v>
      </c>
      <c r="AG339" s="54">
        <f t="shared" ca="1" si="66"/>
        <v>1</v>
      </c>
      <c r="AH339" s="54">
        <f t="shared" ca="1" si="67"/>
        <v>1</v>
      </c>
      <c r="AI339" s="54">
        <f t="shared" ca="1" si="68"/>
        <v>1</v>
      </c>
      <c r="AJ339" s="54">
        <f t="shared" ca="1" si="69"/>
        <v>1</v>
      </c>
    </row>
    <row r="340" spans="1:36" x14ac:dyDescent="0.2">
      <c r="A340" s="54">
        <v>317</v>
      </c>
      <c r="B340" s="54">
        <f ca="1">MAX(0.02,MCDA_Prioritisation!$B$9+(RAND()-0.5)*2*$B$6)</f>
        <v>0.13749922301139733</v>
      </c>
      <c r="C340" s="54">
        <f ca="1">MAX(0.02,MCDA_Prioritisation!$B$10+(RAND()-0.5)*2*$B$6)</f>
        <v>0.28997752073074234</v>
      </c>
      <c r="D340" s="54">
        <f ca="1">MAX(0.02,MCDA_Prioritisation!$B$11+(RAND()-0.5)*2*$B$6)</f>
        <v>0.26858886217676081</v>
      </c>
      <c r="E340" s="54">
        <f ca="1">MAX(0.02,MCDA_Prioritisation!$B$12+(RAND()-0.5)*2*$B$6)</f>
        <v>0.16399191565617297</v>
      </c>
      <c r="F340" s="54">
        <f ca="1">MAX(0.02,MCDA_Prioritisation!$B$13+(RAND()-0.5)*2*$B$6)</f>
        <v>0.19531941853289825</v>
      </c>
      <c r="G340" s="54">
        <f t="shared" ca="1" si="56"/>
        <v>1.0553769401079718</v>
      </c>
      <c r="H340" s="54">
        <f t="shared" ca="1" si="57"/>
        <v>0.13028446783888445</v>
      </c>
      <c r="I340" s="54">
        <f t="shared" ca="1" si="58"/>
        <v>0.27476203971357932</v>
      </c>
      <c r="J340" s="54">
        <f t="shared" ca="1" si="59"/>
        <v>0.25449567066462764</v>
      </c>
      <c r="K340" s="54">
        <f t="shared" ca="1" si="60"/>
        <v>0.15538705596447422</v>
      </c>
      <c r="L340" s="54">
        <f t="shared" ca="1" si="61"/>
        <v>0.18507076581843435</v>
      </c>
      <c r="M340" s="54">
        <f ca="1">MIN(100,MAX(0,MCDA_Prioritisation!$F$2+(RAND()-0.5)*2*$B$7))</f>
        <v>82.501343455441486</v>
      </c>
      <c r="N340" s="54">
        <f ca="1">MIN(100,MAX(0,MCDA_Prioritisation!$F$3+(RAND()-0.5)*2*$B$7))</f>
        <v>100</v>
      </c>
      <c r="O340" s="54">
        <f ca="1">MIN(100,MAX(0,MCDA_Prioritisation!$F$4+(RAND()-0.5)*2*$B$7))</f>
        <v>83.119715551219286</v>
      </c>
      <c r="P340" s="54">
        <f ca="1">MIN(100,MAX(0,MCDA_Prioritisation!$F$5+(RAND()-0.5)*2*$B$7))</f>
        <v>82.722125360198888</v>
      </c>
      <c r="Q340" s="54">
        <f ca="1">MIN(100,MAX(0,MCDA_Prioritisation!$G$2+(RAND()-0.5)*2*$B$7))</f>
        <v>86.231632081533178</v>
      </c>
      <c r="R340" s="54">
        <f ca="1">MIN(100,MAX(0,MCDA_Prioritisation!$G$3+(RAND()-0.5)*2*$B$7))</f>
        <v>94.217344617800194</v>
      </c>
      <c r="S340" s="54">
        <f ca="1">MIN(100,MAX(0,MCDA_Prioritisation!$G$4+(RAND()-0.5)*2*$B$7))</f>
        <v>79.786895993077366</v>
      </c>
      <c r="T340" s="54">
        <f ca="1">MIN(100,MAX(0,MCDA_Prioritisation!$G$5+(RAND()-0.5)*2*$B$7))</f>
        <v>67.910644076388621</v>
      </c>
      <c r="U340" s="54">
        <f ca="1">MIN(100,MAX(0,MCDA_Prioritisation!$H$2+(RAND()-0.5)*2*$B$7))</f>
        <v>59.799791171220299</v>
      </c>
      <c r="V340" s="54">
        <f ca="1">MIN(100,MAX(0,MCDA_Prioritisation!$H$3+(RAND()-0.5)*2*$B$7))</f>
        <v>53.276677858902026</v>
      </c>
      <c r="W340" s="54">
        <f ca="1">MIN(100,MAX(0,MCDA_Prioritisation!$H$4+(RAND()-0.5)*2*$B$7))</f>
        <v>89.026727944759429</v>
      </c>
      <c r="X340" s="54">
        <f ca="1">MIN(100,MAX(0,MCDA_Prioritisation!$H$5+(RAND()-0.5)*2*$B$7))</f>
        <v>79.054006788894142</v>
      </c>
      <c r="Y340" s="54">
        <f ca="1">H340*MCDA_Prioritisation!$D$2+I340*MCDA_Prioritisation!$E$2+J340*M340+K340*Q340+L340*U340</f>
        <v>85.967358076673079</v>
      </c>
      <c r="Z340" s="54">
        <f ca="1">H340*MCDA_Prioritisation!$D$3+I340*MCDA_Prioritisation!$E$3+J340*N340+K340*R340+L340*V340</f>
        <v>81.318822930156543</v>
      </c>
      <c r="AA340" s="54">
        <f ca="1">H340*MCDA_Prioritisation!$D$4+I340*MCDA_Prioritisation!$E$4+J340*O340+K340*S340+L340*W340</f>
        <v>74.086968144576275</v>
      </c>
      <c r="AB340" s="54">
        <f ca="1">H340*MCDA_Prioritisation!$D$5+I340*MCDA_Prioritisation!$E$5+J340*P340+K340*T340+L340*X340</f>
        <v>76.255397165166173</v>
      </c>
      <c r="AC340" s="54">
        <f t="shared" ca="1" si="62"/>
        <v>1</v>
      </c>
      <c r="AD340" s="54">
        <f t="shared" ca="1" si="63"/>
        <v>2</v>
      </c>
      <c r="AE340" s="54">
        <f t="shared" ca="1" si="64"/>
        <v>4</v>
      </c>
      <c r="AF340" s="54">
        <f t="shared" ca="1" si="65"/>
        <v>3</v>
      </c>
      <c r="AG340" s="54">
        <f t="shared" ca="1" si="66"/>
        <v>1</v>
      </c>
      <c r="AH340" s="54">
        <f t="shared" ca="1" si="67"/>
        <v>1</v>
      </c>
      <c r="AI340" s="54">
        <f t="shared" ca="1" si="68"/>
        <v>0</v>
      </c>
      <c r="AJ340" s="54">
        <f t="shared" ca="1" si="69"/>
        <v>1</v>
      </c>
    </row>
    <row r="341" spans="1:36" x14ac:dyDescent="0.2">
      <c r="A341" s="54">
        <v>318</v>
      </c>
      <c r="B341" s="54">
        <f ca="1">MAX(0.02,MCDA_Prioritisation!$B$9+(RAND()-0.5)*2*$B$6)</f>
        <v>0.13149992467819277</v>
      </c>
      <c r="C341" s="54">
        <f ca="1">MAX(0.02,MCDA_Prioritisation!$B$10+(RAND()-0.5)*2*$B$6)</f>
        <v>0.24416586291775697</v>
      </c>
      <c r="D341" s="54">
        <f ca="1">MAX(0.02,MCDA_Prioritisation!$B$11+(RAND()-0.5)*2*$B$6)</f>
        <v>0.27250116776006317</v>
      </c>
      <c r="E341" s="54">
        <f ca="1">MAX(0.02,MCDA_Prioritisation!$B$12+(RAND()-0.5)*2*$B$6)</f>
        <v>9.9284992710224812E-2</v>
      </c>
      <c r="F341" s="54">
        <f ca="1">MAX(0.02,MCDA_Prioritisation!$B$13+(RAND()-0.5)*2*$B$6)</f>
        <v>0.14862749577131823</v>
      </c>
      <c r="G341" s="54">
        <f t="shared" ca="1" si="56"/>
        <v>0.89607944383755589</v>
      </c>
      <c r="H341" s="54">
        <f t="shared" ca="1" si="57"/>
        <v>0.1467502971779269</v>
      </c>
      <c r="I341" s="54">
        <f t="shared" ca="1" si="58"/>
        <v>0.27248238378518158</v>
      </c>
      <c r="J341" s="54">
        <f t="shared" ca="1" si="59"/>
        <v>0.304103804226384</v>
      </c>
      <c r="K341" s="54">
        <f t="shared" ca="1" si="60"/>
        <v>0.11079931962843186</v>
      </c>
      <c r="L341" s="54">
        <f t="shared" ca="1" si="61"/>
        <v>0.16586419518207574</v>
      </c>
      <c r="M341" s="54">
        <f ca="1">MIN(100,MAX(0,MCDA_Prioritisation!$F$2+(RAND()-0.5)*2*$B$7))</f>
        <v>93.885385765536341</v>
      </c>
      <c r="N341" s="54">
        <f ca="1">MIN(100,MAX(0,MCDA_Prioritisation!$F$3+(RAND()-0.5)*2*$B$7))</f>
        <v>96.530907333765896</v>
      </c>
      <c r="O341" s="54">
        <f ca="1">MIN(100,MAX(0,MCDA_Prioritisation!$F$4+(RAND()-0.5)*2*$B$7))</f>
        <v>94.105608632565378</v>
      </c>
      <c r="P341" s="54">
        <f ca="1">MIN(100,MAX(0,MCDA_Prioritisation!$F$5+(RAND()-0.5)*2*$B$7))</f>
        <v>72.515666480156582</v>
      </c>
      <c r="Q341" s="54">
        <f ca="1">MIN(100,MAX(0,MCDA_Prioritisation!$G$2+(RAND()-0.5)*2*$B$7))</f>
        <v>79.35156135330223</v>
      </c>
      <c r="R341" s="54">
        <f ca="1">MIN(100,MAX(0,MCDA_Prioritisation!$G$3+(RAND()-0.5)*2*$B$7))</f>
        <v>89.686671148203544</v>
      </c>
      <c r="S341" s="54">
        <f ca="1">MIN(100,MAX(0,MCDA_Prioritisation!$G$4+(RAND()-0.5)*2*$B$7))</f>
        <v>77.551715375079397</v>
      </c>
      <c r="T341" s="54">
        <f ca="1">MIN(100,MAX(0,MCDA_Prioritisation!$G$5+(RAND()-0.5)*2*$B$7))</f>
        <v>60.7535290169902</v>
      </c>
      <c r="U341" s="54">
        <f ca="1">MIN(100,MAX(0,MCDA_Prioritisation!$H$2+(RAND()-0.5)*2*$B$7))</f>
        <v>57.54713137047942</v>
      </c>
      <c r="V341" s="54">
        <f ca="1">MIN(100,MAX(0,MCDA_Prioritisation!$H$3+(RAND()-0.5)*2*$B$7))</f>
        <v>52.668393401722746</v>
      </c>
      <c r="W341" s="54">
        <f ca="1">MIN(100,MAX(0,MCDA_Prioritisation!$H$4+(RAND()-0.5)*2*$B$7))</f>
        <v>75.927519954841046</v>
      </c>
      <c r="X341" s="54">
        <f ca="1">MIN(100,MAX(0,MCDA_Prioritisation!$H$5+(RAND()-0.5)*2*$B$7))</f>
        <v>81.428835578333533</v>
      </c>
      <c r="Y341" s="54">
        <f ca="1">H341*MCDA_Prioritisation!$D$2+I341*MCDA_Prioritisation!$E$2+J341*M341+K341*Q341+L341*U341</f>
        <v>88.811278708073459</v>
      </c>
      <c r="Z341" s="54">
        <f ca="1">H341*MCDA_Prioritisation!$D$3+I341*MCDA_Prioritisation!$E$3+J341*N341+K341*R341+L341*V341</f>
        <v>80.67085174442397</v>
      </c>
      <c r="AA341" s="54">
        <f ca="1">H341*MCDA_Prioritisation!$D$4+I341*MCDA_Prioritisation!$E$4+J341*O341+K341*S341+L341*W341</f>
        <v>74.885711361536167</v>
      </c>
      <c r="AB341" s="54">
        <f ca="1">H341*MCDA_Prioritisation!$D$5+I341*MCDA_Prioritisation!$E$5+J341*P341+K341*T341+L341*X341</f>
        <v>72.99206196864202</v>
      </c>
      <c r="AC341" s="54">
        <f t="shared" ca="1" si="62"/>
        <v>1</v>
      </c>
      <c r="AD341" s="54">
        <f t="shared" ca="1" si="63"/>
        <v>2</v>
      </c>
      <c r="AE341" s="54">
        <f t="shared" ca="1" si="64"/>
        <v>3</v>
      </c>
      <c r="AF341" s="54">
        <f t="shared" ca="1" si="65"/>
        <v>4</v>
      </c>
      <c r="AG341" s="54">
        <f t="shared" ca="1" si="66"/>
        <v>1</v>
      </c>
      <c r="AH341" s="54">
        <f t="shared" ca="1" si="67"/>
        <v>1</v>
      </c>
      <c r="AI341" s="54">
        <f t="shared" ca="1" si="68"/>
        <v>1</v>
      </c>
      <c r="AJ341" s="54">
        <f t="shared" ca="1" si="69"/>
        <v>1</v>
      </c>
    </row>
    <row r="342" spans="1:36" x14ac:dyDescent="0.2">
      <c r="A342" s="54">
        <v>319</v>
      </c>
      <c r="B342" s="54">
        <f ca="1">MAX(0.02,MCDA_Prioritisation!$B$9+(RAND()-0.5)*2*$B$6)</f>
        <v>0.21520943104704618</v>
      </c>
      <c r="C342" s="54">
        <f ca="1">MAX(0.02,MCDA_Prioritisation!$B$10+(RAND()-0.5)*2*$B$6)</f>
        <v>0.22124463186299057</v>
      </c>
      <c r="D342" s="54">
        <f ca="1">MAX(0.02,MCDA_Prioritisation!$B$11+(RAND()-0.5)*2*$B$6)</f>
        <v>0.28958362825752432</v>
      </c>
      <c r="E342" s="54">
        <f ca="1">MAX(0.02,MCDA_Prioritisation!$B$12+(RAND()-0.5)*2*$B$6)</f>
        <v>9.0637783130752186E-2</v>
      </c>
      <c r="F342" s="54">
        <f ca="1">MAX(0.02,MCDA_Prioritisation!$B$13+(RAND()-0.5)*2*$B$6)</f>
        <v>0.12025616963157609</v>
      </c>
      <c r="G342" s="54">
        <f t="shared" ca="1" si="56"/>
        <v>0.93693164392988937</v>
      </c>
      <c r="H342" s="54">
        <f t="shared" ca="1" si="57"/>
        <v>0.22969597882761905</v>
      </c>
      <c r="I342" s="54">
        <f t="shared" ca="1" si="58"/>
        <v>0.2361374314725849</v>
      </c>
      <c r="J342" s="54">
        <f t="shared" ca="1" si="59"/>
        <v>0.30907658006179356</v>
      </c>
      <c r="K342" s="54">
        <f t="shared" ca="1" si="60"/>
        <v>9.6738949653337375E-2</v>
      </c>
      <c r="L342" s="54">
        <f t="shared" ca="1" si="61"/>
        <v>0.12835105998466509</v>
      </c>
      <c r="M342" s="54">
        <f ca="1">MIN(100,MAX(0,MCDA_Prioritisation!$F$2+(RAND()-0.5)*2*$B$7))</f>
        <v>91.550857220677742</v>
      </c>
      <c r="N342" s="54">
        <f ca="1">MIN(100,MAX(0,MCDA_Prioritisation!$F$3+(RAND()-0.5)*2*$B$7))</f>
        <v>93.999813954943335</v>
      </c>
      <c r="O342" s="54">
        <f ca="1">MIN(100,MAX(0,MCDA_Prioritisation!$F$4+(RAND()-0.5)*2*$B$7))</f>
        <v>99.05018516949518</v>
      </c>
      <c r="P342" s="54">
        <f ca="1">MIN(100,MAX(0,MCDA_Prioritisation!$F$5+(RAND()-0.5)*2*$B$7))</f>
        <v>72.924454570256529</v>
      </c>
      <c r="Q342" s="54">
        <f ca="1">MIN(100,MAX(0,MCDA_Prioritisation!$G$2+(RAND()-0.5)*2*$B$7))</f>
        <v>82.385149276038263</v>
      </c>
      <c r="R342" s="54">
        <f ca="1">MIN(100,MAX(0,MCDA_Prioritisation!$G$3+(RAND()-0.5)*2*$B$7))</f>
        <v>92.932091693527724</v>
      </c>
      <c r="S342" s="54">
        <f ca="1">MIN(100,MAX(0,MCDA_Prioritisation!$G$4+(RAND()-0.5)*2*$B$7))</f>
        <v>87.194720139128563</v>
      </c>
      <c r="T342" s="54">
        <f ca="1">MIN(100,MAX(0,MCDA_Prioritisation!$G$5+(RAND()-0.5)*2*$B$7))</f>
        <v>72.524706276081659</v>
      </c>
      <c r="U342" s="54">
        <f ca="1">MIN(100,MAX(0,MCDA_Prioritisation!$H$2+(RAND()-0.5)*2*$B$7))</f>
        <v>69.542171314300973</v>
      </c>
      <c r="V342" s="54">
        <f ca="1">MIN(100,MAX(0,MCDA_Prioritisation!$H$3+(RAND()-0.5)*2*$B$7))</f>
        <v>66.552992266741256</v>
      </c>
      <c r="W342" s="54">
        <f ca="1">MIN(100,MAX(0,MCDA_Prioritisation!$H$4+(RAND()-0.5)*2*$B$7))</f>
        <v>72.231926945644659</v>
      </c>
      <c r="X342" s="54">
        <f ca="1">MIN(100,MAX(0,MCDA_Prioritisation!$H$5+(RAND()-0.5)*2*$B$7))</f>
        <v>82.107764531859203</v>
      </c>
      <c r="Y342" s="54">
        <f ca="1">H342*MCDA_Prioritisation!$D$2+I342*MCDA_Prioritisation!$E$2+J342*M342+K342*Q342+L342*U342</f>
        <v>91.775231091336082</v>
      </c>
      <c r="Z342" s="54">
        <f ca="1">H342*MCDA_Prioritisation!$D$3+I342*MCDA_Prioritisation!$E$3+J342*N342+K342*R342+L342*V342</f>
        <v>83.833774985824661</v>
      </c>
      <c r="AA342" s="54">
        <f ca="1">H342*MCDA_Prioritisation!$D$4+I342*MCDA_Prioritisation!$E$4+J342*O342+K342*S342+L342*W342</f>
        <v>77.195163725962445</v>
      </c>
      <c r="AB342" s="54">
        <f ca="1">H342*MCDA_Prioritisation!$D$5+I342*MCDA_Prioritisation!$E$5+J342*P342+K342*T342+L342*X342</f>
        <v>72.142153288843687</v>
      </c>
      <c r="AC342" s="54">
        <f t="shared" ca="1" si="62"/>
        <v>1</v>
      </c>
      <c r="AD342" s="54">
        <f t="shared" ca="1" si="63"/>
        <v>2</v>
      </c>
      <c r="AE342" s="54">
        <f t="shared" ca="1" si="64"/>
        <v>3</v>
      </c>
      <c r="AF342" s="54">
        <f t="shared" ca="1" si="65"/>
        <v>4</v>
      </c>
      <c r="AG342" s="54">
        <f t="shared" ca="1" si="66"/>
        <v>1</v>
      </c>
      <c r="AH342" s="54">
        <f t="shared" ca="1" si="67"/>
        <v>1</v>
      </c>
      <c r="AI342" s="54">
        <f t="shared" ca="1" si="68"/>
        <v>1</v>
      </c>
      <c r="AJ342" s="54">
        <f t="shared" ca="1" si="69"/>
        <v>1</v>
      </c>
    </row>
    <row r="343" spans="1:36" x14ac:dyDescent="0.2">
      <c r="A343" s="54">
        <v>320</v>
      </c>
      <c r="B343" s="54">
        <f ca="1">MAX(0.02,MCDA_Prioritisation!$B$9+(RAND()-0.5)*2*$B$6)</f>
        <v>0.17076787430789261</v>
      </c>
      <c r="C343" s="54">
        <f ca="1">MAX(0.02,MCDA_Prioritisation!$B$10+(RAND()-0.5)*2*$B$6)</f>
        <v>0.21739288394464384</v>
      </c>
      <c r="D343" s="54">
        <f ca="1">MAX(0.02,MCDA_Prioritisation!$B$11+(RAND()-0.5)*2*$B$6)</f>
        <v>0.27972806360806707</v>
      </c>
      <c r="E343" s="54">
        <f ca="1">MAX(0.02,MCDA_Prioritisation!$B$12+(RAND()-0.5)*2*$B$6)</f>
        <v>0.12450189330668193</v>
      </c>
      <c r="F343" s="54">
        <f ca="1">MAX(0.02,MCDA_Prioritisation!$B$13+(RAND()-0.5)*2*$B$6)</f>
        <v>0.20710642902542853</v>
      </c>
      <c r="G343" s="54">
        <f t="shared" ca="1" si="56"/>
        <v>0.99949714419271407</v>
      </c>
      <c r="H343" s="54">
        <f t="shared" ca="1" si="57"/>
        <v>0.1708537891279524</v>
      </c>
      <c r="I343" s="54">
        <f t="shared" ca="1" si="58"/>
        <v>0.2175022562172805</v>
      </c>
      <c r="J343" s="54">
        <f t="shared" ca="1" si="59"/>
        <v>0.27986879725804642</v>
      </c>
      <c r="K343" s="54">
        <f t="shared" ca="1" si="60"/>
        <v>0.12456453130463031</v>
      </c>
      <c r="L343" s="54">
        <f t="shared" ca="1" si="61"/>
        <v>0.20721062609209029</v>
      </c>
      <c r="M343" s="54">
        <f ca="1">MIN(100,MAX(0,MCDA_Prioritisation!$F$2+(RAND()-0.5)*2*$B$7))</f>
        <v>75.427507239882999</v>
      </c>
      <c r="N343" s="54">
        <f ca="1">MIN(100,MAX(0,MCDA_Prioritisation!$F$3+(RAND()-0.5)*2*$B$7))</f>
        <v>96.166689120436899</v>
      </c>
      <c r="O343" s="54">
        <f ca="1">MIN(100,MAX(0,MCDA_Prioritisation!$F$4+(RAND()-0.5)*2*$B$7))</f>
        <v>85.638637800156701</v>
      </c>
      <c r="P343" s="54">
        <f ca="1">MIN(100,MAX(0,MCDA_Prioritisation!$F$5+(RAND()-0.5)*2*$B$7))</f>
        <v>66.081707407805951</v>
      </c>
      <c r="Q343" s="54">
        <f ca="1">MIN(100,MAX(0,MCDA_Prioritisation!$G$2+(RAND()-0.5)*2*$B$7))</f>
        <v>77.724219092890763</v>
      </c>
      <c r="R343" s="54">
        <f ca="1">MIN(100,MAX(0,MCDA_Prioritisation!$G$3+(RAND()-0.5)*2*$B$7))</f>
        <v>98.019293223935932</v>
      </c>
      <c r="S343" s="54">
        <f ca="1">MIN(100,MAX(0,MCDA_Prioritisation!$G$4+(RAND()-0.5)*2*$B$7))</f>
        <v>75.728347691840924</v>
      </c>
      <c r="T343" s="54">
        <f ca="1">MIN(100,MAX(0,MCDA_Prioritisation!$G$5+(RAND()-0.5)*2*$B$7))</f>
        <v>75.540915617165751</v>
      </c>
      <c r="U343" s="54">
        <f ca="1">MIN(100,MAX(0,MCDA_Prioritisation!$H$2+(RAND()-0.5)*2*$B$7))</f>
        <v>65.930545031502618</v>
      </c>
      <c r="V343" s="54">
        <f ca="1">MIN(100,MAX(0,MCDA_Prioritisation!$H$3+(RAND()-0.5)*2*$B$7))</f>
        <v>62.607120153502656</v>
      </c>
      <c r="W343" s="54">
        <f ca="1">MIN(100,MAX(0,MCDA_Prioritisation!$H$4+(RAND()-0.5)*2*$B$7))</f>
        <v>73.763854093171943</v>
      </c>
      <c r="X343" s="54">
        <f ca="1">MIN(100,MAX(0,MCDA_Prioritisation!$H$5+(RAND()-0.5)*2*$B$7))</f>
        <v>79.507064177771582</v>
      </c>
      <c r="Y343" s="54">
        <f ca="1">H343*MCDA_Prioritisation!$D$2+I343*MCDA_Prioritisation!$E$2+J343*M343+K343*Q343+L343*U343</f>
        <v>83.28860070281668</v>
      </c>
      <c r="Z343" s="54">
        <f ca="1">H343*MCDA_Prioritisation!$D$3+I343*MCDA_Prioritisation!$E$3+J343*N343+K343*R343+L343*V343</f>
        <v>82.847070556586431</v>
      </c>
      <c r="AA343" s="54">
        <f ca="1">H343*MCDA_Prioritisation!$D$4+I343*MCDA_Prioritisation!$E$4+J343*O343+K343*S343+L343*W343</f>
        <v>72.446316009982951</v>
      </c>
      <c r="AB343" s="54">
        <f ca="1">H343*MCDA_Prioritisation!$D$5+I343*MCDA_Prioritisation!$E$5+J343*P343+K343*T343+L343*X343</f>
        <v>71.736814610210132</v>
      </c>
      <c r="AC343" s="54">
        <f t="shared" ca="1" si="62"/>
        <v>1</v>
      </c>
      <c r="AD343" s="54">
        <f t="shared" ca="1" si="63"/>
        <v>2</v>
      </c>
      <c r="AE343" s="54">
        <f t="shared" ca="1" si="64"/>
        <v>3</v>
      </c>
      <c r="AF343" s="54">
        <f t="shared" ca="1" si="65"/>
        <v>4</v>
      </c>
      <c r="AG343" s="54">
        <f t="shared" ca="1" si="66"/>
        <v>1</v>
      </c>
      <c r="AH343" s="54">
        <f t="shared" ca="1" si="67"/>
        <v>1</v>
      </c>
      <c r="AI343" s="54">
        <f t="shared" ca="1" si="68"/>
        <v>1</v>
      </c>
      <c r="AJ343" s="54">
        <f t="shared" ca="1" si="69"/>
        <v>1</v>
      </c>
    </row>
    <row r="344" spans="1:36" x14ac:dyDescent="0.2">
      <c r="A344" s="54">
        <v>321</v>
      </c>
      <c r="B344" s="54">
        <f ca="1">MAX(0.02,MCDA_Prioritisation!$B$9+(RAND()-0.5)*2*$B$6)</f>
        <v>0.21370659422567589</v>
      </c>
      <c r="C344" s="54">
        <f ca="1">MAX(0.02,MCDA_Prioritisation!$B$10+(RAND()-0.5)*2*$B$6)</f>
        <v>0.24487049398998681</v>
      </c>
      <c r="D344" s="54">
        <f ca="1">MAX(0.02,MCDA_Prioritisation!$B$11+(RAND()-0.5)*2*$B$6)</f>
        <v>0.18855749801583266</v>
      </c>
      <c r="E344" s="54">
        <f ca="1">MAX(0.02,MCDA_Prioritisation!$B$12+(RAND()-0.5)*2*$B$6)</f>
        <v>0.21260026786456526</v>
      </c>
      <c r="F344" s="54">
        <f ca="1">MAX(0.02,MCDA_Prioritisation!$B$13+(RAND()-0.5)*2*$B$6)</f>
        <v>7.6562960856722109E-2</v>
      </c>
      <c r="G344" s="54">
        <f t="shared" ref="G344:G407" ca="1" si="70">SUM(B344:F344)</f>
        <v>0.93629781495278264</v>
      </c>
      <c r="H344" s="54">
        <f t="shared" ref="H344:H407" ca="1" si="71">B344/$G344</f>
        <v>0.2282463878615941</v>
      </c>
      <c r="I344" s="54">
        <f t="shared" ref="I344:I407" ca="1" si="72">C344/$G344</f>
        <v>0.2615305622627514</v>
      </c>
      <c r="J344" s="54">
        <f t="shared" ref="J344:J407" ca="1" si="73">D344/$G344</f>
        <v>0.20138624164720664</v>
      </c>
      <c r="K344" s="54">
        <f t="shared" ref="K344:K407" ca="1" si="74">E344/$G344</f>
        <v>0.22706479121206394</v>
      </c>
      <c r="L344" s="54">
        <f t="shared" ref="L344:L407" ca="1" si="75">F344/$G344</f>
        <v>8.1772017016384008E-2</v>
      </c>
      <c r="M344" s="54">
        <f ca="1">MIN(100,MAX(0,MCDA_Prioritisation!$F$2+(RAND()-0.5)*2*$B$7))</f>
        <v>94.665062155508011</v>
      </c>
      <c r="N344" s="54">
        <f ca="1">MIN(100,MAX(0,MCDA_Prioritisation!$F$3+(RAND()-0.5)*2*$B$7))</f>
        <v>96.675471428553649</v>
      </c>
      <c r="O344" s="54">
        <f ca="1">MIN(100,MAX(0,MCDA_Prioritisation!$F$4+(RAND()-0.5)*2*$B$7))</f>
        <v>95.560139463425173</v>
      </c>
      <c r="P344" s="54">
        <f ca="1">MIN(100,MAX(0,MCDA_Prioritisation!$F$5+(RAND()-0.5)*2*$B$7))</f>
        <v>74.354102000995482</v>
      </c>
      <c r="Q344" s="54">
        <f ca="1">MIN(100,MAX(0,MCDA_Prioritisation!$G$2+(RAND()-0.5)*2*$B$7))</f>
        <v>86.393428497951518</v>
      </c>
      <c r="R344" s="54">
        <f ca="1">MIN(100,MAX(0,MCDA_Prioritisation!$G$3+(RAND()-0.5)*2*$B$7))</f>
        <v>96.109058797827259</v>
      </c>
      <c r="S344" s="54">
        <f ca="1">MIN(100,MAX(0,MCDA_Prioritisation!$G$4+(RAND()-0.5)*2*$B$7))</f>
        <v>84.007720551814131</v>
      </c>
      <c r="T344" s="54">
        <f ca="1">MIN(100,MAX(0,MCDA_Prioritisation!$G$5+(RAND()-0.5)*2*$B$7))</f>
        <v>74.322725899452706</v>
      </c>
      <c r="U344" s="54">
        <f ca="1">MIN(100,MAX(0,MCDA_Prioritisation!$H$2+(RAND()-0.5)*2*$B$7))</f>
        <v>74.479757930533765</v>
      </c>
      <c r="V344" s="54">
        <f ca="1">MIN(100,MAX(0,MCDA_Prioritisation!$H$3+(RAND()-0.5)*2*$B$7))</f>
        <v>56.397537866866287</v>
      </c>
      <c r="W344" s="54">
        <f ca="1">MIN(100,MAX(0,MCDA_Prioritisation!$H$4+(RAND()-0.5)*2*$B$7))</f>
        <v>74.136472950883345</v>
      </c>
      <c r="X344" s="54">
        <f ca="1">MIN(100,MAX(0,MCDA_Prioritisation!$H$5+(RAND()-0.5)*2*$B$7))</f>
        <v>66.05663178668982</v>
      </c>
      <c r="Y344" s="54">
        <f ca="1">H344*MCDA_Prioritisation!$D$2+I344*MCDA_Prioritisation!$E$2+J344*M344+K344*Q344+L344*U344</f>
        <v>93.749201932085029</v>
      </c>
      <c r="Z344" s="54">
        <f ca="1">H344*MCDA_Prioritisation!$D$3+I344*MCDA_Prioritisation!$E$3+J344*N344+K344*R344+L344*V344</f>
        <v>84.872251045920819</v>
      </c>
      <c r="AA344" s="54">
        <f ca="1">H344*MCDA_Prioritisation!$D$4+I344*MCDA_Prioritisation!$E$4+J344*O344+K344*S344+L344*W344</f>
        <v>74.5410218702728</v>
      </c>
      <c r="AB344" s="54">
        <f ca="1">H344*MCDA_Prioritisation!$D$5+I344*MCDA_Prioritisation!$E$5+J344*P344+K344*T344+L344*X344</f>
        <v>71.358274280317218</v>
      </c>
      <c r="AC344" s="54">
        <f t="shared" ref="AC344:AC407" ca="1" si="76">SUMPRODUCT(--($Y344:$AB344&gt;Y344))+1</f>
        <v>1</v>
      </c>
      <c r="AD344" s="54">
        <f t="shared" ref="AD344:AD407" ca="1" si="77">SUMPRODUCT(--($Y344:$AB344&gt;Z344))+1</f>
        <v>2</v>
      </c>
      <c r="AE344" s="54">
        <f t="shared" ref="AE344:AE407" ca="1" si="78">SUMPRODUCT(--($Y344:$AB344&gt;AA344))+1</f>
        <v>3</v>
      </c>
      <c r="AF344" s="54">
        <f t="shared" ref="AF344:AF407" ca="1" si="79">SUMPRODUCT(--($Y344:$AB344&gt;AB344))+1</f>
        <v>4</v>
      </c>
      <c r="AG344" s="54">
        <f t="shared" ref="AG344:AG407" ca="1" si="80">IF(AC344=1,1,0)</f>
        <v>1</v>
      </c>
      <c r="AH344" s="54">
        <f t="shared" ref="AH344:AH407" ca="1" si="81">IF(AD344=2,1,0)</f>
        <v>1</v>
      </c>
      <c r="AI344" s="54">
        <f t="shared" ref="AI344:AI407" ca="1" si="82">IF(AND(AC344=1,AD344=2,AE344=3,AF344=4),1,0)</f>
        <v>1</v>
      </c>
      <c r="AJ344" s="54">
        <f t="shared" ref="AJ344:AJ407" ca="1" si="83">IF(AND(AC344&lt;=2,AD344&lt;=2),1,0)</f>
        <v>1</v>
      </c>
    </row>
    <row r="345" spans="1:36" x14ac:dyDescent="0.2">
      <c r="A345" s="54">
        <v>322</v>
      </c>
      <c r="B345" s="54">
        <f ca="1">MAX(0.02,MCDA_Prioritisation!$B$9+(RAND()-0.5)*2*$B$6)</f>
        <v>0.27714458454934471</v>
      </c>
      <c r="C345" s="54">
        <f ca="1">MAX(0.02,MCDA_Prioritisation!$B$10+(RAND()-0.5)*2*$B$6)</f>
        <v>0.17973289519460578</v>
      </c>
      <c r="D345" s="54">
        <f ca="1">MAX(0.02,MCDA_Prioritisation!$B$11+(RAND()-0.5)*2*$B$6)</f>
        <v>0.18309185305262365</v>
      </c>
      <c r="E345" s="54">
        <f ca="1">MAX(0.02,MCDA_Prioritisation!$B$12+(RAND()-0.5)*2*$B$6)</f>
        <v>8.9452174349974656E-2</v>
      </c>
      <c r="F345" s="54">
        <f ca="1">MAX(0.02,MCDA_Prioritisation!$B$13+(RAND()-0.5)*2*$B$6)</f>
        <v>0.12722108984129443</v>
      </c>
      <c r="G345" s="54">
        <f t="shared" ca="1" si="70"/>
        <v>0.85664259698784317</v>
      </c>
      <c r="H345" s="54">
        <f t="shared" ca="1" si="71"/>
        <v>0.32352416926714855</v>
      </c>
      <c r="I345" s="54">
        <f t="shared" ca="1" si="72"/>
        <v>0.20981083105905415</v>
      </c>
      <c r="J345" s="54">
        <f t="shared" ca="1" si="73"/>
        <v>0.2137319037092221</v>
      </c>
      <c r="K345" s="54">
        <f t="shared" ca="1" si="74"/>
        <v>0.1044218144935934</v>
      </c>
      <c r="L345" s="54">
        <f t="shared" ca="1" si="75"/>
        <v>0.14851128147098183</v>
      </c>
      <c r="M345" s="54">
        <f ca="1">MIN(100,MAX(0,MCDA_Prioritisation!$F$2+(RAND()-0.5)*2*$B$7))</f>
        <v>84.884798437378223</v>
      </c>
      <c r="N345" s="54">
        <f ca="1">MIN(100,MAX(0,MCDA_Prioritisation!$F$3+(RAND()-0.5)*2*$B$7))</f>
        <v>98.851308785450996</v>
      </c>
      <c r="O345" s="54">
        <f ca="1">MIN(100,MAX(0,MCDA_Prioritisation!$F$4+(RAND()-0.5)*2*$B$7))</f>
        <v>91.720606152121633</v>
      </c>
      <c r="P345" s="54">
        <f ca="1">MIN(100,MAX(0,MCDA_Prioritisation!$F$5+(RAND()-0.5)*2*$B$7))</f>
        <v>74.46377500359317</v>
      </c>
      <c r="Q345" s="54">
        <f ca="1">MIN(100,MAX(0,MCDA_Prioritisation!$G$2+(RAND()-0.5)*2*$B$7))</f>
        <v>77.436433561261495</v>
      </c>
      <c r="R345" s="54">
        <f ca="1">MIN(100,MAX(0,MCDA_Prioritisation!$G$3+(RAND()-0.5)*2*$B$7))</f>
        <v>94.036562304097785</v>
      </c>
      <c r="S345" s="54">
        <f ca="1">MIN(100,MAX(0,MCDA_Prioritisation!$G$4+(RAND()-0.5)*2*$B$7))</f>
        <v>80.288526570154687</v>
      </c>
      <c r="T345" s="54">
        <f ca="1">MIN(100,MAX(0,MCDA_Prioritisation!$G$5+(RAND()-0.5)*2*$B$7))</f>
        <v>72.890745735521833</v>
      </c>
      <c r="U345" s="54">
        <f ca="1">MIN(100,MAX(0,MCDA_Prioritisation!$H$2+(RAND()-0.5)*2*$B$7))</f>
        <v>62.817873631155081</v>
      </c>
      <c r="V345" s="54">
        <f ca="1">MIN(100,MAX(0,MCDA_Prioritisation!$H$3+(RAND()-0.5)*2*$B$7))</f>
        <v>61.021392897840741</v>
      </c>
      <c r="W345" s="54">
        <f ca="1">MIN(100,MAX(0,MCDA_Prioritisation!$H$4+(RAND()-0.5)*2*$B$7))</f>
        <v>80.062291071565838</v>
      </c>
      <c r="X345" s="54">
        <f ca="1">MIN(100,MAX(0,MCDA_Prioritisation!$H$5+(RAND()-0.5)*2*$B$7))</f>
        <v>66.331923144705897</v>
      </c>
      <c r="Y345" s="54">
        <f ca="1">H345*MCDA_Prioritisation!$D$2+I345*MCDA_Prioritisation!$E$2+J345*M345+K345*Q345+L345*U345</f>
        <v>88.891305411239273</v>
      </c>
      <c r="Z345" s="54">
        <f ca="1">H345*MCDA_Prioritisation!$D$3+I345*MCDA_Prioritisation!$E$3+J345*N345+K345*R345+L345*V345</f>
        <v>83.543471481516761</v>
      </c>
      <c r="AA345" s="54">
        <f ca="1">H345*MCDA_Prioritisation!$D$4+I345*MCDA_Prioritisation!$E$4+J345*O345+K345*S345+L345*W345</f>
        <v>73.850195261332459</v>
      </c>
      <c r="AB345" s="54">
        <f ca="1">H345*MCDA_Prioritisation!$D$5+I345*MCDA_Prioritisation!$E$5+J345*P345+K345*T345+L345*X345</f>
        <v>68.192223910643648</v>
      </c>
      <c r="AC345" s="54">
        <f t="shared" ca="1" si="76"/>
        <v>1</v>
      </c>
      <c r="AD345" s="54">
        <f t="shared" ca="1" si="77"/>
        <v>2</v>
      </c>
      <c r="AE345" s="54">
        <f t="shared" ca="1" si="78"/>
        <v>3</v>
      </c>
      <c r="AF345" s="54">
        <f t="shared" ca="1" si="79"/>
        <v>4</v>
      </c>
      <c r="AG345" s="54">
        <f t="shared" ca="1" si="80"/>
        <v>1</v>
      </c>
      <c r="AH345" s="54">
        <f t="shared" ca="1" si="81"/>
        <v>1</v>
      </c>
      <c r="AI345" s="54">
        <f t="shared" ca="1" si="82"/>
        <v>1</v>
      </c>
      <c r="AJ345" s="54">
        <f t="shared" ca="1" si="83"/>
        <v>1</v>
      </c>
    </row>
    <row r="346" spans="1:36" x14ac:dyDescent="0.2">
      <c r="A346" s="54">
        <v>323</v>
      </c>
      <c r="B346" s="54">
        <f ca="1">MAX(0.02,MCDA_Prioritisation!$B$9+(RAND()-0.5)*2*$B$6)</f>
        <v>0.17073506468632235</v>
      </c>
      <c r="C346" s="54">
        <f ca="1">MAX(0.02,MCDA_Prioritisation!$B$10+(RAND()-0.5)*2*$B$6)</f>
        <v>0.17396515619897829</v>
      </c>
      <c r="D346" s="54">
        <f ca="1">MAX(0.02,MCDA_Prioritisation!$B$11+(RAND()-0.5)*2*$B$6)</f>
        <v>0.27488251959323778</v>
      </c>
      <c r="E346" s="54">
        <f ca="1">MAX(0.02,MCDA_Prioritisation!$B$12+(RAND()-0.5)*2*$B$6)</f>
        <v>0.14827823022049103</v>
      </c>
      <c r="F346" s="54">
        <f ca="1">MAX(0.02,MCDA_Prioritisation!$B$13+(RAND()-0.5)*2*$B$6)</f>
        <v>0.13306756863108804</v>
      </c>
      <c r="G346" s="54">
        <f t="shared" ca="1" si="70"/>
        <v>0.90092853933011741</v>
      </c>
      <c r="H346" s="54">
        <f t="shared" ca="1" si="71"/>
        <v>0.18951010788632788</v>
      </c>
      <c r="I346" s="54">
        <f t="shared" ca="1" si="72"/>
        <v>0.19309539947344717</v>
      </c>
      <c r="J346" s="54">
        <f t="shared" ca="1" si="73"/>
        <v>0.3051102363763788</v>
      </c>
      <c r="K346" s="54">
        <f t="shared" ca="1" si="74"/>
        <v>0.16458378633531007</v>
      </c>
      <c r="L346" s="54">
        <f t="shared" ca="1" si="75"/>
        <v>0.14770046992853619</v>
      </c>
      <c r="M346" s="54">
        <f ca="1">MIN(100,MAX(0,MCDA_Prioritisation!$F$2+(RAND()-0.5)*2*$B$7))</f>
        <v>90.029948773599898</v>
      </c>
      <c r="N346" s="54">
        <f ca="1">MIN(100,MAX(0,MCDA_Prioritisation!$F$3+(RAND()-0.5)*2*$B$7))</f>
        <v>85.356970662375886</v>
      </c>
      <c r="O346" s="54">
        <f ca="1">MIN(100,MAX(0,MCDA_Prioritisation!$F$4+(RAND()-0.5)*2*$B$7))</f>
        <v>81.88034912482469</v>
      </c>
      <c r="P346" s="54">
        <f ca="1">MIN(100,MAX(0,MCDA_Prioritisation!$F$5+(RAND()-0.5)*2*$B$7))</f>
        <v>76.380179395456111</v>
      </c>
      <c r="Q346" s="54">
        <f ca="1">MIN(100,MAX(0,MCDA_Prioritisation!$G$2+(RAND()-0.5)*2*$B$7))</f>
        <v>70.304212287461013</v>
      </c>
      <c r="R346" s="54">
        <f ca="1">MIN(100,MAX(0,MCDA_Prioritisation!$G$3+(RAND()-0.5)*2*$B$7))</f>
        <v>98.481362522877063</v>
      </c>
      <c r="S346" s="54">
        <f ca="1">MIN(100,MAX(0,MCDA_Prioritisation!$G$4+(RAND()-0.5)*2*$B$7))</f>
        <v>82.067395372487979</v>
      </c>
      <c r="T346" s="54">
        <f ca="1">MIN(100,MAX(0,MCDA_Prioritisation!$G$5+(RAND()-0.5)*2*$B$7))</f>
        <v>69.983016058642221</v>
      </c>
      <c r="U346" s="54">
        <f ca="1">MIN(100,MAX(0,MCDA_Prioritisation!$H$2+(RAND()-0.5)*2*$B$7))</f>
        <v>71.743141538736666</v>
      </c>
      <c r="V346" s="54">
        <f ca="1">MIN(100,MAX(0,MCDA_Prioritisation!$H$3+(RAND()-0.5)*2*$B$7))</f>
        <v>52.741996019845978</v>
      </c>
      <c r="W346" s="54">
        <f ca="1">MIN(100,MAX(0,MCDA_Prioritisation!$H$4+(RAND()-0.5)*2*$B$7))</f>
        <v>89.443393510154095</v>
      </c>
      <c r="X346" s="54">
        <f ca="1">MIN(100,MAX(0,MCDA_Prioritisation!$H$5+(RAND()-0.5)*2*$B$7))</f>
        <v>74.80439771189782</v>
      </c>
      <c r="Y346" s="54">
        <f ca="1">H346*MCDA_Prioritisation!$D$2+I346*MCDA_Prioritisation!$E$2+J346*M346+K346*Q346+L346*U346</f>
        <v>87.897038860256501</v>
      </c>
      <c r="Z346" s="54">
        <f ca="1">H346*MCDA_Prioritisation!$D$3+I346*MCDA_Prioritisation!$E$3+J346*N346+K346*R346+L346*V346</f>
        <v>80.647624836709269</v>
      </c>
      <c r="AA346" s="54">
        <f ca="1">H346*MCDA_Prioritisation!$D$4+I346*MCDA_Prioritisation!$E$4+J346*O346+K346*S346+L346*W346</f>
        <v>75.429172788473338</v>
      </c>
      <c r="AB346" s="54">
        <f ca="1">H346*MCDA_Prioritisation!$D$5+I346*MCDA_Prioritisation!$E$5+J346*P346+K346*T346+L346*X346</f>
        <v>72.167074335976992</v>
      </c>
      <c r="AC346" s="54">
        <f t="shared" ca="1" si="76"/>
        <v>1</v>
      </c>
      <c r="AD346" s="54">
        <f t="shared" ca="1" si="77"/>
        <v>2</v>
      </c>
      <c r="AE346" s="54">
        <f t="shared" ca="1" si="78"/>
        <v>3</v>
      </c>
      <c r="AF346" s="54">
        <f t="shared" ca="1" si="79"/>
        <v>4</v>
      </c>
      <c r="AG346" s="54">
        <f t="shared" ca="1" si="80"/>
        <v>1</v>
      </c>
      <c r="AH346" s="54">
        <f t="shared" ca="1" si="81"/>
        <v>1</v>
      </c>
      <c r="AI346" s="54">
        <f t="shared" ca="1" si="82"/>
        <v>1</v>
      </c>
      <c r="AJ346" s="54">
        <f t="shared" ca="1" si="83"/>
        <v>1</v>
      </c>
    </row>
    <row r="347" spans="1:36" x14ac:dyDescent="0.2">
      <c r="A347" s="54">
        <v>324</v>
      </c>
      <c r="B347" s="54">
        <f ca="1">MAX(0.02,MCDA_Prioritisation!$B$9+(RAND()-0.5)*2*$B$6)</f>
        <v>0.20765036883505622</v>
      </c>
      <c r="C347" s="54">
        <f ca="1">MAX(0.02,MCDA_Prioritisation!$B$10+(RAND()-0.5)*2*$B$6)</f>
        <v>0.27747893565540832</v>
      </c>
      <c r="D347" s="54">
        <f ca="1">MAX(0.02,MCDA_Prioritisation!$B$11+(RAND()-0.5)*2*$B$6)</f>
        <v>0.2009841844247611</v>
      </c>
      <c r="E347" s="54">
        <f ca="1">MAX(0.02,MCDA_Prioritisation!$B$12+(RAND()-0.5)*2*$B$6)</f>
        <v>0.13635126617084573</v>
      </c>
      <c r="F347" s="54">
        <f ca="1">MAX(0.02,MCDA_Prioritisation!$B$13+(RAND()-0.5)*2*$B$6)</f>
        <v>0.19227106546874961</v>
      </c>
      <c r="G347" s="54">
        <f t="shared" ca="1" si="70"/>
        <v>1.0147358205548209</v>
      </c>
      <c r="H347" s="54">
        <f t="shared" ca="1" si="71"/>
        <v>0.2046349055870724</v>
      </c>
      <c r="I347" s="54">
        <f t="shared" ca="1" si="72"/>
        <v>0.273449433867125</v>
      </c>
      <c r="J347" s="54">
        <f t="shared" ca="1" si="73"/>
        <v>0.19806552637007552</v>
      </c>
      <c r="K347" s="54">
        <f t="shared" ca="1" si="74"/>
        <v>0.1343711963339323</v>
      </c>
      <c r="L347" s="54">
        <f t="shared" ca="1" si="75"/>
        <v>0.18947893784179487</v>
      </c>
      <c r="M347" s="54">
        <f ca="1">MIN(100,MAX(0,MCDA_Prioritisation!$F$2+(RAND()-0.5)*2*$B$7))</f>
        <v>87.736413695907856</v>
      </c>
      <c r="N347" s="54">
        <f ca="1">MIN(100,MAX(0,MCDA_Prioritisation!$F$3+(RAND()-0.5)*2*$B$7))</f>
        <v>89.209681959289142</v>
      </c>
      <c r="O347" s="54">
        <f ca="1">MIN(100,MAX(0,MCDA_Prioritisation!$F$4+(RAND()-0.5)*2*$B$7))</f>
        <v>81.215614481700811</v>
      </c>
      <c r="P347" s="54">
        <f ca="1">MIN(100,MAX(0,MCDA_Prioritisation!$F$5+(RAND()-0.5)*2*$B$7))</f>
        <v>84.740027623527212</v>
      </c>
      <c r="Q347" s="54">
        <f ca="1">MIN(100,MAX(0,MCDA_Prioritisation!$G$2+(RAND()-0.5)*2*$B$7))</f>
        <v>82.79912900407507</v>
      </c>
      <c r="R347" s="54">
        <f ca="1">MIN(100,MAX(0,MCDA_Prioritisation!$G$3+(RAND()-0.5)*2*$B$7))</f>
        <v>100</v>
      </c>
      <c r="S347" s="54">
        <f ca="1">MIN(100,MAX(0,MCDA_Prioritisation!$G$4+(RAND()-0.5)*2*$B$7))</f>
        <v>85.350190052992644</v>
      </c>
      <c r="T347" s="54">
        <f ca="1">MIN(100,MAX(0,MCDA_Prioritisation!$G$5+(RAND()-0.5)*2*$B$7))</f>
        <v>66.194187199278957</v>
      </c>
      <c r="U347" s="54">
        <f ca="1">MIN(100,MAX(0,MCDA_Prioritisation!$H$2+(RAND()-0.5)*2*$B$7))</f>
        <v>60.843971106324922</v>
      </c>
      <c r="V347" s="54">
        <f ca="1">MIN(100,MAX(0,MCDA_Prioritisation!$H$3+(RAND()-0.5)*2*$B$7))</f>
        <v>66.64815537682415</v>
      </c>
      <c r="W347" s="54">
        <f ca="1">MIN(100,MAX(0,MCDA_Prioritisation!$H$4+(RAND()-0.5)*2*$B$7))</f>
        <v>80.15159005319569</v>
      </c>
      <c r="X347" s="54">
        <f ca="1">MIN(100,MAX(0,MCDA_Prioritisation!$H$5+(RAND()-0.5)*2*$B$7))</f>
        <v>84.971718878573867</v>
      </c>
      <c r="Y347" s="54">
        <f ca="1">H347*MCDA_Prioritisation!$D$2+I347*MCDA_Prioritisation!$E$2+J347*M347+K347*Q347+L347*U347</f>
        <v>87.840461944910885</v>
      </c>
      <c r="Z347" s="54">
        <f ca="1">H347*MCDA_Prioritisation!$D$3+I347*MCDA_Prioritisation!$E$3+J347*N347+K347*R347+L347*V347</f>
        <v>81.506579442423813</v>
      </c>
      <c r="AA347" s="54">
        <f ca="1">H347*MCDA_Prioritisation!$D$4+I347*MCDA_Prioritisation!$E$4+J347*O347+K347*S347+L347*W347</f>
        <v>71.90665424982987</v>
      </c>
      <c r="AB347" s="54">
        <f ca="1">H347*MCDA_Prioritisation!$D$5+I347*MCDA_Prioritisation!$E$5+J347*P347+K347*T347+L347*X347</f>
        <v>75.634812526815296</v>
      </c>
      <c r="AC347" s="54">
        <f t="shared" ca="1" si="76"/>
        <v>1</v>
      </c>
      <c r="AD347" s="54">
        <f t="shared" ca="1" si="77"/>
        <v>2</v>
      </c>
      <c r="AE347" s="54">
        <f t="shared" ca="1" si="78"/>
        <v>4</v>
      </c>
      <c r="AF347" s="54">
        <f t="shared" ca="1" si="79"/>
        <v>3</v>
      </c>
      <c r="AG347" s="54">
        <f t="shared" ca="1" si="80"/>
        <v>1</v>
      </c>
      <c r="AH347" s="54">
        <f t="shared" ca="1" si="81"/>
        <v>1</v>
      </c>
      <c r="AI347" s="54">
        <f t="shared" ca="1" si="82"/>
        <v>0</v>
      </c>
      <c r="AJ347" s="54">
        <f t="shared" ca="1" si="83"/>
        <v>1</v>
      </c>
    </row>
    <row r="348" spans="1:36" x14ac:dyDescent="0.2">
      <c r="A348" s="54">
        <v>325</v>
      </c>
      <c r="B348" s="54">
        <f ca="1">MAX(0.02,MCDA_Prioritisation!$B$9+(RAND()-0.5)*2*$B$6)</f>
        <v>0.27037240729766171</v>
      </c>
      <c r="C348" s="54">
        <f ca="1">MAX(0.02,MCDA_Prioritisation!$B$10+(RAND()-0.5)*2*$B$6)</f>
        <v>0.20333723196417841</v>
      </c>
      <c r="D348" s="54">
        <f ca="1">MAX(0.02,MCDA_Prioritisation!$B$11+(RAND()-0.5)*2*$B$6)</f>
        <v>0.18206166227868642</v>
      </c>
      <c r="E348" s="54">
        <f ca="1">MAX(0.02,MCDA_Prioritisation!$B$12+(RAND()-0.5)*2*$B$6)</f>
        <v>0.2262372378293605</v>
      </c>
      <c r="F348" s="54">
        <f ca="1">MAX(0.02,MCDA_Prioritisation!$B$13+(RAND()-0.5)*2*$B$6)</f>
        <v>0.10154429122977633</v>
      </c>
      <c r="G348" s="54">
        <f t="shared" ca="1" si="70"/>
        <v>0.98355283059966347</v>
      </c>
      <c r="H348" s="54">
        <f t="shared" ca="1" si="71"/>
        <v>0.27489362938726741</v>
      </c>
      <c r="I348" s="54">
        <f t="shared" ca="1" si="72"/>
        <v>0.20673747829102937</v>
      </c>
      <c r="J348" s="54">
        <f t="shared" ca="1" si="73"/>
        <v>0.1851061342253319</v>
      </c>
      <c r="K348" s="54">
        <f t="shared" ca="1" si="74"/>
        <v>0.23002042268682776</v>
      </c>
      <c r="L348" s="54">
        <f t="shared" ca="1" si="75"/>
        <v>0.10324233540954346</v>
      </c>
      <c r="M348" s="54">
        <f ca="1">MIN(100,MAX(0,MCDA_Prioritisation!$F$2+(RAND()-0.5)*2*$B$7))</f>
        <v>76.514836476533716</v>
      </c>
      <c r="N348" s="54">
        <f ca="1">MIN(100,MAX(0,MCDA_Prioritisation!$F$3+(RAND()-0.5)*2*$B$7))</f>
        <v>86.076482528251333</v>
      </c>
      <c r="O348" s="54">
        <f ca="1">MIN(100,MAX(0,MCDA_Prioritisation!$F$4+(RAND()-0.5)*2*$B$7))</f>
        <v>97.111542805392645</v>
      </c>
      <c r="P348" s="54">
        <f ca="1">MIN(100,MAX(0,MCDA_Prioritisation!$F$5+(RAND()-0.5)*2*$B$7))</f>
        <v>84.250025037636775</v>
      </c>
      <c r="Q348" s="54">
        <f ca="1">MIN(100,MAX(0,MCDA_Prioritisation!$G$2+(RAND()-0.5)*2*$B$7))</f>
        <v>85.872716107081203</v>
      </c>
      <c r="R348" s="54">
        <f ca="1">MIN(100,MAX(0,MCDA_Prioritisation!$G$3+(RAND()-0.5)*2*$B$7))</f>
        <v>92.789619027857356</v>
      </c>
      <c r="S348" s="54">
        <f ca="1">MIN(100,MAX(0,MCDA_Prioritisation!$G$4+(RAND()-0.5)*2*$B$7))</f>
        <v>82.124027699909348</v>
      </c>
      <c r="T348" s="54">
        <f ca="1">MIN(100,MAX(0,MCDA_Prioritisation!$G$5+(RAND()-0.5)*2*$B$7))</f>
        <v>68.636197927861261</v>
      </c>
      <c r="U348" s="54">
        <f ca="1">MIN(100,MAX(0,MCDA_Prioritisation!$H$2+(RAND()-0.5)*2*$B$7))</f>
        <v>66.546527664722916</v>
      </c>
      <c r="V348" s="54">
        <f ca="1">MIN(100,MAX(0,MCDA_Prioritisation!$H$3+(RAND()-0.5)*2*$B$7))</f>
        <v>59.919172826301903</v>
      </c>
      <c r="W348" s="54">
        <f ca="1">MIN(100,MAX(0,MCDA_Prioritisation!$H$4+(RAND()-0.5)*2*$B$7))</f>
        <v>78.149191801557677</v>
      </c>
      <c r="X348" s="54">
        <f ca="1">MIN(100,MAX(0,MCDA_Prioritisation!$H$5+(RAND()-0.5)*2*$B$7))</f>
        <v>80.708903363312245</v>
      </c>
      <c r="Y348" s="54">
        <f ca="1">H348*MCDA_Prioritisation!$D$2+I348*MCDA_Prioritisation!$E$2+J348*M348+K348*Q348+L348*U348</f>
        <v>88.949373744602809</v>
      </c>
      <c r="Z348" s="54">
        <f ca="1">H348*MCDA_Prioritisation!$D$3+I348*MCDA_Prioritisation!$E$3+J348*N348+K348*R348+L348*V348</f>
        <v>82.523274964415791</v>
      </c>
      <c r="AA348" s="54">
        <f ca="1">H348*MCDA_Prioritisation!$D$4+I348*MCDA_Prioritisation!$E$4+J348*O348+K348*S348+L348*W348</f>
        <v>75.35301699924112</v>
      </c>
      <c r="AB348" s="54">
        <f ca="1">H348*MCDA_Prioritisation!$D$5+I348*MCDA_Prioritisation!$E$5+J348*P348+K348*T348+L348*X348</f>
        <v>71.690465852398958</v>
      </c>
      <c r="AC348" s="54">
        <f t="shared" ca="1" si="76"/>
        <v>1</v>
      </c>
      <c r="AD348" s="54">
        <f t="shared" ca="1" si="77"/>
        <v>2</v>
      </c>
      <c r="AE348" s="54">
        <f t="shared" ca="1" si="78"/>
        <v>3</v>
      </c>
      <c r="AF348" s="54">
        <f t="shared" ca="1" si="79"/>
        <v>4</v>
      </c>
      <c r="AG348" s="54">
        <f t="shared" ca="1" si="80"/>
        <v>1</v>
      </c>
      <c r="AH348" s="54">
        <f t="shared" ca="1" si="81"/>
        <v>1</v>
      </c>
      <c r="AI348" s="54">
        <f t="shared" ca="1" si="82"/>
        <v>1</v>
      </c>
      <c r="AJ348" s="54">
        <f t="shared" ca="1" si="83"/>
        <v>1</v>
      </c>
    </row>
    <row r="349" spans="1:36" x14ac:dyDescent="0.2">
      <c r="A349" s="54">
        <v>326</v>
      </c>
      <c r="B349" s="54">
        <f ca="1">MAX(0.02,MCDA_Prioritisation!$B$9+(RAND()-0.5)*2*$B$6)</f>
        <v>0.2055102468358582</v>
      </c>
      <c r="C349" s="54">
        <f ca="1">MAX(0.02,MCDA_Prioritisation!$B$10+(RAND()-0.5)*2*$B$6)</f>
        <v>0.17741244395648115</v>
      </c>
      <c r="D349" s="54">
        <f ca="1">MAX(0.02,MCDA_Prioritisation!$B$11+(RAND()-0.5)*2*$B$6)</f>
        <v>0.20797959824718082</v>
      </c>
      <c r="E349" s="54">
        <f ca="1">MAX(0.02,MCDA_Prioritisation!$B$12+(RAND()-0.5)*2*$B$6)</f>
        <v>0.11970529794085769</v>
      </c>
      <c r="F349" s="54">
        <f ca="1">MAX(0.02,MCDA_Prioritisation!$B$13+(RAND()-0.5)*2*$B$6)</f>
        <v>0.19414806574427157</v>
      </c>
      <c r="G349" s="54">
        <f t="shared" ca="1" si="70"/>
        <v>0.90475565272464942</v>
      </c>
      <c r="H349" s="54">
        <f t="shared" ca="1" si="71"/>
        <v>0.22714447399910587</v>
      </c>
      <c r="I349" s="54">
        <f t="shared" ca="1" si="72"/>
        <v>0.19608879305943869</v>
      </c>
      <c r="J349" s="54">
        <f t="shared" ca="1" si="73"/>
        <v>0.22987377599781264</v>
      </c>
      <c r="K349" s="54">
        <f t="shared" ca="1" si="74"/>
        <v>0.13230676987799758</v>
      </c>
      <c r="L349" s="54">
        <f t="shared" ca="1" si="75"/>
        <v>0.21458618706564522</v>
      </c>
      <c r="M349" s="54">
        <f ca="1">MIN(100,MAX(0,MCDA_Prioritisation!$F$2+(RAND()-0.5)*2*$B$7))</f>
        <v>76.562374372255988</v>
      </c>
      <c r="N349" s="54">
        <f ca="1">MIN(100,MAX(0,MCDA_Prioritisation!$F$3+(RAND()-0.5)*2*$B$7))</f>
        <v>98.606048236521389</v>
      </c>
      <c r="O349" s="54">
        <f ca="1">MIN(100,MAX(0,MCDA_Prioritisation!$F$4+(RAND()-0.5)*2*$B$7))</f>
        <v>88.396586073469919</v>
      </c>
      <c r="P349" s="54">
        <f ca="1">MIN(100,MAX(0,MCDA_Prioritisation!$F$5+(RAND()-0.5)*2*$B$7))</f>
        <v>84.233144751381616</v>
      </c>
      <c r="Q349" s="54">
        <f ca="1">MIN(100,MAX(0,MCDA_Prioritisation!$G$2+(RAND()-0.5)*2*$B$7))</f>
        <v>88.908988602549599</v>
      </c>
      <c r="R349" s="54">
        <f ca="1">MIN(100,MAX(0,MCDA_Prioritisation!$G$3+(RAND()-0.5)*2*$B$7))</f>
        <v>96.846388250587651</v>
      </c>
      <c r="S349" s="54">
        <f ca="1">MIN(100,MAX(0,MCDA_Prioritisation!$G$4+(RAND()-0.5)*2*$B$7))</f>
        <v>86.38975677421513</v>
      </c>
      <c r="T349" s="54">
        <f ca="1">MIN(100,MAX(0,MCDA_Prioritisation!$G$5+(RAND()-0.5)*2*$B$7))</f>
        <v>66.706612105283014</v>
      </c>
      <c r="U349" s="54">
        <f ca="1">MIN(100,MAX(0,MCDA_Prioritisation!$H$2+(RAND()-0.5)*2*$B$7))</f>
        <v>57.175829000067807</v>
      </c>
      <c r="V349" s="54">
        <f ca="1">MIN(100,MAX(0,MCDA_Prioritisation!$H$3+(RAND()-0.5)*2*$B$7))</f>
        <v>68.075809897579859</v>
      </c>
      <c r="W349" s="54">
        <f ca="1">MIN(100,MAX(0,MCDA_Prioritisation!$H$4+(RAND()-0.5)*2*$B$7))</f>
        <v>83.826406337276069</v>
      </c>
      <c r="X349" s="54">
        <f ca="1">MIN(100,MAX(0,MCDA_Prioritisation!$H$5+(RAND()-0.5)*2*$B$7))</f>
        <v>67.63138948821765</v>
      </c>
      <c r="Y349" s="54">
        <f ca="1">H349*MCDA_Prioritisation!$D$2+I349*MCDA_Prioritisation!$E$2+J349*M349+K349*Q349+L349*U349</f>
        <v>83.955413034728025</v>
      </c>
      <c r="Z349" s="54">
        <f ca="1">H349*MCDA_Prioritisation!$D$3+I349*MCDA_Prioritisation!$E$3+J349*N349+K349*R349+L349*V349</f>
        <v>84.201218139946263</v>
      </c>
      <c r="AA349" s="54">
        <f ca="1">H349*MCDA_Prioritisation!$D$4+I349*MCDA_Prioritisation!$E$4+J349*O349+K349*S349+L349*W349</f>
        <v>76.250753833049629</v>
      </c>
      <c r="AB349" s="54">
        <f ca="1">H349*MCDA_Prioritisation!$D$5+I349*MCDA_Prioritisation!$E$5+J349*P349+K349*T349+L349*X349</f>
        <v>71.246669368077306</v>
      </c>
      <c r="AC349" s="54">
        <f t="shared" ca="1" si="76"/>
        <v>2</v>
      </c>
      <c r="AD349" s="54">
        <f t="shared" ca="1" si="77"/>
        <v>1</v>
      </c>
      <c r="AE349" s="54">
        <f t="shared" ca="1" si="78"/>
        <v>3</v>
      </c>
      <c r="AF349" s="54">
        <f t="shared" ca="1" si="79"/>
        <v>4</v>
      </c>
      <c r="AG349" s="54">
        <f t="shared" ca="1" si="80"/>
        <v>0</v>
      </c>
      <c r="AH349" s="54">
        <f t="shared" ca="1" si="81"/>
        <v>0</v>
      </c>
      <c r="AI349" s="54">
        <f t="shared" ca="1" si="82"/>
        <v>0</v>
      </c>
      <c r="AJ349" s="54">
        <f t="shared" ca="1" si="83"/>
        <v>1</v>
      </c>
    </row>
    <row r="350" spans="1:36" x14ac:dyDescent="0.2">
      <c r="A350" s="54">
        <v>327</v>
      </c>
      <c r="B350" s="54">
        <f ca="1">MAX(0.02,MCDA_Prioritisation!$B$9+(RAND()-0.5)*2*$B$6)</f>
        <v>0.25313146583288287</v>
      </c>
      <c r="C350" s="54">
        <f ca="1">MAX(0.02,MCDA_Prioritisation!$B$10+(RAND()-0.5)*2*$B$6)</f>
        <v>0.32796930856346795</v>
      </c>
      <c r="D350" s="54">
        <f ca="1">MAX(0.02,MCDA_Prioritisation!$B$11+(RAND()-0.5)*2*$B$6)</f>
        <v>0.23356527828190318</v>
      </c>
      <c r="E350" s="54">
        <f ca="1">MAX(0.02,MCDA_Prioritisation!$B$12+(RAND()-0.5)*2*$B$6)</f>
        <v>9.3240126745019108E-2</v>
      </c>
      <c r="F350" s="54">
        <f ca="1">MAX(0.02,MCDA_Prioritisation!$B$13+(RAND()-0.5)*2*$B$6)</f>
        <v>0.21410387952767818</v>
      </c>
      <c r="G350" s="54">
        <f t="shared" ca="1" si="70"/>
        <v>1.1220100589509512</v>
      </c>
      <c r="H350" s="54">
        <f t="shared" ca="1" si="71"/>
        <v>0.22560534445613964</v>
      </c>
      <c r="I350" s="54">
        <f t="shared" ca="1" si="72"/>
        <v>0.29230514106986732</v>
      </c>
      <c r="J350" s="54">
        <f t="shared" ca="1" si="73"/>
        <v>0.20816683096431449</v>
      </c>
      <c r="K350" s="54">
        <f t="shared" ca="1" si="74"/>
        <v>8.3100972224969247E-2</v>
      </c>
      <c r="L350" s="54">
        <f t="shared" ca="1" si="75"/>
        <v>0.1908217112847094</v>
      </c>
      <c r="M350" s="54">
        <f ca="1">MIN(100,MAX(0,MCDA_Prioritisation!$F$2+(RAND()-0.5)*2*$B$7))</f>
        <v>85.291236211548622</v>
      </c>
      <c r="N350" s="54">
        <f ca="1">MIN(100,MAX(0,MCDA_Prioritisation!$F$3+(RAND()-0.5)*2*$B$7))</f>
        <v>92.530856012784071</v>
      </c>
      <c r="O350" s="54">
        <f ca="1">MIN(100,MAX(0,MCDA_Prioritisation!$F$4+(RAND()-0.5)*2*$B$7))</f>
        <v>93.302788469381156</v>
      </c>
      <c r="P350" s="54">
        <f ca="1">MIN(100,MAX(0,MCDA_Prioritisation!$F$5+(RAND()-0.5)*2*$B$7))</f>
        <v>71.701207665885477</v>
      </c>
      <c r="Q350" s="54">
        <f ca="1">MIN(100,MAX(0,MCDA_Prioritisation!$G$2+(RAND()-0.5)*2*$B$7))</f>
        <v>85.760844827160369</v>
      </c>
      <c r="R350" s="54">
        <f ca="1">MIN(100,MAX(0,MCDA_Prioritisation!$G$3+(RAND()-0.5)*2*$B$7))</f>
        <v>98.048311245799312</v>
      </c>
      <c r="S350" s="54">
        <f ca="1">MIN(100,MAX(0,MCDA_Prioritisation!$G$4+(RAND()-0.5)*2*$B$7))</f>
        <v>86.158265062684649</v>
      </c>
      <c r="T350" s="54">
        <f ca="1">MIN(100,MAX(0,MCDA_Prioritisation!$G$5+(RAND()-0.5)*2*$B$7))</f>
        <v>69.489378701653848</v>
      </c>
      <c r="U350" s="54">
        <f ca="1">MIN(100,MAX(0,MCDA_Prioritisation!$H$2+(RAND()-0.5)*2*$B$7))</f>
        <v>63.768201661651311</v>
      </c>
      <c r="V350" s="54">
        <f ca="1">MIN(100,MAX(0,MCDA_Prioritisation!$H$3+(RAND()-0.5)*2*$B$7))</f>
        <v>65.698538401339206</v>
      </c>
      <c r="W350" s="54">
        <f ca="1">MIN(100,MAX(0,MCDA_Prioritisation!$H$4+(RAND()-0.5)*2*$B$7))</f>
        <v>84.100617334754276</v>
      </c>
      <c r="X350" s="54">
        <f ca="1">MIN(100,MAX(0,MCDA_Prioritisation!$H$5+(RAND()-0.5)*2*$B$7))</f>
        <v>75.316289878476198</v>
      </c>
      <c r="Y350" s="54">
        <f ca="1">H350*MCDA_Prioritisation!$D$2+I350*MCDA_Prioritisation!$E$2+J350*M350+K350*Q350+L350*U350</f>
        <v>88.841021854384053</v>
      </c>
      <c r="Z350" s="54">
        <f ca="1">H350*MCDA_Prioritisation!$D$3+I350*MCDA_Prioritisation!$E$3+J350*N350+K350*R350+L350*V350</f>
        <v>80.922222318577937</v>
      </c>
      <c r="AA350" s="54">
        <f ca="1">H350*MCDA_Prioritisation!$D$4+I350*MCDA_Prioritisation!$E$4+J350*O350+K350*S350+L350*W350</f>
        <v>74.2843518374887</v>
      </c>
      <c r="AB350" s="54">
        <f ca="1">H350*MCDA_Prioritisation!$D$5+I350*MCDA_Prioritisation!$E$5+J350*P350+K350*T350+L350*X350</f>
        <v>71.626840877848565</v>
      </c>
      <c r="AC350" s="54">
        <f t="shared" ca="1" si="76"/>
        <v>1</v>
      </c>
      <c r="AD350" s="54">
        <f t="shared" ca="1" si="77"/>
        <v>2</v>
      </c>
      <c r="AE350" s="54">
        <f t="shared" ca="1" si="78"/>
        <v>3</v>
      </c>
      <c r="AF350" s="54">
        <f t="shared" ca="1" si="79"/>
        <v>4</v>
      </c>
      <c r="AG350" s="54">
        <f t="shared" ca="1" si="80"/>
        <v>1</v>
      </c>
      <c r="AH350" s="54">
        <f t="shared" ca="1" si="81"/>
        <v>1</v>
      </c>
      <c r="AI350" s="54">
        <f t="shared" ca="1" si="82"/>
        <v>1</v>
      </c>
      <c r="AJ350" s="54">
        <f t="shared" ca="1" si="83"/>
        <v>1</v>
      </c>
    </row>
    <row r="351" spans="1:36" x14ac:dyDescent="0.2">
      <c r="A351" s="54">
        <v>328</v>
      </c>
      <c r="B351" s="54">
        <f ca="1">MAX(0.02,MCDA_Prioritisation!$B$9+(RAND()-0.5)*2*$B$6)</f>
        <v>0.18925275736904806</v>
      </c>
      <c r="C351" s="54">
        <f ca="1">MAX(0.02,MCDA_Prioritisation!$B$10+(RAND()-0.5)*2*$B$6)</f>
        <v>0.24671889217195009</v>
      </c>
      <c r="D351" s="54">
        <f ca="1">MAX(0.02,MCDA_Prioritisation!$B$11+(RAND()-0.5)*2*$B$6)</f>
        <v>0.3020975025450186</v>
      </c>
      <c r="E351" s="54">
        <f ca="1">MAX(0.02,MCDA_Prioritisation!$B$12+(RAND()-0.5)*2*$B$6)</f>
        <v>0.16791302470754257</v>
      </c>
      <c r="F351" s="54">
        <f ca="1">MAX(0.02,MCDA_Prioritisation!$B$13+(RAND()-0.5)*2*$B$6)</f>
        <v>0.10739310528410467</v>
      </c>
      <c r="G351" s="54">
        <f t="shared" ca="1" si="70"/>
        <v>1.013375282077664</v>
      </c>
      <c r="H351" s="54">
        <f t="shared" ca="1" si="71"/>
        <v>0.18675485845780077</v>
      </c>
      <c r="I351" s="54">
        <f t="shared" ca="1" si="72"/>
        <v>0.24346251239335223</v>
      </c>
      <c r="J351" s="54">
        <f t="shared" ca="1" si="73"/>
        <v>0.29811019460198968</v>
      </c>
      <c r="K351" s="54">
        <f t="shared" ca="1" si="74"/>
        <v>0.16569678348901537</v>
      </c>
      <c r="L351" s="54">
        <f t="shared" ca="1" si="75"/>
        <v>0.10597565105784194</v>
      </c>
      <c r="M351" s="54">
        <f ca="1">MIN(100,MAX(0,MCDA_Prioritisation!$F$2+(RAND()-0.5)*2*$B$7))</f>
        <v>94.882152811972048</v>
      </c>
      <c r="N351" s="54">
        <f ca="1">MIN(100,MAX(0,MCDA_Prioritisation!$F$3+(RAND()-0.5)*2*$B$7))</f>
        <v>87.055137232158273</v>
      </c>
      <c r="O351" s="54">
        <f ca="1">MIN(100,MAX(0,MCDA_Prioritisation!$F$4+(RAND()-0.5)*2*$B$7))</f>
        <v>84.790497960581291</v>
      </c>
      <c r="P351" s="54">
        <f ca="1">MIN(100,MAX(0,MCDA_Prioritisation!$F$5+(RAND()-0.5)*2*$B$7))</f>
        <v>81.282255486157311</v>
      </c>
      <c r="Q351" s="54">
        <f ca="1">MIN(100,MAX(0,MCDA_Prioritisation!$G$2+(RAND()-0.5)*2*$B$7))</f>
        <v>76.106216810719616</v>
      </c>
      <c r="R351" s="54">
        <f ca="1">MIN(100,MAX(0,MCDA_Prioritisation!$G$3+(RAND()-0.5)*2*$B$7))</f>
        <v>85.975847231248679</v>
      </c>
      <c r="S351" s="54">
        <f ca="1">MIN(100,MAX(0,MCDA_Prioritisation!$G$4+(RAND()-0.5)*2*$B$7))</f>
        <v>88.261418368484343</v>
      </c>
      <c r="T351" s="54">
        <f ca="1">MIN(100,MAX(0,MCDA_Prioritisation!$G$5+(RAND()-0.5)*2*$B$7))</f>
        <v>64.873489372294273</v>
      </c>
      <c r="U351" s="54">
        <f ca="1">MIN(100,MAX(0,MCDA_Prioritisation!$H$2+(RAND()-0.5)*2*$B$7))</f>
        <v>62.590253820027769</v>
      </c>
      <c r="V351" s="54">
        <f ca="1">MIN(100,MAX(0,MCDA_Prioritisation!$H$3+(RAND()-0.5)*2*$B$7))</f>
        <v>69.298609241913312</v>
      </c>
      <c r="W351" s="54">
        <f ca="1">MIN(100,MAX(0,MCDA_Prioritisation!$H$4+(RAND()-0.5)*2*$B$7))</f>
        <v>88.150941189164769</v>
      </c>
      <c r="X351" s="54">
        <f ca="1">MIN(100,MAX(0,MCDA_Prioritisation!$H$5+(RAND()-0.5)*2*$B$7))</f>
        <v>66.475561927258084</v>
      </c>
      <c r="Y351" s="54">
        <f ca="1">H351*MCDA_Prioritisation!$D$2+I351*MCDA_Prioritisation!$E$2+J351*M351+K351*Q351+L351*U351</f>
        <v>90.55067235165491</v>
      </c>
      <c r="Z351" s="54">
        <f ca="1">H351*MCDA_Prioritisation!$D$3+I351*MCDA_Prioritisation!$E$3+J351*N351+K351*R351+L351*V351</f>
        <v>81.570059360506946</v>
      </c>
      <c r="AA351" s="54">
        <f ca="1">H351*MCDA_Prioritisation!$D$4+I351*MCDA_Prioritisation!$E$4+J351*O351+K351*S351+L351*W351</f>
        <v>75.527682250198652</v>
      </c>
      <c r="AB351" s="54">
        <f ca="1">H351*MCDA_Prioritisation!$D$5+I351*MCDA_Prioritisation!$E$5+J351*P351+K351*T351+L351*X351</f>
        <v>72.410352765955722</v>
      </c>
      <c r="AC351" s="54">
        <f t="shared" ca="1" si="76"/>
        <v>1</v>
      </c>
      <c r="AD351" s="54">
        <f t="shared" ca="1" si="77"/>
        <v>2</v>
      </c>
      <c r="AE351" s="54">
        <f t="shared" ca="1" si="78"/>
        <v>3</v>
      </c>
      <c r="AF351" s="54">
        <f t="shared" ca="1" si="79"/>
        <v>4</v>
      </c>
      <c r="AG351" s="54">
        <f t="shared" ca="1" si="80"/>
        <v>1</v>
      </c>
      <c r="AH351" s="54">
        <f t="shared" ca="1" si="81"/>
        <v>1</v>
      </c>
      <c r="AI351" s="54">
        <f t="shared" ca="1" si="82"/>
        <v>1</v>
      </c>
      <c r="AJ351" s="54">
        <f t="shared" ca="1" si="83"/>
        <v>1</v>
      </c>
    </row>
    <row r="352" spans="1:36" x14ac:dyDescent="0.2">
      <c r="A352" s="54">
        <v>329</v>
      </c>
      <c r="B352" s="54">
        <f ca="1">MAX(0.02,MCDA_Prioritisation!$B$9+(RAND()-0.5)*2*$B$6)</f>
        <v>0.16024004274929979</v>
      </c>
      <c r="C352" s="54">
        <f ca="1">MAX(0.02,MCDA_Prioritisation!$B$10+(RAND()-0.5)*2*$B$6)</f>
        <v>0.32597114258905729</v>
      </c>
      <c r="D352" s="54">
        <f ca="1">MAX(0.02,MCDA_Prioritisation!$B$11+(RAND()-0.5)*2*$B$6)</f>
        <v>0.19798823397127852</v>
      </c>
      <c r="E352" s="54">
        <f ca="1">MAX(0.02,MCDA_Prioritisation!$B$12+(RAND()-0.5)*2*$B$6)</f>
        <v>0.20425373437540106</v>
      </c>
      <c r="F352" s="54">
        <f ca="1">MAX(0.02,MCDA_Prioritisation!$B$13+(RAND()-0.5)*2*$B$6)</f>
        <v>0.16207961719596725</v>
      </c>
      <c r="G352" s="54">
        <f t="shared" ca="1" si="70"/>
        <v>1.0505327708810039</v>
      </c>
      <c r="H352" s="54">
        <f t="shared" ca="1" si="71"/>
        <v>0.15253216957231933</v>
      </c>
      <c r="I352" s="54">
        <f t="shared" ca="1" si="72"/>
        <v>0.31029126517937128</v>
      </c>
      <c r="J352" s="54">
        <f t="shared" ca="1" si="73"/>
        <v>0.18846459573578125</v>
      </c>
      <c r="K352" s="54">
        <f t="shared" ca="1" si="74"/>
        <v>0.19442871277981039</v>
      </c>
      <c r="L352" s="54">
        <f t="shared" ca="1" si="75"/>
        <v>0.15428325673271773</v>
      </c>
      <c r="M352" s="54">
        <f ca="1">MIN(100,MAX(0,MCDA_Prioritisation!$F$2+(RAND()-0.5)*2*$B$7))</f>
        <v>88.793260062034918</v>
      </c>
      <c r="N352" s="54">
        <f ca="1">MIN(100,MAX(0,MCDA_Prioritisation!$F$3+(RAND()-0.5)*2*$B$7))</f>
        <v>100</v>
      </c>
      <c r="O352" s="54">
        <f ca="1">MIN(100,MAX(0,MCDA_Prioritisation!$F$4+(RAND()-0.5)*2*$B$7))</f>
        <v>82.735019402340015</v>
      </c>
      <c r="P352" s="54">
        <f ca="1">MIN(100,MAX(0,MCDA_Prioritisation!$F$5+(RAND()-0.5)*2*$B$7))</f>
        <v>75.36853009798557</v>
      </c>
      <c r="Q352" s="54">
        <f ca="1">MIN(100,MAX(0,MCDA_Prioritisation!$G$2+(RAND()-0.5)*2*$B$7))</f>
        <v>86.755217248761411</v>
      </c>
      <c r="R352" s="54">
        <f ca="1">MIN(100,MAX(0,MCDA_Prioritisation!$G$3+(RAND()-0.5)*2*$B$7))</f>
        <v>100</v>
      </c>
      <c r="S352" s="54">
        <f ca="1">MIN(100,MAX(0,MCDA_Prioritisation!$G$4+(RAND()-0.5)*2*$B$7))</f>
        <v>83.828009070367088</v>
      </c>
      <c r="T352" s="54">
        <f ca="1">MIN(100,MAX(0,MCDA_Prioritisation!$G$5+(RAND()-0.5)*2*$B$7))</f>
        <v>76.87444850122732</v>
      </c>
      <c r="U352" s="54">
        <f ca="1">MIN(100,MAX(0,MCDA_Prioritisation!$H$2+(RAND()-0.5)*2*$B$7))</f>
        <v>55.563807580945053</v>
      </c>
      <c r="V352" s="54">
        <f ca="1">MIN(100,MAX(0,MCDA_Prioritisation!$H$3+(RAND()-0.5)*2*$B$7))</f>
        <v>66.555251790813557</v>
      </c>
      <c r="W352" s="54">
        <f ca="1">MIN(100,MAX(0,MCDA_Prioritisation!$H$4+(RAND()-0.5)*2*$B$7))</f>
        <v>87.286801722506254</v>
      </c>
      <c r="X352" s="54">
        <f ca="1">MIN(100,MAX(0,MCDA_Prioritisation!$H$5+(RAND()-0.5)*2*$B$7))</f>
        <v>71.986989487846103</v>
      </c>
      <c r="Y352" s="54">
        <f ca="1">H352*MCDA_Prioritisation!$D$2+I352*MCDA_Prioritisation!$E$2+J352*M352+K352*Q352+L352*U352</f>
        <v>88.456999743490314</v>
      </c>
      <c r="Z352" s="54">
        <f ca="1">H352*MCDA_Prioritisation!$D$3+I352*MCDA_Prioritisation!$E$3+J352*N352+K352*R352+L352*V352</f>
        <v>84.455158824186185</v>
      </c>
      <c r="AA352" s="54">
        <f ca="1">H352*MCDA_Prioritisation!$D$4+I352*MCDA_Prioritisation!$E$4+J352*O352+K352*S352+L352*W352</f>
        <v>72.904507636835703</v>
      </c>
      <c r="AB352" s="54">
        <f ca="1">H352*MCDA_Prioritisation!$D$5+I352*MCDA_Prioritisation!$E$5+J352*P352+K352*T352+L352*X352</f>
        <v>74.445742002845819</v>
      </c>
      <c r="AC352" s="54">
        <f t="shared" ca="1" si="76"/>
        <v>1</v>
      </c>
      <c r="AD352" s="54">
        <f t="shared" ca="1" si="77"/>
        <v>2</v>
      </c>
      <c r="AE352" s="54">
        <f t="shared" ca="1" si="78"/>
        <v>4</v>
      </c>
      <c r="AF352" s="54">
        <f t="shared" ca="1" si="79"/>
        <v>3</v>
      </c>
      <c r="AG352" s="54">
        <f t="shared" ca="1" si="80"/>
        <v>1</v>
      </c>
      <c r="AH352" s="54">
        <f t="shared" ca="1" si="81"/>
        <v>1</v>
      </c>
      <c r="AI352" s="54">
        <f t="shared" ca="1" si="82"/>
        <v>0</v>
      </c>
      <c r="AJ352" s="54">
        <f t="shared" ca="1" si="83"/>
        <v>1</v>
      </c>
    </row>
    <row r="353" spans="1:36" x14ac:dyDescent="0.2">
      <c r="A353" s="54">
        <v>330</v>
      </c>
      <c r="B353" s="54">
        <f ca="1">MAX(0.02,MCDA_Prioritisation!$B$9+(RAND()-0.5)*2*$B$6)</f>
        <v>0.2393994167309362</v>
      </c>
      <c r="C353" s="54">
        <f ca="1">MAX(0.02,MCDA_Prioritisation!$B$10+(RAND()-0.5)*2*$B$6)</f>
        <v>0.26040136885411658</v>
      </c>
      <c r="D353" s="54">
        <f ca="1">MAX(0.02,MCDA_Prioritisation!$B$11+(RAND()-0.5)*2*$B$6)</f>
        <v>0.17132919380995987</v>
      </c>
      <c r="E353" s="54">
        <f ca="1">MAX(0.02,MCDA_Prioritisation!$B$12+(RAND()-0.5)*2*$B$6)</f>
        <v>8.6841891006931612E-2</v>
      </c>
      <c r="F353" s="54">
        <f ca="1">MAX(0.02,MCDA_Prioritisation!$B$13+(RAND()-0.5)*2*$B$6)</f>
        <v>0.10150079797148204</v>
      </c>
      <c r="G353" s="54">
        <f t="shared" ca="1" si="70"/>
        <v>0.8594726683734264</v>
      </c>
      <c r="H353" s="54">
        <f t="shared" ca="1" si="71"/>
        <v>0.27854221028808934</v>
      </c>
      <c r="I353" s="54">
        <f t="shared" ca="1" si="72"/>
        <v>0.30297806833919771</v>
      </c>
      <c r="J353" s="54">
        <f t="shared" ca="1" si="73"/>
        <v>0.1993422247320612</v>
      </c>
      <c r="K353" s="54">
        <f t="shared" ca="1" si="74"/>
        <v>0.10104089891686965</v>
      </c>
      <c r="L353" s="54">
        <f t="shared" ca="1" si="75"/>
        <v>0.118096597723782</v>
      </c>
      <c r="M353" s="54">
        <f ca="1">MIN(100,MAX(0,MCDA_Prioritisation!$F$2+(RAND()-0.5)*2*$B$7))</f>
        <v>88.677817033531269</v>
      </c>
      <c r="N353" s="54">
        <f ca="1">MIN(100,MAX(0,MCDA_Prioritisation!$F$3+(RAND()-0.5)*2*$B$7))</f>
        <v>94.972789084744008</v>
      </c>
      <c r="O353" s="54">
        <f ca="1">MIN(100,MAX(0,MCDA_Prioritisation!$F$4+(RAND()-0.5)*2*$B$7))</f>
        <v>83.890628204062892</v>
      </c>
      <c r="P353" s="54">
        <f ca="1">MIN(100,MAX(0,MCDA_Prioritisation!$F$5+(RAND()-0.5)*2*$B$7))</f>
        <v>77.583051898854592</v>
      </c>
      <c r="Q353" s="54">
        <f ca="1">MIN(100,MAX(0,MCDA_Prioritisation!$G$2+(RAND()-0.5)*2*$B$7))</f>
        <v>88.582842506419979</v>
      </c>
      <c r="R353" s="54">
        <f ca="1">MIN(100,MAX(0,MCDA_Prioritisation!$G$3+(RAND()-0.5)*2*$B$7))</f>
        <v>85.763521310807818</v>
      </c>
      <c r="S353" s="54">
        <f ca="1">MIN(100,MAX(0,MCDA_Prioritisation!$G$4+(RAND()-0.5)*2*$B$7))</f>
        <v>92.199820917341597</v>
      </c>
      <c r="T353" s="54">
        <f ca="1">MIN(100,MAX(0,MCDA_Prioritisation!$G$5+(RAND()-0.5)*2*$B$7))</f>
        <v>73.166870880484197</v>
      </c>
      <c r="U353" s="54">
        <f ca="1">MIN(100,MAX(0,MCDA_Prioritisation!$H$2+(RAND()-0.5)*2*$B$7))</f>
        <v>74.050455782825111</v>
      </c>
      <c r="V353" s="54">
        <f ca="1">MIN(100,MAX(0,MCDA_Prioritisation!$H$3+(RAND()-0.5)*2*$B$7))</f>
        <v>61.963410368674261</v>
      </c>
      <c r="W353" s="54">
        <f ca="1">MIN(100,MAX(0,MCDA_Prioritisation!$H$4+(RAND()-0.5)*2*$B$7))</f>
        <v>83.077951240654414</v>
      </c>
      <c r="X353" s="54">
        <f ca="1">MIN(100,MAX(0,MCDA_Prioritisation!$H$5+(RAND()-0.5)*2*$B$7))</f>
        <v>65.630383239745896</v>
      </c>
      <c r="Y353" s="54">
        <f ca="1">H353*MCDA_Prioritisation!$D$2+I353*MCDA_Prioritisation!$E$2+J353*M353+K353*Q353+L353*U353</f>
        <v>93.524858117882658</v>
      </c>
      <c r="Z353" s="54">
        <f ca="1">H353*MCDA_Prioritisation!$D$3+I353*MCDA_Prioritisation!$E$3+J353*N353+K353*R353+L353*V353</f>
        <v>81.293855686731547</v>
      </c>
      <c r="AA353" s="54">
        <f ca="1">H353*MCDA_Prioritisation!$D$4+I353*MCDA_Prioritisation!$E$4+J353*O353+K353*S353+L353*W353</f>
        <v>71.772239174135649</v>
      </c>
      <c r="AB353" s="54">
        <f ca="1">H353*MCDA_Prioritisation!$D$5+I353*MCDA_Prioritisation!$E$5+J353*P353+K353*T353+L353*X353</f>
        <v>70.870726404874944</v>
      </c>
      <c r="AC353" s="54">
        <f t="shared" ca="1" si="76"/>
        <v>1</v>
      </c>
      <c r="AD353" s="54">
        <f t="shared" ca="1" si="77"/>
        <v>2</v>
      </c>
      <c r="AE353" s="54">
        <f t="shared" ca="1" si="78"/>
        <v>3</v>
      </c>
      <c r="AF353" s="54">
        <f t="shared" ca="1" si="79"/>
        <v>4</v>
      </c>
      <c r="AG353" s="54">
        <f t="shared" ca="1" si="80"/>
        <v>1</v>
      </c>
      <c r="AH353" s="54">
        <f t="shared" ca="1" si="81"/>
        <v>1</v>
      </c>
      <c r="AI353" s="54">
        <f t="shared" ca="1" si="82"/>
        <v>1</v>
      </c>
      <c r="AJ353" s="54">
        <f t="shared" ca="1" si="83"/>
        <v>1</v>
      </c>
    </row>
    <row r="354" spans="1:36" x14ac:dyDescent="0.2">
      <c r="A354" s="54">
        <v>331</v>
      </c>
      <c r="B354" s="54">
        <f ca="1">MAX(0.02,MCDA_Prioritisation!$B$9+(RAND()-0.5)*2*$B$6)</f>
        <v>0.26866670729813835</v>
      </c>
      <c r="C354" s="54">
        <f ca="1">MAX(0.02,MCDA_Prioritisation!$B$10+(RAND()-0.5)*2*$B$6)</f>
        <v>0.2132470160301283</v>
      </c>
      <c r="D354" s="54">
        <f ca="1">MAX(0.02,MCDA_Prioritisation!$B$11+(RAND()-0.5)*2*$B$6)</f>
        <v>0.20578630897940703</v>
      </c>
      <c r="E354" s="54">
        <f ca="1">MAX(0.02,MCDA_Prioritisation!$B$12+(RAND()-0.5)*2*$B$6)</f>
        <v>0.17622566654316044</v>
      </c>
      <c r="F354" s="54">
        <f ca="1">MAX(0.02,MCDA_Prioritisation!$B$13+(RAND()-0.5)*2*$B$6)</f>
        <v>0.20937220557647801</v>
      </c>
      <c r="G354" s="54">
        <f t="shared" ca="1" si="70"/>
        <v>1.0732979044273121</v>
      </c>
      <c r="H354" s="54">
        <f t="shared" ca="1" si="71"/>
        <v>0.25031885946101134</v>
      </c>
      <c r="I354" s="54">
        <f t="shared" ca="1" si="72"/>
        <v>0.19868390234481281</v>
      </c>
      <c r="J354" s="54">
        <f t="shared" ca="1" si="73"/>
        <v>0.19173270359566202</v>
      </c>
      <c r="K354" s="54">
        <f t="shared" ca="1" si="74"/>
        <v>0.16419082327118725</v>
      </c>
      <c r="L354" s="54">
        <f t="shared" ca="1" si="75"/>
        <v>0.19507371132732657</v>
      </c>
      <c r="M354" s="54">
        <f ca="1">MIN(100,MAX(0,MCDA_Prioritisation!$F$2+(RAND()-0.5)*2*$B$7))</f>
        <v>90.592575157907419</v>
      </c>
      <c r="N354" s="54">
        <f ca="1">MIN(100,MAX(0,MCDA_Prioritisation!$F$3+(RAND()-0.5)*2*$B$7))</f>
        <v>96.864731795647472</v>
      </c>
      <c r="O354" s="54">
        <f ca="1">MIN(100,MAX(0,MCDA_Prioritisation!$F$4+(RAND()-0.5)*2*$B$7))</f>
        <v>88.856991015048294</v>
      </c>
      <c r="P354" s="54">
        <f ca="1">MIN(100,MAX(0,MCDA_Prioritisation!$F$5+(RAND()-0.5)*2*$B$7))</f>
        <v>74.75051503968146</v>
      </c>
      <c r="Q354" s="54">
        <f ca="1">MIN(100,MAX(0,MCDA_Prioritisation!$G$2+(RAND()-0.5)*2*$B$7))</f>
        <v>74.52261314852889</v>
      </c>
      <c r="R354" s="54">
        <f ca="1">MIN(100,MAX(0,MCDA_Prioritisation!$G$3+(RAND()-0.5)*2*$B$7))</f>
        <v>91.430766506720701</v>
      </c>
      <c r="S354" s="54">
        <f ca="1">MIN(100,MAX(0,MCDA_Prioritisation!$G$4+(RAND()-0.5)*2*$B$7))</f>
        <v>75.630419995353009</v>
      </c>
      <c r="T354" s="54">
        <f ca="1">MIN(100,MAX(0,MCDA_Prioritisation!$G$5+(RAND()-0.5)*2*$B$7))</f>
        <v>72.480267655315359</v>
      </c>
      <c r="U354" s="54">
        <f ca="1">MIN(100,MAX(0,MCDA_Prioritisation!$H$2+(RAND()-0.5)*2*$B$7))</f>
        <v>60.725939999444819</v>
      </c>
      <c r="V354" s="54">
        <f ca="1">MIN(100,MAX(0,MCDA_Prioritisation!$H$3+(RAND()-0.5)*2*$B$7))</f>
        <v>64.15795348881143</v>
      </c>
      <c r="W354" s="54">
        <f ca="1">MIN(100,MAX(0,MCDA_Prioritisation!$H$4+(RAND()-0.5)*2*$B$7))</f>
        <v>70.97321868352941</v>
      </c>
      <c r="X354" s="54">
        <f ca="1">MIN(100,MAX(0,MCDA_Prioritisation!$H$5+(RAND()-0.5)*2*$B$7))</f>
        <v>65.769375732259363</v>
      </c>
      <c r="Y354" s="54">
        <f ca="1">H354*MCDA_Prioritisation!$D$2+I354*MCDA_Prioritisation!$E$2+J354*M354+K354*Q354+L354*U354</f>
        <v>86.351799236010635</v>
      </c>
      <c r="Z354" s="54">
        <f ca="1">H354*MCDA_Prioritisation!$D$3+I354*MCDA_Prioritisation!$E$3+J354*N354+K354*R354+L354*V354</f>
        <v>82.426575309929149</v>
      </c>
      <c r="AA354" s="54">
        <f ca="1">H354*MCDA_Prioritisation!$D$4+I354*MCDA_Prioritisation!$E$4+J354*O354+K354*S354+L354*W354</f>
        <v>71.567658830043555</v>
      </c>
      <c r="AB354" s="54">
        <f ca="1">H354*MCDA_Prioritisation!$D$5+I354*MCDA_Prioritisation!$E$5+J354*P354+K354*T354+L354*X354</f>
        <v>69.055995551728344</v>
      </c>
      <c r="AC354" s="54">
        <f t="shared" ca="1" si="76"/>
        <v>1</v>
      </c>
      <c r="AD354" s="54">
        <f t="shared" ca="1" si="77"/>
        <v>2</v>
      </c>
      <c r="AE354" s="54">
        <f t="shared" ca="1" si="78"/>
        <v>3</v>
      </c>
      <c r="AF354" s="54">
        <f t="shared" ca="1" si="79"/>
        <v>4</v>
      </c>
      <c r="AG354" s="54">
        <f t="shared" ca="1" si="80"/>
        <v>1</v>
      </c>
      <c r="AH354" s="54">
        <f t="shared" ca="1" si="81"/>
        <v>1</v>
      </c>
      <c r="AI354" s="54">
        <f t="shared" ca="1" si="82"/>
        <v>1</v>
      </c>
      <c r="AJ354" s="54">
        <f t="shared" ca="1" si="83"/>
        <v>1</v>
      </c>
    </row>
    <row r="355" spans="1:36" x14ac:dyDescent="0.2">
      <c r="A355" s="54">
        <v>332</v>
      </c>
      <c r="B355" s="54">
        <f ca="1">MAX(0.02,MCDA_Prioritisation!$B$9+(RAND()-0.5)*2*$B$6)</f>
        <v>0.16604870322070325</v>
      </c>
      <c r="C355" s="54">
        <f ca="1">MAX(0.02,MCDA_Prioritisation!$B$10+(RAND()-0.5)*2*$B$6)</f>
        <v>0.19942967967249031</v>
      </c>
      <c r="D355" s="54">
        <f ca="1">MAX(0.02,MCDA_Prioritisation!$B$11+(RAND()-0.5)*2*$B$6)</f>
        <v>0.27758534685450109</v>
      </c>
      <c r="E355" s="54">
        <f ca="1">MAX(0.02,MCDA_Prioritisation!$B$12+(RAND()-0.5)*2*$B$6)</f>
        <v>0.20838989263212934</v>
      </c>
      <c r="F355" s="54">
        <f ca="1">MAX(0.02,MCDA_Prioritisation!$B$13+(RAND()-0.5)*2*$B$6)</f>
        <v>0.11775197642011662</v>
      </c>
      <c r="G355" s="54">
        <f t="shared" ca="1" si="70"/>
        <v>0.96920559879994062</v>
      </c>
      <c r="H355" s="54">
        <f t="shared" ca="1" si="71"/>
        <v>0.17132453983582316</v>
      </c>
      <c r="I355" s="54">
        <f t="shared" ca="1" si="72"/>
        <v>0.20576612425621754</v>
      </c>
      <c r="J355" s="54">
        <f t="shared" ca="1" si="73"/>
        <v>0.28640501788083367</v>
      </c>
      <c r="K355" s="54">
        <f t="shared" ca="1" si="74"/>
        <v>0.21501102850639259</v>
      </c>
      <c r="L355" s="54">
        <f t="shared" ca="1" si="75"/>
        <v>0.12149328952073304</v>
      </c>
      <c r="M355" s="54">
        <f ca="1">MIN(100,MAX(0,MCDA_Prioritisation!$F$2+(RAND()-0.5)*2*$B$7))</f>
        <v>81.480436233087318</v>
      </c>
      <c r="N355" s="54">
        <f ca="1">MIN(100,MAX(0,MCDA_Prioritisation!$F$3+(RAND()-0.5)*2*$B$7))</f>
        <v>92.904860330099567</v>
      </c>
      <c r="O355" s="54">
        <f ca="1">MIN(100,MAX(0,MCDA_Prioritisation!$F$4+(RAND()-0.5)*2*$B$7))</f>
        <v>83.977490287255236</v>
      </c>
      <c r="P355" s="54">
        <f ca="1">MIN(100,MAX(0,MCDA_Prioritisation!$F$5+(RAND()-0.5)*2*$B$7))</f>
        <v>78.82893292778887</v>
      </c>
      <c r="Q355" s="54">
        <f ca="1">MIN(100,MAX(0,MCDA_Prioritisation!$G$2+(RAND()-0.5)*2*$B$7))</f>
        <v>71.201189360980294</v>
      </c>
      <c r="R355" s="54">
        <f ca="1">MIN(100,MAX(0,MCDA_Prioritisation!$G$3+(RAND()-0.5)*2*$B$7))</f>
        <v>88.834455757826831</v>
      </c>
      <c r="S355" s="54">
        <f ca="1">MIN(100,MAX(0,MCDA_Prioritisation!$G$4+(RAND()-0.5)*2*$B$7))</f>
        <v>87.787621626886505</v>
      </c>
      <c r="T355" s="54">
        <f ca="1">MIN(100,MAX(0,MCDA_Prioritisation!$G$5+(RAND()-0.5)*2*$B$7))</f>
        <v>70.051145857988331</v>
      </c>
      <c r="U355" s="54">
        <f ca="1">MIN(100,MAX(0,MCDA_Prioritisation!$H$2+(RAND()-0.5)*2*$B$7))</f>
        <v>64.687147081734309</v>
      </c>
      <c r="V355" s="54">
        <f ca="1">MIN(100,MAX(0,MCDA_Prioritisation!$H$3+(RAND()-0.5)*2*$B$7))</f>
        <v>64.388515464781094</v>
      </c>
      <c r="W355" s="54">
        <f ca="1">MIN(100,MAX(0,MCDA_Prioritisation!$H$4+(RAND()-0.5)*2*$B$7))</f>
        <v>86.518347466780341</v>
      </c>
      <c r="X355" s="54">
        <f ca="1">MIN(100,MAX(0,MCDA_Prioritisation!$H$5+(RAND()-0.5)*2*$B$7))</f>
        <v>76.791759737979191</v>
      </c>
      <c r="Y355" s="54">
        <f ca="1">H355*MCDA_Prioritisation!$D$2+I355*MCDA_Prioritisation!$E$2+J355*M355+K355*Q355+L355*U355</f>
        <v>84.213567449533741</v>
      </c>
      <c r="Z355" s="54">
        <f ca="1">H355*MCDA_Prioritisation!$D$3+I355*MCDA_Prioritisation!$E$3+J355*N355+K355*R355+L355*V355</f>
        <v>83.469610740659718</v>
      </c>
      <c r="AA355" s="54">
        <f ca="1">H355*MCDA_Prioritisation!$D$4+I355*MCDA_Prioritisation!$E$4+J355*O355+K355*S355+L355*W355</f>
        <v>76.591920644307422</v>
      </c>
      <c r="AB355" s="54">
        <f ca="1">H355*MCDA_Prioritisation!$D$5+I355*MCDA_Prioritisation!$E$5+J355*P355+K355*T355+L355*X355</f>
        <v>73.364717211262928</v>
      </c>
      <c r="AC355" s="54">
        <f t="shared" ca="1" si="76"/>
        <v>1</v>
      </c>
      <c r="AD355" s="54">
        <f t="shared" ca="1" si="77"/>
        <v>2</v>
      </c>
      <c r="AE355" s="54">
        <f t="shared" ca="1" si="78"/>
        <v>3</v>
      </c>
      <c r="AF355" s="54">
        <f t="shared" ca="1" si="79"/>
        <v>4</v>
      </c>
      <c r="AG355" s="54">
        <f t="shared" ca="1" si="80"/>
        <v>1</v>
      </c>
      <c r="AH355" s="54">
        <f t="shared" ca="1" si="81"/>
        <v>1</v>
      </c>
      <c r="AI355" s="54">
        <f t="shared" ca="1" si="82"/>
        <v>1</v>
      </c>
      <c r="AJ355" s="54">
        <f t="shared" ca="1" si="83"/>
        <v>1</v>
      </c>
    </row>
    <row r="356" spans="1:36" x14ac:dyDescent="0.2">
      <c r="A356" s="54">
        <v>333</v>
      </c>
      <c r="B356" s="54">
        <f ca="1">MAX(0.02,MCDA_Prioritisation!$B$9+(RAND()-0.5)*2*$B$6)</f>
        <v>0.23020354168214668</v>
      </c>
      <c r="C356" s="54">
        <f ca="1">MAX(0.02,MCDA_Prioritisation!$B$10+(RAND()-0.5)*2*$B$6)</f>
        <v>0.31745653820398689</v>
      </c>
      <c r="D356" s="54">
        <f ca="1">MAX(0.02,MCDA_Prioritisation!$B$11+(RAND()-0.5)*2*$B$6)</f>
        <v>0.19159141971795546</v>
      </c>
      <c r="E356" s="54">
        <f ca="1">MAX(0.02,MCDA_Prioritisation!$B$12+(RAND()-0.5)*2*$B$6)</f>
        <v>0.17020756828683498</v>
      </c>
      <c r="F356" s="54">
        <f ca="1">MAX(0.02,MCDA_Prioritisation!$B$13+(RAND()-0.5)*2*$B$6)</f>
        <v>8.0429406814246276E-2</v>
      </c>
      <c r="G356" s="54">
        <f t="shared" ca="1" si="70"/>
        <v>0.98988847470517027</v>
      </c>
      <c r="H356" s="54">
        <f t="shared" ca="1" si="71"/>
        <v>0.23255502772745265</v>
      </c>
      <c r="I356" s="54">
        <f t="shared" ca="1" si="72"/>
        <v>0.32069929726026819</v>
      </c>
      <c r="J356" s="54">
        <f t="shared" ca="1" si="73"/>
        <v>0.19354849017210682</v>
      </c>
      <c r="K356" s="54">
        <f t="shared" ca="1" si="74"/>
        <v>0.17194620670528549</v>
      </c>
      <c r="L356" s="54">
        <f t="shared" ca="1" si="75"/>
        <v>8.1250978134886839E-2</v>
      </c>
      <c r="M356" s="54">
        <f ca="1">MIN(100,MAX(0,MCDA_Prioritisation!$F$2+(RAND()-0.5)*2*$B$7))</f>
        <v>94.630490316716845</v>
      </c>
      <c r="N356" s="54">
        <f ca="1">MIN(100,MAX(0,MCDA_Prioritisation!$F$3+(RAND()-0.5)*2*$B$7))</f>
        <v>88.582211796904431</v>
      </c>
      <c r="O356" s="54">
        <f ca="1">MIN(100,MAX(0,MCDA_Prioritisation!$F$4+(RAND()-0.5)*2*$B$7))</f>
        <v>92.834792646657192</v>
      </c>
      <c r="P356" s="54">
        <f ca="1">MIN(100,MAX(0,MCDA_Prioritisation!$F$5+(RAND()-0.5)*2*$B$7))</f>
        <v>82.610087642764427</v>
      </c>
      <c r="Q356" s="54">
        <f ca="1">MIN(100,MAX(0,MCDA_Prioritisation!$G$2+(RAND()-0.5)*2*$B$7))</f>
        <v>70.32383815845111</v>
      </c>
      <c r="R356" s="54">
        <f ca="1">MIN(100,MAX(0,MCDA_Prioritisation!$G$3+(RAND()-0.5)*2*$B$7))</f>
        <v>96.793104772449468</v>
      </c>
      <c r="S356" s="54">
        <f ca="1">MIN(100,MAX(0,MCDA_Prioritisation!$G$4+(RAND()-0.5)*2*$B$7))</f>
        <v>82.42340080164216</v>
      </c>
      <c r="T356" s="54">
        <f ca="1">MIN(100,MAX(0,MCDA_Prioritisation!$G$5+(RAND()-0.5)*2*$B$7))</f>
        <v>66.471039968668649</v>
      </c>
      <c r="U356" s="54">
        <f ca="1">MIN(100,MAX(0,MCDA_Prioritisation!$H$2+(RAND()-0.5)*2*$B$7))</f>
        <v>69.661173603902355</v>
      </c>
      <c r="V356" s="54">
        <f ca="1">MIN(100,MAX(0,MCDA_Prioritisation!$H$3+(RAND()-0.5)*2*$B$7))</f>
        <v>54.170142839737622</v>
      </c>
      <c r="W356" s="54">
        <f ca="1">MIN(100,MAX(0,MCDA_Prioritisation!$H$4+(RAND()-0.5)*2*$B$7))</f>
        <v>81.751313289327825</v>
      </c>
      <c r="X356" s="54">
        <f ca="1">MIN(100,MAX(0,MCDA_Prioritisation!$H$5+(RAND()-0.5)*2*$B$7))</f>
        <v>68.667507915602599</v>
      </c>
      <c r="Y356" s="54">
        <f ca="1">H356*MCDA_Prioritisation!$D$2+I356*MCDA_Prioritisation!$E$2+J356*M356+K356*Q356+L356*U356</f>
        <v>91.39297672946212</v>
      </c>
      <c r="Z356" s="54">
        <f ca="1">H356*MCDA_Prioritisation!$D$3+I356*MCDA_Prioritisation!$E$3+J356*N356+K356*R356+L356*V356</f>
        <v>81.837697274363734</v>
      </c>
      <c r="AA356" s="54">
        <f ca="1">H356*MCDA_Prioritisation!$D$4+I356*MCDA_Prioritisation!$E$4+J356*O356+K356*S356+L356*W356</f>
        <v>72.469253206644154</v>
      </c>
      <c r="AB356" s="54">
        <f ca="1">H356*MCDA_Prioritisation!$D$5+I356*MCDA_Prioritisation!$E$5+J356*P356+K356*T356+L356*X356</f>
        <v>72.308763579447628</v>
      </c>
      <c r="AC356" s="54">
        <f t="shared" ca="1" si="76"/>
        <v>1</v>
      </c>
      <c r="AD356" s="54">
        <f t="shared" ca="1" si="77"/>
        <v>2</v>
      </c>
      <c r="AE356" s="54">
        <f t="shared" ca="1" si="78"/>
        <v>3</v>
      </c>
      <c r="AF356" s="54">
        <f t="shared" ca="1" si="79"/>
        <v>4</v>
      </c>
      <c r="AG356" s="54">
        <f t="shared" ca="1" si="80"/>
        <v>1</v>
      </c>
      <c r="AH356" s="54">
        <f t="shared" ca="1" si="81"/>
        <v>1</v>
      </c>
      <c r="AI356" s="54">
        <f t="shared" ca="1" si="82"/>
        <v>1</v>
      </c>
      <c r="AJ356" s="54">
        <f t="shared" ca="1" si="83"/>
        <v>1</v>
      </c>
    </row>
    <row r="357" spans="1:36" x14ac:dyDescent="0.2">
      <c r="A357" s="54">
        <v>334</v>
      </c>
      <c r="B357" s="54">
        <f ca="1">MAX(0.02,MCDA_Prioritisation!$B$9+(RAND()-0.5)*2*$B$6)</f>
        <v>0.12058303233703543</v>
      </c>
      <c r="C357" s="54">
        <f ca="1">MAX(0.02,MCDA_Prioritisation!$B$10+(RAND()-0.5)*2*$B$6)</f>
        <v>0.20274780197194819</v>
      </c>
      <c r="D357" s="54">
        <f ca="1">MAX(0.02,MCDA_Prioritisation!$B$11+(RAND()-0.5)*2*$B$6)</f>
        <v>0.24997925069429011</v>
      </c>
      <c r="E357" s="54">
        <f ca="1">MAX(0.02,MCDA_Prioritisation!$B$12+(RAND()-0.5)*2*$B$6)</f>
        <v>0.17911557386527099</v>
      </c>
      <c r="F357" s="54">
        <f ca="1">MAX(0.02,MCDA_Prioritisation!$B$13+(RAND()-0.5)*2*$B$6)</f>
        <v>0.16229263946874817</v>
      </c>
      <c r="G357" s="54">
        <f t="shared" ca="1" si="70"/>
        <v>0.9147182983372929</v>
      </c>
      <c r="H357" s="54">
        <f t="shared" ca="1" si="71"/>
        <v>0.13182531994409899</v>
      </c>
      <c r="I357" s="54">
        <f t="shared" ca="1" si="72"/>
        <v>0.22165053693633124</v>
      </c>
      <c r="J357" s="54">
        <f t="shared" ca="1" si="73"/>
        <v>0.27328550346995778</v>
      </c>
      <c r="K357" s="54">
        <f t="shared" ca="1" si="74"/>
        <v>0.19581501123444672</v>
      </c>
      <c r="L357" s="54">
        <f t="shared" ca="1" si="75"/>
        <v>0.17742362841516529</v>
      </c>
      <c r="M357" s="54">
        <f ca="1">MIN(100,MAX(0,MCDA_Prioritisation!$F$2+(RAND()-0.5)*2*$B$7))</f>
        <v>82.691785934194428</v>
      </c>
      <c r="N357" s="54">
        <f ca="1">MIN(100,MAX(0,MCDA_Prioritisation!$F$3+(RAND()-0.5)*2*$B$7))</f>
        <v>100</v>
      </c>
      <c r="O357" s="54">
        <f ca="1">MIN(100,MAX(0,MCDA_Prioritisation!$F$4+(RAND()-0.5)*2*$B$7))</f>
        <v>91.579266711959392</v>
      </c>
      <c r="P357" s="54">
        <f ca="1">MIN(100,MAX(0,MCDA_Prioritisation!$F$5+(RAND()-0.5)*2*$B$7))</f>
        <v>79.769459586948145</v>
      </c>
      <c r="Q357" s="54">
        <f ca="1">MIN(100,MAX(0,MCDA_Prioritisation!$G$2+(RAND()-0.5)*2*$B$7))</f>
        <v>88.239472273251792</v>
      </c>
      <c r="R357" s="54">
        <f ca="1">MIN(100,MAX(0,MCDA_Prioritisation!$G$3+(RAND()-0.5)*2*$B$7))</f>
        <v>93.598983270627613</v>
      </c>
      <c r="S357" s="54">
        <f ca="1">MIN(100,MAX(0,MCDA_Prioritisation!$G$4+(RAND()-0.5)*2*$B$7))</f>
        <v>89.855730289108322</v>
      </c>
      <c r="T357" s="54">
        <f ca="1">MIN(100,MAX(0,MCDA_Prioritisation!$G$5+(RAND()-0.5)*2*$B$7))</f>
        <v>78.134925092022115</v>
      </c>
      <c r="U357" s="54">
        <f ca="1">MIN(100,MAX(0,MCDA_Prioritisation!$H$2+(RAND()-0.5)*2*$B$7))</f>
        <v>65.316896509034009</v>
      </c>
      <c r="V357" s="54">
        <f ca="1">MIN(100,MAX(0,MCDA_Prioritisation!$H$3+(RAND()-0.5)*2*$B$7))</f>
        <v>63.053862963873215</v>
      </c>
      <c r="W357" s="54">
        <f ca="1">MIN(100,MAX(0,MCDA_Prioritisation!$H$4+(RAND()-0.5)*2*$B$7))</f>
        <v>71.136569353857681</v>
      </c>
      <c r="X357" s="54">
        <f ca="1">MIN(100,MAX(0,MCDA_Prioritisation!$H$5+(RAND()-0.5)*2*$B$7))</f>
        <v>73.733737094941191</v>
      </c>
      <c r="Y357" s="54">
        <f ca="1">H357*MCDA_Prioritisation!$D$2+I357*MCDA_Prioritisation!$E$2+J357*M357+K357*Q357+L357*U357</f>
        <v>86.813426069858423</v>
      </c>
      <c r="Z357" s="54">
        <f ca="1">H357*MCDA_Prioritisation!$D$3+I357*MCDA_Prioritisation!$E$3+J357*N357+K357*R357+L357*V357</f>
        <v>84.48503680777057</v>
      </c>
      <c r="AA357" s="54">
        <f ca="1">H357*MCDA_Prioritisation!$D$4+I357*MCDA_Prioritisation!$E$4+J357*O357+K357*S357+L357*W357</f>
        <v>76.513264714534472</v>
      </c>
      <c r="AB357" s="54">
        <f ca="1">H357*MCDA_Prioritisation!$D$5+I357*MCDA_Prioritisation!$E$5+J357*P357+K357*T357+L357*X357</f>
        <v>75.817476639983184</v>
      </c>
      <c r="AC357" s="54">
        <f t="shared" ca="1" si="76"/>
        <v>1</v>
      </c>
      <c r="AD357" s="54">
        <f t="shared" ca="1" si="77"/>
        <v>2</v>
      </c>
      <c r="AE357" s="54">
        <f t="shared" ca="1" si="78"/>
        <v>3</v>
      </c>
      <c r="AF357" s="54">
        <f t="shared" ca="1" si="79"/>
        <v>4</v>
      </c>
      <c r="AG357" s="54">
        <f t="shared" ca="1" si="80"/>
        <v>1</v>
      </c>
      <c r="AH357" s="54">
        <f t="shared" ca="1" si="81"/>
        <v>1</v>
      </c>
      <c r="AI357" s="54">
        <f t="shared" ca="1" si="82"/>
        <v>1</v>
      </c>
      <c r="AJ357" s="54">
        <f t="shared" ca="1" si="83"/>
        <v>1</v>
      </c>
    </row>
    <row r="358" spans="1:36" x14ac:dyDescent="0.2">
      <c r="A358" s="54">
        <v>335</v>
      </c>
      <c r="B358" s="54">
        <f ca="1">MAX(0.02,MCDA_Prioritisation!$B$9+(RAND()-0.5)*2*$B$6)</f>
        <v>0.21280885007937192</v>
      </c>
      <c r="C358" s="54">
        <f ca="1">MAX(0.02,MCDA_Prioritisation!$B$10+(RAND()-0.5)*2*$B$6)</f>
        <v>0.18752808079966293</v>
      </c>
      <c r="D358" s="54">
        <f ca="1">MAX(0.02,MCDA_Prioritisation!$B$11+(RAND()-0.5)*2*$B$6)</f>
        <v>0.18042654419368973</v>
      </c>
      <c r="E358" s="54">
        <f ca="1">MAX(0.02,MCDA_Prioritisation!$B$12+(RAND()-0.5)*2*$B$6)</f>
        <v>0.14399543334122059</v>
      </c>
      <c r="F358" s="54">
        <f ca="1">MAX(0.02,MCDA_Prioritisation!$B$13+(RAND()-0.5)*2*$B$6)</f>
        <v>0.20815029532690385</v>
      </c>
      <c r="G358" s="54">
        <f t="shared" ca="1" si="70"/>
        <v>0.93290920374084907</v>
      </c>
      <c r="H358" s="54">
        <f t="shared" ca="1" si="71"/>
        <v>0.2281131424430535</v>
      </c>
      <c r="I358" s="54">
        <f t="shared" ca="1" si="72"/>
        <v>0.20101428954468326</v>
      </c>
      <c r="J358" s="54">
        <f t="shared" ca="1" si="73"/>
        <v>0.19340204113133613</v>
      </c>
      <c r="K358" s="54">
        <f t="shared" ca="1" si="74"/>
        <v>0.15435096230567447</v>
      </c>
      <c r="L358" s="54">
        <f t="shared" ca="1" si="75"/>
        <v>0.22311956457525259</v>
      </c>
      <c r="M358" s="54">
        <f ca="1">MIN(100,MAX(0,MCDA_Prioritisation!$F$2+(RAND()-0.5)*2*$B$7))</f>
        <v>86.441863995118723</v>
      </c>
      <c r="N358" s="54">
        <f ca="1">MIN(100,MAX(0,MCDA_Prioritisation!$F$3+(RAND()-0.5)*2*$B$7))</f>
        <v>98.999199572028004</v>
      </c>
      <c r="O358" s="54">
        <f ca="1">MIN(100,MAX(0,MCDA_Prioritisation!$F$4+(RAND()-0.5)*2*$B$7))</f>
        <v>99.951058518793431</v>
      </c>
      <c r="P358" s="54">
        <f ca="1">MIN(100,MAX(0,MCDA_Prioritisation!$F$5+(RAND()-0.5)*2*$B$7))</f>
        <v>82.304295018865659</v>
      </c>
      <c r="Q358" s="54">
        <f ca="1">MIN(100,MAX(0,MCDA_Prioritisation!$G$2+(RAND()-0.5)*2*$B$7))</f>
        <v>71.886239601299224</v>
      </c>
      <c r="R358" s="54">
        <f ca="1">MIN(100,MAX(0,MCDA_Prioritisation!$G$3+(RAND()-0.5)*2*$B$7))</f>
        <v>99.374818020654544</v>
      </c>
      <c r="S358" s="54">
        <f ca="1">MIN(100,MAX(0,MCDA_Prioritisation!$G$4+(RAND()-0.5)*2*$B$7))</f>
        <v>78.881366934766049</v>
      </c>
      <c r="T358" s="54">
        <f ca="1">MIN(100,MAX(0,MCDA_Prioritisation!$G$5+(RAND()-0.5)*2*$B$7))</f>
        <v>67.531193217936831</v>
      </c>
      <c r="U358" s="54">
        <f ca="1">MIN(100,MAX(0,MCDA_Prioritisation!$H$2+(RAND()-0.5)*2*$B$7))</f>
        <v>61.047522539096938</v>
      </c>
      <c r="V358" s="54">
        <f ca="1">MIN(100,MAX(0,MCDA_Prioritisation!$H$3+(RAND()-0.5)*2*$B$7))</f>
        <v>62.897295856883275</v>
      </c>
      <c r="W358" s="54">
        <f ca="1">MIN(100,MAX(0,MCDA_Prioritisation!$H$4+(RAND()-0.5)*2*$B$7))</f>
        <v>72.013996883776969</v>
      </c>
      <c r="X358" s="54">
        <f ca="1">MIN(100,MAX(0,MCDA_Prioritisation!$H$5+(RAND()-0.5)*2*$B$7))</f>
        <v>83.775856674503444</v>
      </c>
      <c r="Y358" s="54">
        <f ca="1">H358*MCDA_Prioritisation!$D$2+I358*MCDA_Prioritisation!$E$2+J358*M358+K358*Q358+L358*U358</f>
        <v>84.347383040945047</v>
      </c>
      <c r="Z358" s="54">
        <f ca="1">H358*MCDA_Prioritisation!$D$3+I358*MCDA_Prioritisation!$E$3+J358*N358+K358*R358+L358*V358</f>
        <v>83.074452023559715</v>
      </c>
      <c r="AA358" s="54">
        <f ca="1">H358*MCDA_Prioritisation!$D$4+I358*MCDA_Prioritisation!$E$4+J358*O358+K358*S358+L358*W358</f>
        <v>74.422759300195324</v>
      </c>
      <c r="AB358" s="54">
        <f ca="1">H358*MCDA_Prioritisation!$D$5+I358*MCDA_Prioritisation!$E$5+J358*P358+K358*T358+L358*X358</f>
        <v>74.044138335794571</v>
      </c>
      <c r="AC358" s="54">
        <f t="shared" ca="1" si="76"/>
        <v>1</v>
      </c>
      <c r="AD358" s="54">
        <f t="shared" ca="1" si="77"/>
        <v>2</v>
      </c>
      <c r="AE358" s="54">
        <f t="shared" ca="1" si="78"/>
        <v>3</v>
      </c>
      <c r="AF358" s="54">
        <f t="shared" ca="1" si="79"/>
        <v>4</v>
      </c>
      <c r="AG358" s="54">
        <f t="shared" ca="1" si="80"/>
        <v>1</v>
      </c>
      <c r="AH358" s="54">
        <f t="shared" ca="1" si="81"/>
        <v>1</v>
      </c>
      <c r="AI358" s="54">
        <f t="shared" ca="1" si="82"/>
        <v>1</v>
      </c>
      <c r="AJ358" s="54">
        <f t="shared" ca="1" si="83"/>
        <v>1</v>
      </c>
    </row>
    <row r="359" spans="1:36" x14ac:dyDescent="0.2">
      <c r="A359" s="54">
        <v>336</v>
      </c>
      <c r="B359" s="54">
        <f ca="1">MAX(0.02,MCDA_Prioritisation!$B$9+(RAND()-0.5)*2*$B$6)</f>
        <v>0.18871994818785584</v>
      </c>
      <c r="C359" s="54">
        <f ca="1">MAX(0.02,MCDA_Prioritisation!$B$10+(RAND()-0.5)*2*$B$6)</f>
        <v>0.20130489968139567</v>
      </c>
      <c r="D359" s="54">
        <f ca="1">MAX(0.02,MCDA_Prioritisation!$B$11+(RAND()-0.5)*2*$B$6)</f>
        <v>0.27330156807295958</v>
      </c>
      <c r="E359" s="54">
        <f ca="1">MAX(0.02,MCDA_Prioritisation!$B$12+(RAND()-0.5)*2*$B$6)</f>
        <v>0.22674197092771942</v>
      </c>
      <c r="F359" s="54">
        <f ca="1">MAX(0.02,MCDA_Prioritisation!$B$13+(RAND()-0.5)*2*$B$6)</f>
        <v>8.7619961407984559E-2</v>
      </c>
      <c r="G359" s="54">
        <f t="shared" ca="1" si="70"/>
        <v>0.97768834827791506</v>
      </c>
      <c r="H359" s="54">
        <f t="shared" ca="1" si="71"/>
        <v>0.19302669252452911</v>
      </c>
      <c r="I359" s="54">
        <f t="shared" ca="1" si="72"/>
        <v>0.20589884295539673</v>
      </c>
      <c r="J359" s="54">
        <f t="shared" ca="1" si="73"/>
        <v>0.27953853449757143</v>
      </c>
      <c r="K359" s="54">
        <f t="shared" ca="1" si="74"/>
        <v>0.23191640907565195</v>
      </c>
      <c r="L359" s="54">
        <f t="shared" ca="1" si="75"/>
        <v>8.9619520946850786E-2</v>
      </c>
      <c r="M359" s="54">
        <f ca="1">MIN(100,MAX(0,MCDA_Prioritisation!$F$2+(RAND()-0.5)*2*$B$7))</f>
        <v>87.81078240858848</v>
      </c>
      <c r="N359" s="54">
        <f ca="1">MIN(100,MAX(0,MCDA_Prioritisation!$F$3+(RAND()-0.5)*2*$B$7))</f>
        <v>93.5859566972442</v>
      </c>
      <c r="O359" s="54">
        <f ca="1">MIN(100,MAX(0,MCDA_Prioritisation!$F$4+(RAND()-0.5)*2*$B$7))</f>
        <v>92.317599408904442</v>
      </c>
      <c r="P359" s="54">
        <f ca="1">MIN(100,MAX(0,MCDA_Prioritisation!$F$5+(RAND()-0.5)*2*$B$7))</f>
        <v>81.000204588856576</v>
      </c>
      <c r="Q359" s="54">
        <f ca="1">MIN(100,MAX(0,MCDA_Prioritisation!$G$2+(RAND()-0.5)*2*$B$7))</f>
        <v>71.484834254287946</v>
      </c>
      <c r="R359" s="54">
        <f ca="1">MIN(100,MAX(0,MCDA_Prioritisation!$G$3+(RAND()-0.5)*2*$B$7))</f>
        <v>92.348790223986967</v>
      </c>
      <c r="S359" s="54">
        <f ca="1">MIN(100,MAX(0,MCDA_Prioritisation!$G$4+(RAND()-0.5)*2*$B$7))</f>
        <v>90.483085921357457</v>
      </c>
      <c r="T359" s="54">
        <f ca="1">MIN(100,MAX(0,MCDA_Prioritisation!$G$5+(RAND()-0.5)*2*$B$7))</f>
        <v>77.940467202776503</v>
      </c>
      <c r="U359" s="54">
        <f ca="1">MIN(100,MAX(0,MCDA_Prioritisation!$H$2+(RAND()-0.5)*2*$B$7))</f>
        <v>74.307460256875856</v>
      </c>
      <c r="V359" s="54">
        <f ca="1">MIN(100,MAX(0,MCDA_Prioritisation!$H$3+(RAND()-0.5)*2*$B$7))</f>
        <v>58.284158063077264</v>
      </c>
      <c r="W359" s="54">
        <f ca="1">MIN(100,MAX(0,MCDA_Prioritisation!$H$4+(RAND()-0.5)*2*$B$7))</f>
        <v>84.543679947364566</v>
      </c>
      <c r="X359" s="54">
        <f ca="1">MIN(100,MAX(0,MCDA_Prioritisation!$H$5+(RAND()-0.5)*2*$B$7))</f>
        <v>78.128754898269094</v>
      </c>
      <c r="Y359" s="54">
        <f ca="1">H359*MCDA_Prioritisation!$D$2+I359*MCDA_Prioritisation!$E$2+J359*M359+K359*Q359+L359*U359</f>
        <v>87.676956030195527</v>
      </c>
      <c r="Z359" s="54">
        <f ca="1">H359*MCDA_Prioritisation!$D$3+I359*MCDA_Prioritisation!$E$3+J359*N359+K359*R359+L359*V359</f>
        <v>84.645863445625409</v>
      </c>
      <c r="AA359" s="54">
        <f ca="1">H359*MCDA_Prioritisation!$D$4+I359*MCDA_Prioritisation!$E$4+J359*O359+K359*S359+L359*W359</f>
        <v>79.039693031992243</v>
      </c>
      <c r="AB359" s="54">
        <f ca="1">H359*MCDA_Prioritisation!$D$5+I359*MCDA_Prioritisation!$E$5+J359*P359+K359*T359+L359*X359</f>
        <v>75.27949769626791</v>
      </c>
      <c r="AC359" s="54">
        <f t="shared" ca="1" si="76"/>
        <v>1</v>
      </c>
      <c r="AD359" s="54">
        <f t="shared" ca="1" si="77"/>
        <v>2</v>
      </c>
      <c r="AE359" s="54">
        <f t="shared" ca="1" si="78"/>
        <v>3</v>
      </c>
      <c r="AF359" s="54">
        <f t="shared" ca="1" si="79"/>
        <v>4</v>
      </c>
      <c r="AG359" s="54">
        <f t="shared" ca="1" si="80"/>
        <v>1</v>
      </c>
      <c r="AH359" s="54">
        <f t="shared" ca="1" si="81"/>
        <v>1</v>
      </c>
      <c r="AI359" s="54">
        <f t="shared" ca="1" si="82"/>
        <v>1</v>
      </c>
      <c r="AJ359" s="54">
        <f t="shared" ca="1" si="83"/>
        <v>1</v>
      </c>
    </row>
    <row r="360" spans="1:36" x14ac:dyDescent="0.2">
      <c r="A360" s="54">
        <v>337</v>
      </c>
      <c r="B360" s="54">
        <f ca="1">MAX(0.02,MCDA_Prioritisation!$B$9+(RAND()-0.5)*2*$B$6)</f>
        <v>0.16815445707118287</v>
      </c>
      <c r="C360" s="54">
        <f ca="1">MAX(0.02,MCDA_Prioritisation!$B$10+(RAND()-0.5)*2*$B$6)</f>
        <v>0.19969130077941333</v>
      </c>
      <c r="D360" s="54">
        <f ca="1">MAX(0.02,MCDA_Prioritisation!$B$11+(RAND()-0.5)*2*$B$6)</f>
        <v>0.25738014147649457</v>
      </c>
      <c r="E360" s="54">
        <f ca="1">MAX(0.02,MCDA_Prioritisation!$B$12+(RAND()-0.5)*2*$B$6)</f>
        <v>0.19462421032259306</v>
      </c>
      <c r="F360" s="54">
        <f ca="1">MAX(0.02,MCDA_Prioritisation!$B$13+(RAND()-0.5)*2*$B$6)</f>
        <v>0.22890515303372611</v>
      </c>
      <c r="G360" s="54">
        <f t="shared" ca="1" si="70"/>
        <v>1.0487552626834098</v>
      </c>
      <c r="H360" s="54">
        <f t="shared" ca="1" si="71"/>
        <v>0.16033717594029756</v>
      </c>
      <c r="I360" s="54">
        <f t="shared" ca="1" si="72"/>
        <v>0.19040791296576751</v>
      </c>
      <c r="J360" s="54">
        <f t="shared" ca="1" si="73"/>
        <v>0.24541487478970631</v>
      </c>
      <c r="K360" s="54">
        <f t="shared" ca="1" si="74"/>
        <v>0.18557638492760986</v>
      </c>
      <c r="L360" s="54">
        <f t="shared" ca="1" si="75"/>
        <v>0.21826365137661888</v>
      </c>
      <c r="M360" s="54">
        <f ca="1">MIN(100,MAX(0,MCDA_Prioritisation!$F$2+(RAND()-0.5)*2*$B$7))</f>
        <v>94.557542031164189</v>
      </c>
      <c r="N360" s="54">
        <f ca="1">MIN(100,MAX(0,MCDA_Prioritisation!$F$3+(RAND()-0.5)*2*$B$7))</f>
        <v>92.304821368744484</v>
      </c>
      <c r="O360" s="54">
        <f ca="1">MIN(100,MAX(0,MCDA_Prioritisation!$F$4+(RAND()-0.5)*2*$B$7))</f>
        <v>88.365342630286293</v>
      </c>
      <c r="P360" s="54">
        <f ca="1">MIN(100,MAX(0,MCDA_Prioritisation!$F$5+(RAND()-0.5)*2*$B$7))</f>
        <v>79.715964696753971</v>
      </c>
      <c r="Q360" s="54">
        <f ca="1">MIN(100,MAX(0,MCDA_Prioritisation!$G$2+(RAND()-0.5)*2*$B$7))</f>
        <v>76.339790910513713</v>
      </c>
      <c r="R360" s="54">
        <f ca="1">MIN(100,MAX(0,MCDA_Prioritisation!$G$3+(RAND()-0.5)*2*$B$7))</f>
        <v>96.525448991295491</v>
      </c>
      <c r="S360" s="54">
        <f ca="1">MIN(100,MAX(0,MCDA_Prioritisation!$G$4+(RAND()-0.5)*2*$B$7))</f>
        <v>85.955686578299861</v>
      </c>
      <c r="T360" s="54">
        <f ca="1">MIN(100,MAX(0,MCDA_Prioritisation!$G$5+(RAND()-0.5)*2*$B$7))</f>
        <v>78.243630056975491</v>
      </c>
      <c r="U360" s="54">
        <f ca="1">MIN(100,MAX(0,MCDA_Prioritisation!$H$2+(RAND()-0.5)*2*$B$7))</f>
        <v>74.778430478576865</v>
      </c>
      <c r="V360" s="54">
        <f ca="1">MIN(100,MAX(0,MCDA_Prioritisation!$H$3+(RAND()-0.5)*2*$B$7))</f>
        <v>55.372941847987072</v>
      </c>
      <c r="W360" s="54">
        <f ca="1">MIN(100,MAX(0,MCDA_Prioritisation!$H$4+(RAND()-0.5)*2*$B$7))</f>
        <v>84.023644460703778</v>
      </c>
      <c r="X360" s="54">
        <f ca="1">MIN(100,MAX(0,MCDA_Prioritisation!$H$5+(RAND()-0.5)*2*$B$7))</f>
        <v>78.526135143158896</v>
      </c>
      <c r="Y360" s="54">
        <f ca="1">H360*MCDA_Prioritisation!$D$2+I360*MCDA_Prioritisation!$E$2+J360*M360+K360*Q360+L360*U360</f>
        <v>88.768611932376629</v>
      </c>
      <c r="Z360" s="54">
        <f ca="1">H360*MCDA_Prioritisation!$D$3+I360*MCDA_Prioritisation!$E$3+J360*N360+K360*R360+L360*V360</f>
        <v>80.512531139963386</v>
      </c>
      <c r="AA360" s="54">
        <f ca="1">H360*MCDA_Prioritisation!$D$4+I360*MCDA_Prioritisation!$E$4+J360*O360+K360*S360+L360*W360</f>
        <v>77.527647054528444</v>
      </c>
      <c r="AB360" s="54">
        <f ca="1">H360*MCDA_Prioritisation!$D$5+I360*MCDA_Prioritisation!$E$5+J360*P360+K360*T360+L360*X360</f>
        <v>75.74466727316765</v>
      </c>
      <c r="AC360" s="54">
        <f t="shared" ca="1" si="76"/>
        <v>1</v>
      </c>
      <c r="AD360" s="54">
        <f t="shared" ca="1" si="77"/>
        <v>2</v>
      </c>
      <c r="AE360" s="54">
        <f t="shared" ca="1" si="78"/>
        <v>3</v>
      </c>
      <c r="AF360" s="54">
        <f t="shared" ca="1" si="79"/>
        <v>4</v>
      </c>
      <c r="AG360" s="54">
        <f t="shared" ca="1" si="80"/>
        <v>1</v>
      </c>
      <c r="AH360" s="54">
        <f t="shared" ca="1" si="81"/>
        <v>1</v>
      </c>
      <c r="AI360" s="54">
        <f t="shared" ca="1" si="82"/>
        <v>1</v>
      </c>
      <c r="AJ360" s="54">
        <f t="shared" ca="1" si="83"/>
        <v>1</v>
      </c>
    </row>
    <row r="361" spans="1:36" x14ac:dyDescent="0.2">
      <c r="A361" s="54">
        <v>338</v>
      </c>
      <c r="B361" s="54">
        <f ca="1">MAX(0.02,MCDA_Prioritisation!$B$9+(RAND()-0.5)*2*$B$6)</f>
        <v>0.17108401182138033</v>
      </c>
      <c r="C361" s="54">
        <f ca="1">MAX(0.02,MCDA_Prioritisation!$B$10+(RAND()-0.5)*2*$B$6)</f>
        <v>0.29211832290024281</v>
      </c>
      <c r="D361" s="54">
        <f ca="1">MAX(0.02,MCDA_Prioritisation!$B$11+(RAND()-0.5)*2*$B$6)</f>
        <v>0.27638340730765487</v>
      </c>
      <c r="E361" s="54">
        <f ca="1">MAX(0.02,MCDA_Prioritisation!$B$12+(RAND()-0.5)*2*$B$6)</f>
        <v>7.4960407067043044E-2</v>
      </c>
      <c r="F361" s="54">
        <f ca="1">MAX(0.02,MCDA_Prioritisation!$B$13+(RAND()-0.5)*2*$B$6)</f>
        <v>0.22305421756558272</v>
      </c>
      <c r="G361" s="54">
        <f t="shared" ca="1" si="70"/>
        <v>1.0376003666619038</v>
      </c>
      <c r="H361" s="54">
        <f t="shared" ca="1" si="71"/>
        <v>0.16488430162354317</v>
      </c>
      <c r="I361" s="54">
        <f t="shared" ca="1" si="72"/>
        <v>0.28153259413354459</v>
      </c>
      <c r="J361" s="54">
        <f t="shared" ca="1" si="73"/>
        <v>0.26636787744863322</v>
      </c>
      <c r="K361" s="54">
        <f t="shared" ca="1" si="74"/>
        <v>7.2244005954046148E-2</v>
      </c>
      <c r="L361" s="54">
        <f t="shared" ca="1" si="75"/>
        <v>0.21497122084023287</v>
      </c>
      <c r="M361" s="54">
        <f ca="1">MIN(100,MAX(0,MCDA_Prioritisation!$F$2+(RAND()-0.5)*2*$B$7))</f>
        <v>85.52908576595317</v>
      </c>
      <c r="N361" s="54">
        <f ca="1">MIN(100,MAX(0,MCDA_Prioritisation!$F$3+(RAND()-0.5)*2*$B$7))</f>
        <v>100</v>
      </c>
      <c r="O361" s="54">
        <f ca="1">MIN(100,MAX(0,MCDA_Prioritisation!$F$4+(RAND()-0.5)*2*$B$7))</f>
        <v>90.797009134007737</v>
      </c>
      <c r="P361" s="54">
        <f ca="1">MIN(100,MAX(0,MCDA_Prioritisation!$F$5+(RAND()-0.5)*2*$B$7))</f>
        <v>75.856668302473722</v>
      </c>
      <c r="Q361" s="54">
        <f ca="1">MIN(100,MAX(0,MCDA_Prioritisation!$G$2+(RAND()-0.5)*2*$B$7))</f>
        <v>84.722809304958702</v>
      </c>
      <c r="R361" s="54">
        <f ca="1">MIN(100,MAX(0,MCDA_Prioritisation!$G$3+(RAND()-0.5)*2*$B$7))</f>
        <v>100</v>
      </c>
      <c r="S361" s="54">
        <f ca="1">MIN(100,MAX(0,MCDA_Prioritisation!$G$4+(RAND()-0.5)*2*$B$7))</f>
        <v>75.985745126573136</v>
      </c>
      <c r="T361" s="54">
        <f ca="1">MIN(100,MAX(0,MCDA_Prioritisation!$G$5+(RAND()-0.5)*2*$B$7))</f>
        <v>69.645327125572749</v>
      </c>
      <c r="U361" s="54">
        <f ca="1">MIN(100,MAX(0,MCDA_Prioritisation!$H$2+(RAND()-0.5)*2*$B$7))</f>
        <v>56.689121851090562</v>
      </c>
      <c r="V361" s="54">
        <f ca="1">MIN(100,MAX(0,MCDA_Prioritisation!$H$3+(RAND()-0.5)*2*$B$7))</f>
        <v>64.637126300035632</v>
      </c>
      <c r="W361" s="54">
        <f ca="1">MIN(100,MAX(0,MCDA_Prioritisation!$H$4+(RAND()-0.5)*2*$B$7))</f>
        <v>83.337616165330573</v>
      </c>
      <c r="X361" s="54">
        <f ca="1">MIN(100,MAX(0,MCDA_Prioritisation!$H$5+(RAND()-0.5)*2*$B$7))</f>
        <v>78.872605788019612</v>
      </c>
      <c r="Y361" s="54">
        <f ca="1">H361*MCDA_Prioritisation!$D$2+I361*MCDA_Prioritisation!$E$2+J361*M361+K361*Q361+L361*U361</f>
        <v>85.731135483868442</v>
      </c>
      <c r="Z361" s="54">
        <f ca="1">H361*MCDA_Prioritisation!$D$3+I361*MCDA_Prioritisation!$E$3+J361*N361+K361*R361+L361*V361</f>
        <v>82.641774853239923</v>
      </c>
      <c r="AA361" s="54">
        <f ca="1">H361*MCDA_Prioritisation!$D$4+I361*MCDA_Prioritisation!$E$4+J361*O361+K361*S361+L361*W361</f>
        <v>74.428007106515537</v>
      </c>
      <c r="AB361" s="54">
        <f ca="1">H361*MCDA_Prioritisation!$D$5+I361*MCDA_Prioritisation!$E$5+J361*P361+K361*T361+L361*X361</f>
        <v>74.618290316421565</v>
      </c>
      <c r="AC361" s="54">
        <f t="shared" ca="1" si="76"/>
        <v>1</v>
      </c>
      <c r="AD361" s="54">
        <f t="shared" ca="1" si="77"/>
        <v>2</v>
      </c>
      <c r="AE361" s="54">
        <f t="shared" ca="1" si="78"/>
        <v>4</v>
      </c>
      <c r="AF361" s="54">
        <f t="shared" ca="1" si="79"/>
        <v>3</v>
      </c>
      <c r="AG361" s="54">
        <f t="shared" ca="1" si="80"/>
        <v>1</v>
      </c>
      <c r="AH361" s="54">
        <f t="shared" ca="1" si="81"/>
        <v>1</v>
      </c>
      <c r="AI361" s="54">
        <f t="shared" ca="1" si="82"/>
        <v>0</v>
      </c>
      <c r="AJ361" s="54">
        <f t="shared" ca="1" si="83"/>
        <v>1</v>
      </c>
    </row>
    <row r="362" spans="1:36" x14ac:dyDescent="0.2">
      <c r="A362" s="54">
        <v>339</v>
      </c>
      <c r="B362" s="54">
        <f ca="1">MAX(0.02,MCDA_Prioritisation!$B$9+(RAND()-0.5)*2*$B$6)</f>
        <v>0.18154188206973615</v>
      </c>
      <c r="C362" s="54">
        <f ca="1">MAX(0.02,MCDA_Prioritisation!$B$10+(RAND()-0.5)*2*$B$6)</f>
        <v>0.26069373422142722</v>
      </c>
      <c r="D362" s="54">
        <f ca="1">MAX(0.02,MCDA_Prioritisation!$B$11+(RAND()-0.5)*2*$B$6)</f>
        <v>0.32344736789741108</v>
      </c>
      <c r="E362" s="54">
        <f ca="1">MAX(0.02,MCDA_Prioritisation!$B$12+(RAND()-0.5)*2*$B$6)</f>
        <v>0.21378962554354933</v>
      </c>
      <c r="F362" s="54">
        <f ca="1">MAX(0.02,MCDA_Prioritisation!$B$13+(RAND()-0.5)*2*$B$6)</f>
        <v>0.20546271259032564</v>
      </c>
      <c r="G362" s="54">
        <f t="shared" ca="1" si="70"/>
        <v>1.1849353223224492</v>
      </c>
      <c r="H362" s="54">
        <f t="shared" ca="1" si="71"/>
        <v>0.15320826263657811</v>
      </c>
      <c r="I362" s="54">
        <f t="shared" ca="1" si="72"/>
        <v>0.22000672046004399</v>
      </c>
      <c r="J362" s="54">
        <f t="shared" ca="1" si="73"/>
        <v>0.2729662638999239</v>
      </c>
      <c r="K362" s="54">
        <f t="shared" ca="1" si="74"/>
        <v>0.18042303365936124</v>
      </c>
      <c r="L362" s="54">
        <f t="shared" ca="1" si="75"/>
        <v>0.17339571934409287</v>
      </c>
      <c r="M362" s="54">
        <f ca="1">MIN(100,MAX(0,MCDA_Prioritisation!$F$2+(RAND()-0.5)*2*$B$7))</f>
        <v>81.487615782811957</v>
      </c>
      <c r="N362" s="54">
        <f ca="1">MIN(100,MAX(0,MCDA_Prioritisation!$F$3+(RAND()-0.5)*2*$B$7))</f>
        <v>90.983403751570208</v>
      </c>
      <c r="O362" s="54">
        <f ca="1">MIN(100,MAX(0,MCDA_Prioritisation!$F$4+(RAND()-0.5)*2*$B$7))</f>
        <v>84.492062010299165</v>
      </c>
      <c r="P362" s="54">
        <f ca="1">MIN(100,MAX(0,MCDA_Prioritisation!$F$5+(RAND()-0.5)*2*$B$7))</f>
        <v>79.191035767180566</v>
      </c>
      <c r="Q362" s="54">
        <f ca="1">MIN(100,MAX(0,MCDA_Prioritisation!$G$2+(RAND()-0.5)*2*$B$7))</f>
        <v>82.863624137977808</v>
      </c>
      <c r="R362" s="54">
        <f ca="1">MIN(100,MAX(0,MCDA_Prioritisation!$G$3+(RAND()-0.5)*2*$B$7))</f>
        <v>100</v>
      </c>
      <c r="S362" s="54">
        <f ca="1">MIN(100,MAX(0,MCDA_Prioritisation!$G$4+(RAND()-0.5)*2*$B$7))</f>
        <v>82.132269885262502</v>
      </c>
      <c r="T362" s="54">
        <f ca="1">MIN(100,MAX(0,MCDA_Prioritisation!$G$5+(RAND()-0.5)*2*$B$7))</f>
        <v>79.894030658140935</v>
      </c>
      <c r="U362" s="54">
        <f ca="1">MIN(100,MAX(0,MCDA_Prioritisation!$H$2+(RAND()-0.5)*2*$B$7))</f>
        <v>67.025279273878695</v>
      </c>
      <c r="V362" s="54">
        <f ca="1">MIN(100,MAX(0,MCDA_Prioritisation!$H$3+(RAND()-0.5)*2*$B$7))</f>
        <v>60.204393379804678</v>
      </c>
      <c r="W362" s="54">
        <f ca="1">MIN(100,MAX(0,MCDA_Prioritisation!$H$4+(RAND()-0.5)*2*$B$7))</f>
        <v>70.978755892802894</v>
      </c>
      <c r="X362" s="54">
        <f ca="1">MIN(100,MAX(0,MCDA_Prioritisation!$H$5+(RAND()-0.5)*2*$B$7))</f>
        <v>82.531913226560889</v>
      </c>
      <c r="Y362" s="54">
        <f ca="1">H362*MCDA_Prioritisation!$D$2+I362*MCDA_Prioritisation!$E$2+J362*M362+K362*Q362+L362*U362</f>
        <v>86.137271304924809</v>
      </c>
      <c r="Z362" s="54">
        <f ca="1">H362*MCDA_Prioritisation!$D$3+I362*MCDA_Prioritisation!$E$3+J362*N362+K362*R362+L362*V362</f>
        <v>82.707293926342416</v>
      </c>
      <c r="AA362" s="54">
        <f ca="1">H362*MCDA_Prioritisation!$D$4+I362*MCDA_Prioritisation!$E$4+J362*O362+K362*S362+L362*W362</f>
        <v>72.858337556735265</v>
      </c>
      <c r="AB362" s="54">
        <f ca="1">H362*MCDA_Prioritisation!$D$5+I362*MCDA_Prioritisation!$E$5+J362*P362+K362*T362+L362*X362</f>
        <v>76.974115010201587</v>
      </c>
      <c r="AC362" s="54">
        <f t="shared" ca="1" si="76"/>
        <v>1</v>
      </c>
      <c r="AD362" s="54">
        <f t="shared" ca="1" si="77"/>
        <v>2</v>
      </c>
      <c r="AE362" s="54">
        <f t="shared" ca="1" si="78"/>
        <v>4</v>
      </c>
      <c r="AF362" s="54">
        <f t="shared" ca="1" si="79"/>
        <v>3</v>
      </c>
      <c r="AG362" s="54">
        <f t="shared" ca="1" si="80"/>
        <v>1</v>
      </c>
      <c r="AH362" s="54">
        <f t="shared" ca="1" si="81"/>
        <v>1</v>
      </c>
      <c r="AI362" s="54">
        <f t="shared" ca="1" si="82"/>
        <v>0</v>
      </c>
      <c r="AJ362" s="54">
        <f t="shared" ca="1" si="83"/>
        <v>1</v>
      </c>
    </row>
    <row r="363" spans="1:36" x14ac:dyDescent="0.2">
      <c r="A363" s="54">
        <v>340</v>
      </c>
      <c r="B363" s="54">
        <f ca="1">MAX(0.02,MCDA_Prioritisation!$B$9+(RAND()-0.5)*2*$B$6)</f>
        <v>0.21507169429959036</v>
      </c>
      <c r="C363" s="54">
        <f ca="1">MAX(0.02,MCDA_Prioritisation!$B$10+(RAND()-0.5)*2*$B$6)</f>
        <v>0.24203052492828997</v>
      </c>
      <c r="D363" s="54">
        <f ca="1">MAX(0.02,MCDA_Prioritisation!$B$11+(RAND()-0.5)*2*$B$6)</f>
        <v>0.20477594393386297</v>
      </c>
      <c r="E363" s="54">
        <f ca="1">MAX(0.02,MCDA_Prioritisation!$B$12+(RAND()-0.5)*2*$B$6)</f>
        <v>0.21071293584601986</v>
      </c>
      <c r="F363" s="54">
        <f ca="1">MAX(0.02,MCDA_Prioritisation!$B$13+(RAND()-0.5)*2*$B$6)</f>
        <v>0.15305207899362044</v>
      </c>
      <c r="G363" s="54">
        <f t="shared" ca="1" si="70"/>
        <v>1.0256431780013837</v>
      </c>
      <c r="H363" s="54">
        <f t="shared" ca="1" si="71"/>
        <v>0.20969446188750471</v>
      </c>
      <c r="I363" s="54">
        <f t="shared" ca="1" si="72"/>
        <v>0.23597926659047444</v>
      </c>
      <c r="J363" s="54">
        <f t="shared" ca="1" si="73"/>
        <v>0.19965612634688309</v>
      </c>
      <c r="K363" s="54">
        <f t="shared" ca="1" si="74"/>
        <v>0.20544468131365623</v>
      </c>
      <c r="L363" s="54">
        <f t="shared" ca="1" si="75"/>
        <v>0.14922546386148142</v>
      </c>
      <c r="M363" s="54">
        <f ca="1">MIN(100,MAX(0,MCDA_Prioritisation!$F$2+(RAND()-0.5)*2*$B$7))</f>
        <v>92.024305402638404</v>
      </c>
      <c r="N363" s="54">
        <f ca="1">MIN(100,MAX(0,MCDA_Prioritisation!$F$3+(RAND()-0.5)*2*$B$7))</f>
        <v>98.151787568230887</v>
      </c>
      <c r="O363" s="54">
        <f ca="1">MIN(100,MAX(0,MCDA_Prioritisation!$F$4+(RAND()-0.5)*2*$B$7))</f>
        <v>88.537777376531267</v>
      </c>
      <c r="P363" s="54">
        <f ca="1">MIN(100,MAX(0,MCDA_Prioritisation!$F$5+(RAND()-0.5)*2*$B$7))</f>
        <v>80.436639355453849</v>
      </c>
      <c r="Q363" s="54">
        <f ca="1">MIN(100,MAX(0,MCDA_Prioritisation!$G$2+(RAND()-0.5)*2*$B$7))</f>
        <v>80.346809256915151</v>
      </c>
      <c r="R363" s="54">
        <f ca="1">MIN(100,MAX(0,MCDA_Prioritisation!$G$3+(RAND()-0.5)*2*$B$7))</f>
        <v>93.053255842790577</v>
      </c>
      <c r="S363" s="54">
        <f ca="1">MIN(100,MAX(0,MCDA_Prioritisation!$G$4+(RAND()-0.5)*2*$B$7))</f>
        <v>85.356308608224168</v>
      </c>
      <c r="T363" s="54">
        <f ca="1">MIN(100,MAX(0,MCDA_Prioritisation!$G$5+(RAND()-0.5)*2*$B$7))</f>
        <v>71.630256832386635</v>
      </c>
      <c r="U363" s="54">
        <f ca="1">MIN(100,MAX(0,MCDA_Prioritisation!$H$2+(RAND()-0.5)*2*$B$7))</f>
        <v>68.509133632508991</v>
      </c>
      <c r="V363" s="54">
        <f ca="1">MIN(100,MAX(0,MCDA_Prioritisation!$H$3+(RAND()-0.5)*2*$B$7))</f>
        <v>69.772836987255133</v>
      </c>
      <c r="W363" s="54">
        <f ca="1">MIN(100,MAX(0,MCDA_Prioritisation!$H$4+(RAND()-0.5)*2*$B$7))</f>
        <v>85.484377908868012</v>
      </c>
      <c r="X363" s="54">
        <f ca="1">MIN(100,MAX(0,MCDA_Prioritisation!$H$5+(RAND()-0.5)*2*$B$7))</f>
        <v>81.116900091891182</v>
      </c>
      <c r="Y363" s="54">
        <f ca="1">H363*MCDA_Prioritisation!$D$2+I363*MCDA_Prioritisation!$E$2+J363*M363+K363*Q363+L363*U363</f>
        <v>89.670721061666683</v>
      </c>
      <c r="Z363" s="54">
        <f ca="1">H363*MCDA_Prioritisation!$D$3+I363*MCDA_Prioritisation!$E$3+J363*N363+K363*R363+L363*V363</f>
        <v>84.614547814661492</v>
      </c>
      <c r="AA363" s="54">
        <f ca="1">H363*MCDA_Prioritisation!$D$4+I363*MCDA_Prioritisation!$E$4+J363*O363+K363*S363+L363*W363</f>
        <v>75.443041208183956</v>
      </c>
      <c r="AB363" s="54">
        <f ca="1">H363*MCDA_Prioritisation!$D$5+I363*MCDA_Prioritisation!$E$5+J363*P363+K363*T363+L363*X363</f>
        <v>73.853861370224763</v>
      </c>
      <c r="AC363" s="54">
        <f t="shared" ca="1" si="76"/>
        <v>1</v>
      </c>
      <c r="AD363" s="54">
        <f t="shared" ca="1" si="77"/>
        <v>2</v>
      </c>
      <c r="AE363" s="54">
        <f t="shared" ca="1" si="78"/>
        <v>3</v>
      </c>
      <c r="AF363" s="54">
        <f t="shared" ca="1" si="79"/>
        <v>4</v>
      </c>
      <c r="AG363" s="54">
        <f t="shared" ca="1" si="80"/>
        <v>1</v>
      </c>
      <c r="AH363" s="54">
        <f t="shared" ca="1" si="81"/>
        <v>1</v>
      </c>
      <c r="AI363" s="54">
        <f t="shared" ca="1" si="82"/>
        <v>1</v>
      </c>
      <c r="AJ363" s="54">
        <f t="shared" ca="1" si="83"/>
        <v>1</v>
      </c>
    </row>
    <row r="364" spans="1:36" x14ac:dyDescent="0.2">
      <c r="A364" s="54">
        <v>341</v>
      </c>
      <c r="B364" s="54">
        <f ca="1">MAX(0.02,MCDA_Prioritisation!$B$9+(RAND()-0.5)*2*$B$6)</f>
        <v>0.12038594067365993</v>
      </c>
      <c r="C364" s="54">
        <f ca="1">MAX(0.02,MCDA_Prioritisation!$B$10+(RAND()-0.5)*2*$B$6)</f>
        <v>0.29083522978853965</v>
      </c>
      <c r="D364" s="54">
        <f ca="1">MAX(0.02,MCDA_Prioritisation!$B$11+(RAND()-0.5)*2*$B$6)</f>
        <v>0.2353915571868854</v>
      </c>
      <c r="E364" s="54">
        <f ca="1">MAX(0.02,MCDA_Prioritisation!$B$12+(RAND()-0.5)*2*$B$6)</f>
        <v>0.19743131821327942</v>
      </c>
      <c r="F364" s="54">
        <f ca="1">MAX(0.02,MCDA_Prioritisation!$B$13+(RAND()-0.5)*2*$B$6)</f>
        <v>7.1173013640687566E-2</v>
      </c>
      <c r="G364" s="54">
        <f t="shared" ca="1" si="70"/>
        <v>0.91521705950305199</v>
      </c>
      <c r="H364" s="54">
        <f t="shared" ca="1" si="71"/>
        <v>0.13153813013388052</v>
      </c>
      <c r="I364" s="54">
        <f t="shared" ca="1" si="72"/>
        <v>0.31777732590174668</v>
      </c>
      <c r="J364" s="54">
        <f t="shared" ca="1" si="73"/>
        <v>0.25719751914884453</v>
      </c>
      <c r="K364" s="54">
        <f t="shared" ca="1" si="74"/>
        <v>0.21572075844005947</v>
      </c>
      <c r="L364" s="54">
        <f t="shared" ca="1" si="75"/>
        <v>7.776626637546874E-2</v>
      </c>
      <c r="M364" s="54">
        <f ca="1">MIN(100,MAX(0,MCDA_Prioritisation!$F$2+(RAND()-0.5)*2*$B$7))</f>
        <v>82.687687116141049</v>
      </c>
      <c r="N364" s="54">
        <f ca="1">MIN(100,MAX(0,MCDA_Prioritisation!$F$3+(RAND()-0.5)*2*$B$7))</f>
        <v>95.441292457711455</v>
      </c>
      <c r="O364" s="54">
        <f ca="1">MIN(100,MAX(0,MCDA_Prioritisation!$F$4+(RAND()-0.5)*2*$B$7))</f>
        <v>94.728309812550734</v>
      </c>
      <c r="P364" s="54">
        <f ca="1">MIN(100,MAX(0,MCDA_Prioritisation!$F$5+(RAND()-0.5)*2*$B$7))</f>
        <v>74.262807557942935</v>
      </c>
      <c r="Q364" s="54">
        <f ca="1">MIN(100,MAX(0,MCDA_Prioritisation!$G$2+(RAND()-0.5)*2*$B$7))</f>
        <v>85.586174638681626</v>
      </c>
      <c r="R364" s="54">
        <f ca="1">MIN(100,MAX(0,MCDA_Prioritisation!$G$3+(RAND()-0.5)*2*$B$7))</f>
        <v>94.212550987991989</v>
      </c>
      <c r="S364" s="54">
        <f ca="1">MIN(100,MAX(0,MCDA_Prioritisation!$G$4+(RAND()-0.5)*2*$B$7))</f>
        <v>86.99247587676777</v>
      </c>
      <c r="T364" s="54">
        <f ca="1">MIN(100,MAX(0,MCDA_Prioritisation!$G$5+(RAND()-0.5)*2*$B$7))</f>
        <v>79.123549773083241</v>
      </c>
      <c r="U364" s="54">
        <f ca="1">MIN(100,MAX(0,MCDA_Prioritisation!$H$2+(RAND()-0.5)*2*$B$7))</f>
        <v>71.947837024281654</v>
      </c>
      <c r="V364" s="54">
        <f ca="1">MIN(100,MAX(0,MCDA_Prioritisation!$H$3+(RAND()-0.5)*2*$B$7))</f>
        <v>56.149198120747897</v>
      </c>
      <c r="W364" s="54">
        <f ca="1">MIN(100,MAX(0,MCDA_Prioritisation!$H$4+(RAND()-0.5)*2*$B$7))</f>
        <v>71.319049231686918</v>
      </c>
      <c r="X364" s="54">
        <f ca="1">MIN(100,MAX(0,MCDA_Prioritisation!$H$5+(RAND()-0.5)*2*$B$7))</f>
        <v>66.316760057771504</v>
      </c>
      <c r="Y364" s="54">
        <f ca="1">H364*MCDA_Prioritisation!$D$2+I364*MCDA_Prioritisation!$E$2+J364*M364+K364*Q364+L364*U364</f>
        <v>90.256442758198958</v>
      </c>
      <c r="Z364" s="54">
        <f ca="1">H364*MCDA_Prioritisation!$D$3+I364*MCDA_Prioritisation!$E$3+J364*N364+K364*R364+L364*V364</f>
        <v>83.844475159277238</v>
      </c>
      <c r="AA364" s="54">
        <f ca="1">H364*MCDA_Prioritisation!$D$4+I364*MCDA_Prioritisation!$E$4+J364*O364+K364*S364+L364*W364</f>
        <v>75.169036139804277</v>
      </c>
      <c r="AB364" s="54">
        <f ca="1">H364*MCDA_Prioritisation!$D$5+I364*MCDA_Prioritisation!$E$5+J364*P364+K364*T364+L364*X364</f>
        <v>75.029696390173953</v>
      </c>
      <c r="AC364" s="54">
        <f t="shared" ca="1" si="76"/>
        <v>1</v>
      </c>
      <c r="AD364" s="54">
        <f t="shared" ca="1" si="77"/>
        <v>2</v>
      </c>
      <c r="AE364" s="54">
        <f t="shared" ca="1" si="78"/>
        <v>3</v>
      </c>
      <c r="AF364" s="54">
        <f t="shared" ca="1" si="79"/>
        <v>4</v>
      </c>
      <c r="AG364" s="54">
        <f t="shared" ca="1" si="80"/>
        <v>1</v>
      </c>
      <c r="AH364" s="54">
        <f t="shared" ca="1" si="81"/>
        <v>1</v>
      </c>
      <c r="AI364" s="54">
        <f t="shared" ca="1" si="82"/>
        <v>1</v>
      </c>
      <c r="AJ364" s="54">
        <f t="shared" ca="1" si="83"/>
        <v>1</v>
      </c>
    </row>
    <row r="365" spans="1:36" x14ac:dyDescent="0.2">
      <c r="A365" s="54">
        <v>342</v>
      </c>
      <c r="B365" s="54">
        <f ca="1">MAX(0.02,MCDA_Prioritisation!$B$9+(RAND()-0.5)*2*$B$6)</f>
        <v>0.12153661288367296</v>
      </c>
      <c r="C365" s="54">
        <f ca="1">MAX(0.02,MCDA_Prioritisation!$B$10+(RAND()-0.5)*2*$B$6)</f>
        <v>0.23287518167766066</v>
      </c>
      <c r="D365" s="54">
        <f ca="1">MAX(0.02,MCDA_Prioritisation!$B$11+(RAND()-0.5)*2*$B$6)</f>
        <v>0.28394035322051453</v>
      </c>
      <c r="E365" s="54">
        <f ca="1">MAX(0.02,MCDA_Prioritisation!$B$12+(RAND()-0.5)*2*$B$6)</f>
        <v>0.13718851679791322</v>
      </c>
      <c r="F365" s="54">
        <f ca="1">MAX(0.02,MCDA_Prioritisation!$B$13+(RAND()-0.5)*2*$B$6)</f>
        <v>0.20871770550363591</v>
      </c>
      <c r="G365" s="54">
        <f t="shared" ca="1" si="70"/>
        <v>0.98425837008339723</v>
      </c>
      <c r="H365" s="54">
        <f t="shared" ca="1" si="71"/>
        <v>0.12348039557273466</v>
      </c>
      <c r="I365" s="54">
        <f t="shared" ca="1" si="72"/>
        <v>0.23659964573928785</v>
      </c>
      <c r="J365" s="54">
        <f t="shared" ca="1" si="73"/>
        <v>0.28848152258685489</v>
      </c>
      <c r="K365" s="54">
        <f t="shared" ca="1" si="74"/>
        <v>0.13938262652141745</v>
      </c>
      <c r="L365" s="54">
        <f t="shared" ca="1" si="75"/>
        <v>0.21205580957970521</v>
      </c>
      <c r="M365" s="54">
        <f ca="1">MIN(100,MAX(0,MCDA_Prioritisation!$F$2+(RAND()-0.5)*2*$B$7))</f>
        <v>78.956288846986808</v>
      </c>
      <c r="N365" s="54">
        <f ca="1">MIN(100,MAX(0,MCDA_Prioritisation!$F$3+(RAND()-0.5)*2*$B$7))</f>
        <v>91.872917577844873</v>
      </c>
      <c r="O365" s="54">
        <f ca="1">MIN(100,MAX(0,MCDA_Prioritisation!$F$4+(RAND()-0.5)*2*$B$7))</f>
        <v>97.151879639449035</v>
      </c>
      <c r="P365" s="54">
        <f ca="1">MIN(100,MAX(0,MCDA_Prioritisation!$F$5+(RAND()-0.5)*2*$B$7))</f>
        <v>68.944237921627916</v>
      </c>
      <c r="Q365" s="54">
        <f ca="1">MIN(100,MAX(0,MCDA_Prioritisation!$G$2+(RAND()-0.5)*2*$B$7))</f>
        <v>76.879255254780588</v>
      </c>
      <c r="R365" s="54">
        <f ca="1">MIN(100,MAX(0,MCDA_Prioritisation!$G$3+(RAND()-0.5)*2*$B$7))</f>
        <v>96.794446288796593</v>
      </c>
      <c r="S365" s="54">
        <f ca="1">MIN(100,MAX(0,MCDA_Prioritisation!$G$4+(RAND()-0.5)*2*$B$7))</f>
        <v>89.117267068225772</v>
      </c>
      <c r="T365" s="54">
        <f ca="1">MIN(100,MAX(0,MCDA_Prioritisation!$G$5+(RAND()-0.5)*2*$B$7))</f>
        <v>61.318368653176691</v>
      </c>
      <c r="U365" s="54">
        <f ca="1">MIN(100,MAX(0,MCDA_Prioritisation!$H$2+(RAND()-0.5)*2*$B$7))</f>
        <v>55.211375281451978</v>
      </c>
      <c r="V365" s="54">
        <f ca="1">MIN(100,MAX(0,MCDA_Prioritisation!$H$3+(RAND()-0.5)*2*$B$7))</f>
        <v>69.747436059890205</v>
      </c>
      <c r="W365" s="54">
        <f ca="1">MIN(100,MAX(0,MCDA_Prioritisation!$H$4+(RAND()-0.5)*2*$B$7))</f>
        <v>85.472589090391722</v>
      </c>
      <c r="X365" s="54">
        <f ca="1">MIN(100,MAX(0,MCDA_Prioritisation!$H$5+(RAND()-0.5)*2*$B$7))</f>
        <v>73.408896067832444</v>
      </c>
      <c r="Y365" s="54">
        <f ca="1">H365*MCDA_Prioritisation!$D$2+I365*MCDA_Prioritisation!$E$2+J365*M365+K365*Q365+L365*U365</f>
        <v>81.208959961327551</v>
      </c>
      <c r="Z365" s="54">
        <f ca="1">H365*MCDA_Prioritisation!$D$3+I365*MCDA_Prioritisation!$E$3+J365*N365+K365*R365+L365*V365</f>
        <v>82.784495570043589</v>
      </c>
      <c r="AA365" s="54">
        <f ca="1">H365*MCDA_Prioritisation!$D$4+I365*MCDA_Prioritisation!$E$4+J365*O365+K365*S365+L365*W365</f>
        <v>80.076764067279413</v>
      </c>
      <c r="AB365" s="54">
        <f ca="1">H365*MCDA_Prioritisation!$D$5+I365*MCDA_Prioritisation!$E$5+J365*P365+K365*T365+L365*X365</f>
        <v>70.452348063506264</v>
      </c>
      <c r="AC365" s="54">
        <f t="shared" ca="1" si="76"/>
        <v>2</v>
      </c>
      <c r="AD365" s="54">
        <f t="shared" ca="1" si="77"/>
        <v>1</v>
      </c>
      <c r="AE365" s="54">
        <f t="shared" ca="1" si="78"/>
        <v>3</v>
      </c>
      <c r="AF365" s="54">
        <f t="shared" ca="1" si="79"/>
        <v>4</v>
      </c>
      <c r="AG365" s="54">
        <f t="shared" ca="1" si="80"/>
        <v>0</v>
      </c>
      <c r="AH365" s="54">
        <f t="shared" ca="1" si="81"/>
        <v>0</v>
      </c>
      <c r="AI365" s="54">
        <f t="shared" ca="1" si="82"/>
        <v>0</v>
      </c>
      <c r="AJ365" s="54">
        <f t="shared" ca="1" si="83"/>
        <v>1</v>
      </c>
    </row>
    <row r="366" spans="1:36" x14ac:dyDescent="0.2">
      <c r="A366" s="54">
        <v>343</v>
      </c>
      <c r="B366" s="54">
        <f ca="1">MAX(0.02,MCDA_Prioritisation!$B$9+(RAND()-0.5)*2*$B$6)</f>
        <v>0.23013284824385943</v>
      </c>
      <c r="C366" s="54">
        <f ca="1">MAX(0.02,MCDA_Prioritisation!$B$10+(RAND()-0.5)*2*$B$6)</f>
        <v>0.17543543923582339</v>
      </c>
      <c r="D366" s="54">
        <f ca="1">MAX(0.02,MCDA_Prioritisation!$B$11+(RAND()-0.5)*2*$B$6)</f>
        <v>0.29996624157000829</v>
      </c>
      <c r="E366" s="54">
        <f ca="1">MAX(0.02,MCDA_Prioritisation!$B$12+(RAND()-0.5)*2*$B$6)</f>
        <v>0.1129593386337748</v>
      </c>
      <c r="F366" s="54">
        <f ca="1">MAX(0.02,MCDA_Prioritisation!$B$13+(RAND()-0.5)*2*$B$6)</f>
        <v>0.15903940596078373</v>
      </c>
      <c r="G366" s="54">
        <f t="shared" ca="1" si="70"/>
        <v>0.97753327364424958</v>
      </c>
      <c r="H366" s="54">
        <f t="shared" ca="1" si="71"/>
        <v>0.23542201012342309</v>
      </c>
      <c r="I366" s="54">
        <f t="shared" ca="1" si="72"/>
        <v>0.17946748613660901</v>
      </c>
      <c r="J366" s="54">
        <f t="shared" ca="1" si="73"/>
        <v>0.30686038998113324</v>
      </c>
      <c r="K366" s="54">
        <f t="shared" ca="1" si="74"/>
        <v>0.11555549225722184</v>
      </c>
      <c r="L366" s="54">
        <f t="shared" ca="1" si="75"/>
        <v>0.16269462150161285</v>
      </c>
      <c r="M366" s="54">
        <f ca="1">MIN(100,MAX(0,MCDA_Prioritisation!$F$2+(RAND()-0.5)*2*$B$7))</f>
        <v>92.387387388322537</v>
      </c>
      <c r="N366" s="54">
        <f ca="1">MIN(100,MAX(0,MCDA_Prioritisation!$F$3+(RAND()-0.5)*2*$B$7))</f>
        <v>87.007732785001409</v>
      </c>
      <c r="O366" s="54">
        <f ca="1">MIN(100,MAX(0,MCDA_Prioritisation!$F$4+(RAND()-0.5)*2*$B$7))</f>
        <v>81.57574711453384</v>
      </c>
      <c r="P366" s="54">
        <f ca="1">MIN(100,MAX(0,MCDA_Prioritisation!$F$5+(RAND()-0.5)*2*$B$7))</f>
        <v>78.426626366501324</v>
      </c>
      <c r="Q366" s="54">
        <f ca="1">MIN(100,MAX(0,MCDA_Prioritisation!$G$2+(RAND()-0.5)*2*$B$7))</f>
        <v>73.653423908634892</v>
      </c>
      <c r="R366" s="54">
        <f ca="1">MIN(100,MAX(0,MCDA_Prioritisation!$G$3+(RAND()-0.5)*2*$B$7))</f>
        <v>98.779264182269671</v>
      </c>
      <c r="S366" s="54">
        <f ca="1">MIN(100,MAX(0,MCDA_Prioritisation!$G$4+(RAND()-0.5)*2*$B$7))</f>
        <v>78.138864351751778</v>
      </c>
      <c r="T366" s="54">
        <f ca="1">MIN(100,MAX(0,MCDA_Prioritisation!$G$5+(RAND()-0.5)*2*$B$7))</f>
        <v>79.407343024985749</v>
      </c>
      <c r="U366" s="54">
        <f ca="1">MIN(100,MAX(0,MCDA_Prioritisation!$H$2+(RAND()-0.5)*2*$B$7))</f>
        <v>63.254573287790677</v>
      </c>
      <c r="V366" s="54">
        <f ca="1">MIN(100,MAX(0,MCDA_Prioritisation!$H$3+(RAND()-0.5)*2*$B$7))</f>
        <v>67.574533091967155</v>
      </c>
      <c r="W366" s="54">
        <f ca="1">MIN(100,MAX(0,MCDA_Prioritisation!$H$4+(RAND()-0.5)*2*$B$7))</f>
        <v>82.895141508111593</v>
      </c>
      <c r="X366" s="54">
        <f ca="1">MIN(100,MAX(0,MCDA_Prioritisation!$H$5+(RAND()-0.5)*2*$B$7))</f>
        <v>78.629010243523439</v>
      </c>
      <c r="Y366" s="54">
        <f ca="1">H366*MCDA_Prioritisation!$D$2+I366*MCDA_Prioritisation!$E$2+J366*M366+K366*Q366+L366*U366</f>
        <v>88.64121586481717</v>
      </c>
      <c r="Z366" s="54">
        <f ca="1">H366*MCDA_Prioritisation!$D$3+I366*MCDA_Prioritisation!$E$3+J366*N366+K366*R366+L366*V366</f>
        <v>82.735046782660532</v>
      </c>
      <c r="AA366" s="54">
        <f ca="1">H366*MCDA_Prioritisation!$D$4+I366*MCDA_Prioritisation!$E$4+J366*O366+K366*S366+L366*W366</f>
        <v>73.730874619614966</v>
      </c>
      <c r="AB366" s="54">
        <f ca="1">H366*MCDA_Prioritisation!$D$5+I366*MCDA_Prioritisation!$E$5+J366*P366+K366*T366+L366*X366</f>
        <v>73.621313556871002</v>
      </c>
      <c r="AC366" s="54">
        <f t="shared" ca="1" si="76"/>
        <v>1</v>
      </c>
      <c r="AD366" s="54">
        <f t="shared" ca="1" si="77"/>
        <v>2</v>
      </c>
      <c r="AE366" s="54">
        <f t="shared" ca="1" si="78"/>
        <v>3</v>
      </c>
      <c r="AF366" s="54">
        <f t="shared" ca="1" si="79"/>
        <v>4</v>
      </c>
      <c r="AG366" s="54">
        <f t="shared" ca="1" si="80"/>
        <v>1</v>
      </c>
      <c r="AH366" s="54">
        <f t="shared" ca="1" si="81"/>
        <v>1</v>
      </c>
      <c r="AI366" s="54">
        <f t="shared" ca="1" si="82"/>
        <v>1</v>
      </c>
      <c r="AJ366" s="54">
        <f t="shared" ca="1" si="83"/>
        <v>1</v>
      </c>
    </row>
    <row r="367" spans="1:36" x14ac:dyDescent="0.2">
      <c r="A367" s="54">
        <v>344</v>
      </c>
      <c r="B367" s="54">
        <f ca="1">MAX(0.02,MCDA_Prioritisation!$B$9+(RAND()-0.5)*2*$B$6)</f>
        <v>0.2305333262645885</v>
      </c>
      <c r="C367" s="54">
        <f ca="1">MAX(0.02,MCDA_Prioritisation!$B$10+(RAND()-0.5)*2*$B$6)</f>
        <v>0.17653993217417091</v>
      </c>
      <c r="D367" s="54">
        <f ca="1">MAX(0.02,MCDA_Prioritisation!$B$11+(RAND()-0.5)*2*$B$6)</f>
        <v>0.27753945637464855</v>
      </c>
      <c r="E367" s="54">
        <f ca="1">MAX(0.02,MCDA_Prioritisation!$B$12+(RAND()-0.5)*2*$B$6)</f>
        <v>0.15913211593531687</v>
      </c>
      <c r="F367" s="54">
        <f ca="1">MAX(0.02,MCDA_Prioritisation!$B$13+(RAND()-0.5)*2*$B$6)</f>
        <v>0.14895125260566491</v>
      </c>
      <c r="G367" s="54">
        <f t="shared" ca="1" si="70"/>
        <v>0.99269608335438975</v>
      </c>
      <c r="H367" s="54">
        <f t="shared" ca="1" si="71"/>
        <v>0.23222951125746383</v>
      </c>
      <c r="I367" s="54">
        <f t="shared" ca="1" si="72"/>
        <v>0.17783885232792507</v>
      </c>
      <c r="J367" s="54">
        <f t="shared" ca="1" si="73"/>
        <v>0.27958149631942059</v>
      </c>
      <c r="K367" s="54">
        <f t="shared" ca="1" si="74"/>
        <v>0.16030295535930622</v>
      </c>
      <c r="L367" s="54">
        <f t="shared" ca="1" si="75"/>
        <v>0.1500471847358843</v>
      </c>
      <c r="M367" s="54">
        <f ca="1">MIN(100,MAX(0,MCDA_Prioritisation!$F$2+(RAND()-0.5)*2*$B$7))</f>
        <v>87.604339716841423</v>
      </c>
      <c r="N367" s="54">
        <f ca="1">MIN(100,MAX(0,MCDA_Prioritisation!$F$3+(RAND()-0.5)*2*$B$7))</f>
        <v>97.925388488542424</v>
      </c>
      <c r="O367" s="54">
        <f ca="1">MIN(100,MAX(0,MCDA_Prioritisation!$F$4+(RAND()-0.5)*2*$B$7))</f>
        <v>80.835938284582852</v>
      </c>
      <c r="P367" s="54">
        <f ca="1">MIN(100,MAX(0,MCDA_Prioritisation!$F$5+(RAND()-0.5)*2*$B$7))</f>
        <v>67.946340978220107</v>
      </c>
      <c r="Q367" s="54">
        <f ca="1">MIN(100,MAX(0,MCDA_Prioritisation!$G$2+(RAND()-0.5)*2*$B$7))</f>
        <v>84.480815531887558</v>
      </c>
      <c r="R367" s="54">
        <f ca="1">MIN(100,MAX(0,MCDA_Prioritisation!$G$3+(RAND()-0.5)*2*$B$7))</f>
        <v>89.055909820888829</v>
      </c>
      <c r="S367" s="54">
        <f ca="1">MIN(100,MAX(0,MCDA_Prioritisation!$G$4+(RAND()-0.5)*2*$B$7))</f>
        <v>84.060283572364256</v>
      </c>
      <c r="T367" s="54">
        <f ca="1">MIN(100,MAX(0,MCDA_Prioritisation!$G$5+(RAND()-0.5)*2*$B$7))</f>
        <v>66.837630268872729</v>
      </c>
      <c r="U367" s="54">
        <f ca="1">MIN(100,MAX(0,MCDA_Prioritisation!$H$2+(RAND()-0.5)*2*$B$7))</f>
        <v>74.592732998340026</v>
      </c>
      <c r="V367" s="54">
        <f ca="1">MIN(100,MAX(0,MCDA_Prioritisation!$H$3+(RAND()-0.5)*2*$B$7))</f>
        <v>61.222191557074794</v>
      </c>
      <c r="W367" s="54">
        <f ca="1">MIN(100,MAX(0,MCDA_Prioritisation!$H$4+(RAND()-0.5)*2*$B$7))</f>
        <v>71.181457961254594</v>
      </c>
      <c r="X367" s="54">
        <f ca="1">MIN(100,MAX(0,MCDA_Prioritisation!$H$5+(RAND()-0.5)*2*$B$7))</f>
        <v>72.319688914894016</v>
      </c>
      <c r="Y367" s="54">
        <f ca="1">H367*MCDA_Prioritisation!$D$2+I367*MCDA_Prioritisation!$E$2+J367*M367+K367*Q367+L367*U367</f>
        <v>90.234342729730628</v>
      </c>
      <c r="Z367" s="54">
        <f ca="1">H367*MCDA_Prioritisation!$D$3+I367*MCDA_Prioritisation!$E$3+J367*N367+K367*R367+L367*V367</f>
        <v>84.070129645831486</v>
      </c>
      <c r="AA367" s="54">
        <f ca="1">H367*MCDA_Prioritisation!$D$4+I367*MCDA_Prioritisation!$E$4+J367*O367+K367*S367+L367*W367</f>
        <v>72.627320854953879</v>
      </c>
      <c r="AB367" s="54">
        <f ca="1">H367*MCDA_Prioritisation!$D$5+I367*MCDA_Prioritisation!$E$5+J367*P367+K367*T367+L367*X367</f>
        <v>67.842593780908601</v>
      </c>
      <c r="AC367" s="54">
        <f t="shared" ca="1" si="76"/>
        <v>1</v>
      </c>
      <c r="AD367" s="54">
        <f t="shared" ca="1" si="77"/>
        <v>2</v>
      </c>
      <c r="AE367" s="54">
        <f t="shared" ca="1" si="78"/>
        <v>3</v>
      </c>
      <c r="AF367" s="54">
        <f t="shared" ca="1" si="79"/>
        <v>4</v>
      </c>
      <c r="AG367" s="54">
        <f t="shared" ca="1" si="80"/>
        <v>1</v>
      </c>
      <c r="AH367" s="54">
        <f t="shared" ca="1" si="81"/>
        <v>1</v>
      </c>
      <c r="AI367" s="54">
        <f t="shared" ca="1" si="82"/>
        <v>1</v>
      </c>
      <c r="AJ367" s="54">
        <f t="shared" ca="1" si="83"/>
        <v>1</v>
      </c>
    </row>
    <row r="368" spans="1:36" x14ac:dyDescent="0.2">
      <c r="A368" s="54">
        <v>345</v>
      </c>
      <c r="B368" s="54">
        <f ca="1">MAX(0.02,MCDA_Prioritisation!$B$9+(RAND()-0.5)*2*$B$6)</f>
        <v>0.20296559843146053</v>
      </c>
      <c r="C368" s="54">
        <f ca="1">MAX(0.02,MCDA_Prioritisation!$B$10+(RAND()-0.5)*2*$B$6)</f>
        <v>0.26931386042458522</v>
      </c>
      <c r="D368" s="54">
        <f ca="1">MAX(0.02,MCDA_Prioritisation!$B$11+(RAND()-0.5)*2*$B$6)</f>
        <v>0.27649646092602648</v>
      </c>
      <c r="E368" s="54">
        <f ca="1">MAX(0.02,MCDA_Prioritisation!$B$12+(RAND()-0.5)*2*$B$6)</f>
        <v>8.0391291686162103E-2</v>
      </c>
      <c r="F368" s="54">
        <f ca="1">MAX(0.02,MCDA_Prioritisation!$B$13+(RAND()-0.5)*2*$B$6)</f>
        <v>0.19297894514149985</v>
      </c>
      <c r="G368" s="54">
        <f t="shared" ca="1" si="70"/>
        <v>1.0221461566097343</v>
      </c>
      <c r="H368" s="54">
        <f t="shared" ca="1" si="71"/>
        <v>0.19856807866368062</v>
      </c>
      <c r="I368" s="54">
        <f t="shared" ca="1" si="72"/>
        <v>0.26347881727389011</v>
      </c>
      <c r="J368" s="54">
        <f t="shared" ca="1" si="73"/>
        <v>0.27050579717788403</v>
      </c>
      <c r="K368" s="54">
        <f t="shared" ca="1" si="74"/>
        <v>7.8649507378479838E-2</v>
      </c>
      <c r="L368" s="54">
        <f t="shared" ca="1" si="75"/>
        <v>0.18879779950606532</v>
      </c>
      <c r="M368" s="54">
        <f ca="1">MIN(100,MAX(0,MCDA_Prioritisation!$F$2+(RAND()-0.5)*2*$B$7))</f>
        <v>77.529531179513214</v>
      </c>
      <c r="N368" s="54">
        <f ca="1">MIN(100,MAX(0,MCDA_Prioritisation!$F$3+(RAND()-0.5)*2*$B$7))</f>
        <v>87.976251388824949</v>
      </c>
      <c r="O368" s="54">
        <f ca="1">MIN(100,MAX(0,MCDA_Prioritisation!$F$4+(RAND()-0.5)*2*$B$7))</f>
        <v>90.956275002163935</v>
      </c>
      <c r="P368" s="54">
        <f ca="1">MIN(100,MAX(0,MCDA_Prioritisation!$F$5+(RAND()-0.5)*2*$B$7))</f>
        <v>70.176543144400966</v>
      </c>
      <c r="Q368" s="54">
        <f ca="1">MIN(100,MAX(0,MCDA_Prioritisation!$G$2+(RAND()-0.5)*2*$B$7))</f>
        <v>77.6822795939743</v>
      </c>
      <c r="R368" s="54">
        <f ca="1">MIN(100,MAX(0,MCDA_Prioritisation!$G$3+(RAND()-0.5)*2*$B$7))</f>
        <v>100</v>
      </c>
      <c r="S368" s="54">
        <f ca="1">MIN(100,MAX(0,MCDA_Prioritisation!$G$4+(RAND()-0.5)*2*$B$7))</f>
        <v>79.658889578164448</v>
      </c>
      <c r="T368" s="54">
        <f ca="1">MIN(100,MAX(0,MCDA_Prioritisation!$G$5+(RAND()-0.5)*2*$B$7))</f>
        <v>60.637476112841412</v>
      </c>
      <c r="U368" s="54">
        <f ca="1">MIN(100,MAX(0,MCDA_Prioritisation!$H$2+(RAND()-0.5)*2*$B$7))</f>
        <v>59.021409516882755</v>
      </c>
      <c r="V368" s="54">
        <f ca="1">MIN(100,MAX(0,MCDA_Prioritisation!$H$3+(RAND()-0.5)*2*$B$7))</f>
        <v>60.360979616168521</v>
      </c>
      <c r="W368" s="54">
        <f ca="1">MIN(100,MAX(0,MCDA_Prioritisation!$H$4+(RAND()-0.5)*2*$B$7))</f>
        <v>77.871359329418908</v>
      </c>
      <c r="X368" s="54">
        <f ca="1">MIN(100,MAX(0,MCDA_Prioritisation!$H$5+(RAND()-0.5)*2*$B$7))</f>
        <v>78.647285276834893</v>
      </c>
      <c r="Y368" s="54">
        <f ca="1">H368*MCDA_Prioritisation!$D$2+I368*MCDA_Prioritisation!$E$2+J368*M368+K368*Q368+L368*U368</f>
        <v>84.429662492936146</v>
      </c>
      <c r="Z368" s="54">
        <f ca="1">H368*MCDA_Prioritisation!$D$3+I368*MCDA_Prioritisation!$E$3+J368*N368+K368*R368+L368*V368</f>
        <v>79.575375134931591</v>
      </c>
      <c r="AA368" s="54">
        <f ca="1">H368*MCDA_Prioritisation!$D$4+I368*MCDA_Prioritisation!$E$4+J368*O368+K368*S368+L368*W368</f>
        <v>73.769958934385016</v>
      </c>
      <c r="AB368" s="54">
        <f ca="1">H368*MCDA_Prioritisation!$D$5+I368*MCDA_Prioritisation!$E$5+J368*P368+K368*T368+L368*X368</f>
        <v>71.296054504853203</v>
      </c>
      <c r="AC368" s="54">
        <f t="shared" ca="1" si="76"/>
        <v>1</v>
      </c>
      <c r="AD368" s="54">
        <f t="shared" ca="1" si="77"/>
        <v>2</v>
      </c>
      <c r="AE368" s="54">
        <f t="shared" ca="1" si="78"/>
        <v>3</v>
      </c>
      <c r="AF368" s="54">
        <f t="shared" ca="1" si="79"/>
        <v>4</v>
      </c>
      <c r="AG368" s="54">
        <f t="shared" ca="1" si="80"/>
        <v>1</v>
      </c>
      <c r="AH368" s="54">
        <f t="shared" ca="1" si="81"/>
        <v>1</v>
      </c>
      <c r="AI368" s="54">
        <f t="shared" ca="1" si="82"/>
        <v>1</v>
      </c>
      <c r="AJ368" s="54">
        <f t="shared" ca="1" si="83"/>
        <v>1</v>
      </c>
    </row>
    <row r="369" spans="1:36" x14ac:dyDescent="0.2">
      <c r="A369" s="54">
        <v>346</v>
      </c>
      <c r="B369" s="54">
        <f ca="1">MAX(0.02,MCDA_Prioritisation!$B$9+(RAND()-0.5)*2*$B$6)</f>
        <v>0.19815800739080811</v>
      </c>
      <c r="C369" s="54">
        <f ca="1">MAX(0.02,MCDA_Prioritisation!$B$10+(RAND()-0.5)*2*$B$6)</f>
        <v>0.3159057175351575</v>
      </c>
      <c r="D369" s="54">
        <f ca="1">MAX(0.02,MCDA_Prioritisation!$B$11+(RAND()-0.5)*2*$B$6)</f>
        <v>0.25111267714258018</v>
      </c>
      <c r="E369" s="54">
        <f ca="1">MAX(0.02,MCDA_Prioritisation!$B$12+(RAND()-0.5)*2*$B$6)</f>
        <v>0.20609766858705483</v>
      </c>
      <c r="F369" s="54">
        <f ca="1">MAX(0.02,MCDA_Prioritisation!$B$13+(RAND()-0.5)*2*$B$6)</f>
        <v>0.11303483304359557</v>
      </c>
      <c r="G369" s="54">
        <f t="shared" ca="1" si="70"/>
        <v>1.0843089036991962</v>
      </c>
      <c r="H369" s="54">
        <f t="shared" ca="1" si="71"/>
        <v>0.182750512067897</v>
      </c>
      <c r="I369" s="54">
        <f t="shared" ca="1" si="72"/>
        <v>0.29134291571103299</v>
      </c>
      <c r="J369" s="54">
        <f t="shared" ca="1" si="73"/>
        <v>0.23158776644357673</v>
      </c>
      <c r="K369" s="54">
        <f t="shared" ca="1" si="74"/>
        <v>0.19007283614838735</v>
      </c>
      <c r="L369" s="54">
        <f t="shared" ca="1" si="75"/>
        <v>0.10424596962910594</v>
      </c>
      <c r="M369" s="54">
        <f ca="1">MIN(100,MAX(0,MCDA_Prioritisation!$F$2+(RAND()-0.5)*2*$B$7))</f>
        <v>75.07880147636908</v>
      </c>
      <c r="N369" s="54">
        <f ca="1">MIN(100,MAX(0,MCDA_Prioritisation!$F$3+(RAND()-0.5)*2*$B$7))</f>
        <v>100</v>
      </c>
      <c r="O369" s="54">
        <f ca="1">MIN(100,MAX(0,MCDA_Prioritisation!$F$4+(RAND()-0.5)*2*$B$7))</f>
        <v>96.221042970968313</v>
      </c>
      <c r="P369" s="54">
        <f ca="1">MIN(100,MAX(0,MCDA_Prioritisation!$F$5+(RAND()-0.5)*2*$B$7))</f>
        <v>80.990562523023314</v>
      </c>
      <c r="Q369" s="54">
        <f ca="1">MIN(100,MAX(0,MCDA_Prioritisation!$G$2+(RAND()-0.5)*2*$B$7))</f>
        <v>79.869549161368155</v>
      </c>
      <c r="R369" s="54">
        <f ca="1">MIN(100,MAX(0,MCDA_Prioritisation!$G$3+(RAND()-0.5)*2*$B$7))</f>
        <v>96.318062302496685</v>
      </c>
      <c r="S369" s="54">
        <f ca="1">MIN(100,MAX(0,MCDA_Prioritisation!$G$4+(RAND()-0.5)*2*$B$7))</f>
        <v>92.303232839961552</v>
      </c>
      <c r="T369" s="54">
        <f ca="1">MIN(100,MAX(0,MCDA_Prioritisation!$G$5+(RAND()-0.5)*2*$B$7))</f>
        <v>71.222927725945894</v>
      </c>
      <c r="U369" s="54">
        <f ca="1">MIN(100,MAX(0,MCDA_Prioritisation!$H$2+(RAND()-0.5)*2*$B$7))</f>
        <v>74.951010041278096</v>
      </c>
      <c r="V369" s="54">
        <f ca="1">MIN(100,MAX(0,MCDA_Prioritisation!$H$3+(RAND()-0.5)*2*$B$7))</f>
        <v>53.276694607157566</v>
      </c>
      <c r="W369" s="54">
        <f ca="1">MIN(100,MAX(0,MCDA_Prioritisation!$H$4+(RAND()-0.5)*2*$B$7))</f>
        <v>74.415915885978478</v>
      </c>
      <c r="X369" s="54">
        <f ca="1">MIN(100,MAX(0,MCDA_Prioritisation!$H$5+(RAND()-0.5)*2*$B$7))</f>
        <v>68.229298459761225</v>
      </c>
      <c r="Y369" s="54">
        <f ca="1">H369*MCDA_Prioritisation!$D$2+I369*MCDA_Prioritisation!$E$2+J369*M369+K369*Q369+L369*U369</f>
        <v>87.791047166494209</v>
      </c>
      <c r="Z369" s="54">
        <f ca="1">H369*MCDA_Prioritisation!$D$3+I369*MCDA_Prioritisation!$E$3+J369*N369+K369*R369+L369*V369</f>
        <v>84.180497422414092</v>
      </c>
      <c r="AA369" s="54">
        <f ca="1">H369*MCDA_Prioritisation!$D$4+I369*MCDA_Prioritisation!$E$4+J369*O369+K369*S369+L369*W369</f>
        <v>76.202616094639779</v>
      </c>
      <c r="AB369" s="54">
        <f ca="1">H369*MCDA_Prioritisation!$D$5+I369*MCDA_Prioritisation!$E$5+J369*P369+K369*T369+L369*X369</f>
        <v>73.605533407167243</v>
      </c>
      <c r="AC369" s="54">
        <f t="shared" ca="1" si="76"/>
        <v>1</v>
      </c>
      <c r="AD369" s="54">
        <f t="shared" ca="1" si="77"/>
        <v>2</v>
      </c>
      <c r="AE369" s="54">
        <f t="shared" ca="1" si="78"/>
        <v>3</v>
      </c>
      <c r="AF369" s="54">
        <f t="shared" ca="1" si="79"/>
        <v>4</v>
      </c>
      <c r="AG369" s="54">
        <f t="shared" ca="1" si="80"/>
        <v>1</v>
      </c>
      <c r="AH369" s="54">
        <f t="shared" ca="1" si="81"/>
        <v>1</v>
      </c>
      <c r="AI369" s="54">
        <f t="shared" ca="1" si="82"/>
        <v>1</v>
      </c>
      <c r="AJ369" s="54">
        <f t="shared" ca="1" si="83"/>
        <v>1</v>
      </c>
    </row>
    <row r="370" spans="1:36" x14ac:dyDescent="0.2">
      <c r="A370" s="54">
        <v>347</v>
      </c>
      <c r="B370" s="54">
        <f ca="1">MAX(0.02,MCDA_Prioritisation!$B$9+(RAND()-0.5)*2*$B$6)</f>
        <v>0.18890017147169896</v>
      </c>
      <c r="C370" s="54">
        <f ca="1">MAX(0.02,MCDA_Prioritisation!$B$10+(RAND()-0.5)*2*$B$6)</f>
        <v>0.23435597501007716</v>
      </c>
      <c r="D370" s="54">
        <f ca="1">MAX(0.02,MCDA_Prioritisation!$B$11+(RAND()-0.5)*2*$B$6)</f>
        <v>0.32801685360901289</v>
      </c>
      <c r="E370" s="54">
        <f ca="1">MAX(0.02,MCDA_Prioritisation!$B$12+(RAND()-0.5)*2*$B$6)</f>
        <v>0.14052186171351061</v>
      </c>
      <c r="F370" s="54">
        <f ca="1">MAX(0.02,MCDA_Prioritisation!$B$13+(RAND()-0.5)*2*$B$6)</f>
        <v>7.0620458221758983E-2</v>
      </c>
      <c r="G370" s="54">
        <f t="shared" ca="1" si="70"/>
        <v>0.96241532002605867</v>
      </c>
      <c r="H370" s="54">
        <f t="shared" ca="1" si="71"/>
        <v>0.1962771867207852</v>
      </c>
      <c r="I370" s="54">
        <f t="shared" ca="1" si="72"/>
        <v>0.24350815093397687</v>
      </c>
      <c r="J370" s="54">
        <f t="shared" ca="1" si="73"/>
        <v>0.34082671668207798</v>
      </c>
      <c r="K370" s="54">
        <f t="shared" ca="1" si="74"/>
        <v>0.1460095852481918</v>
      </c>
      <c r="L370" s="54">
        <f t="shared" ca="1" si="75"/>
        <v>7.3378360414968077E-2</v>
      </c>
      <c r="M370" s="54">
        <f ca="1">MIN(100,MAX(0,MCDA_Prioritisation!$F$2+(RAND()-0.5)*2*$B$7))</f>
        <v>81.502410053223812</v>
      </c>
      <c r="N370" s="54">
        <f ca="1">MIN(100,MAX(0,MCDA_Prioritisation!$F$3+(RAND()-0.5)*2*$B$7))</f>
        <v>86.560726952911807</v>
      </c>
      <c r="O370" s="54">
        <f ca="1">MIN(100,MAX(0,MCDA_Prioritisation!$F$4+(RAND()-0.5)*2*$B$7))</f>
        <v>84.204744537412353</v>
      </c>
      <c r="P370" s="54">
        <f ca="1">MIN(100,MAX(0,MCDA_Prioritisation!$F$5+(RAND()-0.5)*2*$B$7))</f>
        <v>66.656098191915788</v>
      </c>
      <c r="Q370" s="54">
        <f ca="1">MIN(100,MAX(0,MCDA_Prioritisation!$G$2+(RAND()-0.5)*2*$B$7))</f>
        <v>86.945837163956398</v>
      </c>
      <c r="R370" s="54">
        <f ca="1">MIN(100,MAX(0,MCDA_Prioritisation!$G$3+(RAND()-0.5)*2*$B$7))</f>
        <v>88.194214738737017</v>
      </c>
      <c r="S370" s="54">
        <f ca="1">MIN(100,MAX(0,MCDA_Prioritisation!$G$4+(RAND()-0.5)*2*$B$7))</f>
        <v>78.820038133304422</v>
      </c>
      <c r="T370" s="54">
        <f ca="1">MIN(100,MAX(0,MCDA_Prioritisation!$G$5+(RAND()-0.5)*2*$B$7))</f>
        <v>79.981636350007221</v>
      </c>
      <c r="U370" s="54">
        <f ca="1">MIN(100,MAX(0,MCDA_Prioritisation!$H$2+(RAND()-0.5)*2*$B$7))</f>
        <v>55.518094086938419</v>
      </c>
      <c r="V370" s="54">
        <f ca="1">MIN(100,MAX(0,MCDA_Prioritisation!$H$3+(RAND()-0.5)*2*$B$7))</f>
        <v>64.540368950871226</v>
      </c>
      <c r="W370" s="54">
        <f ca="1">MIN(100,MAX(0,MCDA_Prioritisation!$H$4+(RAND()-0.5)*2*$B$7))</f>
        <v>70.077928503510137</v>
      </c>
      <c r="X370" s="54">
        <f ca="1">MIN(100,MAX(0,MCDA_Prioritisation!$H$5+(RAND()-0.5)*2*$B$7))</f>
        <v>73.389238502992214</v>
      </c>
      <c r="Y370" s="54">
        <f ca="1">H370*MCDA_Prioritisation!$D$2+I370*MCDA_Prioritisation!$E$2+J370*M370+K370*Q370+L370*U370</f>
        <v>88.525484926422422</v>
      </c>
      <c r="Z370" s="54">
        <f ca="1">H370*MCDA_Prioritisation!$D$3+I370*MCDA_Prioritisation!$E$3+J370*N370+K370*R370+L370*V370</f>
        <v>81.978964972980918</v>
      </c>
      <c r="AA370" s="54">
        <f ca="1">H370*MCDA_Prioritisation!$D$4+I370*MCDA_Prioritisation!$E$4+J370*O370+K370*S370+L370*W370</f>
        <v>72.299763407958181</v>
      </c>
      <c r="AB370" s="54">
        <f ca="1">H370*MCDA_Prioritisation!$D$5+I370*MCDA_Prioritisation!$E$5+J370*P370+K370*T370+L370*X370</f>
        <v>70.67585475799568</v>
      </c>
      <c r="AC370" s="54">
        <f t="shared" ca="1" si="76"/>
        <v>1</v>
      </c>
      <c r="AD370" s="54">
        <f t="shared" ca="1" si="77"/>
        <v>2</v>
      </c>
      <c r="AE370" s="54">
        <f t="shared" ca="1" si="78"/>
        <v>3</v>
      </c>
      <c r="AF370" s="54">
        <f t="shared" ca="1" si="79"/>
        <v>4</v>
      </c>
      <c r="AG370" s="54">
        <f t="shared" ca="1" si="80"/>
        <v>1</v>
      </c>
      <c r="AH370" s="54">
        <f t="shared" ca="1" si="81"/>
        <v>1</v>
      </c>
      <c r="AI370" s="54">
        <f t="shared" ca="1" si="82"/>
        <v>1</v>
      </c>
      <c r="AJ370" s="54">
        <f t="shared" ca="1" si="83"/>
        <v>1</v>
      </c>
    </row>
    <row r="371" spans="1:36" x14ac:dyDescent="0.2">
      <c r="A371" s="54">
        <v>348</v>
      </c>
      <c r="B371" s="54">
        <f ca="1">MAX(0.02,MCDA_Prioritisation!$B$9+(RAND()-0.5)*2*$B$6)</f>
        <v>0.2409581988486279</v>
      </c>
      <c r="C371" s="54">
        <f ca="1">MAX(0.02,MCDA_Prioritisation!$B$10+(RAND()-0.5)*2*$B$6)</f>
        <v>0.20590193431634549</v>
      </c>
      <c r="D371" s="54">
        <f ca="1">MAX(0.02,MCDA_Prioritisation!$B$11+(RAND()-0.5)*2*$B$6)</f>
        <v>0.25894808798941349</v>
      </c>
      <c r="E371" s="54">
        <f ca="1">MAX(0.02,MCDA_Prioritisation!$B$12+(RAND()-0.5)*2*$B$6)</f>
        <v>0.16656331126680179</v>
      </c>
      <c r="F371" s="54">
        <f ca="1">MAX(0.02,MCDA_Prioritisation!$B$13+(RAND()-0.5)*2*$B$6)</f>
        <v>0.19692271317070068</v>
      </c>
      <c r="G371" s="54">
        <f t="shared" ca="1" si="70"/>
        <v>1.0692942455918895</v>
      </c>
      <c r="H371" s="54">
        <f t="shared" ca="1" si="71"/>
        <v>0.22534321104033403</v>
      </c>
      <c r="I371" s="54">
        <f t="shared" ca="1" si="72"/>
        <v>0.19255872288209314</v>
      </c>
      <c r="J371" s="54">
        <f t="shared" ca="1" si="73"/>
        <v>0.24216728843058274</v>
      </c>
      <c r="K371" s="54">
        <f t="shared" ca="1" si="74"/>
        <v>0.15576938897169837</v>
      </c>
      <c r="L371" s="54">
        <f t="shared" ca="1" si="75"/>
        <v>0.18416138867529161</v>
      </c>
      <c r="M371" s="54">
        <f ca="1">MIN(100,MAX(0,MCDA_Prioritisation!$F$2+(RAND()-0.5)*2*$B$7))</f>
        <v>79.254945233301285</v>
      </c>
      <c r="N371" s="54">
        <f ca="1">MIN(100,MAX(0,MCDA_Prioritisation!$F$3+(RAND()-0.5)*2*$B$7))</f>
        <v>87.415463835901647</v>
      </c>
      <c r="O371" s="54">
        <f ca="1">MIN(100,MAX(0,MCDA_Prioritisation!$F$4+(RAND()-0.5)*2*$B$7))</f>
        <v>82.05940090869403</v>
      </c>
      <c r="P371" s="54">
        <f ca="1">MIN(100,MAX(0,MCDA_Prioritisation!$F$5+(RAND()-0.5)*2*$B$7))</f>
        <v>77.103650255044826</v>
      </c>
      <c r="Q371" s="54">
        <f ca="1">MIN(100,MAX(0,MCDA_Prioritisation!$G$2+(RAND()-0.5)*2*$B$7))</f>
        <v>79.24041111102882</v>
      </c>
      <c r="R371" s="54">
        <f ca="1">MIN(100,MAX(0,MCDA_Prioritisation!$G$3+(RAND()-0.5)*2*$B$7))</f>
        <v>92.492740982646012</v>
      </c>
      <c r="S371" s="54">
        <f ca="1">MIN(100,MAX(0,MCDA_Prioritisation!$G$4+(RAND()-0.5)*2*$B$7))</f>
        <v>92.152761789972558</v>
      </c>
      <c r="T371" s="54">
        <f ca="1">MIN(100,MAX(0,MCDA_Prioritisation!$G$5+(RAND()-0.5)*2*$B$7))</f>
        <v>62.667858321934126</v>
      </c>
      <c r="U371" s="54">
        <f ca="1">MIN(100,MAX(0,MCDA_Prioritisation!$H$2+(RAND()-0.5)*2*$B$7))</f>
        <v>73.833170751528343</v>
      </c>
      <c r="V371" s="54">
        <f ca="1">MIN(100,MAX(0,MCDA_Prioritisation!$H$3+(RAND()-0.5)*2*$B$7))</f>
        <v>65.124195685194977</v>
      </c>
      <c r="W371" s="54">
        <f ca="1">MIN(100,MAX(0,MCDA_Prioritisation!$H$4+(RAND()-0.5)*2*$B$7))</f>
        <v>86.19177585030512</v>
      </c>
      <c r="X371" s="54">
        <f ca="1">MIN(100,MAX(0,MCDA_Prioritisation!$H$5+(RAND()-0.5)*2*$B$7))</f>
        <v>71.44864902407825</v>
      </c>
      <c r="Y371" s="54">
        <f ca="1">H371*MCDA_Prioritisation!$D$2+I371*MCDA_Prioritisation!$E$2+J371*M371+K371*Q371+L371*U371</f>
        <v>86.923598250638136</v>
      </c>
      <c r="Z371" s="54">
        <f ca="1">H371*MCDA_Prioritisation!$D$3+I371*MCDA_Prioritisation!$E$3+J371*N371+K371*R371+L371*V371</f>
        <v>81.268621053647905</v>
      </c>
      <c r="AA371" s="54">
        <f ca="1">H371*MCDA_Prioritisation!$D$4+I371*MCDA_Prioritisation!$E$4+J371*O371+K371*S371+L371*W371</f>
        <v>76.294658717764335</v>
      </c>
      <c r="AB371" s="54">
        <f ca="1">H371*MCDA_Prioritisation!$D$5+I371*MCDA_Prioritisation!$E$5+J371*P371+K371*T371+L371*X371</f>
        <v>69.744527834401168</v>
      </c>
      <c r="AC371" s="54">
        <f t="shared" ca="1" si="76"/>
        <v>1</v>
      </c>
      <c r="AD371" s="54">
        <f t="shared" ca="1" si="77"/>
        <v>2</v>
      </c>
      <c r="AE371" s="54">
        <f t="shared" ca="1" si="78"/>
        <v>3</v>
      </c>
      <c r="AF371" s="54">
        <f t="shared" ca="1" si="79"/>
        <v>4</v>
      </c>
      <c r="AG371" s="54">
        <f t="shared" ca="1" si="80"/>
        <v>1</v>
      </c>
      <c r="AH371" s="54">
        <f t="shared" ca="1" si="81"/>
        <v>1</v>
      </c>
      <c r="AI371" s="54">
        <f t="shared" ca="1" si="82"/>
        <v>1</v>
      </c>
      <c r="AJ371" s="54">
        <f t="shared" ca="1" si="83"/>
        <v>1</v>
      </c>
    </row>
    <row r="372" spans="1:36" x14ac:dyDescent="0.2">
      <c r="A372" s="54">
        <v>349</v>
      </c>
      <c r="B372" s="54">
        <f ca="1">MAX(0.02,MCDA_Prioritisation!$B$9+(RAND()-0.5)*2*$B$6)</f>
        <v>0.20791620754232149</v>
      </c>
      <c r="C372" s="54">
        <f ca="1">MAX(0.02,MCDA_Prioritisation!$B$10+(RAND()-0.5)*2*$B$6)</f>
        <v>0.21639735384763048</v>
      </c>
      <c r="D372" s="54">
        <f ca="1">MAX(0.02,MCDA_Prioritisation!$B$11+(RAND()-0.5)*2*$B$6)</f>
        <v>0.1946867878928201</v>
      </c>
      <c r="E372" s="54">
        <f ca="1">MAX(0.02,MCDA_Prioritisation!$B$12+(RAND()-0.5)*2*$B$6)</f>
        <v>0.19163608740441712</v>
      </c>
      <c r="F372" s="54">
        <f ca="1">MAX(0.02,MCDA_Prioritisation!$B$13+(RAND()-0.5)*2*$B$6)</f>
        <v>0.12636045201403898</v>
      </c>
      <c r="G372" s="54">
        <f t="shared" ca="1" si="70"/>
        <v>0.93699688870122821</v>
      </c>
      <c r="H372" s="54">
        <f t="shared" ca="1" si="71"/>
        <v>0.22189636918700362</v>
      </c>
      <c r="I372" s="54">
        <f t="shared" ca="1" si="72"/>
        <v>0.23094778270563837</v>
      </c>
      <c r="J372" s="54">
        <f t="shared" ca="1" si="73"/>
        <v>0.20777741125979141</v>
      </c>
      <c r="K372" s="54">
        <f t="shared" ca="1" si="74"/>
        <v>0.20452158349217572</v>
      </c>
      <c r="L372" s="54">
        <f t="shared" ca="1" si="75"/>
        <v>0.1348568533553908</v>
      </c>
      <c r="M372" s="54">
        <f ca="1">MIN(100,MAX(0,MCDA_Prioritisation!$F$2+(RAND()-0.5)*2*$B$7))</f>
        <v>77.801945893402419</v>
      </c>
      <c r="N372" s="54">
        <f ca="1">MIN(100,MAX(0,MCDA_Prioritisation!$F$3+(RAND()-0.5)*2*$B$7))</f>
        <v>93.502538599303691</v>
      </c>
      <c r="O372" s="54">
        <f ca="1">MIN(100,MAX(0,MCDA_Prioritisation!$F$4+(RAND()-0.5)*2*$B$7))</f>
        <v>88.200712384777873</v>
      </c>
      <c r="P372" s="54">
        <f ca="1">MIN(100,MAX(0,MCDA_Prioritisation!$F$5+(RAND()-0.5)*2*$B$7))</f>
        <v>75.75304414422321</v>
      </c>
      <c r="Q372" s="54">
        <f ca="1">MIN(100,MAX(0,MCDA_Prioritisation!$G$2+(RAND()-0.5)*2*$B$7))</f>
        <v>84.481265426608175</v>
      </c>
      <c r="R372" s="54">
        <f ca="1">MIN(100,MAX(0,MCDA_Prioritisation!$G$3+(RAND()-0.5)*2*$B$7))</f>
        <v>87.839908700590186</v>
      </c>
      <c r="S372" s="54">
        <f ca="1">MIN(100,MAX(0,MCDA_Prioritisation!$G$4+(RAND()-0.5)*2*$B$7))</f>
        <v>90.691590644985766</v>
      </c>
      <c r="T372" s="54">
        <f ca="1">MIN(100,MAX(0,MCDA_Prioritisation!$G$5+(RAND()-0.5)*2*$B$7))</f>
        <v>76.79136038584393</v>
      </c>
      <c r="U372" s="54">
        <f ca="1">MIN(100,MAX(0,MCDA_Prioritisation!$H$2+(RAND()-0.5)*2*$B$7))</f>
        <v>74.796657330569232</v>
      </c>
      <c r="V372" s="54">
        <f ca="1">MIN(100,MAX(0,MCDA_Prioritisation!$H$3+(RAND()-0.5)*2*$B$7))</f>
        <v>61.883691343500168</v>
      </c>
      <c r="W372" s="54">
        <f ca="1">MIN(100,MAX(0,MCDA_Prioritisation!$H$4+(RAND()-0.5)*2*$B$7))</f>
        <v>84.158598309443192</v>
      </c>
      <c r="X372" s="54">
        <f ca="1">MIN(100,MAX(0,MCDA_Prioritisation!$H$5+(RAND()-0.5)*2*$B$7))</f>
        <v>73.859006158647858</v>
      </c>
      <c r="Y372" s="54">
        <f ca="1">H372*MCDA_Prioritisation!$D$2+I372*MCDA_Prioritisation!$E$2+J372*M372+K372*Q372+L372*U372</f>
        <v>88.814986127544401</v>
      </c>
      <c r="Z372" s="54">
        <f ca="1">H372*MCDA_Prioritisation!$D$3+I372*MCDA_Prioritisation!$E$3+J372*N372+K372*R372+L372*V372</f>
        <v>81.927556215030791</v>
      </c>
      <c r="AA372" s="54">
        <f ca="1">H372*MCDA_Prioritisation!$D$4+I372*MCDA_Prioritisation!$E$4+J372*O372+K372*S372+L372*W372</f>
        <v>76.272577663523322</v>
      </c>
      <c r="AB372" s="54">
        <f ca="1">H372*MCDA_Prioritisation!$D$5+I372*MCDA_Prioritisation!$E$5+J372*P372+K372*T372+L372*X372</f>
        <v>72.603611437561284</v>
      </c>
      <c r="AC372" s="54">
        <f t="shared" ca="1" si="76"/>
        <v>1</v>
      </c>
      <c r="AD372" s="54">
        <f t="shared" ca="1" si="77"/>
        <v>2</v>
      </c>
      <c r="AE372" s="54">
        <f t="shared" ca="1" si="78"/>
        <v>3</v>
      </c>
      <c r="AF372" s="54">
        <f t="shared" ca="1" si="79"/>
        <v>4</v>
      </c>
      <c r="AG372" s="54">
        <f t="shared" ca="1" si="80"/>
        <v>1</v>
      </c>
      <c r="AH372" s="54">
        <f t="shared" ca="1" si="81"/>
        <v>1</v>
      </c>
      <c r="AI372" s="54">
        <f t="shared" ca="1" si="82"/>
        <v>1</v>
      </c>
      <c r="AJ372" s="54">
        <f t="shared" ca="1" si="83"/>
        <v>1</v>
      </c>
    </row>
    <row r="373" spans="1:36" x14ac:dyDescent="0.2">
      <c r="A373" s="54">
        <v>350</v>
      </c>
      <c r="B373" s="54">
        <f ca="1">MAX(0.02,MCDA_Prioritisation!$B$9+(RAND()-0.5)*2*$B$6)</f>
        <v>0.19982348637891714</v>
      </c>
      <c r="C373" s="54">
        <f ca="1">MAX(0.02,MCDA_Prioritisation!$B$10+(RAND()-0.5)*2*$B$6)</f>
        <v>0.27270344098033694</v>
      </c>
      <c r="D373" s="54">
        <f ca="1">MAX(0.02,MCDA_Prioritisation!$B$11+(RAND()-0.5)*2*$B$6)</f>
        <v>0.20236271817055695</v>
      </c>
      <c r="E373" s="54">
        <f ca="1">MAX(0.02,MCDA_Prioritisation!$B$12+(RAND()-0.5)*2*$B$6)</f>
        <v>0.20453911214950088</v>
      </c>
      <c r="F373" s="54">
        <f ca="1">MAX(0.02,MCDA_Prioritisation!$B$13+(RAND()-0.5)*2*$B$6)</f>
        <v>0.10627038880696728</v>
      </c>
      <c r="G373" s="54">
        <f t="shared" ca="1" si="70"/>
        <v>0.9856991464862791</v>
      </c>
      <c r="H373" s="54">
        <f t="shared" ca="1" si="71"/>
        <v>0.20272259247786484</v>
      </c>
      <c r="I373" s="54">
        <f t="shared" ca="1" si="72"/>
        <v>0.27665991388188033</v>
      </c>
      <c r="J373" s="54">
        <f t="shared" ca="1" si="73"/>
        <v>0.20529866429520524</v>
      </c>
      <c r="K373" s="54">
        <f t="shared" ca="1" si="74"/>
        <v>0.2075066341272804</v>
      </c>
      <c r="L373" s="54">
        <f t="shared" ca="1" si="75"/>
        <v>0.10781219521776927</v>
      </c>
      <c r="M373" s="54">
        <f ca="1">MIN(100,MAX(0,MCDA_Prioritisation!$F$2+(RAND()-0.5)*2*$B$7))</f>
        <v>87.799935511407426</v>
      </c>
      <c r="N373" s="54">
        <f ca="1">MIN(100,MAX(0,MCDA_Prioritisation!$F$3+(RAND()-0.5)*2*$B$7))</f>
        <v>86.425723798612012</v>
      </c>
      <c r="O373" s="54">
        <f ca="1">MIN(100,MAX(0,MCDA_Prioritisation!$F$4+(RAND()-0.5)*2*$B$7))</f>
        <v>93.701545545087271</v>
      </c>
      <c r="P373" s="54">
        <f ca="1">MIN(100,MAX(0,MCDA_Prioritisation!$F$5+(RAND()-0.5)*2*$B$7))</f>
        <v>68.018649358231613</v>
      </c>
      <c r="Q373" s="54">
        <f ca="1">MIN(100,MAX(0,MCDA_Prioritisation!$G$2+(RAND()-0.5)*2*$B$7))</f>
        <v>77.710320907688399</v>
      </c>
      <c r="R373" s="54">
        <f ca="1">MIN(100,MAX(0,MCDA_Prioritisation!$G$3+(RAND()-0.5)*2*$B$7))</f>
        <v>97.522257326353255</v>
      </c>
      <c r="S373" s="54">
        <f ca="1">MIN(100,MAX(0,MCDA_Prioritisation!$G$4+(RAND()-0.5)*2*$B$7))</f>
        <v>81.139980567138636</v>
      </c>
      <c r="T373" s="54">
        <f ca="1">MIN(100,MAX(0,MCDA_Prioritisation!$G$5+(RAND()-0.5)*2*$B$7))</f>
        <v>65.251446698845371</v>
      </c>
      <c r="U373" s="54">
        <f ca="1">MIN(100,MAX(0,MCDA_Prioritisation!$H$2+(RAND()-0.5)*2*$B$7))</f>
        <v>58.504957335389335</v>
      </c>
      <c r="V373" s="54">
        <f ca="1">MIN(100,MAX(0,MCDA_Prioritisation!$H$3+(RAND()-0.5)*2*$B$7))</f>
        <v>64.187996631070547</v>
      </c>
      <c r="W373" s="54">
        <f ca="1">MIN(100,MAX(0,MCDA_Prioritisation!$H$4+(RAND()-0.5)*2*$B$7))</f>
        <v>83.982015702375861</v>
      </c>
      <c r="X373" s="54">
        <f ca="1">MIN(100,MAX(0,MCDA_Prioritisation!$H$5+(RAND()-0.5)*2*$B$7))</f>
        <v>67.069207711967664</v>
      </c>
      <c r="Y373" s="54">
        <f ca="1">H373*MCDA_Prioritisation!$D$2+I373*MCDA_Prioritisation!$E$2+J373*M373+K373*Q373+L373*U373</f>
        <v>88.396415131627123</v>
      </c>
      <c r="Z373" s="54">
        <f ca="1">H373*MCDA_Prioritisation!$D$3+I373*MCDA_Prioritisation!$E$3+J373*N373+K373*R373+L373*V373</f>
        <v>82.737884689053786</v>
      </c>
      <c r="AA373" s="54">
        <f ca="1">H373*MCDA_Prioritisation!$D$4+I373*MCDA_Prioritisation!$E$4+J373*O373+K373*S373+L373*W373</f>
        <v>74.335122247325742</v>
      </c>
      <c r="AB373" s="54">
        <f ca="1">H373*MCDA_Prioritisation!$D$5+I373*MCDA_Prioritisation!$E$5+J373*P373+K373*T373+L373*X373</f>
        <v>68.759390101858983</v>
      </c>
      <c r="AC373" s="54">
        <f t="shared" ca="1" si="76"/>
        <v>1</v>
      </c>
      <c r="AD373" s="54">
        <f t="shared" ca="1" si="77"/>
        <v>2</v>
      </c>
      <c r="AE373" s="54">
        <f t="shared" ca="1" si="78"/>
        <v>3</v>
      </c>
      <c r="AF373" s="54">
        <f t="shared" ca="1" si="79"/>
        <v>4</v>
      </c>
      <c r="AG373" s="54">
        <f t="shared" ca="1" si="80"/>
        <v>1</v>
      </c>
      <c r="AH373" s="54">
        <f t="shared" ca="1" si="81"/>
        <v>1</v>
      </c>
      <c r="AI373" s="54">
        <f t="shared" ca="1" si="82"/>
        <v>1</v>
      </c>
      <c r="AJ373" s="54">
        <f t="shared" ca="1" si="83"/>
        <v>1</v>
      </c>
    </row>
    <row r="374" spans="1:36" x14ac:dyDescent="0.2">
      <c r="A374" s="54">
        <v>351</v>
      </c>
      <c r="B374" s="54">
        <f ca="1">MAX(0.02,MCDA_Prioritisation!$B$9+(RAND()-0.5)*2*$B$6)</f>
        <v>0.2642683822591898</v>
      </c>
      <c r="C374" s="54">
        <f ca="1">MAX(0.02,MCDA_Prioritisation!$B$10+(RAND()-0.5)*2*$B$6)</f>
        <v>0.26241454277575593</v>
      </c>
      <c r="D374" s="54">
        <f ca="1">MAX(0.02,MCDA_Prioritisation!$B$11+(RAND()-0.5)*2*$B$6)</f>
        <v>0.18677719964246467</v>
      </c>
      <c r="E374" s="54">
        <f ca="1">MAX(0.02,MCDA_Prioritisation!$B$12+(RAND()-0.5)*2*$B$6)</f>
        <v>0.22228279665113884</v>
      </c>
      <c r="F374" s="54">
        <f ca="1">MAX(0.02,MCDA_Prioritisation!$B$13+(RAND()-0.5)*2*$B$6)</f>
        <v>0.11600062047693596</v>
      </c>
      <c r="G374" s="54">
        <f t="shared" ca="1" si="70"/>
        <v>1.0517435418054852</v>
      </c>
      <c r="H374" s="54">
        <f t="shared" ca="1" si="71"/>
        <v>0.25126694080339307</v>
      </c>
      <c r="I374" s="54">
        <f t="shared" ca="1" si="72"/>
        <v>0.24950430627344722</v>
      </c>
      <c r="J374" s="54">
        <f t="shared" ca="1" si="73"/>
        <v>0.1775881592976857</v>
      </c>
      <c r="K374" s="54">
        <f t="shared" ca="1" si="74"/>
        <v>0.21134695656847585</v>
      </c>
      <c r="L374" s="54">
        <f t="shared" ca="1" si="75"/>
        <v>0.11029363705699816</v>
      </c>
      <c r="M374" s="54">
        <f ca="1">MIN(100,MAX(0,MCDA_Prioritisation!$F$2+(RAND()-0.5)*2*$B$7))</f>
        <v>80.127293194523531</v>
      </c>
      <c r="N374" s="54">
        <f ca="1">MIN(100,MAX(0,MCDA_Prioritisation!$F$3+(RAND()-0.5)*2*$B$7))</f>
        <v>86.020743460581741</v>
      </c>
      <c r="O374" s="54">
        <f ca="1">MIN(100,MAX(0,MCDA_Prioritisation!$F$4+(RAND()-0.5)*2*$B$7))</f>
        <v>91.888305220966402</v>
      </c>
      <c r="P374" s="54">
        <f ca="1">MIN(100,MAX(0,MCDA_Prioritisation!$F$5+(RAND()-0.5)*2*$B$7))</f>
        <v>75.551351093994668</v>
      </c>
      <c r="Q374" s="54">
        <f ca="1">MIN(100,MAX(0,MCDA_Prioritisation!$G$2+(RAND()-0.5)*2*$B$7))</f>
        <v>79.409051936547385</v>
      </c>
      <c r="R374" s="54">
        <f ca="1">MIN(100,MAX(0,MCDA_Prioritisation!$G$3+(RAND()-0.5)*2*$B$7))</f>
        <v>87.359350348890729</v>
      </c>
      <c r="S374" s="54">
        <f ca="1">MIN(100,MAX(0,MCDA_Prioritisation!$G$4+(RAND()-0.5)*2*$B$7))</f>
        <v>81.778570555467738</v>
      </c>
      <c r="T374" s="54">
        <f ca="1">MIN(100,MAX(0,MCDA_Prioritisation!$G$5+(RAND()-0.5)*2*$B$7))</f>
        <v>76.332025644661755</v>
      </c>
      <c r="U374" s="54">
        <f ca="1">MIN(100,MAX(0,MCDA_Prioritisation!$H$2+(RAND()-0.5)*2*$B$7))</f>
        <v>58.814023903313483</v>
      </c>
      <c r="V374" s="54">
        <f ca="1">MIN(100,MAX(0,MCDA_Prioritisation!$H$3+(RAND()-0.5)*2*$B$7))</f>
        <v>59.407659696339017</v>
      </c>
      <c r="W374" s="54">
        <f ca="1">MIN(100,MAX(0,MCDA_Prioritisation!$H$4+(RAND()-0.5)*2*$B$7))</f>
        <v>80.737958529062809</v>
      </c>
      <c r="X374" s="54">
        <f ca="1">MIN(100,MAX(0,MCDA_Prioritisation!$H$5+(RAND()-0.5)*2*$B$7))</f>
        <v>75.789066006344569</v>
      </c>
      <c r="Y374" s="54">
        <f ca="1">H374*MCDA_Prioritisation!$D$2+I374*MCDA_Prioritisation!$E$2+J374*M374+K374*Q374+L374*U374</f>
        <v>87.576457272636418</v>
      </c>
      <c r="Z374" s="54">
        <f ca="1">H374*MCDA_Prioritisation!$D$3+I374*MCDA_Prioritisation!$E$3+J374*N374+K374*R374+L374*V374</f>
        <v>80.397389339285894</v>
      </c>
      <c r="AA374" s="54">
        <f ca="1">H374*MCDA_Prioritisation!$D$4+I374*MCDA_Prioritisation!$E$4+J374*O374+K374*S374+L374*W374</f>
        <v>73.612888535612313</v>
      </c>
      <c r="AB374" s="54">
        <f ca="1">H374*MCDA_Prioritisation!$D$5+I374*MCDA_Prioritisation!$E$5+J374*P374+K374*T374+L374*X374</f>
        <v>72.225878823517476</v>
      </c>
      <c r="AC374" s="54">
        <f t="shared" ca="1" si="76"/>
        <v>1</v>
      </c>
      <c r="AD374" s="54">
        <f t="shared" ca="1" si="77"/>
        <v>2</v>
      </c>
      <c r="AE374" s="54">
        <f t="shared" ca="1" si="78"/>
        <v>3</v>
      </c>
      <c r="AF374" s="54">
        <f t="shared" ca="1" si="79"/>
        <v>4</v>
      </c>
      <c r="AG374" s="54">
        <f t="shared" ca="1" si="80"/>
        <v>1</v>
      </c>
      <c r="AH374" s="54">
        <f t="shared" ca="1" si="81"/>
        <v>1</v>
      </c>
      <c r="AI374" s="54">
        <f t="shared" ca="1" si="82"/>
        <v>1</v>
      </c>
      <c r="AJ374" s="54">
        <f t="shared" ca="1" si="83"/>
        <v>1</v>
      </c>
    </row>
    <row r="375" spans="1:36" x14ac:dyDescent="0.2">
      <c r="A375" s="54">
        <v>352</v>
      </c>
      <c r="B375" s="54">
        <f ca="1">MAX(0.02,MCDA_Prioritisation!$B$9+(RAND()-0.5)*2*$B$6)</f>
        <v>0.15211253721905488</v>
      </c>
      <c r="C375" s="54">
        <f ca="1">MAX(0.02,MCDA_Prioritisation!$B$10+(RAND()-0.5)*2*$B$6)</f>
        <v>0.27925404771785423</v>
      </c>
      <c r="D375" s="54">
        <f ca="1">MAX(0.02,MCDA_Prioritisation!$B$11+(RAND()-0.5)*2*$B$6)</f>
        <v>0.27680020139668787</v>
      </c>
      <c r="E375" s="54">
        <f ca="1">MAX(0.02,MCDA_Prioritisation!$B$12+(RAND()-0.5)*2*$B$6)</f>
        <v>7.6921725542785382E-2</v>
      </c>
      <c r="F375" s="54">
        <f ca="1">MAX(0.02,MCDA_Prioritisation!$B$13+(RAND()-0.5)*2*$B$6)</f>
        <v>0.15909519606161399</v>
      </c>
      <c r="G375" s="54">
        <f t="shared" ca="1" si="70"/>
        <v>0.94418370793799644</v>
      </c>
      <c r="H375" s="54">
        <f t="shared" ca="1" si="71"/>
        <v>0.16110481036709856</v>
      </c>
      <c r="I375" s="54">
        <f t="shared" ca="1" si="72"/>
        <v>0.29576240870298148</v>
      </c>
      <c r="J375" s="54">
        <f t="shared" ca="1" si="73"/>
        <v>0.29316350098985722</v>
      </c>
      <c r="K375" s="54">
        <f t="shared" ca="1" si="74"/>
        <v>8.1469024402862023E-2</v>
      </c>
      <c r="L375" s="54">
        <f t="shared" ca="1" si="75"/>
        <v>0.16850025553720061</v>
      </c>
      <c r="M375" s="54">
        <f ca="1">MIN(100,MAX(0,MCDA_Prioritisation!$F$2+(RAND()-0.5)*2*$B$7))</f>
        <v>83.520323689525469</v>
      </c>
      <c r="N375" s="54">
        <f ca="1">MIN(100,MAX(0,MCDA_Prioritisation!$F$3+(RAND()-0.5)*2*$B$7))</f>
        <v>88.039421653638115</v>
      </c>
      <c r="O375" s="54">
        <f ca="1">MIN(100,MAX(0,MCDA_Prioritisation!$F$4+(RAND()-0.5)*2*$B$7))</f>
        <v>95.691339830532286</v>
      </c>
      <c r="P375" s="54">
        <f ca="1">MIN(100,MAX(0,MCDA_Prioritisation!$F$5+(RAND()-0.5)*2*$B$7))</f>
        <v>84.419731819002862</v>
      </c>
      <c r="Q375" s="54">
        <f ca="1">MIN(100,MAX(0,MCDA_Prioritisation!$G$2+(RAND()-0.5)*2*$B$7))</f>
        <v>84.934459461486711</v>
      </c>
      <c r="R375" s="54">
        <f ca="1">MIN(100,MAX(0,MCDA_Prioritisation!$G$3+(RAND()-0.5)*2*$B$7))</f>
        <v>86.50816091293315</v>
      </c>
      <c r="S375" s="54">
        <f ca="1">MIN(100,MAX(0,MCDA_Prioritisation!$G$4+(RAND()-0.5)*2*$B$7))</f>
        <v>87.246013276396567</v>
      </c>
      <c r="T375" s="54">
        <f ca="1">MIN(100,MAX(0,MCDA_Prioritisation!$G$5+(RAND()-0.5)*2*$B$7))</f>
        <v>77.577226348259131</v>
      </c>
      <c r="U375" s="54">
        <f ca="1">MIN(100,MAX(0,MCDA_Prioritisation!$H$2+(RAND()-0.5)*2*$B$7))</f>
        <v>67.223846956575116</v>
      </c>
      <c r="V375" s="54">
        <f ca="1">MIN(100,MAX(0,MCDA_Prioritisation!$H$3+(RAND()-0.5)*2*$B$7))</f>
        <v>65.491388504314415</v>
      </c>
      <c r="W375" s="54">
        <f ca="1">MIN(100,MAX(0,MCDA_Prioritisation!$H$4+(RAND()-0.5)*2*$B$7))</f>
        <v>89.191085067685265</v>
      </c>
      <c r="X375" s="54">
        <f ca="1">MIN(100,MAX(0,MCDA_Prioritisation!$H$5+(RAND()-0.5)*2*$B$7))</f>
        <v>83.026715063484147</v>
      </c>
      <c r="Y375" s="54">
        <f ca="1">H375*MCDA_Prioritisation!$D$2+I375*MCDA_Prioritisation!$E$2+J375*M375+K375*Q375+L375*U375</f>
        <v>88.418595344523737</v>
      </c>
      <c r="Z375" s="54">
        <f ca="1">H375*MCDA_Prioritisation!$D$3+I375*MCDA_Prioritisation!$E$3+J375*N375+K375*R375+L375*V375</f>
        <v>79.483040823903409</v>
      </c>
      <c r="AA375" s="54">
        <f ca="1">H375*MCDA_Prioritisation!$D$4+I375*MCDA_Prioritisation!$E$4+J375*O375+K375*S375+L375*W375</f>
        <v>77.54066335263272</v>
      </c>
      <c r="AB375" s="54">
        <f ca="1">H375*MCDA_Prioritisation!$D$5+I375*MCDA_Prioritisation!$E$5+J375*P375+K375*T375+L375*X375</f>
        <v>78.480658771331434</v>
      </c>
      <c r="AC375" s="54">
        <f t="shared" ca="1" si="76"/>
        <v>1</v>
      </c>
      <c r="AD375" s="54">
        <f t="shared" ca="1" si="77"/>
        <v>2</v>
      </c>
      <c r="AE375" s="54">
        <f t="shared" ca="1" si="78"/>
        <v>4</v>
      </c>
      <c r="AF375" s="54">
        <f t="shared" ca="1" si="79"/>
        <v>3</v>
      </c>
      <c r="AG375" s="54">
        <f t="shared" ca="1" si="80"/>
        <v>1</v>
      </c>
      <c r="AH375" s="54">
        <f t="shared" ca="1" si="81"/>
        <v>1</v>
      </c>
      <c r="AI375" s="54">
        <f t="shared" ca="1" si="82"/>
        <v>0</v>
      </c>
      <c r="AJ375" s="54">
        <f t="shared" ca="1" si="83"/>
        <v>1</v>
      </c>
    </row>
    <row r="376" spans="1:36" x14ac:dyDescent="0.2">
      <c r="A376" s="54">
        <v>353</v>
      </c>
      <c r="B376" s="54">
        <f ca="1">MAX(0.02,MCDA_Prioritisation!$B$9+(RAND()-0.5)*2*$B$6)</f>
        <v>0.18804177048731788</v>
      </c>
      <c r="C376" s="54">
        <f ca="1">MAX(0.02,MCDA_Prioritisation!$B$10+(RAND()-0.5)*2*$B$6)</f>
        <v>0.1712743708000638</v>
      </c>
      <c r="D376" s="54">
        <f ca="1">MAX(0.02,MCDA_Prioritisation!$B$11+(RAND()-0.5)*2*$B$6)</f>
        <v>0.20001454930551776</v>
      </c>
      <c r="E376" s="54">
        <f ca="1">MAX(0.02,MCDA_Prioritisation!$B$12+(RAND()-0.5)*2*$B$6)</f>
        <v>0.18368251441120917</v>
      </c>
      <c r="F376" s="54">
        <f ca="1">MAX(0.02,MCDA_Prioritisation!$B$13+(RAND()-0.5)*2*$B$6)</f>
        <v>0.21103055862275799</v>
      </c>
      <c r="G376" s="54">
        <f t="shared" ca="1" si="70"/>
        <v>0.9540437636268666</v>
      </c>
      <c r="H376" s="54">
        <f t="shared" ca="1" si="71"/>
        <v>0.1970997323775415</v>
      </c>
      <c r="I376" s="54">
        <f t="shared" ca="1" si="72"/>
        <v>0.17952464795634934</v>
      </c>
      <c r="J376" s="54">
        <f t="shared" ca="1" si="73"/>
        <v>0.20964923930234389</v>
      </c>
      <c r="K376" s="54">
        <f t="shared" ca="1" si="74"/>
        <v>0.19253049117257132</v>
      </c>
      <c r="L376" s="54">
        <f t="shared" ca="1" si="75"/>
        <v>0.22119588919119393</v>
      </c>
      <c r="M376" s="54">
        <f ca="1">MIN(100,MAX(0,MCDA_Prioritisation!$F$2+(RAND()-0.5)*2*$B$7))</f>
        <v>83.696775970006641</v>
      </c>
      <c r="N376" s="54">
        <f ca="1">MIN(100,MAX(0,MCDA_Prioritisation!$F$3+(RAND()-0.5)*2*$B$7))</f>
        <v>85.952288473982861</v>
      </c>
      <c r="O376" s="54">
        <f ca="1">MIN(100,MAX(0,MCDA_Prioritisation!$F$4+(RAND()-0.5)*2*$B$7))</f>
        <v>86.885258997848425</v>
      </c>
      <c r="P376" s="54">
        <f ca="1">MIN(100,MAX(0,MCDA_Prioritisation!$F$5+(RAND()-0.5)*2*$B$7))</f>
        <v>83.795032608209638</v>
      </c>
      <c r="Q376" s="54">
        <f ca="1">MIN(100,MAX(0,MCDA_Prioritisation!$G$2+(RAND()-0.5)*2*$B$7))</f>
        <v>84.736252379666411</v>
      </c>
      <c r="R376" s="54">
        <f ca="1">MIN(100,MAX(0,MCDA_Prioritisation!$G$3+(RAND()-0.5)*2*$B$7))</f>
        <v>100</v>
      </c>
      <c r="S376" s="54">
        <f ca="1">MIN(100,MAX(0,MCDA_Prioritisation!$G$4+(RAND()-0.5)*2*$B$7))</f>
        <v>92.367286762535699</v>
      </c>
      <c r="T376" s="54">
        <f ca="1">MIN(100,MAX(0,MCDA_Prioritisation!$G$5+(RAND()-0.5)*2*$B$7))</f>
        <v>67.814271876641257</v>
      </c>
      <c r="U376" s="54">
        <f ca="1">MIN(100,MAX(0,MCDA_Prioritisation!$H$2+(RAND()-0.5)*2*$B$7))</f>
        <v>68.784844496355603</v>
      </c>
      <c r="V376" s="54">
        <f ca="1">MIN(100,MAX(0,MCDA_Prioritisation!$H$3+(RAND()-0.5)*2*$B$7))</f>
        <v>62.529579236374659</v>
      </c>
      <c r="W376" s="54">
        <f ca="1">MIN(100,MAX(0,MCDA_Prioritisation!$H$4+(RAND()-0.5)*2*$B$7))</f>
        <v>70.188492730007511</v>
      </c>
      <c r="X376" s="54">
        <f ca="1">MIN(100,MAX(0,MCDA_Prioritisation!$H$5+(RAND()-0.5)*2*$B$7))</f>
        <v>66.88303898780984</v>
      </c>
      <c r="Y376" s="54">
        <f ca="1">H376*MCDA_Prioritisation!$D$2+I376*MCDA_Prioritisation!$E$2+J376*M376+K376*Q376+L376*U376</f>
        <v>86.738640579589187</v>
      </c>
      <c r="Z376" s="54">
        <f ca="1">H376*MCDA_Prioritisation!$D$3+I376*MCDA_Prioritisation!$E$3+J376*N376+K376*R376+L376*V376</f>
        <v>81.386398554032809</v>
      </c>
      <c r="AA376" s="54">
        <f ca="1">H376*MCDA_Prioritisation!$D$4+I376*MCDA_Prioritisation!$E$4+J376*O376+K376*S376+L376*W376</f>
        <v>75.041473821615853</v>
      </c>
      <c r="AB376" s="54">
        <f ca="1">H376*MCDA_Prioritisation!$D$5+I376*MCDA_Prioritisation!$E$5+J376*P376+K376*T376+L376*X376</f>
        <v>70.975767727723962</v>
      </c>
      <c r="AC376" s="54">
        <f t="shared" ca="1" si="76"/>
        <v>1</v>
      </c>
      <c r="AD376" s="54">
        <f t="shared" ca="1" si="77"/>
        <v>2</v>
      </c>
      <c r="AE376" s="54">
        <f t="shared" ca="1" si="78"/>
        <v>3</v>
      </c>
      <c r="AF376" s="54">
        <f t="shared" ca="1" si="79"/>
        <v>4</v>
      </c>
      <c r="AG376" s="54">
        <f t="shared" ca="1" si="80"/>
        <v>1</v>
      </c>
      <c r="AH376" s="54">
        <f t="shared" ca="1" si="81"/>
        <v>1</v>
      </c>
      <c r="AI376" s="54">
        <f t="shared" ca="1" si="82"/>
        <v>1</v>
      </c>
      <c r="AJ376" s="54">
        <f t="shared" ca="1" si="83"/>
        <v>1</v>
      </c>
    </row>
    <row r="377" spans="1:36" x14ac:dyDescent="0.2">
      <c r="A377" s="54">
        <v>354</v>
      </c>
      <c r="B377" s="54">
        <f ca="1">MAX(0.02,MCDA_Prioritisation!$B$9+(RAND()-0.5)*2*$B$6)</f>
        <v>0.12635309005518444</v>
      </c>
      <c r="C377" s="54">
        <f ca="1">MAX(0.02,MCDA_Prioritisation!$B$10+(RAND()-0.5)*2*$B$6)</f>
        <v>0.23569206241666327</v>
      </c>
      <c r="D377" s="54">
        <f ca="1">MAX(0.02,MCDA_Prioritisation!$B$11+(RAND()-0.5)*2*$B$6)</f>
        <v>0.17658281114916435</v>
      </c>
      <c r="E377" s="54">
        <f ca="1">MAX(0.02,MCDA_Prioritisation!$B$12+(RAND()-0.5)*2*$B$6)</f>
        <v>0.21006278503394166</v>
      </c>
      <c r="F377" s="54">
        <f ca="1">MAX(0.02,MCDA_Prioritisation!$B$13+(RAND()-0.5)*2*$B$6)</f>
        <v>0.13488031027312544</v>
      </c>
      <c r="G377" s="54">
        <f t="shared" ca="1" si="70"/>
        <v>0.88357105892807908</v>
      </c>
      <c r="H377" s="54">
        <f t="shared" ca="1" si="71"/>
        <v>0.14300274865099372</v>
      </c>
      <c r="I377" s="54">
        <f t="shared" ca="1" si="72"/>
        <v>0.26674941424925974</v>
      </c>
      <c r="J377" s="54">
        <f t="shared" ca="1" si="73"/>
        <v>0.19985128458529314</v>
      </c>
      <c r="K377" s="54">
        <f t="shared" ca="1" si="74"/>
        <v>0.23774294428428122</v>
      </c>
      <c r="L377" s="54">
        <f t="shared" ca="1" si="75"/>
        <v>0.15265360823017227</v>
      </c>
      <c r="M377" s="54">
        <f ca="1">MIN(100,MAX(0,MCDA_Prioritisation!$F$2+(RAND()-0.5)*2*$B$7))</f>
        <v>83.153782660955073</v>
      </c>
      <c r="N377" s="54">
        <f ca="1">MIN(100,MAX(0,MCDA_Prioritisation!$F$3+(RAND()-0.5)*2*$B$7))</f>
        <v>99.860107364592508</v>
      </c>
      <c r="O377" s="54">
        <f ca="1">MIN(100,MAX(0,MCDA_Prioritisation!$F$4+(RAND()-0.5)*2*$B$7))</f>
        <v>96.858287229257442</v>
      </c>
      <c r="P377" s="54">
        <f ca="1">MIN(100,MAX(0,MCDA_Prioritisation!$F$5+(RAND()-0.5)*2*$B$7))</f>
        <v>71.050640512204836</v>
      </c>
      <c r="Q377" s="54">
        <f ca="1">MIN(100,MAX(0,MCDA_Prioritisation!$G$2+(RAND()-0.5)*2*$B$7))</f>
        <v>78.437967673420374</v>
      </c>
      <c r="R377" s="54">
        <f ca="1">MIN(100,MAX(0,MCDA_Prioritisation!$G$3+(RAND()-0.5)*2*$B$7))</f>
        <v>94.756823304467773</v>
      </c>
      <c r="S377" s="54">
        <f ca="1">MIN(100,MAX(0,MCDA_Prioritisation!$G$4+(RAND()-0.5)*2*$B$7))</f>
        <v>94.066694962645997</v>
      </c>
      <c r="T377" s="54">
        <f ca="1">MIN(100,MAX(0,MCDA_Prioritisation!$G$5+(RAND()-0.5)*2*$B$7))</f>
        <v>61.864904985116453</v>
      </c>
      <c r="U377" s="54">
        <f ca="1">MIN(100,MAX(0,MCDA_Prioritisation!$H$2+(RAND()-0.5)*2*$B$7))</f>
        <v>69.554879754767853</v>
      </c>
      <c r="V377" s="54">
        <f ca="1">MIN(100,MAX(0,MCDA_Prioritisation!$H$3+(RAND()-0.5)*2*$B$7))</f>
        <v>51.806207622227163</v>
      </c>
      <c r="W377" s="54">
        <f ca="1">MIN(100,MAX(0,MCDA_Prioritisation!$H$4+(RAND()-0.5)*2*$B$7))</f>
        <v>79.910329536663866</v>
      </c>
      <c r="X377" s="54">
        <f ca="1">MIN(100,MAX(0,MCDA_Prioritisation!$H$5+(RAND()-0.5)*2*$B$7))</f>
        <v>73.896319285129522</v>
      </c>
      <c r="Y377" s="54">
        <f ca="1">H377*MCDA_Prioritisation!$D$2+I377*MCDA_Prioritisation!$E$2+J377*M377+K377*Q377+L377*U377</f>
        <v>86.859483315878776</v>
      </c>
      <c r="Z377" s="54">
        <f ca="1">H377*MCDA_Prioritisation!$D$3+I377*MCDA_Prioritisation!$E$3+J377*N377+K377*R377+L377*V377</f>
        <v>82.291287058851367</v>
      </c>
      <c r="AA377" s="54">
        <f ca="1">H377*MCDA_Prioritisation!$D$4+I377*MCDA_Prioritisation!$E$4+J377*O377+K377*S377+L377*W377</f>
        <v>78.42738509361287</v>
      </c>
      <c r="AB377" s="54">
        <f ca="1">H377*MCDA_Prioritisation!$D$5+I377*MCDA_Prioritisation!$E$5+J377*P377+K377*T377+L377*X377</f>
        <v>70.209245085113253</v>
      </c>
      <c r="AC377" s="54">
        <f t="shared" ca="1" si="76"/>
        <v>1</v>
      </c>
      <c r="AD377" s="54">
        <f t="shared" ca="1" si="77"/>
        <v>2</v>
      </c>
      <c r="AE377" s="54">
        <f t="shared" ca="1" si="78"/>
        <v>3</v>
      </c>
      <c r="AF377" s="54">
        <f t="shared" ca="1" si="79"/>
        <v>4</v>
      </c>
      <c r="AG377" s="54">
        <f t="shared" ca="1" si="80"/>
        <v>1</v>
      </c>
      <c r="AH377" s="54">
        <f t="shared" ca="1" si="81"/>
        <v>1</v>
      </c>
      <c r="AI377" s="54">
        <f t="shared" ca="1" si="82"/>
        <v>1</v>
      </c>
      <c r="AJ377" s="54">
        <f t="shared" ca="1" si="83"/>
        <v>1</v>
      </c>
    </row>
    <row r="378" spans="1:36" x14ac:dyDescent="0.2">
      <c r="A378" s="54">
        <v>355</v>
      </c>
      <c r="B378" s="54">
        <f ca="1">MAX(0.02,MCDA_Prioritisation!$B$9+(RAND()-0.5)*2*$B$6)</f>
        <v>0.25647029487765483</v>
      </c>
      <c r="C378" s="54">
        <f ca="1">MAX(0.02,MCDA_Prioritisation!$B$10+(RAND()-0.5)*2*$B$6)</f>
        <v>0.18457097195533689</v>
      </c>
      <c r="D378" s="54">
        <f ca="1">MAX(0.02,MCDA_Prioritisation!$B$11+(RAND()-0.5)*2*$B$6)</f>
        <v>0.29006716508944064</v>
      </c>
      <c r="E378" s="54">
        <f ca="1">MAX(0.02,MCDA_Prioritisation!$B$12+(RAND()-0.5)*2*$B$6)</f>
        <v>8.5078192279064185E-2</v>
      </c>
      <c r="F378" s="54">
        <f ca="1">MAX(0.02,MCDA_Prioritisation!$B$13+(RAND()-0.5)*2*$B$6)</f>
        <v>0.10721301555523291</v>
      </c>
      <c r="G378" s="54">
        <f t="shared" ca="1" si="70"/>
        <v>0.92339963975672945</v>
      </c>
      <c r="H378" s="54">
        <f t="shared" ca="1" si="71"/>
        <v>0.27774571684392491</v>
      </c>
      <c r="I378" s="54">
        <f t="shared" ca="1" si="72"/>
        <v>0.19988200558965163</v>
      </c>
      <c r="J378" s="54">
        <f t="shared" ca="1" si="73"/>
        <v>0.31412960607809975</v>
      </c>
      <c r="K378" s="54">
        <f t="shared" ca="1" si="74"/>
        <v>9.2135830052390011E-2</v>
      </c>
      <c r="L378" s="54">
        <f t="shared" ca="1" si="75"/>
        <v>0.11610684143593372</v>
      </c>
      <c r="M378" s="54">
        <f ca="1">MIN(100,MAX(0,MCDA_Prioritisation!$F$2+(RAND()-0.5)*2*$B$7))</f>
        <v>75.625942427435632</v>
      </c>
      <c r="N378" s="54">
        <f ca="1">MIN(100,MAX(0,MCDA_Prioritisation!$F$3+(RAND()-0.5)*2*$B$7))</f>
        <v>88.199662823016311</v>
      </c>
      <c r="O378" s="54">
        <f ca="1">MIN(100,MAX(0,MCDA_Prioritisation!$F$4+(RAND()-0.5)*2*$B$7))</f>
        <v>94.452241965924586</v>
      </c>
      <c r="P378" s="54">
        <f ca="1">MIN(100,MAX(0,MCDA_Prioritisation!$F$5+(RAND()-0.5)*2*$B$7))</f>
        <v>84.877580276132676</v>
      </c>
      <c r="Q378" s="54">
        <f ca="1">MIN(100,MAX(0,MCDA_Prioritisation!$G$2+(RAND()-0.5)*2*$B$7))</f>
        <v>77.988103269698072</v>
      </c>
      <c r="R378" s="54">
        <f ca="1">MIN(100,MAX(0,MCDA_Prioritisation!$G$3+(RAND()-0.5)*2*$B$7))</f>
        <v>100</v>
      </c>
      <c r="S378" s="54">
        <f ca="1">MIN(100,MAX(0,MCDA_Prioritisation!$G$4+(RAND()-0.5)*2*$B$7))</f>
        <v>81.282473204163338</v>
      </c>
      <c r="T378" s="54">
        <f ca="1">MIN(100,MAX(0,MCDA_Prioritisation!$G$5+(RAND()-0.5)*2*$B$7))</f>
        <v>61.754563235354766</v>
      </c>
      <c r="U378" s="54">
        <f ca="1">MIN(100,MAX(0,MCDA_Prioritisation!$H$2+(RAND()-0.5)*2*$B$7))</f>
        <v>70.586738294283919</v>
      </c>
      <c r="V378" s="54">
        <f ca="1">MIN(100,MAX(0,MCDA_Prioritisation!$H$3+(RAND()-0.5)*2*$B$7))</f>
        <v>55.17060446710336</v>
      </c>
      <c r="W378" s="54">
        <f ca="1">MIN(100,MAX(0,MCDA_Prioritisation!$H$4+(RAND()-0.5)*2*$B$7))</f>
        <v>70.023718995902144</v>
      </c>
      <c r="X378" s="54">
        <f ca="1">MIN(100,MAX(0,MCDA_Prioritisation!$H$5+(RAND()-0.5)*2*$B$7))</f>
        <v>69.641286891432614</v>
      </c>
      <c r="Y378" s="54">
        <f ca="1">H378*MCDA_Prioritisation!$D$2+I378*MCDA_Prioritisation!$E$2+J378*M378+K378*Q378+L378*U378</f>
        <v>86.900221606952385</v>
      </c>
      <c r="Z378" s="54">
        <f ca="1">H378*MCDA_Prioritisation!$D$3+I378*MCDA_Prioritisation!$E$3+J378*N378+K378*R378+L378*V378</f>
        <v>82.136363872782212</v>
      </c>
      <c r="AA378" s="54">
        <f ca="1">H378*MCDA_Prioritisation!$D$4+I378*MCDA_Prioritisation!$E$4+J378*O378+K378*S378+L378*W378</f>
        <v>75.532740352753535</v>
      </c>
      <c r="AB378" s="54">
        <f ca="1">H378*MCDA_Prioritisation!$D$5+I378*MCDA_Prioritisation!$E$5+J378*P378+K378*T378+L378*X378</f>
        <v>71.988059281358701</v>
      </c>
      <c r="AC378" s="54">
        <f t="shared" ca="1" si="76"/>
        <v>1</v>
      </c>
      <c r="AD378" s="54">
        <f t="shared" ca="1" si="77"/>
        <v>2</v>
      </c>
      <c r="AE378" s="54">
        <f t="shared" ca="1" si="78"/>
        <v>3</v>
      </c>
      <c r="AF378" s="54">
        <f t="shared" ca="1" si="79"/>
        <v>4</v>
      </c>
      <c r="AG378" s="54">
        <f t="shared" ca="1" si="80"/>
        <v>1</v>
      </c>
      <c r="AH378" s="54">
        <f t="shared" ca="1" si="81"/>
        <v>1</v>
      </c>
      <c r="AI378" s="54">
        <f t="shared" ca="1" si="82"/>
        <v>1</v>
      </c>
      <c r="AJ378" s="54">
        <f t="shared" ca="1" si="83"/>
        <v>1</v>
      </c>
    </row>
    <row r="379" spans="1:36" x14ac:dyDescent="0.2">
      <c r="A379" s="54">
        <v>356</v>
      </c>
      <c r="B379" s="54">
        <f ca="1">MAX(0.02,MCDA_Prioritisation!$B$9+(RAND()-0.5)*2*$B$6)</f>
        <v>0.18320851887597783</v>
      </c>
      <c r="C379" s="54">
        <f ca="1">MAX(0.02,MCDA_Prioritisation!$B$10+(RAND()-0.5)*2*$B$6)</f>
        <v>0.27797439404399238</v>
      </c>
      <c r="D379" s="54">
        <f ca="1">MAX(0.02,MCDA_Prioritisation!$B$11+(RAND()-0.5)*2*$B$6)</f>
        <v>0.24564238927909382</v>
      </c>
      <c r="E379" s="54">
        <f ca="1">MAX(0.02,MCDA_Prioritisation!$B$12+(RAND()-0.5)*2*$B$6)</f>
        <v>0.18541271557509123</v>
      </c>
      <c r="F379" s="54">
        <f ca="1">MAX(0.02,MCDA_Prioritisation!$B$13+(RAND()-0.5)*2*$B$6)</f>
        <v>8.1731343932463618E-2</v>
      </c>
      <c r="G379" s="54">
        <f t="shared" ca="1" si="70"/>
        <v>0.97396936170661885</v>
      </c>
      <c r="H379" s="54">
        <f t="shared" ca="1" si="71"/>
        <v>0.18810501241533334</v>
      </c>
      <c r="I379" s="54">
        <f t="shared" ca="1" si="72"/>
        <v>0.28540363277641212</v>
      </c>
      <c r="J379" s="54">
        <f t="shared" ca="1" si="73"/>
        <v>0.25220751179346312</v>
      </c>
      <c r="K379" s="54">
        <f t="shared" ca="1" si="74"/>
        <v>0.19036811922934146</v>
      </c>
      <c r="L379" s="54">
        <f t="shared" ca="1" si="75"/>
        <v>8.3915723785449953E-2</v>
      </c>
      <c r="M379" s="54">
        <f ca="1">MIN(100,MAX(0,MCDA_Prioritisation!$F$2+(RAND()-0.5)*2*$B$7))</f>
        <v>83.74584767979961</v>
      </c>
      <c r="N379" s="54">
        <f ca="1">MIN(100,MAX(0,MCDA_Prioritisation!$F$3+(RAND()-0.5)*2*$B$7))</f>
        <v>97.294825669640829</v>
      </c>
      <c r="O379" s="54">
        <f ca="1">MIN(100,MAX(0,MCDA_Prioritisation!$F$4+(RAND()-0.5)*2*$B$7))</f>
        <v>87.760554606991278</v>
      </c>
      <c r="P379" s="54">
        <f ca="1">MIN(100,MAX(0,MCDA_Prioritisation!$F$5+(RAND()-0.5)*2*$B$7))</f>
        <v>65.860173831714803</v>
      </c>
      <c r="Q379" s="54">
        <f ca="1">MIN(100,MAX(0,MCDA_Prioritisation!$G$2+(RAND()-0.5)*2*$B$7))</f>
        <v>85.513188480028049</v>
      </c>
      <c r="R379" s="54">
        <f ca="1">MIN(100,MAX(0,MCDA_Prioritisation!$G$3+(RAND()-0.5)*2*$B$7))</f>
        <v>89.663762084165199</v>
      </c>
      <c r="S379" s="54">
        <f ca="1">MIN(100,MAX(0,MCDA_Prioritisation!$G$4+(RAND()-0.5)*2*$B$7))</f>
        <v>85.238306206674807</v>
      </c>
      <c r="T379" s="54">
        <f ca="1">MIN(100,MAX(0,MCDA_Prioritisation!$G$5+(RAND()-0.5)*2*$B$7))</f>
        <v>69.410018413938204</v>
      </c>
      <c r="U379" s="54">
        <f ca="1">MIN(100,MAX(0,MCDA_Prioritisation!$H$2+(RAND()-0.5)*2*$B$7))</f>
        <v>63.409337071506982</v>
      </c>
      <c r="V379" s="54">
        <f ca="1">MIN(100,MAX(0,MCDA_Prioritisation!$H$3+(RAND()-0.5)*2*$B$7))</f>
        <v>65.645467526971771</v>
      </c>
      <c r="W379" s="54">
        <f ca="1">MIN(100,MAX(0,MCDA_Prioritisation!$H$4+(RAND()-0.5)*2*$B$7))</f>
        <v>82.952845915772883</v>
      </c>
      <c r="X379" s="54">
        <f ca="1">MIN(100,MAX(0,MCDA_Prioritisation!$H$5+(RAND()-0.5)*2*$B$7))</f>
        <v>77.138698271279068</v>
      </c>
      <c r="Y379" s="54">
        <f ca="1">H379*MCDA_Prioritisation!$D$2+I379*MCDA_Prioritisation!$E$2+J379*M379+K379*Q379+L379*U379</f>
        <v>90.072221660889369</v>
      </c>
      <c r="Z379" s="54">
        <f ca="1">H379*MCDA_Prioritisation!$D$3+I379*MCDA_Prioritisation!$E$3+J379*N379+K379*R379+L379*V379</f>
        <v>84.312705936607159</v>
      </c>
      <c r="AA379" s="54">
        <f ca="1">H379*MCDA_Prioritisation!$D$4+I379*MCDA_Prioritisation!$E$4+J379*O379+K379*S379+L379*W379</f>
        <v>73.987573404065031</v>
      </c>
      <c r="AB379" s="54">
        <f ca="1">H379*MCDA_Prioritisation!$D$5+I379*MCDA_Prioritisation!$E$5+J379*P379+K379*T379+L379*X379</f>
        <v>70.280726778727896</v>
      </c>
      <c r="AC379" s="54">
        <f t="shared" ca="1" si="76"/>
        <v>1</v>
      </c>
      <c r="AD379" s="54">
        <f t="shared" ca="1" si="77"/>
        <v>2</v>
      </c>
      <c r="AE379" s="54">
        <f t="shared" ca="1" si="78"/>
        <v>3</v>
      </c>
      <c r="AF379" s="54">
        <f t="shared" ca="1" si="79"/>
        <v>4</v>
      </c>
      <c r="AG379" s="54">
        <f t="shared" ca="1" si="80"/>
        <v>1</v>
      </c>
      <c r="AH379" s="54">
        <f t="shared" ca="1" si="81"/>
        <v>1</v>
      </c>
      <c r="AI379" s="54">
        <f t="shared" ca="1" si="82"/>
        <v>1</v>
      </c>
      <c r="AJ379" s="54">
        <f t="shared" ca="1" si="83"/>
        <v>1</v>
      </c>
    </row>
    <row r="380" spans="1:36" x14ac:dyDescent="0.2">
      <c r="A380" s="54">
        <v>357</v>
      </c>
      <c r="B380" s="54">
        <f ca="1">MAX(0.02,MCDA_Prioritisation!$B$9+(RAND()-0.5)*2*$B$6)</f>
        <v>0.17441060236247174</v>
      </c>
      <c r="C380" s="54">
        <f ca="1">MAX(0.02,MCDA_Prioritisation!$B$10+(RAND()-0.5)*2*$B$6)</f>
        <v>0.18598857131223573</v>
      </c>
      <c r="D380" s="54">
        <f ca="1">MAX(0.02,MCDA_Prioritisation!$B$11+(RAND()-0.5)*2*$B$6)</f>
        <v>0.23153188650300738</v>
      </c>
      <c r="E380" s="54">
        <f ca="1">MAX(0.02,MCDA_Prioritisation!$B$12+(RAND()-0.5)*2*$B$6)</f>
        <v>7.4073097523538634E-2</v>
      </c>
      <c r="F380" s="54">
        <f ca="1">MAX(0.02,MCDA_Prioritisation!$B$13+(RAND()-0.5)*2*$B$6)</f>
        <v>0.2002949308121979</v>
      </c>
      <c r="G380" s="54">
        <f t="shared" ca="1" si="70"/>
        <v>0.86629908851345139</v>
      </c>
      <c r="H380" s="54">
        <f t="shared" ca="1" si="71"/>
        <v>0.20132839186262586</v>
      </c>
      <c r="I380" s="54">
        <f t="shared" ca="1" si="72"/>
        <v>0.21469325522596092</v>
      </c>
      <c r="J380" s="54">
        <f t="shared" ca="1" si="73"/>
        <v>0.26726553170027062</v>
      </c>
      <c r="K380" s="54">
        <f t="shared" ca="1" si="74"/>
        <v>8.5505223895186486E-2</v>
      </c>
      <c r="L380" s="54">
        <f t="shared" ca="1" si="75"/>
        <v>0.23120759731595614</v>
      </c>
      <c r="M380" s="54">
        <f ca="1">MIN(100,MAX(0,MCDA_Prioritisation!$F$2+(RAND()-0.5)*2*$B$7))</f>
        <v>88.921584695874472</v>
      </c>
      <c r="N380" s="54">
        <f ca="1">MIN(100,MAX(0,MCDA_Prioritisation!$F$3+(RAND()-0.5)*2*$B$7))</f>
        <v>100</v>
      </c>
      <c r="O380" s="54">
        <f ca="1">MIN(100,MAX(0,MCDA_Prioritisation!$F$4+(RAND()-0.5)*2*$B$7))</f>
        <v>91.582149663647414</v>
      </c>
      <c r="P380" s="54">
        <f ca="1">MIN(100,MAX(0,MCDA_Prioritisation!$F$5+(RAND()-0.5)*2*$B$7))</f>
        <v>84.954337916908145</v>
      </c>
      <c r="Q380" s="54">
        <f ca="1">MIN(100,MAX(0,MCDA_Prioritisation!$G$2+(RAND()-0.5)*2*$B$7))</f>
        <v>76.741939285877777</v>
      </c>
      <c r="R380" s="54">
        <f ca="1">MIN(100,MAX(0,MCDA_Prioritisation!$G$3+(RAND()-0.5)*2*$B$7))</f>
        <v>100</v>
      </c>
      <c r="S380" s="54">
        <f ca="1">MIN(100,MAX(0,MCDA_Prioritisation!$G$4+(RAND()-0.5)*2*$B$7))</f>
        <v>83.115669200722223</v>
      </c>
      <c r="T380" s="54">
        <f ca="1">MIN(100,MAX(0,MCDA_Prioritisation!$G$5+(RAND()-0.5)*2*$B$7))</f>
        <v>66.700903069393817</v>
      </c>
      <c r="U380" s="54">
        <f ca="1">MIN(100,MAX(0,MCDA_Prioritisation!$H$2+(RAND()-0.5)*2*$B$7))</f>
        <v>71.061073342438817</v>
      </c>
      <c r="V380" s="54">
        <f ca="1">MIN(100,MAX(0,MCDA_Prioritisation!$H$3+(RAND()-0.5)*2*$B$7))</f>
        <v>60.765251432922625</v>
      </c>
      <c r="W380" s="54">
        <f ca="1">MIN(100,MAX(0,MCDA_Prioritisation!$H$4+(RAND()-0.5)*2*$B$7))</f>
        <v>70.47722542965397</v>
      </c>
      <c r="X380" s="54">
        <f ca="1">MIN(100,MAX(0,MCDA_Prioritisation!$H$5+(RAND()-0.5)*2*$B$7))</f>
        <v>69.050419170160126</v>
      </c>
      <c r="Y380" s="54">
        <f ca="1">H380*MCDA_Prioritisation!$D$2+I380*MCDA_Prioritisation!$E$2+J380*M380+K380*Q380+L380*U380</f>
        <v>88.359536053220211</v>
      </c>
      <c r="Z380" s="54">
        <f ca="1">H380*MCDA_Prioritisation!$D$3+I380*MCDA_Prioritisation!$E$3+J380*N380+K380*R380+L380*V380</f>
        <v>82.535983371258524</v>
      </c>
      <c r="AA380" s="54">
        <f ca="1">H380*MCDA_Prioritisation!$D$4+I380*MCDA_Prioritisation!$E$4+J380*O380+K380*S380+L380*W380</f>
        <v>73.608312659649783</v>
      </c>
      <c r="AB380" s="54">
        <f ca="1">H380*MCDA_Prioritisation!$D$5+I380*MCDA_Prioritisation!$E$5+J380*P380+K380*T380+L380*X380</f>
        <v>73.113058006705941</v>
      </c>
      <c r="AC380" s="54">
        <f t="shared" ca="1" si="76"/>
        <v>1</v>
      </c>
      <c r="AD380" s="54">
        <f t="shared" ca="1" si="77"/>
        <v>2</v>
      </c>
      <c r="AE380" s="54">
        <f t="shared" ca="1" si="78"/>
        <v>3</v>
      </c>
      <c r="AF380" s="54">
        <f t="shared" ca="1" si="79"/>
        <v>4</v>
      </c>
      <c r="AG380" s="54">
        <f t="shared" ca="1" si="80"/>
        <v>1</v>
      </c>
      <c r="AH380" s="54">
        <f t="shared" ca="1" si="81"/>
        <v>1</v>
      </c>
      <c r="AI380" s="54">
        <f t="shared" ca="1" si="82"/>
        <v>1</v>
      </c>
      <c r="AJ380" s="54">
        <f t="shared" ca="1" si="83"/>
        <v>1</v>
      </c>
    </row>
    <row r="381" spans="1:36" x14ac:dyDescent="0.2">
      <c r="A381" s="54">
        <v>358</v>
      </c>
      <c r="B381" s="54">
        <f ca="1">MAX(0.02,MCDA_Prioritisation!$B$9+(RAND()-0.5)*2*$B$6)</f>
        <v>0.24911289205950216</v>
      </c>
      <c r="C381" s="54">
        <f ca="1">MAX(0.02,MCDA_Prioritisation!$B$10+(RAND()-0.5)*2*$B$6)</f>
        <v>0.26231252278088246</v>
      </c>
      <c r="D381" s="54">
        <f ca="1">MAX(0.02,MCDA_Prioritisation!$B$11+(RAND()-0.5)*2*$B$6)</f>
        <v>0.23886689214915349</v>
      </c>
      <c r="E381" s="54">
        <f ca="1">MAX(0.02,MCDA_Prioritisation!$B$12+(RAND()-0.5)*2*$B$6)</f>
        <v>0.16166110993557262</v>
      </c>
      <c r="F381" s="54">
        <f ca="1">MAX(0.02,MCDA_Prioritisation!$B$13+(RAND()-0.5)*2*$B$6)</f>
        <v>0.18409911448188929</v>
      </c>
      <c r="G381" s="54">
        <f t="shared" ca="1" si="70"/>
        <v>1.096052531407</v>
      </c>
      <c r="H381" s="54">
        <f t="shared" ca="1" si="71"/>
        <v>0.22728189107844726</v>
      </c>
      <c r="I381" s="54">
        <f t="shared" ca="1" si="72"/>
        <v>0.23932477254913367</v>
      </c>
      <c r="J381" s="54">
        <f t="shared" ca="1" si="73"/>
        <v>0.21793379906939372</v>
      </c>
      <c r="K381" s="54">
        <f t="shared" ca="1" si="74"/>
        <v>0.14749394331314453</v>
      </c>
      <c r="L381" s="54">
        <f t="shared" ca="1" si="75"/>
        <v>0.16796559398988084</v>
      </c>
      <c r="M381" s="54">
        <f ca="1">MIN(100,MAX(0,MCDA_Prioritisation!$F$2+(RAND()-0.5)*2*$B$7))</f>
        <v>79.582043487771358</v>
      </c>
      <c r="N381" s="54">
        <f ca="1">MIN(100,MAX(0,MCDA_Prioritisation!$F$3+(RAND()-0.5)*2*$B$7))</f>
        <v>100</v>
      </c>
      <c r="O381" s="54">
        <f ca="1">MIN(100,MAX(0,MCDA_Prioritisation!$F$4+(RAND()-0.5)*2*$B$7))</f>
        <v>82.582100017797529</v>
      </c>
      <c r="P381" s="54">
        <f ca="1">MIN(100,MAX(0,MCDA_Prioritisation!$F$5+(RAND()-0.5)*2*$B$7))</f>
        <v>77.145254306102061</v>
      </c>
      <c r="Q381" s="54">
        <f ca="1">MIN(100,MAX(0,MCDA_Prioritisation!$G$2+(RAND()-0.5)*2*$B$7))</f>
        <v>87.914296903424628</v>
      </c>
      <c r="R381" s="54">
        <f ca="1">MIN(100,MAX(0,MCDA_Prioritisation!$G$3+(RAND()-0.5)*2*$B$7))</f>
        <v>91.792196830396946</v>
      </c>
      <c r="S381" s="54">
        <f ca="1">MIN(100,MAX(0,MCDA_Prioritisation!$G$4+(RAND()-0.5)*2*$B$7))</f>
        <v>84.164656665454586</v>
      </c>
      <c r="T381" s="54">
        <f ca="1">MIN(100,MAX(0,MCDA_Prioritisation!$G$5+(RAND()-0.5)*2*$B$7))</f>
        <v>71.894353358349179</v>
      </c>
      <c r="U381" s="54">
        <f ca="1">MIN(100,MAX(0,MCDA_Prioritisation!$H$2+(RAND()-0.5)*2*$B$7))</f>
        <v>64.589132544826711</v>
      </c>
      <c r="V381" s="54">
        <f ca="1">MIN(100,MAX(0,MCDA_Prioritisation!$H$3+(RAND()-0.5)*2*$B$7))</f>
        <v>57.855391111637189</v>
      </c>
      <c r="W381" s="54">
        <f ca="1">MIN(100,MAX(0,MCDA_Prioritisation!$H$4+(RAND()-0.5)*2*$B$7))</f>
        <v>87.088160813513639</v>
      </c>
      <c r="X381" s="54">
        <f ca="1">MIN(100,MAX(0,MCDA_Prioritisation!$H$5+(RAND()-0.5)*2*$B$7))</f>
        <v>78.677410773674183</v>
      </c>
      <c r="Y381" s="54">
        <f ca="1">H381*MCDA_Prioritisation!$D$2+I381*MCDA_Prioritisation!$E$2+J381*M381+K381*Q381+L381*U381</f>
        <v>87.819861774825441</v>
      </c>
      <c r="Z381" s="54">
        <f ca="1">H381*MCDA_Prioritisation!$D$3+I381*MCDA_Prioritisation!$E$3+J381*N381+K381*R381+L381*V381</f>
        <v>82.31904502126811</v>
      </c>
      <c r="AA381" s="54">
        <f ca="1">H381*MCDA_Prioritisation!$D$4+I381*MCDA_Prioritisation!$E$4+J381*O381+K381*S381+L381*W381</f>
        <v>73.919675849640413</v>
      </c>
      <c r="AB381" s="54">
        <f ca="1">H381*MCDA_Prioritisation!$D$5+I381*MCDA_Prioritisation!$E$5+J381*P381+K381*T381+L381*X381</f>
        <v>72.819864365072192</v>
      </c>
      <c r="AC381" s="54">
        <f t="shared" ca="1" si="76"/>
        <v>1</v>
      </c>
      <c r="AD381" s="54">
        <f t="shared" ca="1" si="77"/>
        <v>2</v>
      </c>
      <c r="AE381" s="54">
        <f t="shared" ca="1" si="78"/>
        <v>3</v>
      </c>
      <c r="AF381" s="54">
        <f t="shared" ca="1" si="79"/>
        <v>4</v>
      </c>
      <c r="AG381" s="54">
        <f t="shared" ca="1" si="80"/>
        <v>1</v>
      </c>
      <c r="AH381" s="54">
        <f t="shared" ca="1" si="81"/>
        <v>1</v>
      </c>
      <c r="AI381" s="54">
        <f t="shared" ca="1" si="82"/>
        <v>1</v>
      </c>
      <c r="AJ381" s="54">
        <f t="shared" ca="1" si="83"/>
        <v>1</v>
      </c>
    </row>
    <row r="382" spans="1:36" x14ac:dyDescent="0.2">
      <c r="A382" s="54">
        <v>359</v>
      </c>
      <c r="B382" s="54">
        <f ca="1">MAX(0.02,MCDA_Prioritisation!$B$9+(RAND()-0.5)*2*$B$6)</f>
        <v>0.22878760965065859</v>
      </c>
      <c r="C382" s="54">
        <f ca="1">MAX(0.02,MCDA_Prioritisation!$B$10+(RAND()-0.5)*2*$B$6)</f>
        <v>0.2798860290512718</v>
      </c>
      <c r="D382" s="54">
        <f ca="1">MAX(0.02,MCDA_Prioritisation!$B$11+(RAND()-0.5)*2*$B$6)</f>
        <v>0.30221161259026208</v>
      </c>
      <c r="E382" s="54">
        <f ca="1">MAX(0.02,MCDA_Prioritisation!$B$12+(RAND()-0.5)*2*$B$6)</f>
        <v>8.6181668771490749E-2</v>
      </c>
      <c r="F382" s="54">
        <f ca="1">MAX(0.02,MCDA_Prioritisation!$B$13+(RAND()-0.5)*2*$B$6)</f>
        <v>0.16202150322612641</v>
      </c>
      <c r="G382" s="54">
        <f t="shared" ca="1" si="70"/>
        <v>1.0590884232898095</v>
      </c>
      <c r="H382" s="54">
        <f t="shared" ca="1" si="71"/>
        <v>0.21602314275137066</v>
      </c>
      <c r="I382" s="54">
        <f t="shared" ca="1" si="72"/>
        <v>0.26427069062078085</v>
      </c>
      <c r="J382" s="54">
        <f t="shared" ca="1" si="73"/>
        <v>0.28535069022047532</v>
      </c>
      <c r="K382" s="54">
        <f t="shared" ca="1" si="74"/>
        <v>8.1373440476091352E-2</v>
      </c>
      <c r="L382" s="54">
        <f t="shared" ca="1" si="75"/>
        <v>0.15298203593128198</v>
      </c>
      <c r="M382" s="54">
        <f ca="1">MIN(100,MAX(0,MCDA_Prioritisation!$F$2+(RAND()-0.5)*2*$B$7))</f>
        <v>90.552264870441945</v>
      </c>
      <c r="N382" s="54">
        <f ca="1">MIN(100,MAX(0,MCDA_Prioritisation!$F$3+(RAND()-0.5)*2*$B$7))</f>
        <v>99.890926869077674</v>
      </c>
      <c r="O382" s="54">
        <f ca="1">MIN(100,MAX(0,MCDA_Prioritisation!$F$4+(RAND()-0.5)*2*$B$7))</f>
        <v>91.746697670210096</v>
      </c>
      <c r="P382" s="54">
        <f ca="1">MIN(100,MAX(0,MCDA_Prioritisation!$F$5+(RAND()-0.5)*2*$B$7))</f>
        <v>70.08648018021205</v>
      </c>
      <c r="Q382" s="54">
        <f ca="1">MIN(100,MAX(0,MCDA_Prioritisation!$G$2+(RAND()-0.5)*2*$B$7))</f>
        <v>86.513343692543174</v>
      </c>
      <c r="R382" s="54">
        <f ca="1">MIN(100,MAX(0,MCDA_Prioritisation!$G$3+(RAND()-0.5)*2*$B$7))</f>
        <v>100</v>
      </c>
      <c r="S382" s="54">
        <f ca="1">MIN(100,MAX(0,MCDA_Prioritisation!$G$4+(RAND()-0.5)*2*$B$7))</f>
        <v>86.234206164188564</v>
      </c>
      <c r="T382" s="54">
        <f ca="1">MIN(100,MAX(0,MCDA_Prioritisation!$G$5+(RAND()-0.5)*2*$B$7))</f>
        <v>72.239305233717445</v>
      </c>
      <c r="U382" s="54">
        <f ca="1">MIN(100,MAX(0,MCDA_Prioritisation!$H$2+(RAND()-0.5)*2*$B$7))</f>
        <v>65.055936714262273</v>
      </c>
      <c r="V382" s="54">
        <f ca="1">MIN(100,MAX(0,MCDA_Prioritisation!$H$3+(RAND()-0.5)*2*$B$7))</f>
        <v>54.990367947918877</v>
      </c>
      <c r="W382" s="54">
        <f ca="1">MIN(100,MAX(0,MCDA_Prioritisation!$H$4+(RAND()-0.5)*2*$B$7))</f>
        <v>77.882338187724457</v>
      </c>
      <c r="X382" s="54">
        <f ca="1">MIN(100,MAX(0,MCDA_Prioritisation!$H$5+(RAND()-0.5)*2*$B$7))</f>
        <v>69.656554206498299</v>
      </c>
      <c r="Y382" s="54">
        <f ca="1">H382*MCDA_Prioritisation!$D$2+I382*MCDA_Prioritisation!$E$2+J382*M382+K382*Q382+L382*U382</f>
        <v>90.860812690340325</v>
      </c>
      <c r="Z382" s="54">
        <f ca="1">H382*MCDA_Prioritisation!$D$3+I382*MCDA_Prioritisation!$E$3+J382*N382+K382*R382+L382*V382</f>
        <v>83.153253895819702</v>
      </c>
      <c r="AA382" s="54">
        <f ca="1">H382*MCDA_Prioritisation!$D$4+I382*MCDA_Prioritisation!$E$4+J382*O382+K382*S382+L382*W382</f>
        <v>74.56910289737408</v>
      </c>
      <c r="AB382" s="54">
        <f ca="1">H382*MCDA_Prioritisation!$D$5+I382*MCDA_Prioritisation!$E$5+J382*P382+K382*T382+L382*X382</f>
        <v>70.222170921508763</v>
      </c>
      <c r="AC382" s="54">
        <f t="shared" ca="1" si="76"/>
        <v>1</v>
      </c>
      <c r="AD382" s="54">
        <f t="shared" ca="1" si="77"/>
        <v>2</v>
      </c>
      <c r="AE382" s="54">
        <f t="shared" ca="1" si="78"/>
        <v>3</v>
      </c>
      <c r="AF382" s="54">
        <f t="shared" ca="1" si="79"/>
        <v>4</v>
      </c>
      <c r="AG382" s="54">
        <f t="shared" ca="1" si="80"/>
        <v>1</v>
      </c>
      <c r="AH382" s="54">
        <f t="shared" ca="1" si="81"/>
        <v>1</v>
      </c>
      <c r="AI382" s="54">
        <f t="shared" ca="1" si="82"/>
        <v>1</v>
      </c>
      <c r="AJ382" s="54">
        <f t="shared" ca="1" si="83"/>
        <v>1</v>
      </c>
    </row>
    <row r="383" spans="1:36" x14ac:dyDescent="0.2">
      <c r="A383" s="54">
        <v>360</v>
      </c>
      <c r="B383" s="54">
        <f ca="1">MAX(0.02,MCDA_Prioritisation!$B$9+(RAND()-0.5)*2*$B$6)</f>
        <v>0.13997847537787525</v>
      </c>
      <c r="C383" s="54">
        <f ca="1">MAX(0.02,MCDA_Prioritisation!$B$10+(RAND()-0.5)*2*$B$6)</f>
        <v>0.26317846102551778</v>
      </c>
      <c r="D383" s="54">
        <f ca="1">MAX(0.02,MCDA_Prioritisation!$B$11+(RAND()-0.5)*2*$B$6)</f>
        <v>0.20487392358185119</v>
      </c>
      <c r="E383" s="54">
        <f ca="1">MAX(0.02,MCDA_Prioritisation!$B$12+(RAND()-0.5)*2*$B$6)</f>
        <v>0.22766961876401398</v>
      </c>
      <c r="F383" s="54">
        <f ca="1">MAX(0.02,MCDA_Prioritisation!$B$13+(RAND()-0.5)*2*$B$6)</f>
        <v>0.21525268970558595</v>
      </c>
      <c r="G383" s="54">
        <f t="shared" ca="1" si="70"/>
        <v>1.0509531684548441</v>
      </c>
      <c r="H383" s="54">
        <f t="shared" ca="1" si="71"/>
        <v>0.13319192479687514</v>
      </c>
      <c r="I383" s="54">
        <f t="shared" ca="1" si="72"/>
        <v>0.25041882828371309</v>
      </c>
      <c r="J383" s="54">
        <f t="shared" ca="1" si="73"/>
        <v>0.19494105896561073</v>
      </c>
      <c r="K383" s="54">
        <f t="shared" ca="1" si="74"/>
        <v>0.21663155466645911</v>
      </c>
      <c r="L383" s="54">
        <f t="shared" ca="1" si="75"/>
        <v>0.20481663328734198</v>
      </c>
      <c r="M383" s="54">
        <f ca="1">MIN(100,MAX(0,MCDA_Prioritisation!$F$2+(RAND()-0.5)*2*$B$7))</f>
        <v>90.990991741851474</v>
      </c>
      <c r="N383" s="54">
        <f ca="1">MIN(100,MAX(0,MCDA_Prioritisation!$F$3+(RAND()-0.5)*2*$B$7))</f>
        <v>86.511079753309119</v>
      </c>
      <c r="O383" s="54">
        <f ca="1">MIN(100,MAX(0,MCDA_Prioritisation!$F$4+(RAND()-0.5)*2*$B$7))</f>
        <v>83.334969070657138</v>
      </c>
      <c r="P383" s="54">
        <f ca="1">MIN(100,MAX(0,MCDA_Prioritisation!$F$5+(RAND()-0.5)*2*$B$7))</f>
        <v>72.856317145981222</v>
      </c>
      <c r="Q383" s="54">
        <f ca="1">MIN(100,MAX(0,MCDA_Prioritisation!$G$2+(RAND()-0.5)*2*$B$7))</f>
        <v>88.055092742837942</v>
      </c>
      <c r="R383" s="54">
        <f ca="1">MIN(100,MAX(0,MCDA_Prioritisation!$G$3+(RAND()-0.5)*2*$B$7))</f>
        <v>100</v>
      </c>
      <c r="S383" s="54">
        <f ca="1">MIN(100,MAX(0,MCDA_Prioritisation!$G$4+(RAND()-0.5)*2*$B$7))</f>
        <v>92.463255228492343</v>
      </c>
      <c r="T383" s="54">
        <f ca="1">MIN(100,MAX(0,MCDA_Prioritisation!$G$5+(RAND()-0.5)*2*$B$7))</f>
        <v>63.129764796042707</v>
      </c>
      <c r="U383" s="54">
        <f ca="1">MIN(100,MAX(0,MCDA_Prioritisation!$H$2+(RAND()-0.5)*2*$B$7))</f>
        <v>73.0457906746351</v>
      </c>
      <c r="V383" s="54">
        <f ca="1">MIN(100,MAX(0,MCDA_Prioritisation!$H$3+(RAND()-0.5)*2*$B$7))</f>
        <v>56.929618991657428</v>
      </c>
      <c r="W383" s="54">
        <f ca="1">MIN(100,MAX(0,MCDA_Prioritisation!$H$4+(RAND()-0.5)*2*$B$7))</f>
        <v>85.641942064279405</v>
      </c>
      <c r="X383" s="54">
        <f ca="1">MIN(100,MAX(0,MCDA_Prioritisation!$H$5+(RAND()-0.5)*2*$B$7))</f>
        <v>84.160818299182665</v>
      </c>
      <c r="Y383" s="54">
        <f ca="1">H383*MCDA_Prioritisation!$D$2+I383*MCDA_Prioritisation!$E$2+J383*M383+K383*Q383+L383*U383</f>
        <v>90.135460153517386</v>
      </c>
      <c r="Z383" s="54">
        <f ca="1">H383*MCDA_Prioritisation!$D$3+I383*MCDA_Prioritisation!$E$3+J383*N383+K383*R383+L383*V383</f>
        <v>80.04068152504648</v>
      </c>
      <c r="AA383" s="54">
        <f ca="1">H383*MCDA_Prioritisation!$D$4+I383*MCDA_Prioritisation!$E$4+J383*O383+K383*S383+L383*W383</f>
        <v>76.750671567165213</v>
      </c>
      <c r="AB383" s="54">
        <f ca="1">H383*MCDA_Prioritisation!$D$5+I383*MCDA_Prioritisation!$E$5+J383*P383+K383*T383+L383*X383</f>
        <v>73.243349018548628</v>
      </c>
      <c r="AC383" s="54">
        <f t="shared" ca="1" si="76"/>
        <v>1</v>
      </c>
      <c r="AD383" s="54">
        <f t="shared" ca="1" si="77"/>
        <v>2</v>
      </c>
      <c r="AE383" s="54">
        <f t="shared" ca="1" si="78"/>
        <v>3</v>
      </c>
      <c r="AF383" s="54">
        <f t="shared" ca="1" si="79"/>
        <v>4</v>
      </c>
      <c r="AG383" s="54">
        <f t="shared" ca="1" si="80"/>
        <v>1</v>
      </c>
      <c r="AH383" s="54">
        <f t="shared" ca="1" si="81"/>
        <v>1</v>
      </c>
      <c r="AI383" s="54">
        <f t="shared" ca="1" si="82"/>
        <v>1</v>
      </c>
      <c r="AJ383" s="54">
        <f t="shared" ca="1" si="83"/>
        <v>1</v>
      </c>
    </row>
    <row r="384" spans="1:36" x14ac:dyDescent="0.2">
      <c r="A384" s="54">
        <v>361</v>
      </c>
      <c r="B384" s="54">
        <f ca="1">MAX(0.02,MCDA_Prioritisation!$B$9+(RAND()-0.5)*2*$B$6)</f>
        <v>0.13733783845986869</v>
      </c>
      <c r="C384" s="54">
        <f ca="1">MAX(0.02,MCDA_Prioritisation!$B$10+(RAND()-0.5)*2*$B$6)</f>
        <v>0.29952621657506256</v>
      </c>
      <c r="D384" s="54">
        <f ca="1">MAX(0.02,MCDA_Prioritisation!$B$11+(RAND()-0.5)*2*$B$6)</f>
        <v>0.32133618603939323</v>
      </c>
      <c r="E384" s="54">
        <f ca="1">MAX(0.02,MCDA_Prioritisation!$B$12+(RAND()-0.5)*2*$B$6)</f>
        <v>0.18512552907612817</v>
      </c>
      <c r="F384" s="54">
        <f ca="1">MAX(0.02,MCDA_Prioritisation!$B$13+(RAND()-0.5)*2*$B$6)</f>
        <v>0.11511221024092369</v>
      </c>
      <c r="G384" s="54">
        <f t="shared" ca="1" si="70"/>
        <v>1.0584379803913764</v>
      </c>
      <c r="H384" s="54">
        <f t="shared" ca="1" si="71"/>
        <v>0.12975520626072543</v>
      </c>
      <c r="I384" s="54">
        <f t="shared" ca="1" si="72"/>
        <v>0.28298891585911096</v>
      </c>
      <c r="J384" s="54">
        <f t="shared" ca="1" si="73"/>
        <v>0.30359472353833472</v>
      </c>
      <c r="K384" s="54">
        <f t="shared" ca="1" si="74"/>
        <v>0.17490446535910842</v>
      </c>
      <c r="L384" s="54">
        <f t="shared" ca="1" si="75"/>
        <v>0.10875668898272045</v>
      </c>
      <c r="M384" s="54">
        <f ca="1">MIN(100,MAX(0,MCDA_Prioritisation!$F$2+(RAND()-0.5)*2*$B$7))</f>
        <v>89.537298656293615</v>
      </c>
      <c r="N384" s="54">
        <f ca="1">MIN(100,MAX(0,MCDA_Prioritisation!$F$3+(RAND()-0.5)*2*$B$7))</f>
        <v>100</v>
      </c>
      <c r="O384" s="54">
        <f ca="1">MIN(100,MAX(0,MCDA_Prioritisation!$F$4+(RAND()-0.5)*2*$B$7))</f>
        <v>99.298014362173248</v>
      </c>
      <c r="P384" s="54">
        <f ca="1">MIN(100,MAX(0,MCDA_Prioritisation!$F$5+(RAND()-0.5)*2*$B$7))</f>
        <v>84.171653655923805</v>
      </c>
      <c r="Q384" s="54">
        <f ca="1">MIN(100,MAX(0,MCDA_Prioritisation!$G$2+(RAND()-0.5)*2*$B$7))</f>
        <v>81.527446944845607</v>
      </c>
      <c r="R384" s="54">
        <f ca="1">MIN(100,MAX(0,MCDA_Prioritisation!$G$3+(RAND()-0.5)*2*$B$7))</f>
        <v>100</v>
      </c>
      <c r="S384" s="54">
        <f ca="1">MIN(100,MAX(0,MCDA_Prioritisation!$G$4+(RAND()-0.5)*2*$B$7))</f>
        <v>86.362413547920141</v>
      </c>
      <c r="T384" s="54">
        <f ca="1">MIN(100,MAX(0,MCDA_Prioritisation!$G$5+(RAND()-0.5)*2*$B$7))</f>
        <v>68.300085194725327</v>
      </c>
      <c r="U384" s="54">
        <f ca="1">MIN(100,MAX(0,MCDA_Prioritisation!$H$2+(RAND()-0.5)*2*$B$7))</f>
        <v>71.726925928155083</v>
      </c>
      <c r="V384" s="54">
        <f ca="1">MIN(100,MAX(0,MCDA_Prioritisation!$H$3+(RAND()-0.5)*2*$B$7))</f>
        <v>64.417562611387751</v>
      </c>
      <c r="W384" s="54">
        <f ca="1">MIN(100,MAX(0,MCDA_Prioritisation!$H$4+(RAND()-0.5)*2*$B$7))</f>
        <v>71.257669924600336</v>
      </c>
      <c r="X384" s="54">
        <f ca="1">MIN(100,MAX(0,MCDA_Prioritisation!$H$5+(RAND()-0.5)*2*$B$7))</f>
        <v>69.609943982284136</v>
      </c>
      <c r="Y384" s="54">
        <f ca="1">H384*MCDA_Prioritisation!$D$2+I384*MCDA_Prioritisation!$E$2+J384*M384+K384*Q384+L384*U384</f>
        <v>90.517761138746692</v>
      </c>
      <c r="Z384" s="54">
        <f ca="1">H384*MCDA_Prioritisation!$D$3+I384*MCDA_Prioritisation!$E$3+J384*N384+K384*R384+L384*V384</f>
        <v>86.776966678887177</v>
      </c>
      <c r="AA384" s="54">
        <f ca="1">H384*MCDA_Prioritisation!$D$4+I384*MCDA_Prioritisation!$E$4+J384*O384+K384*S384+L384*W384</f>
        <v>77.472422064357119</v>
      </c>
      <c r="AB384" s="54">
        <f ca="1">H384*MCDA_Prioritisation!$D$5+I384*MCDA_Prioritisation!$E$5+J384*P384+K384*T384+L384*X384</f>
        <v>75.754275062733598</v>
      </c>
      <c r="AC384" s="54">
        <f t="shared" ca="1" si="76"/>
        <v>1</v>
      </c>
      <c r="AD384" s="54">
        <f t="shared" ca="1" si="77"/>
        <v>2</v>
      </c>
      <c r="AE384" s="54">
        <f t="shared" ca="1" si="78"/>
        <v>3</v>
      </c>
      <c r="AF384" s="54">
        <f t="shared" ca="1" si="79"/>
        <v>4</v>
      </c>
      <c r="AG384" s="54">
        <f t="shared" ca="1" si="80"/>
        <v>1</v>
      </c>
      <c r="AH384" s="54">
        <f t="shared" ca="1" si="81"/>
        <v>1</v>
      </c>
      <c r="AI384" s="54">
        <f t="shared" ca="1" si="82"/>
        <v>1</v>
      </c>
      <c r="AJ384" s="54">
        <f t="shared" ca="1" si="83"/>
        <v>1</v>
      </c>
    </row>
    <row r="385" spans="1:36" x14ac:dyDescent="0.2">
      <c r="A385" s="54">
        <v>362</v>
      </c>
      <c r="B385" s="54">
        <f ca="1">MAX(0.02,MCDA_Prioritisation!$B$9+(RAND()-0.5)*2*$B$6)</f>
        <v>0.25785888730682649</v>
      </c>
      <c r="C385" s="54">
        <f ca="1">MAX(0.02,MCDA_Prioritisation!$B$10+(RAND()-0.5)*2*$B$6)</f>
        <v>0.23034117998951778</v>
      </c>
      <c r="D385" s="54">
        <f ca="1">MAX(0.02,MCDA_Prioritisation!$B$11+(RAND()-0.5)*2*$B$6)</f>
        <v>0.25649330605083248</v>
      </c>
      <c r="E385" s="54">
        <f ca="1">MAX(0.02,MCDA_Prioritisation!$B$12+(RAND()-0.5)*2*$B$6)</f>
        <v>7.7032535849204331E-2</v>
      </c>
      <c r="F385" s="54">
        <f ca="1">MAX(0.02,MCDA_Prioritisation!$B$13+(RAND()-0.5)*2*$B$6)</f>
        <v>0.20902831318406717</v>
      </c>
      <c r="G385" s="54">
        <f t="shared" ca="1" si="70"/>
        <v>1.0307542223804482</v>
      </c>
      <c r="H385" s="54">
        <f t="shared" ca="1" si="71"/>
        <v>0.25016524958910291</v>
      </c>
      <c r="I385" s="54">
        <f t="shared" ca="1" si="72"/>
        <v>0.22346857765720562</v>
      </c>
      <c r="J385" s="54">
        <f t="shared" ca="1" si="73"/>
        <v>0.24884041266256543</v>
      </c>
      <c r="K385" s="54">
        <f t="shared" ca="1" si="74"/>
        <v>7.4734145324482457E-2</v>
      </c>
      <c r="L385" s="54">
        <f t="shared" ca="1" si="75"/>
        <v>0.20279161476664362</v>
      </c>
      <c r="M385" s="54">
        <f ca="1">MIN(100,MAX(0,MCDA_Prioritisation!$F$2+(RAND()-0.5)*2*$B$7))</f>
        <v>81.126436256015182</v>
      </c>
      <c r="N385" s="54">
        <f ca="1">MIN(100,MAX(0,MCDA_Prioritisation!$F$3+(RAND()-0.5)*2*$B$7))</f>
        <v>93.080185237654945</v>
      </c>
      <c r="O385" s="54">
        <f ca="1">MIN(100,MAX(0,MCDA_Prioritisation!$F$4+(RAND()-0.5)*2*$B$7))</f>
        <v>91.673830142003879</v>
      </c>
      <c r="P385" s="54">
        <f ca="1">MIN(100,MAX(0,MCDA_Prioritisation!$F$5+(RAND()-0.5)*2*$B$7))</f>
        <v>70.858671716926267</v>
      </c>
      <c r="Q385" s="54">
        <f ca="1">MIN(100,MAX(0,MCDA_Prioritisation!$G$2+(RAND()-0.5)*2*$B$7))</f>
        <v>75.996691409241336</v>
      </c>
      <c r="R385" s="54">
        <f ca="1">MIN(100,MAX(0,MCDA_Prioritisation!$G$3+(RAND()-0.5)*2*$B$7))</f>
        <v>88.410084265668758</v>
      </c>
      <c r="S385" s="54">
        <f ca="1">MIN(100,MAX(0,MCDA_Prioritisation!$G$4+(RAND()-0.5)*2*$B$7))</f>
        <v>78.219787515152063</v>
      </c>
      <c r="T385" s="54">
        <f ca="1">MIN(100,MAX(0,MCDA_Prioritisation!$G$5+(RAND()-0.5)*2*$B$7))</f>
        <v>69.017288573059062</v>
      </c>
      <c r="U385" s="54">
        <f ca="1">MIN(100,MAX(0,MCDA_Prioritisation!$H$2+(RAND()-0.5)*2*$B$7))</f>
        <v>71.427503517672164</v>
      </c>
      <c r="V385" s="54">
        <f ca="1">MIN(100,MAX(0,MCDA_Prioritisation!$H$3+(RAND()-0.5)*2*$B$7))</f>
        <v>66.311577979465298</v>
      </c>
      <c r="W385" s="54">
        <f ca="1">MIN(100,MAX(0,MCDA_Prioritisation!$H$4+(RAND()-0.5)*2*$B$7))</f>
        <v>77.056650811043738</v>
      </c>
      <c r="X385" s="54">
        <f ca="1">MIN(100,MAX(0,MCDA_Prioritisation!$H$5+(RAND()-0.5)*2*$B$7))</f>
        <v>80.655986336889569</v>
      </c>
      <c r="Y385" s="54">
        <f ca="1">H385*MCDA_Prioritisation!$D$2+I385*MCDA_Prioritisation!$E$2+J385*M385+K385*Q385+L385*U385</f>
        <v>87.715365157477919</v>
      </c>
      <c r="Z385" s="54">
        <f ca="1">H385*MCDA_Prioritisation!$D$3+I385*MCDA_Prioritisation!$E$3+J385*N385+K385*R385+L385*V385</f>
        <v>81.332708067102018</v>
      </c>
      <c r="AA385" s="54">
        <f ca="1">H385*MCDA_Prioritisation!$D$4+I385*MCDA_Prioritisation!$E$4+J385*O385+K385*S385+L385*W385</f>
        <v>73.893517841518189</v>
      </c>
      <c r="AB385" s="54">
        <f ca="1">H385*MCDA_Prioritisation!$D$5+I385*MCDA_Prioritisation!$E$5+J385*P385+K385*T385+L385*X385</f>
        <v>71.216225967627807</v>
      </c>
      <c r="AC385" s="54">
        <f t="shared" ca="1" si="76"/>
        <v>1</v>
      </c>
      <c r="AD385" s="54">
        <f t="shared" ca="1" si="77"/>
        <v>2</v>
      </c>
      <c r="AE385" s="54">
        <f t="shared" ca="1" si="78"/>
        <v>3</v>
      </c>
      <c r="AF385" s="54">
        <f t="shared" ca="1" si="79"/>
        <v>4</v>
      </c>
      <c r="AG385" s="54">
        <f t="shared" ca="1" si="80"/>
        <v>1</v>
      </c>
      <c r="AH385" s="54">
        <f t="shared" ca="1" si="81"/>
        <v>1</v>
      </c>
      <c r="AI385" s="54">
        <f t="shared" ca="1" si="82"/>
        <v>1</v>
      </c>
      <c r="AJ385" s="54">
        <f t="shared" ca="1" si="83"/>
        <v>1</v>
      </c>
    </row>
    <row r="386" spans="1:36" x14ac:dyDescent="0.2">
      <c r="A386" s="54">
        <v>363</v>
      </c>
      <c r="B386" s="54">
        <f ca="1">MAX(0.02,MCDA_Prioritisation!$B$9+(RAND()-0.5)*2*$B$6)</f>
        <v>0.13965376560240483</v>
      </c>
      <c r="C386" s="54">
        <f ca="1">MAX(0.02,MCDA_Prioritisation!$B$10+(RAND()-0.5)*2*$B$6)</f>
        <v>0.17340732318763902</v>
      </c>
      <c r="D386" s="54">
        <f ca="1">MAX(0.02,MCDA_Prioritisation!$B$11+(RAND()-0.5)*2*$B$6)</f>
        <v>0.27556623342311565</v>
      </c>
      <c r="E386" s="54">
        <f ca="1">MAX(0.02,MCDA_Prioritisation!$B$12+(RAND()-0.5)*2*$B$6)</f>
        <v>0.13556436693995899</v>
      </c>
      <c r="F386" s="54">
        <f ca="1">MAX(0.02,MCDA_Prioritisation!$B$13+(RAND()-0.5)*2*$B$6)</f>
        <v>0.20306577356521793</v>
      </c>
      <c r="G386" s="54">
        <f t="shared" ca="1" si="70"/>
        <v>0.92725746271833642</v>
      </c>
      <c r="H386" s="54">
        <f t="shared" ca="1" si="71"/>
        <v>0.15060948141953756</v>
      </c>
      <c r="I386" s="54">
        <f t="shared" ca="1" si="72"/>
        <v>0.18701097608778502</v>
      </c>
      <c r="J386" s="54">
        <f t="shared" ca="1" si="73"/>
        <v>0.29718416351729227</v>
      </c>
      <c r="K386" s="54">
        <f t="shared" ca="1" si="74"/>
        <v>0.14619927300724028</v>
      </c>
      <c r="L386" s="54">
        <f t="shared" ca="1" si="75"/>
        <v>0.21899610596814487</v>
      </c>
      <c r="M386" s="54">
        <f ca="1">MIN(100,MAX(0,MCDA_Prioritisation!$F$2+(RAND()-0.5)*2*$B$7))</f>
        <v>77.422382622838938</v>
      </c>
      <c r="N386" s="54">
        <f ca="1">MIN(100,MAX(0,MCDA_Prioritisation!$F$3+(RAND()-0.5)*2*$B$7))</f>
        <v>85.652534476634756</v>
      </c>
      <c r="O386" s="54">
        <f ca="1">MIN(100,MAX(0,MCDA_Prioritisation!$F$4+(RAND()-0.5)*2*$B$7))</f>
        <v>85.582833270069813</v>
      </c>
      <c r="P386" s="54">
        <f ca="1">MIN(100,MAX(0,MCDA_Prioritisation!$F$5+(RAND()-0.5)*2*$B$7))</f>
        <v>84.434291556750139</v>
      </c>
      <c r="Q386" s="54">
        <f ca="1">MIN(100,MAX(0,MCDA_Prioritisation!$G$2+(RAND()-0.5)*2*$B$7))</f>
        <v>77.825917610600783</v>
      </c>
      <c r="R386" s="54">
        <f ca="1">MIN(100,MAX(0,MCDA_Prioritisation!$G$3+(RAND()-0.5)*2*$B$7))</f>
        <v>98.939784928979904</v>
      </c>
      <c r="S386" s="54">
        <f ca="1">MIN(100,MAX(0,MCDA_Prioritisation!$G$4+(RAND()-0.5)*2*$B$7))</f>
        <v>89.96233695785655</v>
      </c>
      <c r="T386" s="54">
        <f ca="1">MIN(100,MAX(0,MCDA_Prioritisation!$G$5+(RAND()-0.5)*2*$B$7))</f>
        <v>79.146227005813174</v>
      </c>
      <c r="U386" s="54">
        <f ca="1">MIN(100,MAX(0,MCDA_Prioritisation!$H$2+(RAND()-0.5)*2*$B$7))</f>
        <v>74.555043276002721</v>
      </c>
      <c r="V386" s="54">
        <f ca="1">MIN(100,MAX(0,MCDA_Prioritisation!$H$3+(RAND()-0.5)*2*$B$7))</f>
        <v>51.089654985526451</v>
      </c>
      <c r="W386" s="54">
        <f ca="1">MIN(100,MAX(0,MCDA_Prioritisation!$H$4+(RAND()-0.5)*2*$B$7))</f>
        <v>77.952718028330594</v>
      </c>
      <c r="X386" s="54">
        <f ca="1">MIN(100,MAX(0,MCDA_Prioritisation!$H$5+(RAND()-0.5)*2*$B$7))</f>
        <v>80.08081173942017</v>
      </c>
      <c r="Y386" s="54">
        <f ca="1">H386*MCDA_Prioritisation!$D$2+I386*MCDA_Prioritisation!$E$2+J386*M386+K386*Q386+L386*U386</f>
        <v>84.476108501538718</v>
      </c>
      <c r="Z386" s="54">
        <f ca="1">H386*MCDA_Prioritisation!$D$3+I386*MCDA_Prioritisation!$E$3+J386*N386+K386*R386+L386*V386</f>
        <v>77.871527836348378</v>
      </c>
      <c r="AA386" s="54">
        <f ca="1">H386*MCDA_Prioritisation!$D$4+I386*MCDA_Prioritisation!$E$4+J386*O386+K386*S386+L386*W386</f>
        <v>76.345790284678884</v>
      </c>
      <c r="AB386" s="54">
        <f ca="1">H386*MCDA_Prioritisation!$D$5+I386*MCDA_Prioritisation!$E$5+J386*P386+K386*T386+L386*X386</f>
        <v>77.920696322833237</v>
      </c>
      <c r="AC386" s="54">
        <f t="shared" ca="1" si="76"/>
        <v>1</v>
      </c>
      <c r="AD386" s="54">
        <f t="shared" ca="1" si="77"/>
        <v>3</v>
      </c>
      <c r="AE386" s="54">
        <f t="shared" ca="1" si="78"/>
        <v>4</v>
      </c>
      <c r="AF386" s="54">
        <f t="shared" ca="1" si="79"/>
        <v>2</v>
      </c>
      <c r="AG386" s="54">
        <f t="shared" ca="1" si="80"/>
        <v>1</v>
      </c>
      <c r="AH386" s="54">
        <f t="shared" ca="1" si="81"/>
        <v>0</v>
      </c>
      <c r="AI386" s="54">
        <f t="shared" ca="1" si="82"/>
        <v>0</v>
      </c>
      <c r="AJ386" s="54">
        <f t="shared" ca="1" si="83"/>
        <v>0</v>
      </c>
    </row>
    <row r="387" spans="1:36" x14ac:dyDescent="0.2">
      <c r="A387" s="54">
        <v>364</v>
      </c>
      <c r="B387" s="54">
        <f ca="1">MAX(0.02,MCDA_Prioritisation!$B$9+(RAND()-0.5)*2*$B$6)</f>
        <v>0.20396430994310982</v>
      </c>
      <c r="C387" s="54">
        <f ca="1">MAX(0.02,MCDA_Prioritisation!$B$10+(RAND()-0.5)*2*$B$6)</f>
        <v>0.21488008665718475</v>
      </c>
      <c r="D387" s="54">
        <f ca="1">MAX(0.02,MCDA_Prioritisation!$B$11+(RAND()-0.5)*2*$B$6)</f>
        <v>0.3232921426565678</v>
      </c>
      <c r="E387" s="54">
        <f ca="1">MAX(0.02,MCDA_Prioritisation!$B$12+(RAND()-0.5)*2*$B$6)</f>
        <v>0.15120956272675642</v>
      </c>
      <c r="F387" s="54">
        <f ca="1">MAX(0.02,MCDA_Prioritisation!$B$13+(RAND()-0.5)*2*$B$6)</f>
        <v>0.12222168667705645</v>
      </c>
      <c r="G387" s="54">
        <f t="shared" ca="1" si="70"/>
        <v>1.0155677886606753</v>
      </c>
      <c r="H387" s="54">
        <f t="shared" ca="1" si="71"/>
        <v>0.20083771090465238</v>
      </c>
      <c r="I387" s="54">
        <f t="shared" ca="1" si="72"/>
        <v>0.21158615806490605</v>
      </c>
      <c r="J387" s="54">
        <f t="shared" ca="1" si="73"/>
        <v>0.31833634964232527</v>
      </c>
      <c r="K387" s="54">
        <f t="shared" ca="1" si="74"/>
        <v>0.14889164900175761</v>
      </c>
      <c r="L387" s="54">
        <f t="shared" ca="1" si="75"/>
        <v>0.12034813238635864</v>
      </c>
      <c r="M387" s="54">
        <f ca="1">MIN(100,MAX(0,MCDA_Prioritisation!$F$2+(RAND()-0.5)*2*$B$7))</f>
        <v>77.09549288256386</v>
      </c>
      <c r="N387" s="54">
        <f ca="1">MIN(100,MAX(0,MCDA_Prioritisation!$F$3+(RAND()-0.5)*2*$B$7))</f>
        <v>90.942270895772495</v>
      </c>
      <c r="O387" s="54">
        <f ca="1">MIN(100,MAX(0,MCDA_Prioritisation!$F$4+(RAND()-0.5)*2*$B$7))</f>
        <v>98.74737765016863</v>
      </c>
      <c r="P387" s="54">
        <f ca="1">MIN(100,MAX(0,MCDA_Prioritisation!$F$5+(RAND()-0.5)*2*$B$7))</f>
        <v>73.78740827852549</v>
      </c>
      <c r="Q387" s="54">
        <f ca="1">MIN(100,MAX(0,MCDA_Prioritisation!$G$2+(RAND()-0.5)*2*$B$7))</f>
        <v>71.966375305450981</v>
      </c>
      <c r="R387" s="54">
        <f ca="1">MIN(100,MAX(0,MCDA_Prioritisation!$G$3+(RAND()-0.5)*2*$B$7))</f>
        <v>88.329233878733646</v>
      </c>
      <c r="S387" s="54">
        <f ca="1">MIN(100,MAX(0,MCDA_Prioritisation!$G$4+(RAND()-0.5)*2*$B$7))</f>
        <v>81.721448680621052</v>
      </c>
      <c r="T387" s="54">
        <f ca="1">MIN(100,MAX(0,MCDA_Prioritisation!$G$5+(RAND()-0.5)*2*$B$7))</f>
        <v>72.203422877316996</v>
      </c>
      <c r="U387" s="54">
        <f ca="1">MIN(100,MAX(0,MCDA_Prioritisation!$H$2+(RAND()-0.5)*2*$B$7))</f>
        <v>56.496540297793445</v>
      </c>
      <c r="V387" s="54">
        <f ca="1">MIN(100,MAX(0,MCDA_Prioritisation!$H$3+(RAND()-0.5)*2*$B$7))</f>
        <v>60.621302050727472</v>
      </c>
      <c r="W387" s="54">
        <f ca="1">MIN(100,MAX(0,MCDA_Prioritisation!$H$4+(RAND()-0.5)*2*$B$7))</f>
        <v>72.725178585444169</v>
      </c>
      <c r="X387" s="54">
        <f ca="1">MIN(100,MAX(0,MCDA_Prioritisation!$H$5+(RAND()-0.5)*2*$B$7))</f>
        <v>66.729461672576818</v>
      </c>
      <c r="Y387" s="54">
        <f ca="1">H387*MCDA_Prioritisation!$D$2+I387*MCDA_Prioritisation!$E$2+J387*M387+K387*Q387+L387*U387</f>
        <v>83.299130078105151</v>
      </c>
      <c r="Z387" s="54">
        <f ca="1">H387*MCDA_Prioritisation!$D$3+I387*MCDA_Prioritisation!$E$3+J387*N387+K387*R387+L387*V387</f>
        <v>82.338041677217362</v>
      </c>
      <c r="AA387" s="54">
        <f ca="1">H387*MCDA_Prioritisation!$D$4+I387*MCDA_Prioritisation!$E$4+J387*O387+K387*S387+L387*W387</f>
        <v>77.881081120887075</v>
      </c>
      <c r="AB387" s="54">
        <f ca="1">H387*MCDA_Prioritisation!$D$5+I387*MCDA_Prioritisation!$E$5+J387*P387+K387*T387+L387*X387</f>
        <v>70.722579582947432</v>
      </c>
      <c r="AC387" s="54">
        <f t="shared" ca="1" si="76"/>
        <v>1</v>
      </c>
      <c r="AD387" s="54">
        <f t="shared" ca="1" si="77"/>
        <v>2</v>
      </c>
      <c r="AE387" s="54">
        <f t="shared" ca="1" si="78"/>
        <v>3</v>
      </c>
      <c r="AF387" s="54">
        <f t="shared" ca="1" si="79"/>
        <v>4</v>
      </c>
      <c r="AG387" s="54">
        <f t="shared" ca="1" si="80"/>
        <v>1</v>
      </c>
      <c r="AH387" s="54">
        <f t="shared" ca="1" si="81"/>
        <v>1</v>
      </c>
      <c r="AI387" s="54">
        <f t="shared" ca="1" si="82"/>
        <v>1</v>
      </c>
      <c r="AJ387" s="54">
        <f t="shared" ca="1" si="83"/>
        <v>1</v>
      </c>
    </row>
    <row r="388" spans="1:36" x14ac:dyDescent="0.2">
      <c r="A388" s="54">
        <v>365</v>
      </c>
      <c r="B388" s="54">
        <f ca="1">MAX(0.02,MCDA_Prioritisation!$B$9+(RAND()-0.5)*2*$B$6)</f>
        <v>0.18408110847453699</v>
      </c>
      <c r="C388" s="54">
        <f ca="1">MAX(0.02,MCDA_Prioritisation!$B$10+(RAND()-0.5)*2*$B$6)</f>
        <v>0.20003796695356646</v>
      </c>
      <c r="D388" s="54">
        <f ca="1">MAX(0.02,MCDA_Prioritisation!$B$11+(RAND()-0.5)*2*$B$6)</f>
        <v>0.19736303327365401</v>
      </c>
      <c r="E388" s="54">
        <f ca="1">MAX(0.02,MCDA_Prioritisation!$B$12+(RAND()-0.5)*2*$B$6)</f>
        <v>0.20015283045040533</v>
      </c>
      <c r="F388" s="54">
        <f ca="1">MAX(0.02,MCDA_Prioritisation!$B$13+(RAND()-0.5)*2*$B$6)</f>
        <v>0.14829258509383089</v>
      </c>
      <c r="G388" s="54">
        <f t="shared" ca="1" si="70"/>
        <v>0.92992752424599368</v>
      </c>
      <c r="H388" s="54">
        <f t="shared" ca="1" si="71"/>
        <v>0.19795210236818631</v>
      </c>
      <c r="I388" s="54">
        <f t="shared" ca="1" si="72"/>
        <v>0.21511135194730555</v>
      </c>
      <c r="J388" s="54">
        <f t="shared" ca="1" si="73"/>
        <v>0.21223485500515799</v>
      </c>
      <c r="K388" s="54">
        <f t="shared" ca="1" si="74"/>
        <v>0.21523487070962199</v>
      </c>
      <c r="L388" s="54">
        <f t="shared" ca="1" si="75"/>
        <v>0.15946681996972817</v>
      </c>
      <c r="M388" s="54">
        <f ca="1">MIN(100,MAX(0,MCDA_Prioritisation!$F$2+(RAND()-0.5)*2*$B$7))</f>
        <v>83.043234549001411</v>
      </c>
      <c r="N388" s="54">
        <f ca="1">MIN(100,MAX(0,MCDA_Prioritisation!$F$3+(RAND()-0.5)*2*$B$7))</f>
        <v>95.59842944774563</v>
      </c>
      <c r="O388" s="54">
        <f ca="1">MIN(100,MAX(0,MCDA_Prioritisation!$F$4+(RAND()-0.5)*2*$B$7))</f>
        <v>97.75584273011286</v>
      </c>
      <c r="P388" s="54">
        <f ca="1">MIN(100,MAX(0,MCDA_Prioritisation!$F$5+(RAND()-0.5)*2*$B$7))</f>
        <v>78.036015637938348</v>
      </c>
      <c r="Q388" s="54">
        <f ca="1">MIN(100,MAX(0,MCDA_Prioritisation!$G$2+(RAND()-0.5)*2*$B$7))</f>
        <v>75.00492586462498</v>
      </c>
      <c r="R388" s="54">
        <f ca="1">MIN(100,MAX(0,MCDA_Prioritisation!$G$3+(RAND()-0.5)*2*$B$7))</f>
        <v>86.367665265910034</v>
      </c>
      <c r="S388" s="54">
        <f ca="1">MIN(100,MAX(0,MCDA_Prioritisation!$G$4+(RAND()-0.5)*2*$B$7))</f>
        <v>86.782034804159025</v>
      </c>
      <c r="T388" s="54">
        <f ca="1">MIN(100,MAX(0,MCDA_Prioritisation!$G$5+(RAND()-0.5)*2*$B$7))</f>
        <v>75.062236707465701</v>
      </c>
      <c r="U388" s="54">
        <f ca="1">MIN(100,MAX(0,MCDA_Prioritisation!$H$2+(RAND()-0.5)*2*$B$7))</f>
        <v>73.300393211364437</v>
      </c>
      <c r="V388" s="54">
        <f ca="1">MIN(100,MAX(0,MCDA_Prioritisation!$H$3+(RAND()-0.5)*2*$B$7))</f>
        <v>67.104874281179619</v>
      </c>
      <c r="W388" s="54">
        <f ca="1">MIN(100,MAX(0,MCDA_Prioritisation!$H$4+(RAND()-0.5)*2*$B$7))</f>
        <v>88.009444818525139</v>
      </c>
      <c r="X388" s="54">
        <f ca="1">MIN(100,MAX(0,MCDA_Prioritisation!$H$5+(RAND()-0.5)*2*$B$7))</f>
        <v>75.320372153752842</v>
      </c>
      <c r="Y388" s="54">
        <f ca="1">H388*MCDA_Prioritisation!$D$2+I388*MCDA_Prioritisation!$E$2+J388*M388+K388*Q388+L388*U388</f>
        <v>86.763670404220107</v>
      </c>
      <c r="Z388" s="54">
        <f ca="1">H388*MCDA_Prioritisation!$D$3+I388*MCDA_Prioritisation!$E$3+J388*N388+K388*R388+L388*V388</f>
        <v>82.524503017297121</v>
      </c>
      <c r="AA388" s="54">
        <f ca="1">H388*MCDA_Prioritisation!$D$4+I388*MCDA_Prioritisation!$E$4+J388*O388+K388*S388+L388*W388</f>
        <v>78.977870638659482</v>
      </c>
      <c r="AB388" s="54">
        <f ca="1">H388*MCDA_Prioritisation!$D$5+I388*MCDA_Prioritisation!$E$5+J388*P388+K388*T388+L388*X388</f>
        <v>73.324466619619244</v>
      </c>
      <c r="AC388" s="54">
        <f t="shared" ca="1" si="76"/>
        <v>1</v>
      </c>
      <c r="AD388" s="54">
        <f t="shared" ca="1" si="77"/>
        <v>2</v>
      </c>
      <c r="AE388" s="54">
        <f t="shared" ca="1" si="78"/>
        <v>3</v>
      </c>
      <c r="AF388" s="54">
        <f t="shared" ca="1" si="79"/>
        <v>4</v>
      </c>
      <c r="AG388" s="54">
        <f t="shared" ca="1" si="80"/>
        <v>1</v>
      </c>
      <c r="AH388" s="54">
        <f t="shared" ca="1" si="81"/>
        <v>1</v>
      </c>
      <c r="AI388" s="54">
        <f t="shared" ca="1" si="82"/>
        <v>1</v>
      </c>
      <c r="AJ388" s="54">
        <f t="shared" ca="1" si="83"/>
        <v>1</v>
      </c>
    </row>
    <row r="389" spans="1:36" x14ac:dyDescent="0.2">
      <c r="A389" s="54">
        <v>366</v>
      </c>
      <c r="B389" s="54">
        <f ca="1">MAX(0.02,MCDA_Prioritisation!$B$9+(RAND()-0.5)*2*$B$6)</f>
        <v>0.1836321899210297</v>
      </c>
      <c r="C389" s="54">
        <f ca="1">MAX(0.02,MCDA_Prioritisation!$B$10+(RAND()-0.5)*2*$B$6)</f>
        <v>0.25431755898283037</v>
      </c>
      <c r="D389" s="54">
        <f ca="1">MAX(0.02,MCDA_Prioritisation!$B$11+(RAND()-0.5)*2*$B$6)</f>
        <v>0.20833098660444893</v>
      </c>
      <c r="E389" s="54">
        <f ca="1">MAX(0.02,MCDA_Prioritisation!$B$12+(RAND()-0.5)*2*$B$6)</f>
        <v>9.481641414993093E-2</v>
      </c>
      <c r="F389" s="54">
        <f ca="1">MAX(0.02,MCDA_Prioritisation!$B$13+(RAND()-0.5)*2*$B$6)</f>
        <v>7.8751497117074284E-2</v>
      </c>
      <c r="G389" s="54">
        <f t="shared" ca="1" si="70"/>
        <v>0.81984864677531422</v>
      </c>
      <c r="H389" s="54">
        <f t="shared" ca="1" si="71"/>
        <v>0.22398303716582885</v>
      </c>
      <c r="I389" s="54">
        <f t="shared" ca="1" si="72"/>
        <v>0.31020062054518222</v>
      </c>
      <c r="J389" s="54">
        <f t="shared" ca="1" si="73"/>
        <v>0.25410908150409334</v>
      </c>
      <c r="K389" s="54">
        <f t="shared" ca="1" si="74"/>
        <v>0.11565111990227642</v>
      </c>
      <c r="L389" s="54">
        <f t="shared" ca="1" si="75"/>
        <v>9.6056140882619198E-2</v>
      </c>
      <c r="M389" s="54">
        <f ca="1">MIN(100,MAX(0,MCDA_Prioritisation!$F$2+(RAND()-0.5)*2*$B$7))</f>
        <v>76.055463158196176</v>
      </c>
      <c r="N389" s="54">
        <f ca="1">MIN(100,MAX(0,MCDA_Prioritisation!$F$3+(RAND()-0.5)*2*$B$7))</f>
        <v>88.060057830979417</v>
      </c>
      <c r="O389" s="54">
        <f ca="1">MIN(100,MAX(0,MCDA_Prioritisation!$F$4+(RAND()-0.5)*2*$B$7))</f>
        <v>86.385765161170355</v>
      </c>
      <c r="P389" s="54">
        <f ca="1">MIN(100,MAX(0,MCDA_Prioritisation!$F$5+(RAND()-0.5)*2*$B$7))</f>
        <v>68.835109730979923</v>
      </c>
      <c r="Q389" s="54">
        <f ca="1">MIN(100,MAX(0,MCDA_Prioritisation!$G$2+(RAND()-0.5)*2*$B$7))</f>
        <v>89.464112996425257</v>
      </c>
      <c r="R389" s="54">
        <f ca="1">MIN(100,MAX(0,MCDA_Prioritisation!$G$3+(RAND()-0.5)*2*$B$7))</f>
        <v>99.463014921654946</v>
      </c>
      <c r="S389" s="54">
        <f ca="1">MIN(100,MAX(0,MCDA_Prioritisation!$G$4+(RAND()-0.5)*2*$B$7))</f>
        <v>81.557952274006993</v>
      </c>
      <c r="T389" s="54">
        <f ca="1">MIN(100,MAX(0,MCDA_Prioritisation!$G$5+(RAND()-0.5)*2*$B$7))</f>
        <v>75.539831742928115</v>
      </c>
      <c r="U389" s="54">
        <f ca="1">MIN(100,MAX(0,MCDA_Prioritisation!$H$2+(RAND()-0.5)*2*$B$7))</f>
        <v>62.43702814045627</v>
      </c>
      <c r="V389" s="54">
        <f ca="1">MIN(100,MAX(0,MCDA_Prioritisation!$H$3+(RAND()-0.5)*2*$B$7))</f>
        <v>50.143377492645413</v>
      </c>
      <c r="W389" s="54">
        <f ca="1">MIN(100,MAX(0,MCDA_Prioritisation!$H$4+(RAND()-0.5)*2*$B$7))</f>
        <v>85.832862836276604</v>
      </c>
      <c r="X389" s="54">
        <f ca="1">MIN(100,MAX(0,MCDA_Prioritisation!$H$5+(RAND()-0.5)*2*$B$7))</f>
        <v>81.042095148083192</v>
      </c>
      <c r="Y389" s="54">
        <f ca="1">H389*MCDA_Prioritisation!$D$2+I389*MCDA_Prioritisation!$E$2+J389*M389+K389*Q389+L389*U389</f>
        <v>89.088834488050864</v>
      </c>
      <c r="Z389" s="54">
        <f ca="1">H389*MCDA_Prioritisation!$D$3+I389*MCDA_Prioritisation!$E$3+J389*N389+K389*R389+L389*V389</f>
        <v>80.831903436633979</v>
      </c>
      <c r="AA389" s="54">
        <f ca="1">H389*MCDA_Prioritisation!$D$4+I389*MCDA_Prioritisation!$E$4+J389*O389+K389*S389+L389*W389</f>
        <v>72.145345371847668</v>
      </c>
      <c r="AB389" s="54">
        <f ca="1">H389*MCDA_Prioritisation!$D$5+I389*MCDA_Prioritisation!$E$5+J389*P389+K389*T389+L389*X389</f>
        <v>71.98563474102248</v>
      </c>
      <c r="AC389" s="54">
        <f t="shared" ca="1" si="76"/>
        <v>1</v>
      </c>
      <c r="AD389" s="54">
        <f t="shared" ca="1" si="77"/>
        <v>2</v>
      </c>
      <c r="AE389" s="54">
        <f t="shared" ca="1" si="78"/>
        <v>3</v>
      </c>
      <c r="AF389" s="54">
        <f t="shared" ca="1" si="79"/>
        <v>4</v>
      </c>
      <c r="AG389" s="54">
        <f t="shared" ca="1" si="80"/>
        <v>1</v>
      </c>
      <c r="AH389" s="54">
        <f t="shared" ca="1" si="81"/>
        <v>1</v>
      </c>
      <c r="AI389" s="54">
        <f t="shared" ca="1" si="82"/>
        <v>1</v>
      </c>
      <c r="AJ389" s="54">
        <f t="shared" ca="1" si="83"/>
        <v>1</v>
      </c>
    </row>
    <row r="390" spans="1:36" x14ac:dyDescent="0.2">
      <c r="A390" s="54">
        <v>367</v>
      </c>
      <c r="B390" s="54">
        <f ca="1">MAX(0.02,MCDA_Prioritisation!$B$9+(RAND()-0.5)*2*$B$6)</f>
        <v>0.22347968579420213</v>
      </c>
      <c r="C390" s="54">
        <f ca="1">MAX(0.02,MCDA_Prioritisation!$B$10+(RAND()-0.5)*2*$B$6)</f>
        <v>0.31372278375754015</v>
      </c>
      <c r="D390" s="54">
        <f ca="1">MAX(0.02,MCDA_Prioritisation!$B$11+(RAND()-0.5)*2*$B$6)</f>
        <v>0.19046014699523095</v>
      </c>
      <c r="E390" s="54">
        <f ca="1">MAX(0.02,MCDA_Prioritisation!$B$12+(RAND()-0.5)*2*$B$6)</f>
        <v>7.3673578991652125E-2</v>
      </c>
      <c r="F390" s="54">
        <f ca="1">MAX(0.02,MCDA_Prioritisation!$B$13+(RAND()-0.5)*2*$B$6)</f>
        <v>7.2051584286577181E-2</v>
      </c>
      <c r="G390" s="54">
        <f t="shared" ca="1" si="70"/>
        <v>0.87338777982520266</v>
      </c>
      <c r="H390" s="54">
        <f t="shared" ca="1" si="71"/>
        <v>0.25587681778525539</v>
      </c>
      <c r="I390" s="54">
        <f t="shared" ca="1" si="72"/>
        <v>0.35920216770187435</v>
      </c>
      <c r="J390" s="54">
        <f t="shared" ca="1" si="73"/>
        <v>0.21807054254107963</v>
      </c>
      <c r="K390" s="54">
        <f t="shared" ca="1" si="74"/>
        <v>8.4353801018829166E-2</v>
      </c>
      <c r="L390" s="54">
        <f t="shared" ca="1" si="75"/>
        <v>8.2496670952961329E-2</v>
      </c>
      <c r="M390" s="54">
        <f ca="1">MIN(100,MAX(0,MCDA_Prioritisation!$F$2+(RAND()-0.5)*2*$B$7))</f>
        <v>90.638557662600803</v>
      </c>
      <c r="N390" s="54">
        <f ca="1">MIN(100,MAX(0,MCDA_Prioritisation!$F$3+(RAND()-0.5)*2*$B$7))</f>
        <v>87.634689493384045</v>
      </c>
      <c r="O390" s="54">
        <f ca="1">MIN(100,MAX(0,MCDA_Prioritisation!$F$4+(RAND()-0.5)*2*$B$7))</f>
        <v>80.086021343728774</v>
      </c>
      <c r="P390" s="54">
        <f ca="1">MIN(100,MAX(0,MCDA_Prioritisation!$F$5+(RAND()-0.5)*2*$B$7))</f>
        <v>76.801649830063397</v>
      </c>
      <c r="Q390" s="54">
        <f ca="1">MIN(100,MAX(0,MCDA_Prioritisation!$G$2+(RAND()-0.5)*2*$B$7))</f>
        <v>85.891491635606044</v>
      </c>
      <c r="R390" s="54">
        <f ca="1">MIN(100,MAX(0,MCDA_Prioritisation!$G$3+(RAND()-0.5)*2*$B$7))</f>
        <v>90.085486949313633</v>
      </c>
      <c r="S390" s="54">
        <f ca="1">MIN(100,MAX(0,MCDA_Prioritisation!$G$4+(RAND()-0.5)*2*$B$7))</f>
        <v>87.666964908727238</v>
      </c>
      <c r="T390" s="54">
        <f ca="1">MIN(100,MAX(0,MCDA_Prioritisation!$G$5+(RAND()-0.5)*2*$B$7))</f>
        <v>74.354822801035013</v>
      </c>
      <c r="U390" s="54">
        <f ca="1">MIN(100,MAX(0,MCDA_Prioritisation!$H$2+(RAND()-0.5)*2*$B$7))</f>
        <v>61.806741654781725</v>
      </c>
      <c r="V390" s="54">
        <f ca="1">MIN(100,MAX(0,MCDA_Prioritisation!$H$3+(RAND()-0.5)*2*$B$7))</f>
        <v>67.780297748662989</v>
      </c>
      <c r="W390" s="54">
        <f ca="1">MIN(100,MAX(0,MCDA_Prioritisation!$H$4+(RAND()-0.5)*2*$B$7))</f>
        <v>89.121137875402553</v>
      </c>
      <c r="X390" s="54">
        <f ca="1">MIN(100,MAX(0,MCDA_Prioritisation!$H$5+(RAND()-0.5)*2*$B$7))</f>
        <v>83.166430310231192</v>
      </c>
      <c r="Y390" s="54">
        <f ca="1">H390*MCDA_Prioritisation!$D$2+I390*MCDA_Prioritisation!$E$2+J390*M390+K390*Q390+L390*U390</f>
        <v>93.617622216946813</v>
      </c>
      <c r="Z390" s="54">
        <f ca="1">H390*MCDA_Prioritisation!$D$3+I390*MCDA_Prioritisation!$E$3+J390*N390+K390*R390+L390*V390</f>
        <v>80.787865573520804</v>
      </c>
      <c r="AA390" s="54">
        <f ca="1">H390*MCDA_Prioritisation!$D$4+I390*MCDA_Prioritisation!$E$4+J390*O390+K390*S390+L390*W390</f>
        <v>69.62224392843963</v>
      </c>
      <c r="AB390" s="54">
        <f ca="1">H390*MCDA_Prioritisation!$D$5+I390*MCDA_Prioritisation!$E$5+J390*P390+K390*T390+L390*X390</f>
        <v>73.667769627685885</v>
      </c>
      <c r="AC390" s="54">
        <f t="shared" ca="1" si="76"/>
        <v>1</v>
      </c>
      <c r="AD390" s="54">
        <f t="shared" ca="1" si="77"/>
        <v>2</v>
      </c>
      <c r="AE390" s="54">
        <f t="shared" ca="1" si="78"/>
        <v>4</v>
      </c>
      <c r="AF390" s="54">
        <f t="shared" ca="1" si="79"/>
        <v>3</v>
      </c>
      <c r="AG390" s="54">
        <f t="shared" ca="1" si="80"/>
        <v>1</v>
      </c>
      <c r="AH390" s="54">
        <f t="shared" ca="1" si="81"/>
        <v>1</v>
      </c>
      <c r="AI390" s="54">
        <f t="shared" ca="1" si="82"/>
        <v>0</v>
      </c>
      <c r="AJ390" s="54">
        <f t="shared" ca="1" si="83"/>
        <v>1</v>
      </c>
    </row>
    <row r="391" spans="1:36" x14ac:dyDescent="0.2">
      <c r="A391" s="54">
        <v>368</v>
      </c>
      <c r="B391" s="54">
        <f ca="1">MAX(0.02,MCDA_Prioritisation!$B$9+(RAND()-0.5)*2*$B$6)</f>
        <v>0.22992138000739451</v>
      </c>
      <c r="C391" s="54">
        <f ca="1">MAX(0.02,MCDA_Prioritisation!$B$10+(RAND()-0.5)*2*$B$6)</f>
        <v>0.26219770971555872</v>
      </c>
      <c r="D391" s="54">
        <f ca="1">MAX(0.02,MCDA_Prioritisation!$B$11+(RAND()-0.5)*2*$B$6)</f>
        <v>0.28945063854033587</v>
      </c>
      <c r="E391" s="54">
        <f ca="1">MAX(0.02,MCDA_Prioritisation!$B$12+(RAND()-0.5)*2*$B$6)</f>
        <v>0.15586126713214496</v>
      </c>
      <c r="F391" s="54">
        <f ca="1">MAX(0.02,MCDA_Prioritisation!$B$13+(RAND()-0.5)*2*$B$6)</f>
        <v>8.514937196146577E-2</v>
      </c>
      <c r="G391" s="54">
        <f t="shared" ca="1" si="70"/>
        <v>1.0225803673569001</v>
      </c>
      <c r="H391" s="54">
        <f t="shared" ca="1" si="71"/>
        <v>0.22484431282568088</v>
      </c>
      <c r="I391" s="54">
        <f t="shared" ca="1" si="72"/>
        <v>0.25640792458520451</v>
      </c>
      <c r="J391" s="54">
        <f t="shared" ca="1" si="73"/>
        <v>0.28305906096015637</v>
      </c>
      <c r="K391" s="54">
        <f t="shared" ca="1" si="74"/>
        <v>0.15241957708908996</v>
      </c>
      <c r="L391" s="54">
        <f t="shared" ca="1" si="75"/>
        <v>8.3269124539868081E-2</v>
      </c>
      <c r="M391" s="54">
        <f ca="1">MIN(100,MAX(0,MCDA_Prioritisation!$F$2+(RAND()-0.5)*2*$B$7))</f>
        <v>84.602879681533352</v>
      </c>
      <c r="N391" s="54">
        <f ca="1">MIN(100,MAX(0,MCDA_Prioritisation!$F$3+(RAND()-0.5)*2*$B$7))</f>
        <v>96.108606904357629</v>
      </c>
      <c r="O391" s="54">
        <f ca="1">MIN(100,MAX(0,MCDA_Prioritisation!$F$4+(RAND()-0.5)*2*$B$7))</f>
        <v>90.446809105260741</v>
      </c>
      <c r="P391" s="54">
        <f ca="1">MIN(100,MAX(0,MCDA_Prioritisation!$F$5+(RAND()-0.5)*2*$B$7))</f>
        <v>84.260184995024716</v>
      </c>
      <c r="Q391" s="54">
        <f ca="1">MIN(100,MAX(0,MCDA_Prioritisation!$G$2+(RAND()-0.5)*2*$B$7))</f>
        <v>84.151380453762854</v>
      </c>
      <c r="R391" s="54">
        <f ca="1">MIN(100,MAX(0,MCDA_Prioritisation!$G$3+(RAND()-0.5)*2*$B$7))</f>
        <v>98.644367569189072</v>
      </c>
      <c r="S391" s="54">
        <f ca="1">MIN(100,MAX(0,MCDA_Prioritisation!$G$4+(RAND()-0.5)*2*$B$7))</f>
        <v>75.475649546390159</v>
      </c>
      <c r="T391" s="54">
        <f ca="1">MIN(100,MAX(0,MCDA_Prioritisation!$G$5+(RAND()-0.5)*2*$B$7))</f>
        <v>73.786709575480558</v>
      </c>
      <c r="U391" s="54">
        <f ca="1">MIN(100,MAX(0,MCDA_Prioritisation!$H$2+(RAND()-0.5)*2*$B$7))</f>
        <v>74.443154829669268</v>
      </c>
      <c r="V391" s="54">
        <f ca="1">MIN(100,MAX(0,MCDA_Prioritisation!$H$3+(RAND()-0.5)*2*$B$7))</f>
        <v>51.823850236084752</v>
      </c>
      <c r="W391" s="54">
        <f ca="1">MIN(100,MAX(0,MCDA_Prioritisation!$H$4+(RAND()-0.5)*2*$B$7))</f>
        <v>89.666375896878137</v>
      </c>
      <c r="X391" s="54">
        <f ca="1">MIN(100,MAX(0,MCDA_Prioritisation!$H$5+(RAND()-0.5)*2*$B$7))</f>
        <v>71.926190832197733</v>
      </c>
      <c r="Y391" s="54">
        <f ca="1">H391*MCDA_Prioritisation!$D$2+I391*MCDA_Prioritisation!$E$2+J391*M391+K391*Q391+L391*U391</f>
        <v>91.097969569146514</v>
      </c>
      <c r="Z391" s="54">
        <f ca="1">H391*MCDA_Prioritisation!$D$3+I391*MCDA_Prioritisation!$E$3+J391*N391+K391*R391+L391*V391</f>
        <v>84.853602774379198</v>
      </c>
      <c r="AA391" s="54">
        <f ca="1">H391*MCDA_Prioritisation!$D$4+I391*MCDA_Prioritisation!$E$4+J391*O391+K391*S391+L391*W391</f>
        <v>74.214919028981726</v>
      </c>
      <c r="AB391" s="54">
        <f ca="1">H391*MCDA_Prioritisation!$D$5+I391*MCDA_Prioritisation!$E$5+J391*P391+K391*T391+L391*X391</f>
        <v>74.58176630248235</v>
      </c>
      <c r="AC391" s="54">
        <f t="shared" ca="1" si="76"/>
        <v>1</v>
      </c>
      <c r="AD391" s="54">
        <f t="shared" ca="1" si="77"/>
        <v>2</v>
      </c>
      <c r="AE391" s="54">
        <f t="shared" ca="1" si="78"/>
        <v>4</v>
      </c>
      <c r="AF391" s="54">
        <f t="shared" ca="1" si="79"/>
        <v>3</v>
      </c>
      <c r="AG391" s="54">
        <f t="shared" ca="1" si="80"/>
        <v>1</v>
      </c>
      <c r="AH391" s="54">
        <f t="shared" ca="1" si="81"/>
        <v>1</v>
      </c>
      <c r="AI391" s="54">
        <f t="shared" ca="1" si="82"/>
        <v>0</v>
      </c>
      <c r="AJ391" s="54">
        <f t="shared" ca="1" si="83"/>
        <v>1</v>
      </c>
    </row>
    <row r="392" spans="1:36" x14ac:dyDescent="0.2">
      <c r="A392" s="54">
        <v>369</v>
      </c>
      <c r="B392" s="54">
        <f ca="1">MAX(0.02,MCDA_Prioritisation!$B$9+(RAND()-0.5)*2*$B$6)</f>
        <v>0.19485284698723973</v>
      </c>
      <c r="C392" s="54">
        <f ca="1">MAX(0.02,MCDA_Prioritisation!$B$10+(RAND()-0.5)*2*$B$6)</f>
        <v>0.29685425252860215</v>
      </c>
      <c r="D392" s="54">
        <f ca="1">MAX(0.02,MCDA_Prioritisation!$B$11+(RAND()-0.5)*2*$B$6)</f>
        <v>0.28254570399278583</v>
      </c>
      <c r="E392" s="54">
        <f ca="1">MAX(0.02,MCDA_Prioritisation!$B$12+(RAND()-0.5)*2*$B$6)</f>
        <v>0.17752476978702308</v>
      </c>
      <c r="F392" s="54">
        <f ca="1">MAX(0.02,MCDA_Prioritisation!$B$13+(RAND()-0.5)*2*$B$6)</f>
        <v>0.1710663852344981</v>
      </c>
      <c r="G392" s="54">
        <f t="shared" ca="1" si="70"/>
        <v>1.1228439585301488</v>
      </c>
      <c r="H392" s="54">
        <f t="shared" ca="1" si="71"/>
        <v>0.17353510744476955</v>
      </c>
      <c r="I392" s="54">
        <f t="shared" ca="1" si="72"/>
        <v>0.2643771205014071</v>
      </c>
      <c r="J392" s="54">
        <f t="shared" ca="1" si="73"/>
        <v>0.2516339887179429</v>
      </c>
      <c r="K392" s="54">
        <f t="shared" ca="1" si="74"/>
        <v>0.15810279642009265</v>
      </c>
      <c r="L392" s="54">
        <f t="shared" ca="1" si="75"/>
        <v>0.15235098691578783</v>
      </c>
      <c r="M392" s="54">
        <f ca="1">MIN(100,MAX(0,MCDA_Prioritisation!$F$2+(RAND()-0.5)*2*$B$7))</f>
        <v>85.043504898269802</v>
      </c>
      <c r="N392" s="54">
        <f ca="1">MIN(100,MAX(0,MCDA_Prioritisation!$F$3+(RAND()-0.5)*2*$B$7))</f>
        <v>85.792163737342548</v>
      </c>
      <c r="O392" s="54">
        <f ca="1">MIN(100,MAX(0,MCDA_Prioritisation!$F$4+(RAND()-0.5)*2*$B$7))</f>
        <v>92.729400360548695</v>
      </c>
      <c r="P392" s="54">
        <f ca="1">MIN(100,MAX(0,MCDA_Prioritisation!$F$5+(RAND()-0.5)*2*$B$7))</f>
        <v>84.364304887868514</v>
      </c>
      <c r="Q392" s="54">
        <f ca="1">MIN(100,MAX(0,MCDA_Prioritisation!$G$2+(RAND()-0.5)*2*$B$7))</f>
        <v>89.98217944602267</v>
      </c>
      <c r="R392" s="54">
        <f ca="1">MIN(100,MAX(0,MCDA_Prioritisation!$G$3+(RAND()-0.5)*2*$B$7))</f>
        <v>87.841888296303807</v>
      </c>
      <c r="S392" s="54">
        <f ca="1">MIN(100,MAX(0,MCDA_Prioritisation!$G$4+(RAND()-0.5)*2*$B$7))</f>
        <v>80.661738178450648</v>
      </c>
      <c r="T392" s="54">
        <f ca="1">MIN(100,MAX(0,MCDA_Prioritisation!$G$5+(RAND()-0.5)*2*$B$7))</f>
        <v>77.699311868326774</v>
      </c>
      <c r="U392" s="54">
        <f ca="1">MIN(100,MAX(0,MCDA_Prioritisation!$H$2+(RAND()-0.5)*2*$B$7))</f>
        <v>64.136204742478512</v>
      </c>
      <c r="V392" s="54">
        <f ca="1">MIN(100,MAX(0,MCDA_Prioritisation!$H$3+(RAND()-0.5)*2*$B$7))</f>
        <v>63.924125655971551</v>
      </c>
      <c r="W392" s="54">
        <f ca="1">MIN(100,MAX(0,MCDA_Prioritisation!$H$4+(RAND()-0.5)*2*$B$7))</f>
        <v>86.926153148481731</v>
      </c>
      <c r="X392" s="54">
        <f ca="1">MIN(100,MAX(0,MCDA_Prioritisation!$H$5+(RAND()-0.5)*2*$B$7))</f>
        <v>74.371766347108036</v>
      </c>
      <c r="Y392" s="54">
        <f ca="1">H392*MCDA_Prioritisation!$D$2+I392*MCDA_Prioritisation!$E$2+J392*M392+K392*Q392+L392*U392</f>
        <v>89.188707434663598</v>
      </c>
      <c r="Z392" s="54">
        <f ca="1">H392*MCDA_Prioritisation!$D$3+I392*MCDA_Prioritisation!$E$3+J392*N392+K392*R392+L392*V392</f>
        <v>79.609023012719277</v>
      </c>
      <c r="AA392" s="54">
        <f ca="1">H392*MCDA_Prioritisation!$D$4+I392*MCDA_Prioritisation!$E$4+J392*O392+K392*S392+L392*W392</f>
        <v>75.834535423263887</v>
      </c>
      <c r="AB392" s="54">
        <f ca="1">H392*MCDA_Prioritisation!$D$5+I392*MCDA_Prioritisation!$E$5+J392*P392+K392*T392+L392*X392</f>
        <v>76.286259681062901</v>
      </c>
      <c r="AC392" s="54">
        <f t="shared" ca="1" si="76"/>
        <v>1</v>
      </c>
      <c r="AD392" s="54">
        <f t="shared" ca="1" si="77"/>
        <v>2</v>
      </c>
      <c r="AE392" s="54">
        <f t="shared" ca="1" si="78"/>
        <v>4</v>
      </c>
      <c r="AF392" s="54">
        <f t="shared" ca="1" si="79"/>
        <v>3</v>
      </c>
      <c r="AG392" s="54">
        <f t="shared" ca="1" si="80"/>
        <v>1</v>
      </c>
      <c r="AH392" s="54">
        <f t="shared" ca="1" si="81"/>
        <v>1</v>
      </c>
      <c r="AI392" s="54">
        <f t="shared" ca="1" si="82"/>
        <v>0</v>
      </c>
      <c r="AJ392" s="54">
        <f t="shared" ca="1" si="83"/>
        <v>1</v>
      </c>
    </row>
    <row r="393" spans="1:36" x14ac:dyDescent="0.2">
      <c r="A393" s="54">
        <v>370</v>
      </c>
      <c r="B393" s="54">
        <f ca="1">MAX(0.02,MCDA_Prioritisation!$B$9+(RAND()-0.5)*2*$B$6)</f>
        <v>0.2154592681899557</v>
      </c>
      <c r="C393" s="54">
        <f ca="1">MAX(0.02,MCDA_Prioritisation!$B$10+(RAND()-0.5)*2*$B$6)</f>
        <v>0.32940440793365644</v>
      </c>
      <c r="D393" s="54">
        <f ca="1">MAX(0.02,MCDA_Prioritisation!$B$11+(RAND()-0.5)*2*$B$6)</f>
        <v>0.18797672807058885</v>
      </c>
      <c r="E393" s="54">
        <f ca="1">MAX(0.02,MCDA_Prioritisation!$B$12+(RAND()-0.5)*2*$B$6)</f>
        <v>8.1276561403124878E-2</v>
      </c>
      <c r="F393" s="54">
        <f ca="1">MAX(0.02,MCDA_Prioritisation!$B$13+(RAND()-0.5)*2*$B$6)</f>
        <v>0.14277422097321932</v>
      </c>
      <c r="G393" s="54">
        <f t="shared" ca="1" si="70"/>
        <v>0.95689118657054517</v>
      </c>
      <c r="H393" s="54">
        <f t="shared" ca="1" si="71"/>
        <v>0.22516590309724974</v>
      </c>
      <c r="I393" s="54">
        <f t="shared" ca="1" si="72"/>
        <v>0.34424437444577893</v>
      </c>
      <c r="J393" s="54">
        <f t="shared" ca="1" si="73"/>
        <v>0.19644524968851365</v>
      </c>
      <c r="K393" s="54">
        <f t="shared" ca="1" si="74"/>
        <v>8.4938144006129271E-2</v>
      </c>
      <c r="L393" s="54">
        <f t="shared" ca="1" si="75"/>
        <v>0.14920632876232842</v>
      </c>
      <c r="M393" s="54">
        <f ca="1">MIN(100,MAX(0,MCDA_Prioritisation!$F$2+(RAND()-0.5)*2*$B$7))</f>
        <v>81.89564983494337</v>
      </c>
      <c r="N393" s="54">
        <f ca="1">MIN(100,MAX(0,MCDA_Prioritisation!$F$3+(RAND()-0.5)*2*$B$7))</f>
        <v>87.141954185123438</v>
      </c>
      <c r="O393" s="54">
        <f ca="1">MIN(100,MAX(0,MCDA_Prioritisation!$F$4+(RAND()-0.5)*2*$B$7))</f>
        <v>81.089214410736957</v>
      </c>
      <c r="P393" s="54">
        <f ca="1">MIN(100,MAX(0,MCDA_Prioritisation!$F$5+(RAND()-0.5)*2*$B$7))</f>
        <v>70.056826836420129</v>
      </c>
      <c r="Q393" s="54">
        <f ca="1">MIN(100,MAX(0,MCDA_Prioritisation!$G$2+(RAND()-0.5)*2*$B$7))</f>
        <v>72.246869950943278</v>
      </c>
      <c r="R393" s="54">
        <f ca="1">MIN(100,MAX(0,MCDA_Prioritisation!$G$3+(RAND()-0.5)*2*$B$7))</f>
        <v>94.489832105825954</v>
      </c>
      <c r="S393" s="54">
        <f ca="1">MIN(100,MAX(0,MCDA_Prioritisation!$G$4+(RAND()-0.5)*2*$B$7))</f>
        <v>85.235834303340454</v>
      </c>
      <c r="T393" s="54">
        <f ca="1">MIN(100,MAX(0,MCDA_Prioritisation!$G$5+(RAND()-0.5)*2*$B$7))</f>
        <v>68.06769809849753</v>
      </c>
      <c r="U393" s="54">
        <f ca="1">MIN(100,MAX(0,MCDA_Prioritisation!$H$2+(RAND()-0.5)*2*$B$7))</f>
        <v>55.009820610335559</v>
      </c>
      <c r="V393" s="54">
        <f ca="1">MIN(100,MAX(0,MCDA_Prioritisation!$H$3+(RAND()-0.5)*2*$B$7))</f>
        <v>64.865492639929499</v>
      </c>
      <c r="W393" s="54">
        <f ca="1">MIN(100,MAX(0,MCDA_Prioritisation!$H$4+(RAND()-0.5)*2*$B$7))</f>
        <v>79.866657106310413</v>
      </c>
      <c r="X393" s="54">
        <f ca="1">MIN(100,MAX(0,MCDA_Prioritisation!$H$5+(RAND()-0.5)*2*$B$7))</f>
        <v>66.775970315173367</v>
      </c>
      <c r="Y393" s="54">
        <f ca="1">H393*MCDA_Prioritisation!$D$2+I393*MCDA_Prioritisation!$E$2+J393*M393+K393*Q393+L393*U393</f>
        <v>87.373367557559149</v>
      </c>
      <c r="Z393" s="54">
        <f ca="1">H393*MCDA_Prioritisation!$D$3+I393*MCDA_Prioritisation!$E$3+J393*N393+K393*R393+L393*V393</f>
        <v>79.537498679884578</v>
      </c>
      <c r="AA393" s="54">
        <f ca="1">H393*MCDA_Prioritisation!$D$4+I393*MCDA_Prioritisation!$E$4+J393*O393+K393*S393+L393*W393</f>
        <v>69.542170947993185</v>
      </c>
      <c r="AB393" s="54">
        <f ca="1">H393*MCDA_Prioritisation!$D$5+I393*MCDA_Prioritisation!$E$5+J393*P393+K393*T393+L393*X393</f>
        <v>70.405975224792755</v>
      </c>
      <c r="AC393" s="54">
        <f t="shared" ca="1" si="76"/>
        <v>1</v>
      </c>
      <c r="AD393" s="54">
        <f t="shared" ca="1" si="77"/>
        <v>2</v>
      </c>
      <c r="AE393" s="54">
        <f t="shared" ca="1" si="78"/>
        <v>4</v>
      </c>
      <c r="AF393" s="54">
        <f t="shared" ca="1" si="79"/>
        <v>3</v>
      </c>
      <c r="AG393" s="54">
        <f t="shared" ca="1" si="80"/>
        <v>1</v>
      </c>
      <c r="AH393" s="54">
        <f t="shared" ca="1" si="81"/>
        <v>1</v>
      </c>
      <c r="AI393" s="54">
        <f t="shared" ca="1" si="82"/>
        <v>0</v>
      </c>
      <c r="AJ393" s="54">
        <f t="shared" ca="1" si="83"/>
        <v>1</v>
      </c>
    </row>
    <row r="394" spans="1:36" x14ac:dyDescent="0.2">
      <c r="A394" s="54">
        <v>371</v>
      </c>
      <c r="B394" s="54">
        <f ca="1">MAX(0.02,MCDA_Prioritisation!$B$9+(RAND()-0.5)*2*$B$6)</f>
        <v>0.17955327151882666</v>
      </c>
      <c r="C394" s="54">
        <f ca="1">MAX(0.02,MCDA_Prioritisation!$B$10+(RAND()-0.5)*2*$B$6)</f>
        <v>0.19926391942894714</v>
      </c>
      <c r="D394" s="54">
        <f ca="1">MAX(0.02,MCDA_Prioritisation!$B$11+(RAND()-0.5)*2*$B$6)</f>
        <v>0.2745521855678007</v>
      </c>
      <c r="E394" s="54">
        <f ca="1">MAX(0.02,MCDA_Prioritisation!$B$12+(RAND()-0.5)*2*$B$6)</f>
        <v>0.21976072054027745</v>
      </c>
      <c r="F394" s="54">
        <f ca="1">MAX(0.02,MCDA_Prioritisation!$B$13+(RAND()-0.5)*2*$B$6)</f>
        <v>0.21684021627233757</v>
      </c>
      <c r="G394" s="54">
        <f t="shared" ca="1" si="70"/>
        <v>1.0899703133281895</v>
      </c>
      <c r="H394" s="54">
        <f t="shared" ca="1" si="71"/>
        <v>0.16473225859754517</v>
      </c>
      <c r="I394" s="54">
        <f t="shared" ca="1" si="72"/>
        <v>0.1828159143348603</v>
      </c>
      <c r="J394" s="54">
        <f t="shared" ca="1" si="73"/>
        <v>0.25188959938685335</v>
      </c>
      <c r="K394" s="54">
        <f t="shared" ca="1" si="74"/>
        <v>0.20162083118506699</v>
      </c>
      <c r="L394" s="54">
        <f t="shared" ca="1" si="75"/>
        <v>0.19894139649567419</v>
      </c>
      <c r="M394" s="54">
        <f ca="1">MIN(100,MAX(0,MCDA_Prioritisation!$F$2+(RAND()-0.5)*2*$B$7))</f>
        <v>92.554426080243076</v>
      </c>
      <c r="N394" s="54">
        <f ca="1">MIN(100,MAX(0,MCDA_Prioritisation!$F$3+(RAND()-0.5)*2*$B$7))</f>
        <v>85.558524831235133</v>
      </c>
      <c r="O394" s="54">
        <f ca="1">MIN(100,MAX(0,MCDA_Prioritisation!$F$4+(RAND()-0.5)*2*$B$7))</f>
        <v>81.85855428216405</v>
      </c>
      <c r="P394" s="54">
        <f ca="1">MIN(100,MAX(0,MCDA_Prioritisation!$F$5+(RAND()-0.5)*2*$B$7))</f>
        <v>76.45630719437483</v>
      </c>
      <c r="Q394" s="54">
        <f ca="1">MIN(100,MAX(0,MCDA_Prioritisation!$G$2+(RAND()-0.5)*2*$B$7))</f>
        <v>87.153244632547754</v>
      </c>
      <c r="R394" s="54">
        <f ca="1">MIN(100,MAX(0,MCDA_Prioritisation!$G$3+(RAND()-0.5)*2*$B$7))</f>
        <v>94.891764365958053</v>
      </c>
      <c r="S394" s="54">
        <f ca="1">MIN(100,MAX(0,MCDA_Prioritisation!$G$4+(RAND()-0.5)*2*$B$7))</f>
        <v>91.237239218976313</v>
      </c>
      <c r="T394" s="54">
        <f ca="1">MIN(100,MAX(0,MCDA_Prioritisation!$G$5+(RAND()-0.5)*2*$B$7))</f>
        <v>76.008728557676733</v>
      </c>
      <c r="U394" s="54">
        <f ca="1">MIN(100,MAX(0,MCDA_Prioritisation!$H$2+(RAND()-0.5)*2*$B$7))</f>
        <v>57.391156802912974</v>
      </c>
      <c r="V394" s="54">
        <f ca="1">MIN(100,MAX(0,MCDA_Prioritisation!$H$3+(RAND()-0.5)*2*$B$7))</f>
        <v>69.575974740912443</v>
      </c>
      <c r="W394" s="54">
        <f ca="1">MIN(100,MAX(0,MCDA_Prioritisation!$H$4+(RAND()-0.5)*2*$B$7))</f>
        <v>77.249679121164121</v>
      </c>
      <c r="X394" s="54">
        <f ca="1">MIN(100,MAX(0,MCDA_Prioritisation!$H$5+(RAND()-0.5)*2*$B$7))</f>
        <v>70.331580950860769</v>
      </c>
      <c r="Y394" s="54">
        <f ca="1">H394*MCDA_Prioritisation!$D$2+I394*MCDA_Prioritisation!$E$2+J394*M394+K394*Q394+L394*U394</f>
        <v>87.057701104236585</v>
      </c>
      <c r="Z394" s="54">
        <f ca="1">H394*MCDA_Prioritisation!$D$3+I394*MCDA_Prioritisation!$E$3+J394*N394+K394*R394+L394*V394</f>
        <v>82.2177821117523</v>
      </c>
      <c r="AA394" s="54">
        <f ca="1">H394*MCDA_Prioritisation!$D$4+I394*MCDA_Prioritisation!$E$4+J394*O394+K394*S394+L394*W394</f>
        <v>75.825568733204705</v>
      </c>
      <c r="AB394" s="54">
        <f ca="1">H394*MCDA_Prioritisation!$D$5+I394*MCDA_Prioritisation!$E$5+J394*P394+K394*T394+L394*X394</f>
        <v>72.691822191151672</v>
      </c>
      <c r="AC394" s="54">
        <f t="shared" ca="1" si="76"/>
        <v>1</v>
      </c>
      <c r="AD394" s="54">
        <f t="shared" ca="1" si="77"/>
        <v>2</v>
      </c>
      <c r="AE394" s="54">
        <f t="shared" ca="1" si="78"/>
        <v>3</v>
      </c>
      <c r="AF394" s="54">
        <f t="shared" ca="1" si="79"/>
        <v>4</v>
      </c>
      <c r="AG394" s="54">
        <f t="shared" ca="1" si="80"/>
        <v>1</v>
      </c>
      <c r="AH394" s="54">
        <f t="shared" ca="1" si="81"/>
        <v>1</v>
      </c>
      <c r="AI394" s="54">
        <f t="shared" ca="1" si="82"/>
        <v>1</v>
      </c>
      <c r="AJ394" s="54">
        <f t="shared" ca="1" si="83"/>
        <v>1</v>
      </c>
    </row>
    <row r="395" spans="1:36" x14ac:dyDescent="0.2">
      <c r="A395" s="54">
        <v>372</v>
      </c>
      <c r="B395" s="54">
        <f ca="1">MAX(0.02,MCDA_Prioritisation!$B$9+(RAND()-0.5)*2*$B$6)</f>
        <v>0.17990807514141516</v>
      </c>
      <c r="C395" s="54">
        <f ca="1">MAX(0.02,MCDA_Prioritisation!$B$10+(RAND()-0.5)*2*$B$6)</f>
        <v>0.27915501894103334</v>
      </c>
      <c r="D395" s="54">
        <f ca="1">MAX(0.02,MCDA_Prioritisation!$B$11+(RAND()-0.5)*2*$B$6)</f>
        <v>0.20868907439112194</v>
      </c>
      <c r="E395" s="54">
        <f ca="1">MAX(0.02,MCDA_Prioritisation!$B$12+(RAND()-0.5)*2*$B$6)</f>
        <v>0.14559364994603799</v>
      </c>
      <c r="F395" s="54">
        <f ca="1">MAX(0.02,MCDA_Prioritisation!$B$13+(RAND()-0.5)*2*$B$6)</f>
        <v>0.20860110143060459</v>
      </c>
      <c r="G395" s="54">
        <f t="shared" ca="1" si="70"/>
        <v>1.0219469198502129</v>
      </c>
      <c r="H395" s="54">
        <f t="shared" ca="1" si="71"/>
        <v>0.17604444188528337</v>
      </c>
      <c r="I395" s="54">
        <f t="shared" ca="1" si="72"/>
        <v>0.27315999835094096</v>
      </c>
      <c r="J395" s="54">
        <f t="shared" ca="1" si="73"/>
        <v>0.20420735200386883</v>
      </c>
      <c r="K395" s="54">
        <f t="shared" ca="1" si="74"/>
        <v>0.14246693944473918</v>
      </c>
      <c r="L395" s="54">
        <f t="shared" ca="1" si="75"/>
        <v>0.2041212683151678</v>
      </c>
      <c r="M395" s="54">
        <f ca="1">MIN(100,MAX(0,MCDA_Prioritisation!$F$2+(RAND()-0.5)*2*$B$7))</f>
        <v>76.624012539019049</v>
      </c>
      <c r="N395" s="54">
        <f ca="1">MIN(100,MAX(0,MCDA_Prioritisation!$F$3+(RAND()-0.5)*2*$B$7))</f>
        <v>89.880389783015019</v>
      </c>
      <c r="O395" s="54">
        <f ca="1">MIN(100,MAX(0,MCDA_Prioritisation!$F$4+(RAND()-0.5)*2*$B$7))</f>
        <v>90.065976201169434</v>
      </c>
      <c r="P395" s="54">
        <f ca="1">MIN(100,MAX(0,MCDA_Prioritisation!$F$5+(RAND()-0.5)*2*$B$7))</f>
        <v>67.637772822860981</v>
      </c>
      <c r="Q395" s="54">
        <f ca="1">MIN(100,MAX(0,MCDA_Prioritisation!$G$2+(RAND()-0.5)*2*$B$7))</f>
        <v>86.37680183323026</v>
      </c>
      <c r="R395" s="54">
        <f ca="1">MIN(100,MAX(0,MCDA_Prioritisation!$G$3+(RAND()-0.5)*2*$B$7))</f>
        <v>97.500209609887705</v>
      </c>
      <c r="S395" s="54">
        <f ca="1">MIN(100,MAX(0,MCDA_Prioritisation!$G$4+(RAND()-0.5)*2*$B$7))</f>
        <v>89.579461429096852</v>
      </c>
      <c r="T395" s="54">
        <f ca="1">MIN(100,MAX(0,MCDA_Prioritisation!$G$5+(RAND()-0.5)*2*$B$7))</f>
        <v>66.386548040675152</v>
      </c>
      <c r="U395" s="54">
        <f ca="1">MIN(100,MAX(0,MCDA_Prioritisation!$H$2+(RAND()-0.5)*2*$B$7))</f>
        <v>64.907652880499654</v>
      </c>
      <c r="V395" s="54">
        <f ca="1">MIN(100,MAX(0,MCDA_Prioritisation!$H$3+(RAND()-0.5)*2*$B$7))</f>
        <v>65.397482175244164</v>
      </c>
      <c r="W395" s="54">
        <f ca="1">MIN(100,MAX(0,MCDA_Prioritisation!$H$4+(RAND()-0.5)*2*$B$7))</f>
        <v>81.911151420930878</v>
      </c>
      <c r="X395" s="54">
        <f ca="1">MIN(100,MAX(0,MCDA_Prioritisation!$H$5+(RAND()-0.5)*2*$B$7))</f>
        <v>68.375461713080469</v>
      </c>
      <c r="Y395" s="54">
        <f ca="1">H395*MCDA_Prioritisation!$D$2+I395*MCDA_Prioritisation!$E$2+J395*M395+K395*Q395+L395*U395</f>
        <v>86.122501749660046</v>
      </c>
      <c r="Z395" s="54">
        <f ca="1">H395*MCDA_Prioritisation!$D$3+I395*MCDA_Prioritisation!$E$3+J395*N395+K395*R395+L395*V395</f>
        <v>80.845719347541944</v>
      </c>
      <c r="AA395" s="54">
        <f ca="1">H395*MCDA_Prioritisation!$D$4+I395*MCDA_Prioritisation!$E$4+J395*O395+K395*S395+L395*W395</f>
        <v>75.032390641407844</v>
      </c>
      <c r="AB395" s="54">
        <f ca="1">H395*MCDA_Prioritisation!$D$5+I395*MCDA_Prioritisation!$E$5+J395*P395+K395*T395+L395*X395</f>
        <v>69.540892759613854</v>
      </c>
      <c r="AC395" s="54">
        <f t="shared" ca="1" si="76"/>
        <v>1</v>
      </c>
      <c r="AD395" s="54">
        <f t="shared" ca="1" si="77"/>
        <v>2</v>
      </c>
      <c r="AE395" s="54">
        <f t="shared" ca="1" si="78"/>
        <v>3</v>
      </c>
      <c r="AF395" s="54">
        <f t="shared" ca="1" si="79"/>
        <v>4</v>
      </c>
      <c r="AG395" s="54">
        <f t="shared" ca="1" si="80"/>
        <v>1</v>
      </c>
      <c r="AH395" s="54">
        <f t="shared" ca="1" si="81"/>
        <v>1</v>
      </c>
      <c r="AI395" s="54">
        <f t="shared" ca="1" si="82"/>
        <v>1</v>
      </c>
      <c r="AJ395" s="54">
        <f t="shared" ca="1" si="83"/>
        <v>1</v>
      </c>
    </row>
    <row r="396" spans="1:36" x14ac:dyDescent="0.2">
      <c r="A396" s="54">
        <v>373</v>
      </c>
      <c r="B396" s="54">
        <f ca="1">MAX(0.02,MCDA_Prioritisation!$B$9+(RAND()-0.5)*2*$B$6)</f>
        <v>0.12190227512840862</v>
      </c>
      <c r="C396" s="54">
        <f ca="1">MAX(0.02,MCDA_Prioritisation!$B$10+(RAND()-0.5)*2*$B$6)</f>
        <v>0.24620948750562913</v>
      </c>
      <c r="D396" s="54">
        <f ca="1">MAX(0.02,MCDA_Prioritisation!$B$11+(RAND()-0.5)*2*$B$6)</f>
        <v>0.17644613124955238</v>
      </c>
      <c r="E396" s="54">
        <f ca="1">MAX(0.02,MCDA_Prioritisation!$B$12+(RAND()-0.5)*2*$B$6)</f>
        <v>0.11575851375448871</v>
      </c>
      <c r="F396" s="54">
        <f ca="1">MAX(0.02,MCDA_Prioritisation!$B$13+(RAND()-0.5)*2*$B$6)</f>
        <v>0.22391203586379704</v>
      </c>
      <c r="G396" s="54">
        <f t="shared" ca="1" si="70"/>
        <v>0.88422844350187602</v>
      </c>
      <c r="H396" s="54">
        <f t="shared" ca="1" si="71"/>
        <v>0.13786287471779343</v>
      </c>
      <c r="I396" s="54">
        <f t="shared" ca="1" si="72"/>
        <v>0.27844556383025554</v>
      </c>
      <c r="J396" s="54">
        <f t="shared" ca="1" si="73"/>
        <v>0.19954812870615152</v>
      </c>
      <c r="K396" s="54">
        <f t="shared" ca="1" si="74"/>
        <v>0.13091471395790166</v>
      </c>
      <c r="L396" s="54">
        <f t="shared" ca="1" si="75"/>
        <v>0.25322871878789771</v>
      </c>
      <c r="M396" s="54">
        <f ca="1">MIN(100,MAX(0,MCDA_Prioritisation!$F$2+(RAND()-0.5)*2*$B$7))</f>
        <v>81.696766629294558</v>
      </c>
      <c r="N396" s="54">
        <f ca="1">MIN(100,MAX(0,MCDA_Prioritisation!$F$3+(RAND()-0.5)*2*$B$7))</f>
        <v>99.436834563046759</v>
      </c>
      <c r="O396" s="54">
        <f ca="1">MIN(100,MAX(0,MCDA_Prioritisation!$F$4+(RAND()-0.5)*2*$B$7))</f>
        <v>87.438090680450273</v>
      </c>
      <c r="P396" s="54">
        <f ca="1">MIN(100,MAX(0,MCDA_Prioritisation!$F$5+(RAND()-0.5)*2*$B$7))</f>
        <v>67.350797539961007</v>
      </c>
      <c r="Q396" s="54">
        <f ca="1">MIN(100,MAX(0,MCDA_Prioritisation!$G$2+(RAND()-0.5)*2*$B$7))</f>
        <v>72.451559112057168</v>
      </c>
      <c r="R396" s="54">
        <f ca="1">MIN(100,MAX(0,MCDA_Prioritisation!$G$3+(RAND()-0.5)*2*$B$7))</f>
        <v>100</v>
      </c>
      <c r="S396" s="54">
        <f ca="1">MIN(100,MAX(0,MCDA_Prioritisation!$G$4+(RAND()-0.5)*2*$B$7))</f>
        <v>92.779887979652926</v>
      </c>
      <c r="T396" s="54">
        <f ca="1">MIN(100,MAX(0,MCDA_Prioritisation!$G$5+(RAND()-0.5)*2*$B$7))</f>
        <v>71.525725661632919</v>
      </c>
      <c r="U396" s="54">
        <f ca="1">MIN(100,MAX(0,MCDA_Prioritisation!$H$2+(RAND()-0.5)*2*$B$7))</f>
        <v>67.480691695125074</v>
      </c>
      <c r="V396" s="54">
        <f ca="1">MIN(100,MAX(0,MCDA_Prioritisation!$H$3+(RAND()-0.5)*2*$B$7))</f>
        <v>60.097269489431447</v>
      </c>
      <c r="W396" s="54">
        <f ca="1">MIN(100,MAX(0,MCDA_Prioritisation!$H$4+(RAND()-0.5)*2*$B$7))</f>
        <v>79.745124475812133</v>
      </c>
      <c r="X396" s="54">
        <f ca="1">MIN(100,MAX(0,MCDA_Prioritisation!$H$5+(RAND()-0.5)*2*$B$7))</f>
        <v>76.76333416836367</v>
      </c>
      <c r="Y396" s="54">
        <f ca="1">H396*MCDA_Prioritisation!$D$2+I396*MCDA_Prioritisation!$E$2+J396*M396+K396*Q396+L396*U396</f>
        <v>84.506304994860415</v>
      </c>
      <c r="Z396" s="54">
        <f ca="1">H396*MCDA_Prioritisation!$D$3+I396*MCDA_Prioritisation!$E$3+J396*N396+K396*R396+L396*V396</f>
        <v>80.451626174777061</v>
      </c>
      <c r="AA396" s="54">
        <f ca="1">H396*MCDA_Prioritisation!$D$4+I396*MCDA_Prioritisation!$E$4+J396*O396+K396*S396+L396*W396</f>
        <v>74.576015569271206</v>
      </c>
      <c r="AB396" s="54">
        <f ca="1">H396*MCDA_Prioritisation!$D$5+I396*MCDA_Prioritisation!$E$5+J396*P396+K396*T396+L396*X396</f>
        <v>72.974111636793083</v>
      </c>
      <c r="AC396" s="54">
        <f t="shared" ca="1" si="76"/>
        <v>1</v>
      </c>
      <c r="AD396" s="54">
        <f t="shared" ca="1" si="77"/>
        <v>2</v>
      </c>
      <c r="AE396" s="54">
        <f t="shared" ca="1" si="78"/>
        <v>3</v>
      </c>
      <c r="AF396" s="54">
        <f t="shared" ca="1" si="79"/>
        <v>4</v>
      </c>
      <c r="AG396" s="54">
        <f t="shared" ca="1" si="80"/>
        <v>1</v>
      </c>
      <c r="AH396" s="54">
        <f t="shared" ca="1" si="81"/>
        <v>1</v>
      </c>
      <c r="AI396" s="54">
        <f t="shared" ca="1" si="82"/>
        <v>1</v>
      </c>
      <c r="AJ396" s="54">
        <f t="shared" ca="1" si="83"/>
        <v>1</v>
      </c>
    </row>
    <row r="397" spans="1:36" x14ac:dyDescent="0.2">
      <c r="A397" s="54">
        <v>374</v>
      </c>
      <c r="B397" s="54">
        <f ca="1">MAX(0.02,MCDA_Prioritisation!$B$9+(RAND()-0.5)*2*$B$6)</f>
        <v>0.12605782859434797</v>
      </c>
      <c r="C397" s="54">
        <f ca="1">MAX(0.02,MCDA_Prioritisation!$B$10+(RAND()-0.5)*2*$B$6)</f>
        <v>0.20914876893995671</v>
      </c>
      <c r="D397" s="54">
        <f ca="1">MAX(0.02,MCDA_Prioritisation!$B$11+(RAND()-0.5)*2*$B$6)</f>
        <v>0.27434132488004681</v>
      </c>
      <c r="E397" s="54">
        <f ca="1">MAX(0.02,MCDA_Prioritisation!$B$12+(RAND()-0.5)*2*$B$6)</f>
        <v>0.19052347456885485</v>
      </c>
      <c r="F397" s="54">
        <f ca="1">MAX(0.02,MCDA_Prioritisation!$B$13+(RAND()-0.5)*2*$B$6)</f>
        <v>0.13413128139327662</v>
      </c>
      <c r="G397" s="54">
        <f t="shared" ca="1" si="70"/>
        <v>0.93420267837648296</v>
      </c>
      <c r="H397" s="54">
        <f t="shared" ca="1" si="71"/>
        <v>0.13493627401434913</v>
      </c>
      <c r="I397" s="54">
        <f t="shared" ca="1" si="72"/>
        <v>0.22387943620909842</v>
      </c>
      <c r="J397" s="54">
        <f t="shared" ca="1" si="73"/>
        <v>0.29366360344504117</v>
      </c>
      <c r="K397" s="54">
        <f t="shared" ca="1" si="74"/>
        <v>0.20394233390548475</v>
      </c>
      <c r="L397" s="54">
        <f t="shared" ca="1" si="75"/>
        <v>0.14357835242602657</v>
      </c>
      <c r="M397" s="54">
        <f ca="1">MIN(100,MAX(0,MCDA_Prioritisation!$F$2+(RAND()-0.5)*2*$B$7))</f>
        <v>83.181847254183936</v>
      </c>
      <c r="N397" s="54">
        <f ca="1">MIN(100,MAX(0,MCDA_Prioritisation!$F$3+(RAND()-0.5)*2*$B$7))</f>
        <v>94.958219337611141</v>
      </c>
      <c r="O397" s="54">
        <f ca="1">MIN(100,MAX(0,MCDA_Prioritisation!$F$4+(RAND()-0.5)*2*$B$7))</f>
        <v>80.017110976837529</v>
      </c>
      <c r="P397" s="54">
        <f ca="1">MIN(100,MAX(0,MCDA_Prioritisation!$F$5+(RAND()-0.5)*2*$B$7))</f>
        <v>66.681901004538105</v>
      </c>
      <c r="Q397" s="54">
        <f ca="1">MIN(100,MAX(0,MCDA_Prioritisation!$G$2+(RAND()-0.5)*2*$B$7))</f>
        <v>71.303310895773123</v>
      </c>
      <c r="R397" s="54">
        <f ca="1">MIN(100,MAX(0,MCDA_Prioritisation!$G$3+(RAND()-0.5)*2*$B$7))</f>
        <v>94.096498432988398</v>
      </c>
      <c r="S397" s="54">
        <f ca="1">MIN(100,MAX(0,MCDA_Prioritisation!$G$4+(RAND()-0.5)*2*$B$7))</f>
        <v>82.101488348557652</v>
      </c>
      <c r="T397" s="54">
        <f ca="1">MIN(100,MAX(0,MCDA_Prioritisation!$G$5+(RAND()-0.5)*2*$B$7))</f>
        <v>79.21249833844945</v>
      </c>
      <c r="U397" s="54">
        <f ca="1">MIN(100,MAX(0,MCDA_Prioritisation!$H$2+(RAND()-0.5)*2*$B$7))</f>
        <v>74.291219246590302</v>
      </c>
      <c r="V397" s="54">
        <f ca="1">MIN(100,MAX(0,MCDA_Prioritisation!$H$3+(RAND()-0.5)*2*$B$7))</f>
        <v>65.393790832852815</v>
      </c>
      <c r="W397" s="54">
        <f ca="1">MIN(100,MAX(0,MCDA_Prioritisation!$H$4+(RAND()-0.5)*2*$B$7))</f>
        <v>83.643643101852533</v>
      </c>
      <c r="X397" s="54">
        <f ca="1">MIN(100,MAX(0,MCDA_Prioritisation!$H$5+(RAND()-0.5)*2*$B$7))</f>
        <v>84.39532583507858</v>
      </c>
      <c r="Y397" s="54">
        <f ca="1">H397*MCDA_Prioritisation!$D$2+I397*MCDA_Prioritisation!$E$2+J397*M397+K397*Q397+L397*U397</f>
        <v>85.517426526641898</v>
      </c>
      <c r="Z397" s="54">
        <f ca="1">H397*MCDA_Prioritisation!$D$3+I397*MCDA_Prioritisation!$E$3+J397*N397+K397*R397+L397*V397</f>
        <v>84.540309782414099</v>
      </c>
      <c r="AA397" s="54">
        <f ca="1">H397*MCDA_Prioritisation!$D$4+I397*MCDA_Prioritisation!$E$4+J397*O397+K397*S397+L397*W397</f>
        <v>73.85927326241557</v>
      </c>
      <c r="AB397" s="54">
        <f ca="1">H397*MCDA_Prioritisation!$D$5+I397*MCDA_Prioritisation!$E$5+J397*P397+K397*T397+L397*X397</f>
        <v>73.842259085182917</v>
      </c>
      <c r="AC397" s="54">
        <f t="shared" ca="1" si="76"/>
        <v>1</v>
      </c>
      <c r="AD397" s="54">
        <f t="shared" ca="1" si="77"/>
        <v>2</v>
      </c>
      <c r="AE397" s="54">
        <f t="shared" ca="1" si="78"/>
        <v>3</v>
      </c>
      <c r="AF397" s="54">
        <f t="shared" ca="1" si="79"/>
        <v>4</v>
      </c>
      <c r="AG397" s="54">
        <f t="shared" ca="1" si="80"/>
        <v>1</v>
      </c>
      <c r="AH397" s="54">
        <f t="shared" ca="1" si="81"/>
        <v>1</v>
      </c>
      <c r="AI397" s="54">
        <f t="shared" ca="1" si="82"/>
        <v>1</v>
      </c>
      <c r="AJ397" s="54">
        <f t="shared" ca="1" si="83"/>
        <v>1</v>
      </c>
    </row>
    <row r="398" spans="1:36" x14ac:dyDescent="0.2">
      <c r="A398" s="54">
        <v>375</v>
      </c>
      <c r="B398" s="54">
        <f ca="1">MAX(0.02,MCDA_Prioritisation!$B$9+(RAND()-0.5)*2*$B$6)</f>
        <v>0.14931339040512429</v>
      </c>
      <c r="C398" s="54">
        <f ca="1">MAX(0.02,MCDA_Prioritisation!$B$10+(RAND()-0.5)*2*$B$6)</f>
        <v>0.17262467437967455</v>
      </c>
      <c r="D398" s="54">
        <f ca="1">MAX(0.02,MCDA_Prioritisation!$B$11+(RAND()-0.5)*2*$B$6)</f>
        <v>0.31492951918315892</v>
      </c>
      <c r="E398" s="54">
        <f ca="1">MAX(0.02,MCDA_Prioritisation!$B$12+(RAND()-0.5)*2*$B$6)</f>
        <v>0.1943844414691176</v>
      </c>
      <c r="F398" s="54">
        <f ca="1">MAX(0.02,MCDA_Prioritisation!$B$13+(RAND()-0.5)*2*$B$6)</f>
        <v>0.22625523417464441</v>
      </c>
      <c r="G398" s="54">
        <f t="shared" ca="1" si="70"/>
        <v>1.0575072596117197</v>
      </c>
      <c r="H398" s="54">
        <f t="shared" ca="1" si="71"/>
        <v>0.14119372614042106</v>
      </c>
      <c r="I398" s="54">
        <f t="shared" ca="1" si="72"/>
        <v>0.1632373421654395</v>
      </c>
      <c r="J398" s="54">
        <f t="shared" ca="1" si="73"/>
        <v>0.29780364751234922</v>
      </c>
      <c r="K398" s="54">
        <f t="shared" ca="1" si="74"/>
        <v>0.18381381281532658</v>
      </c>
      <c r="L398" s="54">
        <f t="shared" ca="1" si="75"/>
        <v>0.21395147136646378</v>
      </c>
      <c r="M398" s="54">
        <f ca="1">MIN(100,MAX(0,MCDA_Prioritisation!$F$2+(RAND()-0.5)*2*$B$7))</f>
        <v>77.198193675529822</v>
      </c>
      <c r="N398" s="54">
        <f ca="1">MIN(100,MAX(0,MCDA_Prioritisation!$F$3+(RAND()-0.5)*2*$B$7))</f>
        <v>100</v>
      </c>
      <c r="O398" s="54">
        <f ca="1">MIN(100,MAX(0,MCDA_Prioritisation!$F$4+(RAND()-0.5)*2*$B$7))</f>
        <v>94.223475329648409</v>
      </c>
      <c r="P398" s="54">
        <f ca="1">MIN(100,MAX(0,MCDA_Prioritisation!$F$5+(RAND()-0.5)*2*$B$7))</f>
        <v>76.230887597638429</v>
      </c>
      <c r="Q398" s="54">
        <f ca="1">MIN(100,MAX(0,MCDA_Prioritisation!$G$2+(RAND()-0.5)*2*$B$7))</f>
        <v>74.718669971450737</v>
      </c>
      <c r="R398" s="54">
        <f ca="1">MIN(100,MAX(0,MCDA_Prioritisation!$G$3+(RAND()-0.5)*2*$B$7))</f>
        <v>89.742170516129789</v>
      </c>
      <c r="S398" s="54">
        <f ca="1">MIN(100,MAX(0,MCDA_Prioritisation!$G$4+(RAND()-0.5)*2*$B$7))</f>
        <v>87.201768988750032</v>
      </c>
      <c r="T398" s="54">
        <f ca="1">MIN(100,MAX(0,MCDA_Prioritisation!$G$5+(RAND()-0.5)*2*$B$7))</f>
        <v>76.422358293917881</v>
      </c>
      <c r="U398" s="54">
        <f ca="1">MIN(100,MAX(0,MCDA_Prioritisation!$H$2+(RAND()-0.5)*2*$B$7))</f>
        <v>61.538453502599225</v>
      </c>
      <c r="V398" s="54">
        <f ca="1">MIN(100,MAX(0,MCDA_Prioritisation!$H$3+(RAND()-0.5)*2*$B$7))</f>
        <v>61.129774954774042</v>
      </c>
      <c r="W398" s="54">
        <f ca="1">MIN(100,MAX(0,MCDA_Prioritisation!$H$4+(RAND()-0.5)*2*$B$7))</f>
        <v>82.987811953821947</v>
      </c>
      <c r="X398" s="54">
        <f ca="1">MIN(100,MAX(0,MCDA_Prioritisation!$H$5+(RAND()-0.5)*2*$B$7))</f>
        <v>76.551720753681138</v>
      </c>
      <c r="Y398" s="54">
        <f ca="1">H398*MCDA_Prioritisation!$D$2+I398*MCDA_Prioritisation!$E$2+J398*M398+K398*Q398+L398*U398</f>
        <v>80.333576776963838</v>
      </c>
      <c r="Z398" s="54">
        <f ca="1">H398*MCDA_Prioritisation!$D$3+I398*MCDA_Prioritisation!$E$3+J398*N398+K398*R398+L398*V398</f>
        <v>83.566712670951645</v>
      </c>
      <c r="AA398" s="54">
        <f ca="1">H398*MCDA_Prioritisation!$D$4+I398*MCDA_Prioritisation!$E$4+J398*O398+K398*S398+L398*W398</f>
        <v>80.580104843626742</v>
      </c>
      <c r="AB398" s="54">
        <f ca="1">H398*MCDA_Prioritisation!$D$5+I398*MCDA_Prioritisation!$E$5+J398*P398+K398*T398+L398*X398</f>
        <v>74.348433885349351</v>
      </c>
      <c r="AC398" s="54">
        <f t="shared" ca="1" si="76"/>
        <v>3</v>
      </c>
      <c r="AD398" s="54">
        <f t="shared" ca="1" si="77"/>
        <v>1</v>
      </c>
      <c r="AE398" s="54">
        <f t="shared" ca="1" si="78"/>
        <v>2</v>
      </c>
      <c r="AF398" s="54">
        <f t="shared" ca="1" si="79"/>
        <v>4</v>
      </c>
      <c r="AG398" s="54">
        <f t="shared" ca="1" si="80"/>
        <v>0</v>
      </c>
      <c r="AH398" s="54">
        <f t="shared" ca="1" si="81"/>
        <v>0</v>
      </c>
      <c r="AI398" s="54">
        <f t="shared" ca="1" si="82"/>
        <v>0</v>
      </c>
      <c r="AJ398" s="54">
        <f t="shared" ca="1" si="83"/>
        <v>0</v>
      </c>
    </row>
    <row r="399" spans="1:36" x14ac:dyDescent="0.2">
      <c r="A399" s="54">
        <v>376</v>
      </c>
      <c r="B399" s="54">
        <f ca="1">MAX(0.02,MCDA_Prioritisation!$B$9+(RAND()-0.5)*2*$B$6)</f>
        <v>0.2052221634839054</v>
      </c>
      <c r="C399" s="54">
        <f ca="1">MAX(0.02,MCDA_Prioritisation!$B$10+(RAND()-0.5)*2*$B$6)</f>
        <v>0.28437875105276605</v>
      </c>
      <c r="D399" s="54">
        <f ca="1">MAX(0.02,MCDA_Prioritisation!$B$11+(RAND()-0.5)*2*$B$6)</f>
        <v>0.3056025318034023</v>
      </c>
      <c r="E399" s="54">
        <f ca="1">MAX(0.02,MCDA_Prioritisation!$B$12+(RAND()-0.5)*2*$B$6)</f>
        <v>0.13107498980440635</v>
      </c>
      <c r="F399" s="54">
        <f ca="1">MAX(0.02,MCDA_Prioritisation!$B$13+(RAND()-0.5)*2*$B$6)</f>
        <v>0.106717028584187</v>
      </c>
      <c r="G399" s="54">
        <f t="shared" ca="1" si="70"/>
        <v>1.032995464728667</v>
      </c>
      <c r="H399" s="54">
        <f t="shared" ca="1" si="71"/>
        <v>0.19866705178401758</v>
      </c>
      <c r="I399" s="54">
        <f t="shared" ca="1" si="72"/>
        <v>0.27529525613886674</v>
      </c>
      <c r="J399" s="54">
        <f t="shared" ca="1" si="73"/>
        <v>0.29584111667293117</v>
      </c>
      <c r="K399" s="54">
        <f t="shared" ca="1" si="74"/>
        <v>0.12688825293036046</v>
      </c>
      <c r="L399" s="54">
        <f t="shared" ca="1" si="75"/>
        <v>0.10330832247382417</v>
      </c>
      <c r="M399" s="54">
        <f ca="1">MIN(100,MAX(0,MCDA_Prioritisation!$F$2+(RAND()-0.5)*2*$B$7))</f>
        <v>76.889577166148158</v>
      </c>
      <c r="N399" s="54">
        <f ca="1">MIN(100,MAX(0,MCDA_Prioritisation!$F$3+(RAND()-0.5)*2*$B$7))</f>
        <v>100</v>
      </c>
      <c r="O399" s="54">
        <f ca="1">MIN(100,MAX(0,MCDA_Prioritisation!$F$4+(RAND()-0.5)*2*$B$7))</f>
        <v>93.058902324758378</v>
      </c>
      <c r="P399" s="54">
        <f ca="1">MIN(100,MAX(0,MCDA_Prioritisation!$F$5+(RAND()-0.5)*2*$B$7))</f>
        <v>75.199208657284501</v>
      </c>
      <c r="Q399" s="54">
        <f ca="1">MIN(100,MAX(0,MCDA_Prioritisation!$G$2+(RAND()-0.5)*2*$B$7))</f>
        <v>80.322445139624023</v>
      </c>
      <c r="R399" s="54">
        <f ca="1">MIN(100,MAX(0,MCDA_Prioritisation!$G$3+(RAND()-0.5)*2*$B$7))</f>
        <v>100</v>
      </c>
      <c r="S399" s="54">
        <f ca="1">MIN(100,MAX(0,MCDA_Prioritisation!$G$4+(RAND()-0.5)*2*$B$7))</f>
        <v>93.04750175349416</v>
      </c>
      <c r="T399" s="54">
        <f ca="1">MIN(100,MAX(0,MCDA_Prioritisation!$G$5+(RAND()-0.5)*2*$B$7))</f>
        <v>68.663861243393015</v>
      </c>
      <c r="U399" s="54">
        <f ca="1">MIN(100,MAX(0,MCDA_Prioritisation!$H$2+(RAND()-0.5)*2*$B$7))</f>
        <v>68.369896753670645</v>
      </c>
      <c r="V399" s="54">
        <f ca="1">MIN(100,MAX(0,MCDA_Prioritisation!$H$3+(RAND()-0.5)*2*$B$7))</f>
        <v>65.623876279323042</v>
      </c>
      <c r="W399" s="54">
        <f ca="1">MIN(100,MAX(0,MCDA_Prioritisation!$H$4+(RAND()-0.5)*2*$B$7))</f>
        <v>85.776473005637882</v>
      </c>
      <c r="X399" s="54">
        <f ca="1">MIN(100,MAX(0,MCDA_Prioritisation!$H$5+(RAND()-0.5)*2*$B$7))</f>
        <v>71.016718037161539</v>
      </c>
      <c r="Y399" s="54">
        <f ca="1">H399*MCDA_Prioritisation!$D$2+I399*MCDA_Prioritisation!$E$2+J399*M399+K399*Q399+L399*U399</f>
        <v>87.3984832378231</v>
      </c>
      <c r="Z399" s="54">
        <f ca="1">H399*MCDA_Prioritisation!$D$3+I399*MCDA_Prioritisation!$E$3+J399*N399+K399*R399+L399*V399</f>
        <v>86.436775097727761</v>
      </c>
      <c r="AA399" s="54">
        <f ca="1">H399*MCDA_Prioritisation!$D$4+I399*MCDA_Prioritisation!$E$4+J399*O399+K399*S399+L399*W399</f>
        <v>77.048818533372597</v>
      </c>
      <c r="AB399" s="54">
        <f ca="1">H399*MCDA_Prioritisation!$D$5+I399*MCDA_Prioritisation!$E$5+J399*P399+K399*T399+L399*X399</f>
        <v>71.990532171585073</v>
      </c>
      <c r="AC399" s="54">
        <f t="shared" ca="1" si="76"/>
        <v>1</v>
      </c>
      <c r="AD399" s="54">
        <f t="shared" ca="1" si="77"/>
        <v>2</v>
      </c>
      <c r="AE399" s="54">
        <f t="shared" ca="1" si="78"/>
        <v>3</v>
      </c>
      <c r="AF399" s="54">
        <f t="shared" ca="1" si="79"/>
        <v>4</v>
      </c>
      <c r="AG399" s="54">
        <f t="shared" ca="1" si="80"/>
        <v>1</v>
      </c>
      <c r="AH399" s="54">
        <f t="shared" ca="1" si="81"/>
        <v>1</v>
      </c>
      <c r="AI399" s="54">
        <f t="shared" ca="1" si="82"/>
        <v>1</v>
      </c>
      <c r="AJ399" s="54">
        <f t="shared" ca="1" si="83"/>
        <v>1</v>
      </c>
    </row>
    <row r="400" spans="1:36" x14ac:dyDescent="0.2">
      <c r="A400" s="54">
        <v>377</v>
      </c>
      <c r="B400" s="54">
        <f ca="1">MAX(0.02,MCDA_Prioritisation!$B$9+(RAND()-0.5)*2*$B$6)</f>
        <v>0.26965456620688122</v>
      </c>
      <c r="C400" s="54">
        <f ca="1">MAX(0.02,MCDA_Prioritisation!$B$10+(RAND()-0.5)*2*$B$6)</f>
        <v>0.24605911668644956</v>
      </c>
      <c r="D400" s="54">
        <f ca="1">MAX(0.02,MCDA_Prioritisation!$B$11+(RAND()-0.5)*2*$B$6)</f>
        <v>0.19525902064359177</v>
      </c>
      <c r="E400" s="54">
        <f ca="1">MAX(0.02,MCDA_Prioritisation!$B$12+(RAND()-0.5)*2*$B$6)</f>
        <v>0.17058571718225565</v>
      </c>
      <c r="F400" s="54">
        <f ca="1">MAX(0.02,MCDA_Prioritisation!$B$13+(RAND()-0.5)*2*$B$6)</f>
        <v>8.6981368629309608E-2</v>
      </c>
      <c r="G400" s="54">
        <f t="shared" ca="1" si="70"/>
        <v>0.96853978934848783</v>
      </c>
      <c r="H400" s="54">
        <f t="shared" ca="1" si="71"/>
        <v>0.27841351400572917</v>
      </c>
      <c r="I400" s="54">
        <f t="shared" ca="1" si="72"/>
        <v>0.25405163462821417</v>
      </c>
      <c r="J400" s="54">
        <f t="shared" ca="1" si="73"/>
        <v>0.20160144455700427</v>
      </c>
      <c r="K400" s="54">
        <f t="shared" ca="1" si="74"/>
        <v>0.17612670027423896</v>
      </c>
      <c r="L400" s="54">
        <f t="shared" ca="1" si="75"/>
        <v>8.9806706534813374E-2</v>
      </c>
      <c r="M400" s="54">
        <f ca="1">MIN(100,MAX(0,MCDA_Prioritisation!$F$2+(RAND()-0.5)*2*$B$7))</f>
        <v>92.674235140138464</v>
      </c>
      <c r="N400" s="54">
        <f ca="1">MIN(100,MAX(0,MCDA_Prioritisation!$F$3+(RAND()-0.5)*2*$B$7))</f>
        <v>100</v>
      </c>
      <c r="O400" s="54">
        <f ca="1">MIN(100,MAX(0,MCDA_Prioritisation!$F$4+(RAND()-0.5)*2*$B$7))</f>
        <v>95.415449359083752</v>
      </c>
      <c r="P400" s="54">
        <f ca="1">MIN(100,MAX(0,MCDA_Prioritisation!$F$5+(RAND()-0.5)*2*$B$7))</f>
        <v>66.041222875677775</v>
      </c>
      <c r="Q400" s="54">
        <f ca="1">MIN(100,MAX(0,MCDA_Prioritisation!$G$2+(RAND()-0.5)*2*$B$7))</f>
        <v>86.811066382327937</v>
      </c>
      <c r="R400" s="54">
        <f ca="1">MIN(100,MAX(0,MCDA_Prioritisation!$G$3+(RAND()-0.5)*2*$B$7))</f>
        <v>86.695428645320746</v>
      </c>
      <c r="S400" s="54">
        <f ca="1">MIN(100,MAX(0,MCDA_Prioritisation!$G$4+(RAND()-0.5)*2*$B$7))</f>
        <v>83.35656031354408</v>
      </c>
      <c r="T400" s="54">
        <f ca="1">MIN(100,MAX(0,MCDA_Prioritisation!$G$5+(RAND()-0.5)*2*$B$7))</f>
        <v>68.246910302351012</v>
      </c>
      <c r="U400" s="54">
        <f ca="1">MIN(100,MAX(0,MCDA_Prioritisation!$H$2+(RAND()-0.5)*2*$B$7))</f>
        <v>57.339505233552984</v>
      </c>
      <c r="V400" s="54">
        <f ca="1">MIN(100,MAX(0,MCDA_Prioritisation!$H$3+(RAND()-0.5)*2*$B$7))</f>
        <v>61.376474746548119</v>
      </c>
      <c r="W400" s="54">
        <f ca="1">MIN(100,MAX(0,MCDA_Prioritisation!$H$4+(RAND()-0.5)*2*$B$7))</f>
        <v>88.780965217121931</v>
      </c>
      <c r="X400" s="54">
        <f ca="1">MIN(100,MAX(0,MCDA_Prioritisation!$H$5+(RAND()-0.5)*2*$B$7))</f>
        <v>77.208480021299266</v>
      </c>
      <c r="Y400" s="54">
        <f ca="1">H400*MCDA_Prioritisation!$D$2+I400*MCDA_Prioritisation!$E$2+J400*M400+K400*Q400+L400*U400</f>
        <v>92.368993329430168</v>
      </c>
      <c r="Z400" s="54">
        <f ca="1">H400*MCDA_Prioritisation!$D$3+I400*MCDA_Prioritisation!$E$3+J400*N400+K400*R400+L400*V400</f>
        <v>83.750486937338607</v>
      </c>
      <c r="AA400" s="54">
        <f ca="1">H400*MCDA_Prioritisation!$D$4+I400*MCDA_Prioritisation!$E$4+J400*O400+K400*S400+L400*W400</f>
        <v>75.134776749531852</v>
      </c>
      <c r="AB400" s="54">
        <f ca="1">H400*MCDA_Prioritisation!$D$5+I400*MCDA_Prioritisation!$E$5+J400*P400+K400*T400+L400*X400</f>
        <v>68.408426260982594</v>
      </c>
      <c r="AC400" s="54">
        <f t="shared" ca="1" si="76"/>
        <v>1</v>
      </c>
      <c r="AD400" s="54">
        <f t="shared" ca="1" si="77"/>
        <v>2</v>
      </c>
      <c r="AE400" s="54">
        <f t="shared" ca="1" si="78"/>
        <v>3</v>
      </c>
      <c r="AF400" s="54">
        <f t="shared" ca="1" si="79"/>
        <v>4</v>
      </c>
      <c r="AG400" s="54">
        <f t="shared" ca="1" si="80"/>
        <v>1</v>
      </c>
      <c r="AH400" s="54">
        <f t="shared" ca="1" si="81"/>
        <v>1</v>
      </c>
      <c r="AI400" s="54">
        <f t="shared" ca="1" si="82"/>
        <v>1</v>
      </c>
      <c r="AJ400" s="54">
        <f t="shared" ca="1" si="83"/>
        <v>1</v>
      </c>
    </row>
    <row r="401" spans="1:36" x14ac:dyDescent="0.2">
      <c r="A401" s="54">
        <v>378</v>
      </c>
      <c r="B401" s="54">
        <f ca="1">MAX(0.02,MCDA_Prioritisation!$B$9+(RAND()-0.5)*2*$B$6)</f>
        <v>0.26945243826914389</v>
      </c>
      <c r="C401" s="54">
        <f ca="1">MAX(0.02,MCDA_Prioritisation!$B$10+(RAND()-0.5)*2*$B$6)</f>
        <v>0.25047583387546946</v>
      </c>
      <c r="D401" s="54">
        <f ca="1">MAX(0.02,MCDA_Prioritisation!$B$11+(RAND()-0.5)*2*$B$6)</f>
        <v>0.21708811470169528</v>
      </c>
      <c r="E401" s="54">
        <f ca="1">MAX(0.02,MCDA_Prioritisation!$B$12+(RAND()-0.5)*2*$B$6)</f>
        <v>7.4784045701639171E-2</v>
      </c>
      <c r="F401" s="54">
        <f ca="1">MAX(0.02,MCDA_Prioritisation!$B$13+(RAND()-0.5)*2*$B$6)</f>
        <v>0.13992317494157028</v>
      </c>
      <c r="G401" s="54">
        <f t="shared" ca="1" si="70"/>
        <v>0.95172360748951812</v>
      </c>
      <c r="H401" s="54">
        <f t="shared" ca="1" si="71"/>
        <v>0.28312047336927232</v>
      </c>
      <c r="I401" s="54">
        <f t="shared" ca="1" si="72"/>
        <v>0.26318127648023915</v>
      </c>
      <c r="J401" s="54">
        <f t="shared" ca="1" si="73"/>
        <v>0.22809995779587322</v>
      </c>
      <c r="K401" s="54">
        <f t="shared" ca="1" si="74"/>
        <v>7.8577483119186803E-2</v>
      </c>
      <c r="L401" s="54">
        <f t="shared" ca="1" si="75"/>
        <v>0.14702080923542851</v>
      </c>
      <c r="M401" s="54">
        <f ca="1">MIN(100,MAX(0,MCDA_Prioritisation!$F$2+(RAND()-0.5)*2*$B$7))</f>
        <v>86.169792991790302</v>
      </c>
      <c r="N401" s="54">
        <f ca="1">MIN(100,MAX(0,MCDA_Prioritisation!$F$3+(RAND()-0.5)*2*$B$7))</f>
        <v>100</v>
      </c>
      <c r="O401" s="54">
        <f ca="1">MIN(100,MAX(0,MCDA_Prioritisation!$F$4+(RAND()-0.5)*2*$B$7))</f>
        <v>80.756404058536873</v>
      </c>
      <c r="P401" s="54">
        <f ca="1">MIN(100,MAX(0,MCDA_Prioritisation!$F$5+(RAND()-0.5)*2*$B$7))</f>
        <v>71.005734110221709</v>
      </c>
      <c r="Q401" s="54">
        <f ca="1">MIN(100,MAX(0,MCDA_Prioritisation!$G$2+(RAND()-0.5)*2*$B$7))</f>
        <v>73.924635775077661</v>
      </c>
      <c r="R401" s="54">
        <f ca="1">MIN(100,MAX(0,MCDA_Prioritisation!$G$3+(RAND()-0.5)*2*$B$7))</f>
        <v>92.959502713624261</v>
      </c>
      <c r="S401" s="54">
        <f ca="1">MIN(100,MAX(0,MCDA_Prioritisation!$G$4+(RAND()-0.5)*2*$B$7))</f>
        <v>75.316165749174118</v>
      </c>
      <c r="T401" s="54">
        <f ca="1">MIN(100,MAX(0,MCDA_Prioritisation!$G$5+(RAND()-0.5)*2*$B$7))</f>
        <v>64.67553671700523</v>
      </c>
      <c r="U401" s="54">
        <f ca="1">MIN(100,MAX(0,MCDA_Prioritisation!$H$2+(RAND()-0.5)*2*$B$7))</f>
        <v>62.426650544522552</v>
      </c>
      <c r="V401" s="54">
        <f ca="1">MIN(100,MAX(0,MCDA_Prioritisation!$H$3+(RAND()-0.5)*2*$B$7))</f>
        <v>54.81818534609404</v>
      </c>
      <c r="W401" s="54">
        <f ca="1">MIN(100,MAX(0,MCDA_Prioritisation!$H$4+(RAND()-0.5)*2*$B$7))</f>
        <v>74.584994026164736</v>
      </c>
      <c r="X401" s="54">
        <f ca="1">MIN(100,MAX(0,MCDA_Prioritisation!$H$5+(RAND()-0.5)*2*$B$7))</f>
        <v>74.366302789007932</v>
      </c>
      <c r="Y401" s="54">
        <f ca="1">H401*MCDA_Prioritisation!$D$2+I401*MCDA_Prioritisation!$E$2+J401*M401+K401*Q401+L401*U401</f>
        <v>89.272329630278847</v>
      </c>
      <c r="Z401" s="54">
        <f ca="1">H401*MCDA_Prioritisation!$D$3+I401*MCDA_Prioritisation!$E$3+J401*N401+K401*R401+L401*V401</f>
        <v>82.058224478781312</v>
      </c>
      <c r="AA401" s="54">
        <f ca="1">H401*MCDA_Prioritisation!$D$4+I401*MCDA_Prioritisation!$E$4+J401*O401+K401*S401+L401*W401</f>
        <v>69.374421045519824</v>
      </c>
      <c r="AB401" s="54">
        <f ca="1">H401*MCDA_Prioritisation!$D$5+I401*MCDA_Prioritisation!$E$5+J401*P401+K401*T401+L401*X401</f>
        <v>69.36986371008274</v>
      </c>
      <c r="AC401" s="54">
        <f t="shared" ca="1" si="76"/>
        <v>1</v>
      </c>
      <c r="AD401" s="54">
        <f t="shared" ca="1" si="77"/>
        <v>2</v>
      </c>
      <c r="AE401" s="54">
        <f t="shared" ca="1" si="78"/>
        <v>3</v>
      </c>
      <c r="AF401" s="54">
        <f t="shared" ca="1" si="79"/>
        <v>4</v>
      </c>
      <c r="AG401" s="54">
        <f t="shared" ca="1" si="80"/>
        <v>1</v>
      </c>
      <c r="AH401" s="54">
        <f t="shared" ca="1" si="81"/>
        <v>1</v>
      </c>
      <c r="AI401" s="54">
        <f t="shared" ca="1" si="82"/>
        <v>1</v>
      </c>
      <c r="AJ401" s="54">
        <f t="shared" ca="1" si="83"/>
        <v>1</v>
      </c>
    </row>
    <row r="402" spans="1:36" x14ac:dyDescent="0.2">
      <c r="A402" s="54">
        <v>379</v>
      </c>
      <c r="B402" s="54">
        <f ca="1">MAX(0.02,MCDA_Prioritisation!$B$9+(RAND()-0.5)*2*$B$6)</f>
        <v>0.19706776230615658</v>
      </c>
      <c r="C402" s="54">
        <f ca="1">MAX(0.02,MCDA_Prioritisation!$B$10+(RAND()-0.5)*2*$B$6)</f>
        <v>0.25267517238416654</v>
      </c>
      <c r="D402" s="54">
        <f ca="1">MAX(0.02,MCDA_Prioritisation!$B$11+(RAND()-0.5)*2*$B$6)</f>
        <v>0.2368026296978134</v>
      </c>
      <c r="E402" s="54">
        <f ca="1">MAX(0.02,MCDA_Prioritisation!$B$12+(RAND()-0.5)*2*$B$6)</f>
        <v>0.20039263195941698</v>
      </c>
      <c r="F402" s="54">
        <f ca="1">MAX(0.02,MCDA_Prioritisation!$B$13+(RAND()-0.5)*2*$B$6)</f>
        <v>0.16959741808758561</v>
      </c>
      <c r="G402" s="54">
        <f t="shared" ca="1" si="70"/>
        <v>1.0565356144351392</v>
      </c>
      <c r="H402" s="54">
        <f t="shared" ca="1" si="71"/>
        <v>0.18652259290995682</v>
      </c>
      <c r="I402" s="54">
        <f t="shared" ca="1" si="72"/>
        <v>0.23915442975318488</v>
      </c>
      <c r="J402" s="54">
        <f t="shared" ca="1" si="73"/>
        <v>0.22413123274071206</v>
      </c>
      <c r="K402" s="54">
        <f t="shared" ca="1" si="74"/>
        <v>0.1896695475490941</v>
      </c>
      <c r="L402" s="54">
        <f t="shared" ca="1" si="75"/>
        <v>0.16052219704705203</v>
      </c>
      <c r="M402" s="54">
        <f ca="1">MIN(100,MAX(0,MCDA_Prioritisation!$F$2+(RAND()-0.5)*2*$B$7))</f>
        <v>80.131954498848629</v>
      </c>
      <c r="N402" s="54">
        <f ca="1">MIN(100,MAX(0,MCDA_Prioritisation!$F$3+(RAND()-0.5)*2*$B$7))</f>
        <v>99.282508887287506</v>
      </c>
      <c r="O402" s="54">
        <f ca="1">MIN(100,MAX(0,MCDA_Prioritisation!$F$4+(RAND()-0.5)*2*$B$7))</f>
        <v>84.799551982043425</v>
      </c>
      <c r="P402" s="54">
        <f ca="1">MIN(100,MAX(0,MCDA_Prioritisation!$F$5+(RAND()-0.5)*2*$B$7))</f>
        <v>65.322536325226949</v>
      </c>
      <c r="Q402" s="54">
        <f ca="1">MIN(100,MAX(0,MCDA_Prioritisation!$G$2+(RAND()-0.5)*2*$B$7))</f>
        <v>83.36038077622996</v>
      </c>
      <c r="R402" s="54">
        <f ca="1">MIN(100,MAX(0,MCDA_Prioritisation!$G$3+(RAND()-0.5)*2*$B$7))</f>
        <v>100</v>
      </c>
      <c r="S402" s="54">
        <f ca="1">MIN(100,MAX(0,MCDA_Prioritisation!$G$4+(RAND()-0.5)*2*$B$7))</f>
        <v>79.117016608431541</v>
      </c>
      <c r="T402" s="54">
        <f ca="1">MIN(100,MAX(0,MCDA_Prioritisation!$G$5+(RAND()-0.5)*2*$B$7))</f>
        <v>70.21459670730205</v>
      </c>
      <c r="U402" s="54">
        <f ca="1">MIN(100,MAX(0,MCDA_Prioritisation!$H$2+(RAND()-0.5)*2*$B$7))</f>
        <v>57.958584030393638</v>
      </c>
      <c r="V402" s="54">
        <f ca="1">MIN(100,MAX(0,MCDA_Prioritisation!$H$3+(RAND()-0.5)*2*$B$7))</f>
        <v>53.827530029913206</v>
      </c>
      <c r="W402" s="54">
        <f ca="1">MIN(100,MAX(0,MCDA_Prioritisation!$H$4+(RAND()-0.5)*2*$B$7))</f>
        <v>73.935735915469593</v>
      </c>
      <c r="X402" s="54">
        <f ca="1">MIN(100,MAX(0,MCDA_Prioritisation!$H$5+(RAND()-0.5)*2*$B$7))</f>
        <v>74.035508719626876</v>
      </c>
      <c r="Y402" s="54">
        <f ca="1">H402*MCDA_Prioritisation!$D$2+I402*MCDA_Prioritisation!$E$2+J402*M402+K402*Q402+L402*U402</f>
        <v>85.642340961706481</v>
      </c>
      <c r="Z402" s="54">
        <f ca="1">H402*MCDA_Prioritisation!$D$3+I402*MCDA_Prioritisation!$E$3+J402*N402+K402*R402+L402*V402</f>
        <v>83.554313750921793</v>
      </c>
      <c r="AA402" s="54">
        <f ca="1">H402*MCDA_Prioritisation!$D$4+I402*MCDA_Prioritisation!$E$4+J402*O402+K402*S402+L402*W402</f>
        <v>71.913767590460623</v>
      </c>
      <c r="AB402" s="54">
        <f ca="1">H402*MCDA_Prioritisation!$D$5+I402*MCDA_Prioritisation!$E$5+J402*P402+K402*T402+L402*X402</f>
        <v>69.853299901946286</v>
      </c>
      <c r="AC402" s="54">
        <f t="shared" ca="1" si="76"/>
        <v>1</v>
      </c>
      <c r="AD402" s="54">
        <f t="shared" ca="1" si="77"/>
        <v>2</v>
      </c>
      <c r="AE402" s="54">
        <f t="shared" ca="1" si="78"/>
        <v>3</v>
      </c>
      <c r="AF402" s="54">
        <f t="shared" ca="1" si="79"/>
        <v>4</v>
      </c>
      <c r="AG402" s="54">
        <f t="shared" ca="1" si="80"/>
        <v>1</v>
      </c>
      <c r="AH402" s="54">
        <f t="shared" ca="1" si="81"/>
        <v>1</v>
      </c>
      <c r="AI402" s="54">
        <f t="shared" ca="1" si="82"/>
        <v>1</v>
      </c>
      <c r="AJ402" s="54">
        <f t="shared" ca="1" si="83"/>
        <v>1</v>
      </c>
    </row>
    <row r="403" spans="1:36" x14ac:dyDescent="0.2">
      <c r="A403" s="54">
        <v>380</v>
      </c>
      <c r="B403" s="54">
        <f ca="1">MAX(0.02,MCDA_Prioritisation!$B$9+(RAND()-0.5)*2*$B$6)</f>
        <v>0.19025765249580351</v>
      </c>
      <c r="C403" s="54">
        <f ca="1">MAX(0.02,MCDA_Prioritisation!$B$10+(RAND()-0.5)*2*$B$6)</f>
        <v>0.23921674290062736</v>
      </c>
      <c r="D403" s="54">
        <f ca="1">MAX(0.02,MCDA_Prioritisation!$B$11+(RAND()-0.5)*2*$B$6)</f>
        <v>0.32921037233025668</v>
      </c>
      <c r="E403" s="54">
        <f ca="1">MAX(0.02,MCDA_Prioritisation!$B$12+(RAND()-0.5)*2*$B$6)</f>
        <v>7.9629507352325574E-2</v>
      </c>
      <c r="F403" s="54">
        <f ca="1">MAX(0.02,MCDA_Prioritisation!$B$13+(RAND()-0.5)*2*$B$6)</f>
        <v>0.19801801403185651</v>
      </c>
      <c r="G403" s="54">
        <f t="shared" ca="1" si="70"/>
        <v>1.0363322891108695</v>
      </c>
      <c r="H403" s="54">
        <f t="shared" ca="1" si="71"/>
        <v>0.18358749842585409</v>
      </c>
      <c r="I403" s="54">
        <f t="shared" ca="1" si="72"/>
        <v>0.23083015497458398</v>
      </c>
      <c r="J403" s="54">
        <f t="shared" ca="1" si="73"/>
        <v>0.31766873983315297</v>
      </c>
      <c r="K403" s="54">
        <f t="shared" ca="1" si="74"/>
        <v>7.6837813690669055E-2</v>
      </c>
      <c r="L403" s="54">
        <f t="shared" ca="1" si="75"/>
        <v>0.19107579307574005</v>
      </c>
      <c r="M403" s="54">
        <f ca="1">MIN(100,MAX(0,MCDA_Prioritisation!$F$2+(RAND()-0.5)*2*$B$7))</f>
        <v>86.864922215815767</v>
      </c>
      <c r="N403" s="54">
        <f ca="1">MIN(100,MAX(0,MCDA_Prioritisation!$F$3+(RAND()-0.5)*2*$B$7))</f>
        <v>90.231221481205708</v>
      </c>
      <c r="O403" s="54">
        <f ca="1">MIN(100,MAX(0,MCDA_Prioritisation!$F$4+(RAND()-0.5)*2*$B$7))</f>
        <v>86.388935197536256</v>
      </c>
      <c r="P403" s="54">
        <f ca="1">MIN(100,MAX(0,MCDA_Prioritisation!$F$5+(RAND()-0.5)*2*$B$7))</f>
        <v>83.129353760456752</v>
      </c>
      <c r="Q403" s="54">
        <f ca="1">MIN(100,MAX(0,MCDA_Prioritisation!$G$2+(RAND()-0.5)*2*$B$7))</f>
        <v>77.466630476053865</v>
      </c>
      <c r="R403" s="54">
        <f ca="1">MIN(100,MAX(0,MCDA_Prioritisation!$G$3+(RAND()-0.5)*2*$B$7))</f>
        <v>88.436890042020963</v>
      </c>
      <c r="S403" s="54">
        <f ca="1">MIN(100,MAX(0,MCDA_Prioritisation!$G$4+(RAND()-0.5)*2*$B$7))</f>
        <v>92.989100555512167</v>
      </c>
      <c r="T403" s="54">
        <f ca="1">MIN(100,MAX(0,MCDA_Prioritisation!$G$5+(RAND()-0.5)*2*$B$7))</f>
        <v>72.019216842808277</v>
      </c>
      <c r="U403" s="54">
        <f ca="1">MIN(100,MAX(0,MCDA_Prioritisation!$H$2+(RAND()-0.5)*2*$B$7))</f>
        <v>56.970121147376801</v>
      </c>
      <c r="V403" s="54">
        <f ca="1">MIN(100,MAX(0,MCDA_Prioritisation!$H$3+(RAND()-0.5)*2*$B$7))</f>
        <v>58.063693841074425</v>
      </c>
      <c r="W403" s="54">
        <f ca="1">MIN(100,MAX(0,MCDA_Prioritisation!$H$4+(RAND()-0.5)*2*$B$7))</f>
        <v>80.155113180102617</v>
      </c>
      <c r="X403" s="54">
        <f ca="1">MIN(100,MAX(0,MCDA_Prioritisation!$H$5+(RAND()-0.5)*2*$B$7))</f>
        <v>67.989519281744023</v>
      </c>
      <c r="Y403" s="54">
        <f ca="1">H403*MCDA_Prioritisation!$D$2+I403*MCDA_Prioritisation!$E$2+J403*M403+K403*Q403+L403*U403</f>
        <v>85.874013315665792</v>
      </c>
      <c r="Z403" s="54">
        <f ca="1">H403*MCDA_Prioritisation!$D$3+I403*MCDA_Prioritisation!$E$3+J403*N403+K403*R403+L403*V403</f>
        <v>79.386116776138095</v>
      </c>
      <c r="AA403" s="54">
        <f ca="1">H403*MCDA_Prioritisation!$D$4+I403*MCDA_Prioritisation!$E$4+J403*O403+K403*S403+L403*W403</f>
        <v>75.278535062123595</v>
      </c>
      <c r="AB403" s="54">
        <f ca="1">H403*MCDA_Prioritisation!$D$5+I403*MCDA_Prioritisation!$E$5+J403*P403+K403*T403+L403*X403</f>
        <v>74.087334952268279</v>
      </c>
      <c r="AC403" s="54">
        <f t="shared" ca="1" si="76"/>
        <v>1</v>
      </c>
      <c r="AD403" s="54">
        <f t="shared" ca="1" si="77"/>
        <v>2</v>
      </c>
      <c r="AE403" s="54">
        <f t="shared" ca="1" si="78"/>
        <v>3</v>
      </c>
      <c r="AF403" s="54">
        <f t="shared" ca="1" si="79"/>
        <v>4</v>
      </c>
      <c r="AG403" s="54">
        <f t="shared" ca="1" si="80"/>
        <v>1</v>
      </c>
      <c r="AH403" s="54">
        <f t="shared" ca="1" si="81"/>
        <v>1</v>
      </c>
      <c r="AI403" s="54">
        <f t="shared" ca="1" si="82"/>
        <v>1</v>
      </c>
      <c r="AJ403" s="54">
        <f t="shared" ca="1" si="83"/>
        <v>1</v>
      </c>
    </row>
    <row r="404" spans="1:36" x14ac:dyDescent="0.2">
      <c r="A404" s="54">
        <v>381</v>
      </c>
      <c r="B404" s="54">
        <f ca="1">MAX(0.02,MCDA_Prioritisation!$B$9+(RAND()-0.5)*2*$B$6)</f>
        <v>0.23898193650324062</v>
      </c>
      <c r="C404" s="54">
        <f ca="1">MAX(0.02,MCDA_Prioritisation!$B$10+(RAND()-0.5)*2*$B$6)</f>
        <v>0.28581795035363811</v>
      </c>
      <c r="D404" s="54">
        <f ca="1">MAX(0.02,MCDA_Prioritisation!$B$11+(RAND()-0.5)*2*$B$6)</f>
        <v>0.26900414590927768</v>
      </c>
      <c r="E404" s="54">
        <f ca="1">MAX(0.02,MCDA_Prioritisation!$B$12+(RAND()-0.5)*2*$B$6)</f>
        <v>8.4559307598501929E-2</v>
      </c>
      <c r="F404" s="54">
        <f ca="1">MAX(0.02,MCDA_Prioritisation!$B$13+(RAND()-0.5)*2*$B$6)</f>
        <v>0.22345603101892642</v>
      </c>
      <c r="G404" s="54">
        <f t="shared" ca="1" si="70"/>
        <v>1.1018193713835847</v>
      </c>
      <c r="H404" s="54">
        <f t="shared" ca="1" si="71"/>
        <v>0.21689756298543245</v>
      </c>
      <c r="I404" s="54">
        <f t="shared" ca="1" si="72"/>
        <v>0.2594054504548497</v>
      </c>
      <c r="J404" s="54">
        <f t="shared" ca="1" si="73"/>
        <v>0.24414541339156329</v>
      </c>
      <c r="K404" s="54">
        <f t="shared" ca="1" si="74"/>
        <v>7.6745163313219386E-2</v>
      </c>
      <c r="L404" s="54">
        <f t="shared" ca="1" si="75"/>
        <v>0.20280640985493528</v>
      </c>
      <c r="M404" s="54">
        <f ca="1">MIN(100,MAX(0,MCDA_Prioritisation!$F$2+(RAND()-0.5)*2*$B$7))</f>
        <v>85.638091015694258</v>
      </c>
      <c r="N404" s="54">
        <f ca="1">MIN(100,MAX(0,MCDA_Prioritisation!$F$3+(RAND()-0.5)*2*$B$7))</f>
        <v>100</v>
      </c>
      <c r="O404" s="54">
        <f ca="1">MIN(100,MAX(0,MCDA_Prioritisation!$F$4+(RAND()-0.5)*2*$B$7))</f>
        <v>81.057486115596021</v>
      </c>
      <c r="P404" s="54">
        <f ca="1">MIN(100,MAX(0,MCDA_Prioritisation!$F$5+(RAND()-0.5)*2*$B$7))</f>
        <v>66.858057160156818</v>
      </c>
      <c r="Q404" s="54">
        <f ca="1">MIN(100,MAX(0,MCDA_Prioritisation!$G$2+(RAND()-0.5)*2*$B$7))</f>
        <v>88.364501179084641</v>
      </c>
      <c r="R404" s="54">
        <f ca="1">MIN(100,MAX(0,MCDA_Prioritisation!$G$3+(RAND()-0.5)*2*$B$7))</f>
        <v>100</v>
      </c>
      <c r="S404" s="54">
        <f ca="1">MIN(100,MAX(0,MCDA_Prioritisation!$G$4+(RAND()-0.5)*2*$B$7))</f>
        <v>88.161486148612227</v>
      </c>
      <c r="T404" s="54">
        <f ca="1">MIN(100,MAX(0,MCDA_Prioritisation!$G$5+(RAND()-0.5)*2*$B$7))</f>
        <v>79.996317066336999</v>
      </c>
      <c r="U404" s="54">
        <f ca="1">MIN(100,MAX(0,MCDA_Prioritisation!$H$2+(RAND()-0.5)*2*$B$7))</f>
        <v>55.605561177271667</v>
      </c>
      <c r="V404" s="54">
        <f ca="1">MIN(100,MAX(0,MCDA_Prioritisation!$H$3+(RAND()-0.5)*2*$B$7))</f>
        <v>53.566740459766763</v>
      </c>
      <c r="W404" s="54">
        <f ca="1">MIN(100,MAX(0,MCDA_Prioritisation!$H$4+(RAND()-0.5)*2*$B$7))</f>
        <v>89.448919075486742</v>
      </c>
      <c r="X404" s="54">
        <f ca="1">MIN(100,MAX(0,MCDA_Prioritisation!$H$5+(RAND()-0.5)*2*$B$7))</f>
        <v>68.623523170928252</v>
      </c>
      <c r="Y404" s="54">
        <f ca="1">H404*MCDA_Prioritisation!$D$2+I404*MCDA_Prioritisation!$E$2+J404*M404+K404*Q404+L404*U404</f>
        <v>86.597160781530661</v>
      </c>
      <c r="Z404" s="54">
        <f ca="1">H404*MCDA_Prioritisation!$D$3+I404*MCDA_Prioritisation!$E$3+J404*N404+K404*R404+L404*V404</f>
        <v>80.774748381038549</v>
      </c>
      <c r="AA404" s="54">
        <f ca="1">H404*MCDA_Prioritisation!$D$4+I404*MCDA_Prioritisation!$E$4+J404*O404+K404*S404+L404*W404</f>
        <v>73.949454690476841</v>
      </c>
      <c r="AB404" s="54">
        <f ca="1">H404*MCDA_Prioritisation!$D$5+I404*MCDA_Prioritisation!$E$5+J404*P404+K404*T404+L404*X404</f>
        <v>69.705380095054252</v>
      </c>
      <c r="AC404" s="54">
        <f t="shared" ca="1" si="76"/>
        <v>1</v>
      </c>
      <c r="AD404" s="54">
        <f t="shared" ca="1" si="77"/>
        <v>2</v>
      </c>
      <c r="AE404" s="54">
        <f t="shared" ca="1" si="78"/>
        <v>3</v>
      </c>
      <c r="AF404" s="54">
        <f t="shared" ca="1" si="79"/>
        <v>4</v>
      </c>
      <c r="AG404" s="54">
        <f t="shared" ca="1" si="80"/>
        <v>1</v>
      </c>
      <c r="AH404" s="54">
        <f t="shared" ca="1" si="81"/>
        <v>1</v>
      </c>
      <c r="AI404" s="54">
        <f t="shared" ca="1" si="82"/>
        <v>1</v>
      </c>
      <c r="AJ404" s="54">
        <f t="shared" ca="1" si="83"/>
        <v>1</v>
      </c>
    </row>
    <row r="405" spans="1:36" x14ac:dyDescent="0.2">
      <c r="A405" s="54">
        <v>382</v>
      </c>
      <c r="B405" s="54">
        <f ca="1">MAX(0.02,MCDA_Prioritisation!$B$9+(RAND()-0.5)*2*$B$6)</f>
        <v>0.13420066904860048</v>
      </c>
      <c r="C405" s="54">
        <f ca="1">MAX(0.02,MCDA_Prioritisation!$B$10+(RAND()-0.5)*2*$B$6)</f>
        <v>0.18474579394515639</v>
      </c>
      <c r="D405" s="54">
        <f ca="1">MAX(0.02,MCDA_Prioritisation!$B$11+(RAND()-0.5)*2*$B$6)</f>
        <v>0.20990031493369993</v>
      </c>
      <c r="E405" s="54">
        <f ca="1">MAX(0.02,MCDA_Prioritisation!$B$12+(RAND()-0.5)*2*$B$6)</f>
        <v>0.21379685760104561</v>
      </c>
      <c r="F405" s="54">
        <f ca="1">MAX(0.02,MCDA_Prioritisation!$B$13+(RAND()-0.5)*2*$B$6)</f>
        <v>7.8356180136913769E-2</v>
      </c>
      <c r="G405" s="54">
        <f t="shared" ca="1" si="70"/>
        <v>0.82099981566541624</v>
      </c>
      <c r="H405" s="54">
        <f t="shared" ca="1" si="71"/>
        <v>0.16346004772221723</v>
      </c>
      <c r="I405" s="54">
        <f t="shared" ca="1" si="72"/>
        <v>0.22502537810610937</v>
      </c>
      <c r="J405" s="54">
        <f t="shared" ca="1" si="73"/>
        <v>0.25566426560470878</v>
      </c>
      <c r="K405" s="54">
        <f t="shared" ca="1" si="74"/>
        <v>0.26041036005320456</v>
      </c>
      <c r="L405" s="54">
        <f t="shared" ca="1" si="75"/>
        <v>9.543994851375999E-2</v>
      </c>
      <c r="M405" s="54">
        <f ca="1">MIN(100,MAX(0,MCDA_Prioritisation!$F$2+(RAND()-0.5)*2*$B$7))</f>
        <v>78.562587115490572</v>
      </c>
      <c r="N405" s="54">
        <f ca="1">MIN(100,MAX(0,MCDA_Prioritisation!$F$3+(RAND()-0.5)*2*$B$7))</f>
        <v>100</v>
      </c>
      <c r="O405" s="54">
        <f ca="1">MIN(100,MAX(0,MCDA_Prioritisation!$F$4+(RAND()-0.5)*2*$B$7))</f>
        <v>94.817142964046582</v>
      </c>
      <c r="P405" s="54">
        <f ca="1">MIN(100,MAX(0,MCDA_Prioritisation!$F$5+(RAND()-0.5)*2*$B$7))</f>
        <v>82.073452917685643</v>
      </c>
      <c r="Q405" s="54">
        <f ca="1">MIN(100,MAX(0,MCDA_Prioritisation!$G$2+(RAND()-0.5)*2*$B$7))</f>
        <v>78.699126058529515</v>
      </c>
      <c r="R405" s="54">
        <f ca="1">MIN(100,MAX(0,MCDA_Prioritisation!$G$3+(RAND()-0.5)*2*$B$7))</f>
        <v>90.862820482102165</v>
      </c>
      <c r="S405" s="54">
        <f ca="1">MIN(100,MAX(0,MCDA_Prioritisation!$G$4+(RAND()-0.5)*2*$B$7))</f>
        <v>83.020505893889265</v>
      </c>
      <c r="T405" s="54">
        <f ca="1">MIN(100,MAX(0,MCDA_Prioritisation!$G$5+(RAND()-0.5)*2*$B$7))</f>
        <v>70.800298022171731</v>
      </c>
      <c r="U405" s="54">
        <f ca="1">MIN(100,MAX(0,MCDA_Prioritisation!$H$2+(RAND()-0.5)*2*$B$7))</f>
        <v>64.598326355995113</v>
      </c>
      <c r="V405" s="54">
        <f ca="1">MIN(100,MAX(0,MCDA_Prioritisation!$H$3+(RAND()-0.5)*2*$B$7))</f>
        <v>60.630890347863385</v>
      </c>
      <c r="W405" s="54">
        <f ca="1">MIN(100,MAX(0,MCDA_Prioritisation!$H$4+(RAND()-0.5)*2*$B$7))</f>
        <v>70.057289583990865</v>
      </c>
      <c r="X405" s="54">
        <f ca="1">MIN(100,MAX(0,MCDA_Prioritisation!$H$5+(RAND()-0.5)*2*$B$7))</f>
        <v>80.740187939572749</v>
      </c>
      <c r="Y405" s="54">
        <f ca="1">H405*MCDA_Prioritisation!$D$2+I405*MCDA_Prioritisation!$E$2+J405*M405+K405*Q405+L405*U405</f>
        <v>85.593517415985957</v>
      </c>
      <c r="Z405" s="54">
        <f ca="1">H405*MCDA_Prioritisation!$D$3+I405*MCDA_Prioritisation!$E$3+J405*N405+K405*R405+L405*V405</f>
        <v>85.666028971091563</v>
      </c>
      <c r="AA405" s="54">
        <f ca="1">H405*MCDA_Prioritisation!$D$4+I405*MCDA_Prioritisation!$E$4+J405*O405+K405*S405+L405*W405</f>
        <v>76.20352750527617</v>
      </c>
      <c r="AB405" s="54">
        <f ca="1">H405*MCDA_Prioritisation!$D$5+I405*MCDA_Prioritisation!$E$5+J405*P405+K405*T405+L405*X405</f>
        <v>74.724595642260539</v>
      </c>
      <c r="AC405" s="54">
        <f t="shared" ca="1" si="76"/>
        <v>2</v>
      </c>
      <c r="AD405" s="54">
        <f t="shared" ca="1" si="77"/>
        <v>1</v>
      </c>
      <c r="AE405" s="54">
        <f t="shared" ca="1" si="78"/>
        <v>3</v>
      </c>
      <c r="AF405" s="54">
        <f t="shared" ca="1" si="79"/>
        <v>4</v>
      </c>
      <c r="AG405" s="54">
        <f t="shared" ca="1" si="80"/>
        <v>0</v>
      </c>
      <c r="AH405" s="54">
        <f t="shared" ca="1" si="81"/>
        <v>0</v>
      </c>
      <c r="AI405" s="54">
        <f t="shared" ca="1" si="82"/>
        <v>0</v>
      </c>
      <c r="AJ405" s="54">
        <f t="shared" ca="1" si="83"/>
        <v>1</v>
      </c>
    </row>
    <row r="406" spans="1:36" x14ac:dyDescent="0.2">
      <c r="A406" s="54">
        <v>383</v>
      </c>
      <c r="B406" s="54">
        <f ca="1">MAX(0.02,MCDA_Prioritisation!$B$9+(RAND()-0.5)*2*$B$6)</f>
        <v>0.1693109452927152</v>
      </c>
      <c r="C406" s="54">
        <f ca="1">MAX(0.02,MCDA_Prioritisation!$B$10+(RAND()-0.5)*2*$B$6)</f>
        <v>0.24044078540088318</v>
      </c>
      <c r="D406" s="54">
        <f ca="1">MAX(0.02,MCDA_Prioritisation!$B$11+(RAND()-0.5)*2*$B$6)</f>
        <v>0.20532597004119887</v>
      </c>
      <c r="E406" s="54">
        <f ca="1">MAX(0.02,MCDA_Prioritisation!$B$12+(RAND()-0.5)*2*$B$6)</f>
        <v>0.19194268321097602</v>
      </c>
      <c r="F406" s="54">
        <f ca="1">MAX(0.02,MCDA_Prioritisation!$B$13+(RAND()-0.5)*2*$B$6)</f>
        <v>7.3042626604104821E-2</v>
      </c>
      <c r="G406" s="54">
        <f t="shared" ca="1" si="70"/>
        <v>0.88006301054987812</v>
      </c>
      <c r="H406" s="54">
        <f t="shared" ca="1" si="71"/>
        <v>0.19238502614366998</v>
      </c>
      <c r="I406" s="54">
        <f t="shared" ca="1" si="72"/>
        <v>0.27320860270067682</v>
      </c>
      <c r="J406" s="54">
        <f t="shared" ca="1" si="73"/>
        <v>0.23330826040843117</v>
      </c>
      <c r="K406" s="54">
        <f t="shared" ca="1" si="74"/>
        <v>0.21810106879852501</v>
      </c>
      <c r="L406" s="54">
        <f t="shared" ca="1" si="75"/>
        <v>8.2997041948697017E-2</v>
      </c>
      <c r="M406" s="54">
        <f ca="1">MIN(100,MAX(0,MCDA_Prioritisation!$F$2+(RAND()-0.5)*2*$B$7))</f>
        <v>91.743978954477839</v>
      </c>
      <c r="N406" s="54">
        <f ca="1">MIN(100,MAX(0,MCDA_Prioritisation!$F$3+(RAND()-0.5)*2*$B$7))</f>
        <v>98.711629558558045</v>
      </c>
      <c r="O406" s="54">
        <f ca="1">MIN(100,MAX(0,MCDA_Prioritisation!$F$4+(RAND()-0.5)*2*$B$7))</f>
        <v>81.993373534210349</v>
      </c>
      <c r="P406" s="54">
        <f ca="1">MIN(100,MAX(0,MCDA_Prioritisation!$F$5+(RAND()-0.5)*2*$B$7))</f>
        <v>75.724267167568399</v>
      </c>
      <c r="Q406" s="54">
        <f ca="1">MIN(100,MAX(0,MCDA_Prioritisation!$G$2+(RAND()-0.5)*2*$B$7))</f>
        <v>87.238494068339875</v>
      </c>
      <c r="R406" s="54">
        <f ca="1">MIN(100,MAX(0,MCDA_Prioritisation!$G$3+(RAND()-0.5)*2*$B$7))</f>
        <v>98.953179674021086</v>
      </c>
      <c r="S406" s="54">
        <f ca="1">MIN(100,MAX(0,MCDA_Prioritisation!$G$4+(RAND()-0.5)*2*$B$7))</f>
        <v>87.203885149249572</v>
      </c>
      <c r="T406" s="54">
        <f ca="1">MIN(100,MAX(0,MCDA_Prioritisation!$G$5+(RAND()-0.5)*2*$B$7))</f>
        <v>65.82710814936199</v>
      </c>
      <c r="U406" s="54">
        <f ca="1">MIN(100,MAX(0,MCDA_Prioritisation!$H$2+(RAND()-0.5)*2*$B$7))</f>
        <v>61.590198321877821</v>
      </c>
      <c r="V406" s="54">
        <f ca="1">MIN(100,MAX(0,MCDA_Prioritisation!$H$3+(RAND()-0.5)*2*$B$7))</f>
        <v>60.66578474585539</v>
      </c>
      <c r="W406" s="54">
        <f ca="1">MIN(100,MAX(0,MCDA_Prioritisation!$H$4+(RAND()-0.5)*2*$B$7))</f>
        <v>78.084039400450678</v>
      </c>
      <c r="X406" s="54">
        <f ca="1">MIN(100,MAX(0,MCDA_Prioritisation!$H$5+(RAND()-0.5)*2*$B$7))</f>
        <v>76.20164946705215</v>
      </c>
      <c r="Y406" s="54">
        <f ca="1">H406*MCDA_Prioritisation!$D$2+I406*MCDA_Prioritisation!$E$2+J406*M406+K406*Q406+L406*U406</f>
        <v>92.102604087679794</v>
      </c>
      <c r="Z406" s="54">
        <f ca="1">H406*MCDA_Prioritisation!$D$3+I406*MCDA_Prioritisation!$E$3+J406*N406+K406*R406+L406*V406</f>
        <v>86.330673269656572</v>
      </c>
      <c r="AA406" s="54">
        <f ca="1">H406*MCDA_Prioritisation!$D$4+I406*MCDA_Prioritisation!$E$4+J406*O406+K406*S406+L406*W406</f>
        <v>72.92858587831401</v>
      </c>
      <c r="AB406" s="54">
        <f ca="1">H406*MCDA_Prioritisation!$D$5+I406*MCDA_Prioritisation!$E$5+J406*P406+K406*T406+L406*X406</f>
        <v>71.533937407768008</v>
      </c>
      <c r="AC406" s="54">
        <f t="shared" ca="1" si="76"/>
        <v>1</v>
      </c>
      <c r="AD406" s="54">
        <f t="shared" ca="1" si="77"/>
        <v>2</v>
      </c>
      <c r="AE406" s="54">
        <f t="shared" ca="1" si="78"/>
        <v>3</v>
      </c>
      <c r="AF406" s="54">
        <f t="shared" ca="1" si="79"/>
        <v>4</v>
      </c>
      <c r="AG406" s="54">
        <f t="shared" ca="1" si="80"/>
        <v>1</v>
      </c>
      <c r="AH406" s="54">
        <f t="shared" ca="1" si="81"/>
        <v>1</v>
      </c>
      <c r="AI406" s="54">
        <f t="shared" ca="1" si="82"/>
        <v>1</v>
      </c>
      <c r="AJ406" s="54">
        <f t="shared" ca="1" si="83"/>
        <v>1</v>
      </c>
    </row>
    <row r="407" spans="1:36" x14ac:dyDescent="0.2">
      <c r="A407" s="54">
        <v>384</v>
      </c>
      <c r="B407" s="54">
        <f ca="1">MAX(0.02,MCDA_Prioritisation!$B$9+(RAND()-0.5)*2*$B$6)</f>
        <v>0.24385059276696422</v>
      </c>
      <c r="C407" s="54">
        <f ca="1">MAX(0.02,MCDA_Prioritisation!$B$10+(RAND()-0.5)*2*$B$6)</f>
        <v>0.24810443468919222</v>
      </c>
      <c r="D407" s="54">
        <f ca="1">MAX(0.02,MCDA_Prioritisation!$B$11+(RAND()-0.5)*2*$B$6)</f>
        <v>0.29529726232770531</v>
      </c>
      <c r="E407" s="54">
        <f ca="1">MAX(0.02,MCDA_Prioritisation!$B$12+(RAND()-0.5)*2*$B$6)</f>
        <v>0.17059563459434854</v>
      </c>
      <c r="F407" s="54">
        <f ca="1">MAX(0.02,MCDA_Prioritisation!$B$13+(RAND()-0.5)*2*$B$6)</f>
        <v>0.19026978422690358</v>
      </c>
      <c r="G407" s="54">
        <f t="shared" ca="1" si="70"/>
        <v>1.148117708605114</v>
      </c>
      <c r="H407" s="54">
        <f t="shared" ca="1" si="71"/>
        <v>0.21239163104907277</v>
      </c>
      <c r="I407" s="54">
        <f t="shared" ca="1" si="72"/>
        <v>0.21609668837058743</v>
      </c>
      <c r="J407" s="54">
        <f t="shared" ca="1" si="73"/>
        <v>0.25720120865174328</v>
      </c>
      <c r="K407" s="54">
        <f t="shared" ca="1" si="74"/>
        <v>0.14858723397064469</v>
      </c>
      <c r="L407" s="54">
        <f t="shared" ca="1" si="75"/>
        <v>0.16572323795795171</v>
      </c>
      <c r="M407" s="54">
        <f ca="1">MIN(100,MAX(0,MCDA_Prioritisation!$F$2+(RAND()-0.5)*2*$B$7))</f>
        <v>91.540486211317372</v>
      </c>
      <c r="N407" s="54">
        <f ca="1">MIN(100,MAX(0,MCDA_Prioritisation!$F$3+(RAND()-0.5)*2*$B$7))</f>
        <v>86.233360924593015</v>
      </c>
      <c r="O407" s="54">
        <f ca="1">MIN(100,MAX(0,MCDA_Prioritisation!$F$4+(RAND()-0.5)*2*$B$7))</f>
        <v>83.233344973607714</v>
      </c>
      <c r="P407" s="54">
        <f ca="1">MIN(100,MAX(0,MCDA_Prioritisation!$F$5+(RAND()-0.5)*2*$B$7))</f>
        <v>68.827753156509374</v>
      </c>
      <c r="Q407" s="54">
        <f ca="1">MIN(100,MAX(0,MCDA_Prioritisation!$G$2+(RAND()-0.5)*2*$B$7))</f>
        <v>77.301165903538035</v>
      </c>
      <c r="R407" s="54">
        <f ca="1">MIN(100,MAX(0,MCDA_Prioritisation!$G$3+(RAND()-0.5)*2*$B$7))</f>
        <v>89.982515660529955</v>
      </c>
      <c r="S407" s="54">
        <f ca="1">MIN(100,MAX(0,MCDA_Prioritisation!$G$4+(RAND()-0.5)*2*$B$7))</f>
        <v>93.503297980756145</v>
      </c>
      <c r="T407" s="54">
        <f ca="1">MIN(100,MAX(0,MCDA_Prioritisation!$G$5+(RAND()-0.5)*2*$B$7))</f>
        <v>65.469351389107572</v>
      </c>
      <c r="U407" s="54">
        <f ca="1">MIN(100,MAX(0,MCDA_Prioritisation!$H$2+(RAND()-0.5)*2*$B$7))</f>
        <v>70.001658923202854</v>
      </c>
      <c r="V407" s="54">
        <f ca="1">MIN(100,MAX(0,MCDA_Prioritisation!$H$3+(RAND()-0.5)*2*$B$7))</f>
        <v>51.873993897736312</v>
      </c>
      <c r="W407" s="54">
        <f ca="1">MIN(100,MAX(0,MCDA_Prioritisation!$H$4+(RAND()-0.5)*2*$B$7))</f>
        <v>71.217876523510654</v>
      </c>
      <c r="X407" s="54">
        <f ca="1">MIN(100,MAX(0,MCDA_Prioritisation!$H$5+(RAND()-0.5)*2*$B$7))</f>
        <v>75.022470146389182</v>
      </c>
      <c r="Y407" s="54">
        <f ca="1">H407*MCDA_Prioritisation!$D$2+I407*MCDA_Prioritisation!$E$2+J407*M407+K407*Q407+L407*U407</f>
        <v>89.480023639579031</v>
      </c>
      <c r="Z407" s="54">
        <f ca="1">H407*MCDA_Prioritisation!$D$3+I407*MCDA_Prioritisation!$E$3+J407*N407+K407*R407+L407*V407</f>
        <v>78.424784027712462</v>
      </c>
      <c r="AA407" s="54">
        <f ca="1">H407*MCDA_Prioritisation!$D$4+I407*MCDA_Prioritisation!$E$4+J407*O407+K407*S407+L407*W407</f>
        <v>73.680367153026069</v>
      </c>
      <c r="AB407" s="54">
        <f ca="1">H407*MCDA_Prioritisation!$D$5+I407*MCDA_Prioritisation!$E$5+J407*P407+K407*T407+L407*X407</f>
        <v>69.308099590920619</v>
      </c>
      <c r="AC407" s="54">
        <f t="shared" ca="1" si="76"/>
        <v>1</v>
      </c>
      <c r="AD407" s="54">
        <f t="shared" ca="1" si="77"/>
        <v>2</v>
      </c>
      <c r="AE407" s="54">
        <f t="shared" ca="1" si="78"/>
        <v>3</v>
      </c>
      <c r="AF407" s="54">
        <f t="shared" ca="1" si="79"/>
        <v>4</v>
      </c>
      <c r="AG407" s="54">
        <f t="shared" ca="1" si="80"/>
        <v>1</v>
      </c>
      <c r="AH407" s="54">
        <f t="shared" ca="1" si="81"/>
        <v>1</v>
      </c>
      <c r="AI407" s="54">
        <f t="shared" ca="1" si="82"/>
        <v>1</v>
      </c>
      <c r="AJ407" s="54">
        <f t="shared" ca="1" si="83"/>
        <v>1</v>
      </c>
    </row>
    <row r="408" spans="1:36" x14ac:dyDescent="0.2">
      <c r="A408" s="54">
        <v>385</v>
      </c>
      <c r="B408" s="54">
        <f ca="1">MAX(0.02,MCDA_Prioritisation!$B$9+(RAND()-0.5)*2*$B$6)</f>
        <v>0.17390863593638273</v>
      </c>
      <c r="C408" s="54">
        <f ca="1">MAX(0.02,MCDA_Prioritisation!$B$10+(RAND()-0.5)*2*$B$6)</f>
        <v>0.29585724631418997</v>
      </c>
      <c r="D408" s="54">
        <f ca="1">MAX(0.02,MCDA_Prioritisation!$B$11+(RAND()-0.5)*2*$B$6)</f>
        <v>0.32459906039223324</v>
      </c>
      <c r="E408" s="54">
        <f ca="1">MAX(0.02,MCDA_Prioritisation!$B$12+(RAND()-0.5)*2*$B$6)</f>
        <v>0.13272756212671838</v>
      </c>
      <c r="F408" s="54">
        <f ca="1">MAX(0.02,MCDA_Prioritisation!$B$13+(RAND()-0.5)*2*$B$6)</f>
        <v>0.22619807092026453</v>
      </c>
      <c r="G408" s="54">
        <f t="shared" ref="G408:G471" ca="1" si="84">SUM(B408:F408)</f>
        <v>1.1532905756897887</v>
      </c>
      <c r="H408" s="54">
        <f t="shared" ref="H408:H471" ca="1" si="85">B408/$G408</f>
        <v>0.15079342500684803</v>
      </c>
      <c r="I408" s="54">
        <f t="shared" ref="I408:I471" ca="1" si="86">C408/$G408</f>
        <v>0.25653313445073139</v>
      </c>
      <c r="J408" s="54">
        <f t="shared" ref="J408:J471" ca="1" si="87">D408/$G408</f>
        <v>0.28145470641524056</v>
      </c>
      <c r="K408" s="54">
        <f t="shared" ref="K408:K471" ca="1" si="88">E408/$G408</f>
        <v>0.11508596785968998</v>
      </c>
      <c r="L408" s="54">
        <f t="shared" ref="L408:L471" ca="1" si="89">F408/$G408</f>
        <v>0.19613276626749021</v>
      </c>
      <c r="M408" s="54">
        <f ca="1">MIN(100,MAX(0,MCDA_Prioritisation!$F$2+(RAND()-0.5)*2*$B$7))</f>
        <v>79.226217487413365</v>
      </c>
      <c r="N408" s="54">
        <f ca="1">MIN(100,MAX(0,MCDA_Prioritisation!$F$3+(RAND()-0.5)*2*$B$7))</f>
        <v>85.478832058708051</v>
      </c>
      <c r="O408" s="54">
        <f ca="1">MIN(100,MAX(0,MCDA_Prioritisation!$F$4+(RAND()-0.5)*2*$B$7))</f>
        <v>81.427330491314137</v>
      </c>
      <c r="P408" s="54">
        <f ca="1">MIN(100,MAX(0,MCDA_Prioritisation!$F$5+(RAND()-0.5)*2*$B$7))</f>
        <v>76.29171411088258</v>
      </c>
      <c r="Q408" s="54">
        <f ca="1">MIN(100,MAX(0,MCDA_Prioritisation!$G$2+(RAND()-0.5)*2*$B$7))</f>
        <v>84.337629511097106</v>
      </c>
      <c r="R408" s="54">
        <f ca="1">MIN(100,MAX(0,MCDA_Prioritisation!$G$3+(RAND()-0.5)*2*$B$7))</f>
        <v>99.683166433667395</v>
      </c>
      <c r="S408" s="54">
        <f ca="1">MIN(100,MAX(0,MCDA_Prioritisation!$G$4+(RAND()-0.5)*2*$B$7))</f>
        <v>91.064044209650419</v>
      </c>
      <c r="T408" s="54">
        <f ca="1">MIN(100,MAX(0,MCDA_Prioritisation!$G$5+(RAND()-0.5)*2*$B$7))</f>
        <v>62.191836838570659</v>
      </c>
      <c r="U408" s="54">
        <f ca="1">MIN(100,MAX(0,MCDA_Prioritisation!$H$2+(RAND()-0.5)*2*$B$7))</f>
        <v>67.189711230065086</v>
      </c>
      <c r="V408" s="54">
        <f ca="1">MIN(100,MAX(0,MCDA_Prioritisation!$H$3+(RAND()-0.5)*2*$B$7))</f>
        <v>59.006753096570122</v>
      </c>
      <c r="W408" s="54">
        <f ca="1">MIN(100,MAX(0,MCDA_Prioritisation!$H$4+(RAND()-0.5)*2*$B$7))</f>
        <v>77.946938649021078</v>
      </c>
      <c r="X408" s="54">
        <f ca="1">MIN(100,MAX(0,MCDA_Prioritisation!$H$5+(RAND()-0.5)*2*$B$7))</f>
        <v>77.696005266326011</v>
      </c>
      <c r="Y408" s="54">
        <f ca="1">H408*MCDA_Prioritisation!$D$2+I408*MCDA_Prioritisation!$E$2+J408*M408+K408*Q408+L408*U408</f>
        <v>85.915429376610959</v>
      </c>
      <c r="Z408" s="54">
        <f ca="1">H408*MCDA_Prioritisation!$D$3+I408*MCDA_Prioritisation!$E$3+J408*N408+K408*R408+L408*V408</f>
        <v>78.939534942993049</v>
      </c>
      <c r="AA408" s="54">
        <f ca="1">H408*MCDA_Prioritisation!$D$4+I408*MCDA_Prioritisation!$E$4+J408*O408+K408*S408+L408*W408</f>
        <v>73.179331849752131</v>
      </c>
      <c r="AB408" s="54">
        <f ca="1">H408*MCDA_Prioritisation!$D$5+I408*MCDA_Prioritisation!$E$5+J408*P408+K408*T408+L408*X408</f>
        <v>73.444401872774861</v>
      </c>
      <c r="AC408" s="54">
        <f t="shared" ref="AC408:AC471" ca="1" si="90">SUMPRODUCT(--($Y408:$AB408&gt;Y408))+1</f>
        <v>1</v>
      </c>
      <c r="AD408" s="54">
        <f t="shared" ref="AD408:AD471" ca="1" si="91">SUMPRODUCT(--($Y408:$AB408&gt;Z408))+1</f>
        <v>2</v>
      </c>
      <c r="AE408" s="54">
        <f t="shared" ref="AE408:AE471" ca="1" si="92">SUMPRODUCT(--($Y408:$AB408&gt;AA408))+1</f>
        <v>4</v>
      </c>
      <c r="AF408" s="54">
        <f t="shared" ref="AF408:AF471" ca="1" si="93">SUMPRODUCT(--($Y408:$AB408&gt;AB408))+1</f>
        <v>3</v>
      </c>
      <c r="AG408" s="54">
        <f t="shared" ref="AG408:AG471" ca="1" si="94">IF(AC408=1,1,0)</f>
        <v>1</v>
      </c>
      <c r="AH408" s="54">
        <f t="shared" ref="AH408:AH471" ca="1" si="95">IF(AD408=2,1,0)</f>
        <v>1</v>
      </c>
      <c r="AI408" s="54">
        <f t="shared" ref="AI408:AI471" ca="1" si="96">IF(AND(AC408=1,AD408=2,AE408=3,AF408=4),1,0)</f>
        <v>0</v>
      </c>
      <c r="AJ408" s="54">
        <f t="shared" ref="AJ408:AJ471" ca="1" si="97">IF(AND(AC408&lt;=2,AD408&lt;=2),1,0)</f>
        <v>1</v>
      </c>
    </row>
    <row r="409" spans="1:36" x14ac:dyDescent="0.2">
      <c r="A409" s="54">
        <v>386</v>
      </c>
      <c r="B409" s="54">
        <f ca="1">MAX(0.02,MCDA_Prioritisation!$B$9+(RAND()-0.5)*2*$B$6)</f>
        <v>0.18760387959926084</v>
      </c>
      <c r="C409" s="54">
        <f ca="1">MAX(0.02,MCDA_Prioritisation!$B$10+(RAND()-0.5)*2*$B$6)</f>
        <v>0.30157909582697506</v>
      </c>
      <c r="D409" s="54">
        <f ca="1">MAX(0.02,MCDA_Prioritisation!$B$11+(RAND()-0.5)*2*$B$6)</f>
        <v>0.26367310818858353</v>
      </c>
      <c r="E409" s="54">
        <f ca="1">MAX(0.02,MCDA_Prioritisation!$B$12+(RAND()-0.5)*2*$B$6)</f>
        <v>0.11986688382796956</v>
      </c>
      <c r="F409" s="54">
        <f ca="1">MAX(0.02,MCDA_Prioritisation!$B$13+(RAND()-0.5)*2*$B$6)</f>
        <v>0.10778511399358633</v>
      </c>
      <c r="G409" s="54">
        <f t="shared" ca="1" si="84"/>
        <v>0.98050808143637536</v>
      </c>
      <c r="H409" s="54">
        <f t="shared" ca="1" si="85"/>
        <v>0.19133333335145422</v>
      </c>
      <c r="I409" s="54">
        <f t="shared" ca="1" si="86"/>
        <v>0.30757430921444617</v>
      </c>
      <c r="J409" s="54">
        <f t="shared" ca="1" si="87"/>
        <v>0.2689147730453389</v>
      </c>
      <c r="K409" s="54">
        <f t="shared" ca="1" si="88"/>
        <v>0.12224976631745146</v>
      </c>
      <c r="L409" s="54">
        <f t="shared" ca="1" si="89"/>
        <v>0.10992781807130923</v>
      </c>
      <c r="M409" s="54">
        <f ca="1">MIN(100,MAX(0,MCDA_Prioritisation!$F$2+(RAND()-0.5)*2*$B$7))</f>
        <v>91.262653401663357</v>
      </c>
      <c r="N409" s="54">
        <f ca="1">MIN(100,MAX(0,MCDA_Prioritisation!$F$3+(RAND()-0.5)*2*$B$7))</f>
        <v>100</v>
      </c>
      <c r="O409" s="54">
        <f ca="1">MIN(100,MAX(0,MCDA_Prioritisation!$F$4+(RAND()-0.5)*2*$B$7))</f>
        <v>99.476099924983686</v>
      </c>
      <c r="P409" s="54">
        <f ca="1">MIN(100,MAX(0,MCDA_Prioritisation!$F$5+(RAND()-0.5)*2*$B$7))</f>
        <v>76.883070740845852</v>
      </c>
      <c r="Q409" s="54">
        <f ca="1">MIN(100,MAX(0,MCDA_Prioritisation!$G$2+(RAND()-0.5)*2*$B$7))</f>
        <v>87.455167285308434</v>
      </c>
      <c r="R409" s="54">
        <f ca="1">MIN(100,MAX(0,MCDA_Prioritisation!$G$3+(RAND()-0.5)*2*$B$7))</f>
        <v>90.993392811093372</v>
      </c>
      <c r="S409" s="54">
        <f ca="1">MIN(100,MAX(0,MCDA_Prioritisation!$G$4+(RAND()-0.5)*2*$B$7))</f>
        <v>82.769335609241281</v>
      </c>
      <c r="T409" s="54">
        <f ca="1">MIN(100,MAX(0,MCDA_Prioritisation!$G$5+(RAND()-0.5)*2*$B$7))</f>
        <v>65.497709366884891</v>
      </c>
      <c r="U409" s="54">
        <f ca="1">MIN(100,MAX(0,MCDA_Prioritisation!$H$2+(RAND()-0.5)*2*$B$7))</f>
        <v>61.221034324847899</v>
      </c>
      <c r="V409" s="54">
        <f ca="1">MIN(100,MAX(0,MCDA_Prioritisation!$H$3+(RAND()-0.5)*2*$B$7))</f>
        <v>64.005615146149239</v>
      </c>
      <c r="W409" s="54">
        <f ca="1">MIN(100,MAX(0,MCDA_Prioritisation!$H$4+(RAND()-0.5)*2*$B$7))</f>
        <v>85.992824361232579</v>
      </c>
      <c r="X409" s="54">
        <f ca="1">MIN(100,MAX(0,MCDA_Prioritisation!$H$5+(RAND()-0.5)*2*$B$7))</f>
        <v>78.943158210003205</v>
      </c>
      <c r="Y409" s="54">
        <f ca="1">H409*MCDA_Prioritisation!$D$2+I409*MCDA_Prioritisation!$E$2+J409*M409+K409*Q409+L409*U409</f>
        <v>91.853908470895604</v>
      </c>
      <c r="Z409" s="54">
        <f ca="1">H409*MCDA_Prioritisation!$D$3+I409*MCDA_Prioritisation!$E$3+J409*N409+K409*R409+L409*V409</f>
        <v>84.142365179579514</v>
      </c>
      <c r="AA409" s="54">
        <f ca="1">H409*MCDA_Prioritisation!$D$4+I409*MCDA_Prioritisation!$E$4+J409*O409+K409*S409+L409*W409</f>
        <v>76.422237388014381</v>
      </c>
      <c r="AB409" s="54">
        <f ca="1">H409*MCDA_Prioritisation!$D$5+I409*MCDA_Prioritisation!$E$5+J409*P409+K409*T409+L409*X409</f>
        <v>73.37951251247587</v>
      </c>
      <c r="AC409" s="54">
        <f t="shared" ca="1" si="90"/>
        <v>1</v>
      </c>
      <c r="AD409" s="54">
        <f t="shared" ca="1" si="91"/>
        <v>2</v>
      </c>
      <c r="AE409" s="54">
        <f t="shared" ca="1" si="92"/>
        <v>3</v>
      </c>
      <c r="AF409" s="54">
        <f t="shared" ca="1" si="93"/>
        <v>4</v>
      </c>
      <c r="AG409" s="54">
        <f t="shared" ca="1" si="94"/>
        <v>1</v>
      </c>
      <c r="AH409" s="54">
        <f t="shared" ca="1" si="95"/>
        <v>1</v>
      </c>
      <c r="AI409" s="54">
        <f t="shared" ca="1" si="96"/>
        <v>1</v>
      </c>
      <c r="AJ409" s="54">
        <f t="shared" ca="1" si="97"/>
        <v>1</v>
      </c>
    </row>
    <row r="410" spans="1:36" x14ac:dyDescent="0.2">
      <c r="A410" s="54">
        <v>387</v>
      </c>
      <c r="B410" s="54">
        <f ca="1">MAX(0.02,MCDA_Prioritisation!$B$9+(RAND()-0.5)*2*$B$6)</f>
        <v>0.21693312306489995</v>
      </c>
      <c r="C410" s="54">
        <f ca="1">MAX(0.02,MCDA_Prioritisation!$B$10+(RAND()-0.5)*2*$B$6)</f>
        <v>0.17338971250420787</v>
      </c>
      <c r="D410" s="54">
        <f ca="1">MAX(0.02,MCDA_Prioritisation!$B$11+(RAND()-0.5)*2*$B$6)</f>
        <v>0.24779874702502191</v>
      </c>
      <c r="E410" s="54">
        <f ca="1">MAX(0.02,MCDA_Prioritisation!$B$12+(RAND()-0.5)*2*$B$6)</f>
        <v>0.13518489559838265</v>
      </c>
      <c r="F410" s="54">
        <f ca="1">MAX(0.02,MCDA_Prioritisation!$B$13+(RAND()-0.5)*2*$B$6)</f>
        <v>0.11166252149016501</v>
      </c>
      <c r="G410" s="54">
        <f t="shared" ca="1" si="84"/>
        <v>0.88496899968267739</v>
      </c>
      <c r="H410" s="54">
        <f t="shared" ca="1" si="85"/>
        <v>0.24513075954376423</v>
      </c>
      <c r="I410" s="54">
        <f t="shared" ca="1" si="86"/>
        <v>0.19592744216620026</v>
      </c>
      <c r="J410" s="54">
        <f t="shared" ca="1" si="87"/>
        <v>0.28000839251304271</v>
      </c>
      <c r="K410" s="54">
        <f t="shared" ca="1" si="88"/>
        <v>0.15275664531396668</v>
      </c>
      <c r="L410" s="54">
        <f t="shared" ca="1" si="89"/>
        <v>0.12617676046302609</v>
      </c>
      <c r="M410" s="54">
        <f ca="1">MIN(100,MAX(0,MCDA_Prioritisation!$F$2+(RAND()-0.5)*2*$B$7))</f>
        <v>81.77534512504252</v>
      </c>
      <c r="N410" s="54">
        <f ca="1">MIN(100,MAX(0,MCDA_Prioritisation!$F$3+(RAND()-0.5)*2*$B$7))</f>
        <v>90.326734693702463</v>
      </c>
      <c r="O410" s="54">
        <f ca="1">MIN(100,MAX(0,MCDA_Prioritisation!$F$4+(RAND()-0.5)*2*$B$7))</f>
        <v>93.792815848731536</v>
      </c>
      <c r="P410" s="54">
        <f ca="1">MIN(100,MAX(0,MCDA_Prioritisation!$F$5+(RAND()-0.5)*2*$B$7))</f>
        <v>67.839889283105677</v>
      </c>
      <c r="Q410" s="54">
        <f ca="1">MIN(100,MAX(0,MCDA_Prioritisation!$G$2+(RAND()-0.5)*2*$B$7))</f>
        <v>74.731550591782494</v>
      </c>
      <c r="R410" s="54">
        <f ca="1">MIN(100,MAX(0,MCDA_Prioritisation!$G$3+(RAND()-0.5)*2*$B$7))</f>
        <v>95.4040466432226</v>
      </c>
      <c r="S410" s="54">
        <f ca="1">MIN(100,MAX(0,MCDA_Prioritisation!$G$4+(RAND()-0.5)*2*$B$7))</f>
        <v>89.820903497480899</v>
      </c>
      <c r="T410" s="54">
        <f ca="1">MIN(100,MAX(0,MCDA_Prioritisation!$G$5+(RAND()-0.5)*2*$B$7))</f>
        <v>68.948218181635568</v>
      </c>
      <c r="U410" s="54">
        <f ca="1">MIN(100,MAX(0,MCDA_Prioritisation!$H$2+(RAND()-0.5)*2*$B$7))</f>
        <v>58.78031157686641</v>
      </c>
      <c r="V410" s="54">
        <f ca="1">MIN(100,MAX(0,MCDA_Prioritisation!$H$3+(RAND()-0.5)*2*$B$7))</f>
        <v>50.811073776972982</v>
      </c>
      <c r="W410" s="54">
        <f ca="1">MIN(100,MAX(0,MCDA_Prioritisation!$H$4+(RAND()-0.5)*2*$B$7))</f>
        <v>73.160979075767514</v>
      </c>
      <c r="X410" s="54">
        <f ca="1">MIN(100,MAX(0,MCDA_Prioritisation!$H$5+(RAND()-0.5)*2*$B$7))</f>
        <v>66.518561745579319</v>
      </c>
      <c r="Y410" s="54">
        <f ca="1">H410*MCDA_Prioritisation!$D$2+I410*MCDA_Prioritisation!$E$2+J410*M410+K410*Q410+L410*U410</f>
        <v>85.836053367946874</v>
      </c>
      <c r="Z410" s="54">
        <f ca="1">H410*MCDA_Prioritisation!$D$3+I410*MCDA_Prioritisation!$E$3+J410*N410+K410*R410+L410*V410</f>
        <v>81.949944692652195</v>
      </c>
      <c r="AA410" s="54">
        <f ca="1">H410*MCDA_Prioritisation!$D$4+I410*MCDA_Prioritisation!$E$4+J410*O410+K410*S410+L410*W410</f>
        <v>76.971147284183004</v>
      </c>
      <c r="AB410" s="54">
        <f ca="1">H410*MCDA_Prioritisation!$D$5+I410*MCDA_Prioritisation!$E$5+J410*P410+K410*T410+L410*X410</f>
        <v>67.407383401045891</v>
      </c>
      <c r="AC410" s="54">
        <f t="shared" ca="1" si="90"/>
        <v>1</v>
      </c>
      <c r="AD410" s="54">
        <f t="shared" ca="1" si="91"/>
        <v>2</v>
      </c>
      <c r="AE410" s="54">
        <f t="shared" ca="1" si="92"/>
        <v>3</v>
      </c>
      <c r="AF410" s="54">
        <f t="shared" ca="1" si="93"/>
        <v>4</v>
      </c>
      <c r="AG410" s="54">
        <f t="shared" ca="1" si="94"/>
        <v>1</v>
      </c>
      <c r="AH410" s="54">
        <f t="shared" ca="1" si="95"/>
        <v>1</v>
      </c>
      <c r="AI410" s="54">
        <f t="shared" ca="1" si="96"/>
        <v>1</v>
      </c>
      <c r="AJ410" s="54">
        <f t="shared" ca="1" si="97"/>
        <v>1</v>
      </c>
    </row>
    <row r="411" spans="1:36" x14ac:dyDescent="0.2">
      <c r="A411" s="54">
        <v>388</v>
      </c>
      <c r="B411" s="54">
        <f ca="1">MAX(0.02,MCDA_Prioritisation!$B$9+(RAND()-0.5)*2*$B$6)</f>
        <v>0.25277743299397892</v>
      </c>
      <c r="C411" s="54">
        <f ca="1">MAX(0.02,MCDA_Prioritisation!$B$10+(RAND()-0.5)*2*$B$6)</f>
        <v>0.30692263574865924</v>
      </c>
      <c r="D411" s="54">
        <f ca="1">MAX(0.02,MCDA_Prioritisation!$B$11+(RAND()-0.5)*2*$B$6)</f>
        <v>0.30486823533167096</v>
      </c>
      <c r="E411" s="54">
        <f ca="1">MAX(0.02,MCDA_Prioritisation!$B$12+(RAND()-0.5)*2*$B$6)</f>
        <v>7.6053093119829177E-2</v>
      </c>
      <c r="F411" s="54">
        <f ca="1">MAX(0.02,MCDA_Prioritisation!$B$13+(RAND()-0.5)*2*$B$6)</f>
        <v>0.16235914461160236</v>
      </c>
      <c r="G411" s="54">
        <f t="shared" ca="1" si="84"/>
        <v>1.1029805418057406</v>
      </c>
      <c r="H411" s="54">
        <f t="shared" ca="1" si="85"/>
        <v>0.22917669298149654</v>
      </c>
      <c r="I411" s="54">
        <f t="shared" ca="1" si="86"/>
        <v>0.27826659139986454</v>
      </c>
      <c r="J411" s="54">
        <f t="shared" ca="1" si="87"/>
        <v>0.27640400149993311</v>
      </c>
      <c r="K411" s="54">
        <f t="shared" ca="1" si="88"/>
        <v>6.8952343434199787E-2</v>
      </c>
      <c r="L411" s="54">
        <f t="shared" ca="1" si="89"/>
        <v>0.14720037068450609</v>
      </c>
      <c r="M411" s="54">
        <f ca="1">MIN(100,MAX(0,MCDA_Prioritisation!$F$2+(RAND()-0.5)*2*$B$7))</f>
        <v>89.473451483882414</v>
      </c>
      <c r="N411" s="54">
        <f ca="1">MIN(100,MAX(0,MCDA_Prioritisation!$F$3+(RAND()-0.5)*2*$B$7))</f>
        <v>92.68969602392815</v>
      </c>
      <c r="O411" s="54">
        <f ca="1">MIN(100,MAX(0,MCDA_Prioritisation!$F$4+(RAND()-0.5)*2*$B$7))</f>
        <v>98.008430637791619</v>
      </c>
      <c r="P411" s="54">
        <f ca="1">MIN(100,MAX(0,MCDA_Prioritisation!$F$5+(RAND()-0.5)*2*$B$7))</f>
        <v>76.271179468263512</v>
      </c>
      <c r="Q411" s="54">
        <f ca="1">MIN(100,MAX(0,MCDA_Prioritisation!$G$2+(RAND()-0.5)*2*$B$7))</f>
        <v>78.995254828344869</v>
      </c>
      <c r="R411" s="54">
        <f ca="1">MIN(100,MAX(0,MCDA_Prioritisation!$G$3+(RAND()-0.5)*2*$B$7))</f>
        <v>100</v>
      </c>
      <c r="S411" s="54">
        <f ca="1">MIN(100,MAX(0,MCDA_Prioritisation!$G$4+(RAND()-0.5)*2*$B$7))</f>
        <v>79.545532187941092</v>
      </c>
      <c r="T411" s="54">
        <f ca="1">MIN(100,MAX(0,MCDA_Prioritisation!$G$5+(RAND()-0.5)*2*$B$7))</f>
        <v>68.865654248678865</v>
      </c>
      <c r="U411" s="54">
        <f ca="1">MIN(100,MAX(0,MCDA_Prioritisation!$H$2+(RAND()-0.5)*2*$B$7))</f>
        <v>63.014766340765192</v>
      </c>
      <c r="V411" s="54">
        <f ca="1">MIN(100,MAX(0,MCDA_Prioritisation!$H$3+(RAND()-0.5)*2*$B$7))</f>
        <v>50.018025109135976</v>
      </c>
      <c r="W411" s="54">
        <f ca="1">MIN(100,MAX(0,MCDA_Prioritisation!$H$4+(RAND()-0.5)*2*$B$7))</f>
        <v>72.714910190998324</v>
      </c>
      <c r="X411" s="54">
        <f ca="1">MIN(100,MAX(0,MCDA_Prioritisation!$H$5+(RAND()-0.5)*2*$B$7))</f>
        <v>78.020277677772953</v>
      </c>
      <c r="Y411" s="54">
        <f ca="1">H411*MCDA_Prioritisation!$D$2+I411*MCDA_Prioritisation!$E$2+J411*M411+K411*Q411+L411*U411</f>
        <v>90.19785336084567</v>
      </c>
      <c r="Z411" s="54">
        <f ca="1">H411*MCDA_Prioritisation!$D$3+I411*MCDA_Prioritisation!$E$3+J411*N411+K411*R411+L411*V411</f>
        <v>80.144597941475467</v>
      </c>
      <c r="AA411" s="54">
        <f ca="1">H411*MCDA_Prioritisation!$D$4+I411*MCDA_Prioritisation!$E$4+J411*O411+K411*S411+L411*W411</f>
        <v>74.415130371203716</v>
      </c>
      <c r="AB411" s="54">
        <f ca="1">H411*MCDA_Prioritisation!$D$5+I411*MCDA_Prioritisation!$E$5+J411*P411+K411*T411+L411*X411</f>
        <v>72.878168788662819</v>
      </c>
      <c r="AC411" s="54">
        <f t="shared" ca="1" si="90"/>
        <v>1</v>
      </c>
      <c r="AD411" s="54">
        <f t="shared" ca="1" si="91"/>
        <v>2</v>
      </c>
      <c r="AE411" s="54">
        <f t="shared" ca="1" si="92"/>
        <v>3</v>
      </c>
      <c r="AF411" s="54">
        <f t="shared" ca="1" si="93"/>
        <v>4</v>
      </c>
      <c r="AG411" s="54">
        <f t="shared" ca="1" si="94"/>
        <v>1</v>
      </c>
      <c r="AH411" s="54">
        <f t="shared" ca="1" si="95"/>
        <v>1</v>
      </c>
      <c r="AI411" s="54">
        <f t="shared" ca="1" si="96"/>
        <v>1</v>
      </c>
      <c r="AJ411" s="54">
        <f t="shared" ca="1" si="97"/>
        <v>1</v>
      </c>
    </row>
    <row r="412" spans="1:36" x14ac:dyDescent="0.2">
      <c r="A412" s="54">
        <v>389</v>
      </c>
      <c r="B412" s="54">
        <f ca="1">MAX(0.02,MCDA_Prioritisation!$B$9+(RAND()-0.5)*2*$B$6)</f>
        <v>0.18814543269451589</v>
      </c>
      <c r="C412" s="54">
        <f ca="1">MAX(0.02,MCDA_Prioritisation!$B$10+(RAND()-0.5)*2*$B$6)</f>
        <v>0.29572462790037124</v>
      </c>
      <c r="D412" s="54">
        <f ca="1">MAX(0.02,MCDA_Prioritisation!$B$11+(RAND()-0.5)*2*$B$6)</f>
        <v>0.2270118491414882</v>
      </c>
      <c r="E412" s="54">
        <f ca="1">MAX(0.02,MCDA_Prioritisation!$B$12+(RAND()-0.5)*2*$B$6)</f>
        <v>0.14964679074836357</v>
      </c>
      <c r="F412" s="54">
        <f ca="1">MAX(0.02,MCDA_Prioritisation!$B$13+(RAND()-0.5)*2*$B$6)</f>
        <v>0.1354951898807723</v>
      </c>
      <c r="G412" s="54">
        <f t="shared" ca="1" si="84"/>
        <v>0.9960238903655112</v>
      </c>
      <c r="H412" s="54">
        <f t="shared" ca="1" si="85"/>
        <v>0.18889650591159224</v>
      </c>
      <c r="I412" s="54">
        <f t="shared" ca="1" si="86"/>
        <v>0.29690515534908413</v>
      </c>
      <c r="J412" s="54">
        <f t="shared" ca="1" si="87"/>
        <v>0.22791807640094014</v>
      </c>
      <c r="K412" s="54">
        <f t="shared" ca="1" si="88"/>
        <v>0.15024417807232279</v>
      </c>
      <c r="L412" s="54">
        <f t="shared" ca="1" si="89"/>
        <v>0.13603608426606073</v>
      </c>
      <c r="M412" s="54">
        <f ca="1">MIN(100,MAX(0,MCDA_Prioritisation!$F$2+(RAND()-0.5)*2*$B$7))</f>
        <v>89.114799105094988</v>
      </c>
      <c r="N412" s="54">
        <f ca="1">MIN(100,MAX(0,MCDA_Prioritisation!$F$3+(RAND()-0.5)*2*$B$7))</f>
        <v>98.806991091048161</v>
      </c>
      <c r="O412" s="54">
        <f ca="1">MIN(100,MAX(0,MCDA_Prioritisation!$F$4+(RAND()-0.5)*2*$B$7))</f>
        <v>83.228907272628675</v>
      </c>
      <c r="P412" s="54">
        <f ca="1">MIN(100,MAX(0,MCDA_Prioritisation!$F$5+(RAND()-0.5)*2*$B$7))</f>
        <v>77.948950568843571</v>
      </c>
      <c r="Q412" s="54">
        <f ca="1">MIN(100,MAX(0,MCDA_Prioritisation!$G$2+(RAND()-0.5)*2*$B$7))</f>
        <v>82.330714514996288</v>
      </c>
      <c r="R412" s="54">
        <f ca="1">MIN(100,MAX(0,MCDA_Prioritisation!$G$3+(RAND()-0.5)*2*$B$7))</f>
        <v>99.266025257315746</v>
      </c>
      <c r="S412" s="54">
        <f ca="1">MIN(100,MAX(0,MCDA_Prioritisation!$G$4+(RAND()-0.5)*2*$B$7))</f>
        <v>88.749970306504935</v>
      </c>
      <c r="T412" s="54">
        <f ca="1">MIN(100,MAX(0,MCDA_Prioritisation!$G$5+(RAND()-0.5)*2*$B$7))</f>
        <v>78.409918614687371</v>
      </c>
      <c r="U412" s="54">
        <f ca="1">MIN(100,MAX(0,MCDA_Prioritisation!$H$2+(RAND()-0.5)*2*$B$7))</f>
        <v>64.20175557372724</v>
      </c>
      <c r="V412" s="54">
        <f ca="1">MIN(100,MAX(0,MCDA_Prioritisation!$H$3+(RAND()-0.5)*2*$B$7))</f>
        <v>52.422600823702808</v>
      </c>
      <c r="W412" s="54">
        <f ca="1">MIN(100,MAX(0,MCDA_Prioritisation!$H$4+(RAND()-0.5)*2*$B$7))</f>
        <v>83.008904072760302</v>
      </c>
      <c r="X412" s="54">
        <f ca="1">MIN(100,MAX(0,MCDA_Prioritisation!$H$5+(RAND()-0.5)*2*$B$7))</f>
        <v>80.819351696883231</v>
      </c>
      <c r="Y412" s="54">
        <f ca="1">H412*MCDA_Prioritisation!$D$2+I412*MCDA_Prioritisation!$E$2+J412*M412+K412*Q412+L412*U412</f>
        <v>89.994505680626375</v>
      </c>
      <c r="Z412" s="54">
        <f ca="1">H412*MCDA_Prioritisation!$D$3+I412*MCDA_Prioritisation!$E$3+J412*N412+K412*R412+L412*V412</f>
        <v>82.667466833955643</v>
      </c>
      <c r="AA412" s="54">
        <f ca="1">H412*MCDA_Prioritisation!$D$4+I412*MCDA_Prioritisation!$E$4+J412*O412+K412*S412+L412*W412</f>
        <v>72.944213938422578</v>
      </c>
      <c r="AB412" s="54">
        <f ca="1">H412*MCDA_Prioritisation!$D$5+I412*MCDA_Prioritisation!$E$5+J412*P412+K412*T412+L412*X412</f>
        <v>75.533831346446533</v>
      </c>
      <c r="AC412" s="54">
        <f t="shared" ca="1" si="90"/>
        <v>1</v>
      </c>
      <c r="AD412" s="54">
        <f t="shared" ca="1" si="91"/>
        <v>2</v>
      </c>
      <c r="AE412" s="54">
        <f t="shared" ca="1" si="92"/>
        <v>4</v>
      </c>
      <c r="AF412" s="54">
        <f t="shared" ca="1" si="93"/>
        <v>3</v>
      </c>
      <c r="AG412" s="54">
        <f t="shared" ca="1" si="94"/>
        <v>1</v>
      </c>
      <c r="AH412" s="54">
        <f t="shared" ca="1" si="95"/>
        <v>1</v>
      </c>
      <c r="AI412" s="54">
        <f t="shared" ca="1" si="96"/>
        <v>0</v>
      </c>
      <c r="AJ412" s="54">
        <f t="shared" ca="1" si="97"/>
        <v>1</v>
      </c>
    </row>
    <row r="413" spans="1:36" x14ac:dyDescent="0.2">
      <c r="A413" s="54">
        <v>390</v>
      </c>
      <c r="B413" s="54">
        <f ca="1">MAX(0.02,MCDA_Prioritisation!$B$9+(RAND()-0.5)*2*$B$6)</f>
        <v>0.17133837263239704</v>
      </c>
      <c r="C413" s="54">
        <f ca="1">MAX(0.02,MCDA_Prioritisation!$B$10+(RAND()-0.5)*2*$B$6)</f>
        <v>0.24669722205355132</v>
      </c>
      <c r="D413" s="54">
        <f ca="1">MAX(0.02,MCDA_Prioritisation!$B$11+(RAND()-0.5)*2*$B$6)</f>
        <v>0.29318282267380097</v>
      </c>
      <c r="E413" s="54">
        <f ca="1">MAX(0.02,MCDA_Prioritisation!$B$12+(RAND()-0.5)*2*$B$6)</f>
        <v>0.15782988566030318</v>
      </c>
      <c r="F413" s="54">
        <f ca="1">MAX(0.02,MCDA_Prioritisation!$B$13+(RAND()-0.5)*2*$B$6)</f>
        <v>0.12114289832834968</v>
      </c>
      <c r="G413" s="54">
        <f t="shared" ca="1" si="84"/>
        <v>0.99019120134840222</v>
      </c>
      <c r="H413" s="54">
        <f t="shared" ca="1" si="85"/>
        <v>0.17303564442814215</v>
      </c>
      <c r="I413" s="54">
        <f t="shared" ca="1" si="86"/>
        <v>0.24914099591837319</v>
      </c>
      <c r="J413" s="54">
        <f t="shared" ca="1" si="87"/>
        <v>0.2960870812369939</v>
      </c>
      <c r="K413" s="54">
        <f t="shared" ca="1" si="88"/>
        <v>0.15939334286688958</v>
      </c>
      <c r="L413" s="54">
        <f t="shared" ca="1" si="89"/>
        <v>0.12234293554960113</v>
      </c>
      <c r="M413" s="54">
        <f ca="1">MIN(100,MAX(0,MCDA_Prioritisation!$F$2+(RAND()-0.5)*2*$B$7))</f>
        <v>79.839715163520452</v>
      </c>
      <c r="N413" s="54">
        <f ca="1">MIN(100,MAX(0,MCDA_Prioritisation!$F$3+(RAND()-0.5)*2*$B$7))</f>
        <v>98.089819011026847</v>
      </c>
      <c r="O413" s="54">
        <f ca="1">MIN(100,MAX(0,MCDA_Prioritisation!$F$4+(RAND()-0.5)*2*$B$7))</f>
        <v>85.698209851145378</v>
      </c>
      <c r="P413" s="54">
        <f ca="1">MIN(100,MAX(0,MCDA_Prioritisation!$F$5+(RAND()-0.5)*2*$B$7))</f>
        <v>81.927433418712582</v>
      </c>
      <c r="Q413" s="54">
        <f ca="1">MIN(100,MAX(0,MCDA_Prioritisation!$G$2+(RAND()-0.5)*2*$B$7))</f>
        <v>82.365942307290425</v>
      </c>
      <c r="R413" s="54">
        <f ca="1">MIN(100,MAX(0,MCDA_Prioritisation!$G$3+(RAND()-0.5)*2*$B$7))</f>
        <v>85.282561328499426</v>
      </c>
      <c r="S413" s="54">
        <f ca="1">MIN(100,MAX(0,MCDA_Prioritisation!$G$4+(RAND()-0.5)*2*$B$7))</f>
        <v>90.48382079729204</v>
      </c>
      <c r="T413" s="54">
        <f ca="1">MIN(100,MAX(0,MCDA_Prioritisation!$G$5+(RAND()-0.5)*2*$B$7))</f>
        <v>74.157953744915034</v>
      </c>
      <c r="U413" s="54">
        <f ca="1">MIN(100,MAX(0,MCDA_Prioritisation!$H$2+(RAND()-0.5)*2*$B$7))</f>
        <v>57.335791505615802</v>
      </c>
      <c r="V413" s="54">
        <f ca="1">MIN(100,MAX(0,MCDA_Prioritisation!$H$3+(RAND()-0.5)*2*$B$7))</f>
        <v>69.927764489509798</v>
      </c>
      <c r="W413" s="54">
        <f ca="1">MIN(100,MAX(0,MCDA_Prioritisation!$H$4+(RAND()-0.5)*2*$B$7))</f>
        <v>72.510267920268461</v>
      </c>
      <c r="X413" s="54">
        <f ca="1">MIN(100,MAX(0,MCDA_Prioritisation!$H$5+(RAND()-0.5)*2*$B$7))</f>
        <v>71.902067060762676</v>
      </c>
      <c r="Y413" s="54">
        <f ca="1">H413*MCDA_Prioritisation!$D$2+I413*MCDA_Prioritisation!$E$2+J413*M413+K413*Q413+L413*U413</f>
        <v>86.000384191808578</v>
      </c>
      <c r="Z413" s="54">
        <f ca="1">H413*MCDA_Prioritisation!$D$3+I413*MCDA_Prioritisation!$E$3+J413*N413+K413*R413+L413*V413</f>
        <v>84.433882292536055</v>
      </c>
      <c r="AA413" s="54">
        <f ca="1">H413*MCDA_Prioritisation!$D$4+I413*MCDA_Prioritisation!$E$4+J413*O413+K413*S413+L413*W413</f>
        <v>74.306464467970088</v>
      </c>
      <c r="AB413" s="54">
        <f ca="1">H413*MCDA_Prioritisation!$D$5+I413*MCDA_Prioritisation!$E$5+J413*P413+K413*T413+L413*X413</f>
        <v>75.009162375562937</v>
      </c>
      <c r="AC413" s="54">
        <f t="shared" ca="1" si="90"/>
        <v>1</v>
      </c>
      <c r="AD413" s="54">
        <f t="shared" ca="1" si="91"/>
        <v>2</v>
      </c>
      <c r="AE413" s="54">
        <f t="shared" ca="1" si="92"/>
        <v>4</v>
      </c>
      <c r="AF413" s="54">
        <f t="shared" ca="1" si="93"/>
        <v>3</v>
      </c>
      <c r="AG413" s="54">
        <f t="shared" ca="1" si="94"/>
        <v>1</v>
      </c>
      <c r="AH413" s="54">
        <f t="shared" ca="1" si="95"/>
        <v>1</v>
      </c>
      <c r="AI413" s="54">
        <f t="shared" ca="1" si="96"/>
        <v>0</v>
      </c>
      <c r="AJ413" s="54">
        <f t="shared" ca="1" si="97"/>
        <v>1</v>
      </c>
    </row>
    <row r="414" spans="1:36" x14ac:dyDescent="0.2">
      <c r="A414" s="54">
        <v>391</v>
      </c>
      <c r="B414" s="54">
        <f ca="1">MAX(0.02,MCDA_Prioritisation!$B$9+(RAND()-0.5)*2*$B$6)</f>
        <v>0.15923539995325217</v>
      </c>
      <c r="C414" s="54">
        <f ca="1">MAX(0.02,MCDA_Prioritisation!$B$10+(RAND()-0.5)*2*$B$6)</f>
        <v>0.25903769381929242</v>
      </c>
      <c r="D414" s="54">
        <f ca="1">MAX(0.02,MCDA_Prioritisation!$B$11+(RAND()-0.5)*2*$B$6)</f>
        <v>0.17440615044856805</v>
      </c>
      <c r="E414" s="54">
        <f ca="1">MAX(0.02,MCDA_Prioritisation!$B$12+(RAND()-0.5)*2*$B$6)</f>
        <v>0.14767983315475844</v>
      </c>
      <c r="F414" s="54">
        <f ca="1">MAX(0.02,MCDA_Prioritisation!$B$13+(RAND()-0.5)*2*$B$6)</f>
        <v>0.15149427869032389</v>
      </c>
      <c r="G414" s="54">
        <f t="shared" ca="1" si="84"/>
        <v>0.89185335606619498</v>
      </c>
      <c r="H414" s="54">
        <f t="shared" ca="1" si="85"/>
        <v>0.17854437489096966</v>
      </c>
      <c r="I414" s="54">
        <f t="shared" ca="1" si="86"/>
        <v>0.29044875153227118</v>
      </c>
      <c r="J414" s="54">
        <f t="shared" ca="1" si="87"/>
        <v>0.19555473919820437</v>
      </c>
      <c r="K414" s="54">
        <f t="shared" ca="1" si="88"/>
        <v>0.16558757350664427</v>
      </c>
      <c r="L414" s="54">
        <f t="shared" ca="1" si="89"/>
        <v>0.16986456087191054</v>
      </c>
      <c r="M414" s="54">
        <f ca="1">MIN(100,MAX(0,MCDA_Prioritisation!$F$2+(RAND()-0.5)*2*$B$7))</f>
        <v>78.082055916199209</v>
      </c>
      <c r="N414" s="54">
        <f ca="1">MIN(100,MAX(0,MCDA_Prioritisation!$F$3+(RAND()-0.5)*2*$B$7))</f>
        <v>100</v>
      </c>
      <c r="O414" s="54">
        <f ca="1">MIN(100,MAX(0,MCDA_Prioritisation!$F$4+(RAND()-0.5)*2*$B$7))</f>
        <v>86.460500078409666</v>
      </c>
      <c r="P414" s="54">
        <f ca="1">MIN(100,MAX(0,MCDA_Prioritisation!$F$5+(RAND()-0.5)*2*$B$7))</f>
        <v>77.0241510327198</v>
      </c>
      <c r="Q414" s="54">
        <f ca="1">MIN(100,MAX(0,MCDA_Prioritisation!$G$2+(RAND()-0.5)*2*$B$7))</f>
        <v>74.114280579360496</v>
      </c>
      <c r="R414" s="54">
        <f ca="1">MIN(100,MAX(0,MCDA_Prioritisation!$G$3+(RAND()-0.5)*2*$B$7))</f>
        <v>88.183426944160004</v>
      </c>
      <c r="S414" s="54">
        <f ca="1">MIN(100,MAX(0,MCDA_Prioritisation!$G$4+(RAND()-0.5)*2*$B$7))</f>
        <v>76.957456517882889</v>
      </c>
      <c r="T414" s="54">
        <f ca="1">MIN(100,MAX(0,MCDA_Prioritisation!$G$5+(RAND()-0.5)*2*$B$7))</f>
        <v>65.122465844945026</v>
      </c>
      <c r="U414" s="54">
        <f ca="1">MIN(100,MAX(0,MCDA_Prioritisation!$H$2+(RAND()-0.5)*2*$B$7))</f>
        <v>59.795334583766248</v>
      </c>
      <c r="V414" s="54">
        <f ca="1">MIN(100,MAX(0,MCDA_Prioritisation!$H$3+(RAND()-0.5)*2*$B$7))</f>
        <v>50.988548884431431</v>
      </c>
      <c r="W414" s="54">
        <f ca="1">MIN(100,MAX(0,MCDA_Prioritisation!$H$4+(RAND()-0.5)*2*$B$7))</f>
        <v>84.664360054964149</v>
      </c>
      <c r="X414" s="54">
        <f ca="1">MIN(100,MAX(0,MCDA_Prioritisation!$H$5+(RAND()-0.5)*2*$B$7))</f>
        <v>79.543346692312724</v>
      </c>
      <c r="Y414" s="54">
        <f ca="1">H414*MCDA_Prioritisation!$D$2+I414*MCDA_Prioritisation!$E$2+J414*M414+K414*Q414+L414*U414</f>
        <v>84.598140857663367</v>
      </c>
      <c r="Z414" s="54">
        <f ca="1">H414*MCDA_Prioritisation!$D$3+I414*MCDA_Prioritisation!$E$3+J414*N414+K414*R414+L414*V414</f>
        <v>79.546460675852131</v>
      </c>
      <c r="AA414" s="54">
        <f ca="1">H414*MCDA_Prioritisation!$D$4+I414*MCDA_Prioritisation!$E$4+J414*O414+K414*S414+L414*W414</f>
        <v>72.307873224880893</v>
      </c>
      <c r="AB414" s="54">
        <f ca="1">H414*MCDA_Prioritisation!$D$5+I414*MCDA_Prioritisation!$E$5+J414*P414+K414*T414+L414*X414</f>
        <v>73.258005654063268</v>
      </c>
      <c r="AC414" s="54">
        <f t="shared" ca="1" si="90"/>
        <v>1</v>
      </c>
      <c r="AD414" s="54">
        <f t="shared" ca="1" si="91"/>
        <v>2</v>
      </c>
      <c r="AE414" s="54">
        <f t="shared" ca="1" si="92"/>
        <v>4</v>
      </c>
      <c r="AF414" s="54">
        <f t="shared" ca="1" si="93"/>
        <v>3</v>
      </c>
      <c r="AG414" s="54">
        <f t="shared" ca="1" si="94"/>
        <v>1</v>
      </c>
      <c r="AH414" s="54">
        <f t="shared" ca="1" si="95"/>
        <v>1</v>
      </c>
      <c r="AI414" s="54">
        <f t="shared" ca="1" si="96"/>
        <v>0</v>
      </c>
      <c r="AJ414" s="54">
        <f t="shared" ca="1" si="97"/>
        <v>1</v>
      </c>
    </row>
    <row r="415" spans="1:36" x14ac:dyDescent="0.2">
      <c r="A415" s="54">
        <v>392</v>
      </c>
      <c r="B415" s="54">
        <f ca="1">MAX(0.02,MCDA_Prioritisation!$B$9+(RAND()-0.5)*2*$B$6)</f>
        <v>0.15859459957472033</v>
      </c>
      <c r="C415" s="54">
        <f ca="1">MAX(0.02,MCDA_Prioritisation!$B$10+(RAND()-0.5)*2*$B$6)</f>
        <v>0.18655339410143196</v>
      </c>
      <c r="D415" s="54">
        <f ca="1">MAX(0.02,MCDA_Prioritisation!$B$11+(RAND()-0.5)*2*$B$6)</f>
        <v>0.18359493530031451</v>
      </c>
      <c r="E415" s="54">
        <f ca="1">MAX(0.02,MCDA_Prioritisation!$B$12+(RAND()-0.5)*2*$B$6)</f>
        <v>0.12358265666737595</v>
      </c>
      <c r="F415" s="54">
        <f ca="1">MAX(0.02,MCDA_Prioritisation!$B$13+(RAND()-0.5)*2*$B$6)</f>
        <v>0.1251805167765408</v>
      </c>
      <c r="G415" s="54">
        <f t="shared" ca="1" si="84"/>
        <v>0.77750610242038354</v>
      </c>
      <c r="H415" s="54">
        <f t="shared" ca="1" si="85"/>
        <v>0.20397859139756447</v>
      </c>
      <c r="I415" s="54">
        <f t="shared" ca="1" si="86"/>
        <v>0.2399381735020337</v>
      </c>
      <c r="J415" s="54">
        <f t="shared" ca="1" si="87"/>
        <v>0.23613311166147996</v>
      </c>
      <c r="K415" s="54">
        <f t="shared" ca="1" si="88"/>
        <v>0.15894750701333663</v>
      </c>
      <c r="L415" s="54">
        <f t="shared" ca="1" si="89"/>
        <v>0.16100261642558522</v>
      </c>
      <c r="M415" s="54">
        <f ca="1">MIN(100,MAX(0,MCDA_Prioritisation!$F$2+(RAND()-0.5)*2*$B$7))</f>
        <v>88.919073186076659</v>
      </c>
      <c r="N415" s="54">
        <f ca="1">MIN(100,MAX(0,MCDA_Prioritisation!$F$3+(RAND()-0.5)*2*$B$7))</f>
        <v>90.684898038067018</v>
      </c>
      <c r="O415" s="54">
        <f ca="1">MIN(100,MAX(0,MCDA_Prioritisation!$F$4+(RAND()-0.5)*2*$B$7))</f>
        <v>80.706197754819385</v>
      </c>
      <c r="P415" s="54">
        <f ca="1">MIN(100,MAX(0,MCDA_Prioritisation!$F$5+(RAND()-0.5)*2*$B$7))</f>
        <v>74.817305966905167</v>
      </c>
      <c r="Q415" s="54">
        <f ca="1">MIN(100,MAX(0,MCDA_Prioritisation!$G$2+(RAND()-0.5)*2*$B$7))</f>
        <v>80.782945435719412</v>
      </c>
      <c r="R415" s="54">
        <f ca="1">MIN(100,MAX(0,MCDA_Prioritisation!$G$3+(RAND()-0.5)*2*$B$7))</f>
        <v>100</v>
      </c>
      <c r="S415" s="54">
        <f ca="1">MIN(100,MAX(0,MCDA_Prioritisation!$G$4+(RAND()-0.5)*2*$B$7))</f>
        <v>82.957917151255046</v>
      </c>
      <c r="T415" s="54">
        <f ca="1">MIN(100,MAX(0,MCDA_Prioritisation!$G$5+(RAND()-0.5)*2*$B$7))</f>
        <v>77.51313675755928</v>
      </c>
      <c r="U415" s="54">
        <f ca="1">MIN(100,MAX(0,MCDA_Prioritisation!$H$2+(RAND()-0.5)*2*$B$7))</f>
        <v>63.603552658011132</v>
      </c>
      <c r="V415" s="54">
        <f ca="1">MIN(100,MAX(0,MCDA_Prioritisation!$H$3+(RAND()-0.5)*2*$B$7))</f>
        <v>64.68714766277887</v>
      </c>
      <c r="W415" s="54">
        <f ca="1">MIN(100,MAX(0,MCDA_Prioritisation!$H$4+(RAND()-0.5)*2*$B$7))</f>
        <v>87.443964750911732</v>
      </c>
      <c r="X415" s="54">
        <f ca="1">MIN(100,MAX(0,MCDA_Prioritisation!$H$5+(RAND()-0.5)*2*$B$7))</f>
        <v>82.195214025219457</v>
      </c>
      <c r="Y415" s="54">
        <f ca="1">H415*MCDA_Prioritisation!$D$2+I415*MCDA_Prioritisation!$E$2+J415*M415+K415*Q415+L415*U415</f>
        <v>88.469000105547252</v>
      </c>
      <c r="Z415" s="54">
        <f ca="1">H415*MCDA_Prioritisation!$D$3+I415*MCDA_Prioritisation!$E$3+J415*N415+K415*R415+L415*V415</f>
        <v>83.000391025392346</v>
      </c>
      <c r="AA415" s="54">
        <f ca="1">H415*MCDA_Prioritisation!$D$4+I415*MCDA_Prioritisation!$E$4+J415*O415+K415*S415+L415*W415</f>
        <v>73.613473572676355</v>
      </c>
      <c r="AB415" s="54">
        <f ca="1">H415*MCDA_Prioritisation!$D$5+I415*MCDA_Prioritisation!$E$5+J415*P415+K415*T415+L415*X415</f>
        <v>74.223972006643478</v>
      </c>
      <c r="AC415" s="54">
        <f t="shared" ca="1" si="90"/>
        <v>1</v>
      </c>
      <c r="AD415" s="54">
        <f t="shared" ca="1" si="91"/>
        <v>2</v>
      </c>
      <c r="AE415" s="54">
        <f t="shared" ca="1" si="92"/>
        <v>4</v>
      </c>
      <c r="AF415" s="54">
        <f t="shared" ca="1" si="93"/>
        <v>3</v>
      </c>
      <c r="AG415" s="54">
        <f t="shared" ca="1" si="94"/>
        <v>1</v>
      </c>
      <c r="AH415" s="54">
        <f t="shared" ca="1" si="95"/>
        <v>1</v>
      </c>
      <c r="AI415" s="54">
        <f t="shared" ca="1" si="96"/>
        <v>0</v>
      </c>
      <c r="AJ415" s="54">
        <f t="shared" ca="1" si="97"/>
        <v>1</v>
      </c>
    </row>
    <row r="416" spans="1:36" x14ac:dyDescent="0.2">
      <c r="A416" s="54">
        <v>393</v>
      </c>
      <c r="B416" s="54">
        <f ca="1">MAX(0.02,MCDA_Prioritisation!$B$9+(RAND()-0.5)*2*$B$6)</f>
        <v>0.26563059365391722</v>
      </c>
      <c r="C416" s="54">
        <f ca="1">MAX(0.02,MCDA_Prioritisation!$B$10+(RAND()-0.5)*2*$B$6)</f>
        <v>0.19467880254068429</v>
      </c>
      <c r="D416" s="54">
        <f ca="1">MAX(0.02,MCDA_Prioritisation!$B$11+(RAND()-0.5)*2*$B$6)</f>
        <v>0.25575761765833627</v>
      </c>
      <c r="E416" s="54">
        <f ca="1">MAX(0.02,MCDA_Prioritisation!$B$12+(RAND()-0.5)*2*$B$6)</f>
        <v>0.12567059808016615</v>
      </c>
      <c r="F416" s="54">
        <f ca="1">MAX(0.02,MCDA_Prioritisation!$B$13+(RAND()-0.5)*2*$B$6)</f>
        <v>0.12935099571028932</v>
      </c>
      <c r="G416" s="54">
        <f t="shared" ca="1" si="84"/>
        <v>0.97108860764339322</v>
      </c>
      <c r="H416" s="54">
        <f t="shared" ca="1" si="85"/>
        <v>0.27353898662094395</v>
      </c>
      <c r="I416" s="54">
        <f t="shared" ca="1" si="86"/>
        <v>0.20047480838347448</v>
      </c>
      <c r="J416" s="54">
        <f t="shared" ca="1" si="87"/>
        <v>0.26337207093696702</v>
      </c>
      <c r="K416" s="54">
        <f t="shared" ca="1" si="88"/>
        <v>0.1294120815454107</v>
      </c>
      <c r="L416" s="54">
        <f t="shared" ca="1" si="89"/>
        <v>0.13320205251320391</v>
      </c>
      <c r="M416" s="54">
        <f ca="1">MIN(100,MAX(0,MCDA_Prioritisation!$F$2+(RAND()-0.5)*2*$B$7))</f>
        <v>76.406531169324438</v>
      </c>
      <c r="N416" s="54">
        <f ca="1">MIN(100,MAX(0,MCDA_Prioritisation!$F$3+(RAND()-0.5)*2*$B$7))</f>
        <v>91.938014563411329</v>
      </c>
      <c r="O416" s="54">
        <f ca="1">MIN(100,MAX(0,MCDA_Prioritisation!$F$4+(RAND()-0.5)*2*$B$7))</f>
        <v>93.824084183580254</v>
      </c>
      <c r="P416" s="54">
        <f ca="1">MIN(100,MAX(0,MCDA_Prioritisation!$F$5+(RAND()-0.5)*2*$B$7))</f>
        <v>77.058089110591027</v>
      </c>
      <c r="Q416" s="54">
        <f ca="1">MIN(100,MAX(0,MCDA_Prioritisation!$G$2+(RAND()-0.5)*2*$B$7))</f>
        <v>85.401760323931214</v>
      </c>
      <c r="R416" s="54">
        <f ca="1">MIN(100,MAX(0,MCDA_Prioritisation!$G$3+(RAND()-0.5)*2*$B$7))</f>
        <v>100</v>
      </c>
      <c r="S416" s="54">
        <f ca="1">MIN(100,MAX(0,MCDA_Prioritisation!$G$4+(RAND()-0.5)*2*$B$7))</f>
        <v>86.246196290816172</v>
      </c>
      <c r="T416" s="54">
        <f ca="1">MIN(100,MAX(0,MCDA_Prioritisation!$G$5+(RAND()-0.5)*2*$B$7))</f>
        <v>74.294985873126905</v>
      </c>
      <c r="U416" s="54">
        <f ca="1">MIN(100,MAX(0,MCDA_Prioritisation!$H$2+(RAND()-0.5)*2*$B$7))</f>
        <v>70.431189831922111</v>
      </c>
      <c r="V416" s="54">
        <f ca="1">MIN(100,MAX(0,MCDA_Prioritisation!$H$3+(RAND()-0.5)*2*$B$7))</f>
        <v>57.569667973424721</v>
      </c>
      <c r="W416" s="54">
        <f ca="1">MIN(100,MAX(0,MCDA_Prioritisation!$H$4+(RAND()-0.5)*2*$B$7))</f>
        <v>70.275276610736427</v>
      </c>
      <c r="X416" s="54">
        <f ca="1">MIN(100,MAX(0,MCDA_Prioritisation!$H$5+(RAND()-0.5)*2*$B$7))</f>
        <v>73.018704458045093</v>
      </c>
      <c r="Y416" s="54">
        <f ca="1">H416*MCDA_Prioritisation!$D$2+I416*MCDA_Prioritisation!$E$2+J416*M416+K416*Q416+L416*U416</f>
        <v>87.958324465338066</v>
      </c>
      <c r="Z416" s="54">
        <f ca="1">H416*MCDA_Prioritisation!$D$3+I416*MCDA_Prioritisation!$E$3+J416*N416+K416*R416+L416*V416</f>
        <v>83.309940293796856</v>
      </c>
      <c r="AA416" s="54">
        <f ca="1">H416*MCDA_Prioritisation!$D$4+I416*MCDA_Prioritisation!$E$4+J416*O416+K416*S416+L416*W416</f>
        <v>75.215390778065</v>
      </c>
      <c r="AB416" s="54">
        <f ca="1">H416*MCDA_Prioritisation!$D$5+I416*MCDA_Prioritisation!$E$5+J416*P416+K416*T416+L416*X416</f>
        <v>71.012292590060326</v>
      </c>
      <c r="AC416" s="54">
        <f t="shared" ca="1" si="90"/>
        <v>1</v>
      </c>
      <c r="AD416" s="54">
        <f t="shared" ca="1" si="91"/>
        <v>2</v>
      </c>
      <c r="AE416" s="54">
        <f t="shared" ca="1" si="92"/>
        <v>3</v>
      </c>
      <c r="AF416" s="54">
        <f t="shared" ca="1" si="93"/>
        <v>4</v>
      </c>
      <c r="AG416" s="54">
        <f t="shared" ca="1" si="94"/>
        <v>1</v>
      </c>
      <c r="AH416" s="54">
        <f t="shared" ca="1" si="95"/>
        <v>1</v>
      </c>
      <c r="AI416" s="54">
        <f t="shared" ca="1" si="96"/>
        <v>1</v>
      </c>
      <c r="AJ416" s="54">
        <f t="shared" ca="1" si="97"/>
        <v>1</v>
      </c>
    </row>
    <row r="417" spans="1:36" x14ac:dyDescent="0.2">
      <c r="A417" s="54">
        <v>394</v>
      </c>
      <c r="B417" s="54">
        <f ca="1">MAX(0.02,MCDA_Prioritisation!$B$9+(RAND()-0.5)*2*$B$6)</f>
        <v>0.17280052798465198</v>
      </c>
      <c r="C417" s="54">
        <f ca="1">MAX(0.02,MCDA_Prioritisation!$B$10+(RAND()-0.5)*2*$B$6)</f>
        <v>0.29113376843231509</v>
      </c>
      <c r="D417" s="54">
        <f ca="1">MAX(0.02,MCDA_Prioritisation!$B$11+(RAND()-0.5)*2*$B$6)</f>
        <v>0.23842122832649243</v>
      </c>
      <c r="E417" s="54">
        <f ca="1">MAX(0.02,MCDA_Prioritisation!$B$12+(RAND()-0.5)*2*$B$6)</f>
        <v>0.1219281156568022</v>
      </c>
      <c r="F417" s="54">
        <f ca="1">MAX(0.02,MCDA_Prioritisation!$B$13+(RAND()-0.5)*2*$B$6)</f>
        <v>0.15544923324861598</v>
      </c>
      <c r="G417" s="54">
        <f t="shared" ca="1" si="84"/>
        <v>0.97973287364887751</v>
      </c>
      <c r="H417" s="54">
        <f t="shared" ca="1" si="85"/>
        <v>0.17637514534046478</v>
      </c>
      <c r="I417" s="54">
        <f t="shared" ca="1" si="86"/>
        <v>0.2971562721459251</v>
      </c>
      <c r="J417" s="54">
        <f t="shared" ca="1" si="87"/>
        <v>0.24335330041394451</v>
      </c>
      <c r="K417" s="54">
        <f t="shared" ca="1" si="88"/>
        <v>0.12445036696859835</v>
      </c>
      <c r="L417" s="54">
        <f t="shared" ca="1" si="89"/>
        <v>0.15866491513106745</v>
      </c>
      <c r="M417" s="54">
        <f ca="1">MIN(100,MAX(0,MCDA_Prioritisation!$F$2+(RAND()-0.5)*2*$B$7))</f>
        <v>86.097457393819525</v>
      </c>
      <c r="N417" s="54">
        <f ca="1">MIN(100,MAX(0,MCDA_Prioritisation!$F$3+(RAND()-0.5)*2*$B$7))</f>
        <v>97.9515873318621</v>
      </c>
      <c r="O417" s="54">
        <f ca="1">MIN(100,MAX(0,MCDA_Prioritisation!$F$4+(RAND()-0.5)*2*$B$7))</f>
        <v>87.095689948202136</v>
      </c>
      <c r="P417" s="54">
        <f ca="1">MIN(100,MAX(0,MCDA_Prioritisation!$F$5+(RAND()-0.5)*2*$B$7))</f>
        <v>77.626203205178257</v>
      </c>
      <c r="Q417" s="54">
        <f ca="1">MIN(100,MAX(0,MCDA_Prioritisation!$G$2+(RAND()-0.5)*2*$B$7))</f>
        <v>71.895836406104252</v>
      </c>
      <c r="R417" s="54">
        <f ca="1">MIN(100,MAX(0,MCDA_Prioritisation!$G$3+(RAND()-0.5)*2*$B$7))</f>
        <v>90.131546344447543</v>
      </c>
      <c r="S417" s="54">
        <f ca="1">MIN(100,MAX(0,MCDA_Prioritisation!$G$4+(RAND()-0.5)*2*$B$7))</f>
        <v>85.717255092824217</v>
      </c>
      <c r="T417" s="54">
        <f ca="1">MIN(100,MAX(0,MCDA_Prioritisation!$G$5+(RAND()-0.5)*2*$B$7))</f>
        <v>69.384584793611126</v>
      </c>
      <c r="U417" s="54">
        <f ca="1">MIN(100,MAX(0,MCDA_Prioritisation!$H$2+(RAND()-0.5)*2*$B$7))</f>
        <v>56.801626596661215</v>
      </c>
      <c r="V417" s="54">
        <f ca="1">MIN(100,MAX(0,MCDA_Prioritisation!$H$3+(RAND()-0.5)*2*$B$7))</f>
        <v>55.154105042715543</v>
      </c>
      <c r="W417" s="54">
        <f ca="1">MIN(100,MAX(0,MCDA_Prioritisation!$H$4+(RAND()-0.5)*2*$B$7))</f>
        <v>83.241823822518072</v>
      </c>
      <c r="X417" s="54">
        <f ca="1">MIN(100,MAX(0,MCDA_Prioritisation!$H$5+(RAND()-0.5)*2*$B$7))</f>
        <v>76.648115516575174</v>
      </c>
      <c r="Y417" s="54">
        <f ca="1">H417*MCDA_Prioritisation!$D$2+I417*MCDA_Prioritisation!$E$2+J417*M417+K417*Q417+L417*U417</f>
        <v>86.265130650193782</v>
      </c>
      <c r="Z417" s="54">
        <f ca="1">H417*MCDA_Prioritisation!$D$3+I417*MCDA_Prioritisation!$E$3+J417*N417+K417*R417+L417*V417</f>
        <v>80.830762945487038</v>
      </c>
      <c r="AA417" s="54">
        <f ca="1">H417*MCDA_Prioritisation!$D$4+I417*MCDA_Prioritisation!$E$4+J417*O417+K417*S417+L417*W417</f>
        <v>73.560376582428432</v>
      </c>
      <c r="AB417" s="54">
        <f ca="1">H417*MCDA_Prioritisation!$D$5+I417*MCDA_Prioritisation!$E$5+J417*P417+K417*T417+L417*X417</f>
        <v>74.036305379724368</v>
      </c>
      <c r="AC417" s="54">
        <f t="shared" ca="1" si="90"/>
        <v>1</v>
      </c>
      <c r="AD417" s="54">
        <f t="shared" ca="1" si="91"/>
        <v>2</v>
      </c>
      <c r="AE417" s="54">
        <f t="shared" ca="1" si="92"/>
        <v>4</v>
      </c>
      <c r="AF417" s="54">
        <f t="shared" ca="1" si="93"/>
        <v>3</v>
      </c>
      <c r="AG417" s="54">
        <f t="shared" ca="1" si="94"/>
        <v>1</v>
      </c>
      <c r="AH417" s="54">
        <f t="shared" ca="1" si="95"/>
        <v>1</v>
      </c>
      <c r="AI417" s="54">
        <f t="shared" ca="1" si="96"/>
        <v>0</v>
      </c>
      <c r="AJ417" s="54">
        <f t="shared" ca="1" si="97"/>
        <v>1</v>
      </c>
    </row>
    <row r="418" spans="1:36" x14ac:dyDescent="0.2">
      <c r="A418" s="54">
        <v>395</v>
      </c>
      <c r="B418" s="54">
        <f ca="1">MAX(0.02,MCDA_Prioritisation!$B$9+(RAND()-0.5)*2*$B$6)</f>
        <v>0.19388915414120494</v>
      </c>
      <c r="C418" s="54">
        <f ca="1">MAX(0.02,MCDA_Prioritisation!$B$10+(RAND()-0.5)*2*$B$6)</f>
        <v>0.1728746722327385</v>
      </c>
      <c r="D418" s="54">
        <f ca="1">MAX(0.02,MCDA_Prioritisation!$B$11+(RAND()-0.5)*2*$B$6)</f>
        <v>0.30579380137618339</v>
      </c>
      <c r="E418" s="54">
        <f ca="1">MAX(0.02,MCDA_Prioritisation!$B$12+(RAND()-0.5)*2*$B$6)</f>
        <v>0.16552614375503419</v>
      </c>
      <c r="F418" s="54">
        <f ca="1">MAX(0.02,MCDA_Prioritisation!$B$13+(RAND()-0.5)*2*$B$6)</f>
        <v>0.16867960597266793</v>
      </c>
      <c r="G418" s="54">
        <f t="shared" ca="1" si="84"/>
        <v>1.0067633774778288</v>
      </c>
      <c r="H418" s="54">
        <f t="shared" ca="1" si="85"/>
        <v>0.1925866181455084</v>
      </c>
      <c r="I418" s="54">
        <f t="shared" ca="1" si="86"/>
        <v>0.17171331029723078</v>
      </c>
      <c r="J418" s="54">
        <f t="shared" ca="1" si="87"/>
        <v>0.30373949650638504</v>
      </c>
      <c r="K418" s="54">
        <f t="shared" ca="1" si="88"/>
        <v>0.16441414880397698</v>
      </c>
      <c r="L418" s="54">
        <f t="shared" ca="1" si="89"/>
        <v>0.16754642624689894</v>
      </c>
      <c r="M418" s="54">
        <f ca="1">MIN(100,MAX(0,MCDA_Prioritisation!$F$2+(RAND()-0.5)*2*$B$7))</f>
        <v>83.700928069671448</v>
      </c>
      <c r="N418" s="54">
        <f ca="1">MIN(100,MAX(0,MCDA_Prioritisation!$F$3+(RAND()-0.5)*2*$B$7))</f>
        <v>92.089551086552476</v>
      </c>
      <c r="O418" s="54">
        <f ca="1">MIN(100,MAX(0,MCDA_Prioritisation!$F$4+(RAND()-0.5)*2*$B$7))</f>
        <v>96.285921587943264</v>
      </c>
      <c r="P418" s="54">
        <f ca="1">MIN(100,MAX(0,MCDA_Prioritisation!$F$5+(RAND()-0.5)*2*$B$7))</f>
        <v>84.957303884009036</v>
      </c>
      <c r="Q418" s="54">
        <f ca="1">MIN(100,MAX(0,MCDA_Prioritisation!$G$2+(RAND()-0.5)*2*$B$7))</f>
        <v>79.32799942854335</v>
      </c>
      <c r="R418" s="54">
        <f ca="1">MIN(100,MAX(0,MCDA_Prioritisation!$G$3+(RAND()-0.5)*2*$B$7))</f>
        <v>95.427585782951141</v>
      </c>
      <c r="S418" s="54">
        <f ca="1">MIN(100,MAX(0,MCDA_Prioritisation!$G$4+(RAND()-0.5)*2*$B$7))</f>
        <v>81.107441445668485</v>
      </c>
      <c r="T418" s="54">
        <f ca="1">MIN(100,MAX(0,MCDA_Prioritisation!$G$5+(RAND()-0.5)*2*$B$7))</f>
        <v>61.820260565310321</v>
      </c>
      <c r="U418" s="54">
        <f ca="1">MIN(100,MAX(0,MCDA_Prioritisation!$H$2+(RAND()-0.5)*2*$B$7))</f>
        <v>65.288887905150887</v>
      </c>
      <c r="V418" s="54">
        <f ca="1">MIN(100,MAX(0,MCDA_Prioritisation!$H$3+(RAND()-0.5)*2*$B$7))</f>
        <v>51.019954975187787</v>
      </c>
      <c r="W418" s="54">
        <f ca="1">MIN(100,MAX(0,MCDA_Prioritisation!$H$4+(RAND()-0.5)*2*$B$7))</f>
        <v>82.377708759432338</v>
      </c>
      <c r="X418" s="54">
        <f ca="1">MIN(100,MAX(0,MCDA_Prioritisation!$H$5+(RAND()-0.5)*2*$B$7))</f>
        <v>79.043932862995447</v>
      </c>
      <c r="Y418" s="54">
        <f ca="1">H418*MCDA_Prioritisation!$D$2+I418*MCDA_Prioritisation!$E$2+J418*M418+K418*Q418+L418*U418</f>
        <v>85.834835937781818</v>
      </c>
      <c r="Z418" s="54">
        <f ca="1">H418*MCDA_Prioritisation!$D$3+I418*MCDA_Prioritisation!$E$3+J418*N418+K418*R418+L418*V418</f>
        <v>81.528792751391407</v>
      </c>
      <c r="AA418" s="54">
        <f ca="1">H418*MCDA_Prioritisation!$D$4+I418*MCDA_Prioritisation!$E$4+J418*O418+K418*S418+L418*W418</f>
        <v>79.159919505293914</v>
      </c>
      <c r="AB418" s="54">
        <f ca="1">H418*MCDA_Prioritisation!$D$5+I418*MCDA_Prioritisation!$E$5+J418*P418+K418*T418+L418*X418</f>
        <v>73.873777185404805</v>
      </c>
      <c r="AC418" s="54">
        <f t="shared" ca="1" si="90"/>
        <v>1</v>
      </c>
      <c r="AD418" s="54">
        <f t="shared" ca="1" si="91"/>
        <v>2</v>
      </c>
      <c r="AE418" s="54">
        <f t="shared" ca="1" si="92"/>
        <v>3</v>
      </c>
      <c r="AF418" s="54">
        <f t="shared" ca="1" si="93"/>
        <v>4</v>
      </c>
      <c r="AG418" s="54">
        <f t="shared" ca="1" si="94"/>
        <v>1</v>
      </c>
      <c r="AH418" s="54">
        <f t="shared" ca="1" si="95"/>
        <v>1</v>
      </c>
      <c r="AI418" s="54">
        <f t="shared" ca="1" si="96"/>
        <v>1</v>
      </c>
      <c r="AJ418" s="54">
        <f t="shared" ca="1" si="97"/>
        <v>1</v>
      </c>
    </row>
    <row r="419" spans="1:36" x14ac:dyDescent="0.2">
      <c r="A419" s="54">
        <v>396</v>
      </c>
      <c r="B419" s="54">
        <f ca="1">MAX(0.02,MCDA_Prioritisation!$B$9+(RAND()-0.5)*2*$B$6)</f>
        <v>0.26500682021632471</v>
      </c>
      <c r="C419" s="54">
        <f ca="1">MAX(0.02,MCDA_Prioritisation!$B$10+(RAND()-0.5)*2*$B$6)</f>
        <v>0.19862490978778952</v>
      </c>
      <c r="D419" s="54">
        <f ca="1">MAX(0.02,MCDA_Prioritisation!$B$11+(RAND()-0.5)*2*$B$6)</f>
        <v>0.25973630506938195</v>
      </c>
      <c r="E419" s="54">
        <f ca="1">MAX(0.02,MCDA_Prioritisation!$B$12+(RAND()-0.5)*2*$B$6)</f>
        <v>8.9992864640454501E-2</v>
      </c>
      <c r="F419" s="54">
        <f ca="1">MAX(0.02,MCDA_Prioritisation!$B$13+(RAND()-0.5)*2*$B$6)</f>
        <v>0.13523664164219668</v>
      </c>
      <c r="G419" s="54">
        <f t="shared" ca="1" si="84"/>
        <v>0.94859754135614738</v>
      </c>
      <c r="H419" s="54">
        <f t="shared" ca="1" si="85"/>
        <v>0.27936696930234706</v>
      </c>
      <c r="I419" s="54">
        <f t="shared" ca="1" si="86"/>
        <v>0.20938796605336818</v>
      </c>
      <c r="J419" s="54">
        <f t="shared" ca="1" si="87"/>
        <v>0.27381085628585339</v>
      </c>
      <c r="K419" s="54">
        <f t="shared" ca="1" si="88"/>
        <v>9.4869384240441557E-2</v>
      </c>
      <c r="L419" s="54">
        <f t="shared" ca="1" si="89"/>
        <v>0.14256482411798976</v>
      </c>
      <c r="M419" s="54">
        <f ca="1">MIN(100,MAX(0,MCDA_Prioritisation!$F$2+(RAND()-0.5)*2*$B$7))</f>
        <v>92.157347281659796</v>
      </c>
      <c r="N419" s="54">
        <f ca="1">MIN(100,MAX(0,MCDA_Prioritisation!$F$3+(RAND()-0.5)*2*$B$7))</f>
        <v>100</v>
      </c>
      <c r="O419" s="54">
        <f ca="1">MIN(100,MAX(0,MCDA_Prioritisation!$F$4+(RAND()-0.5)*2*$B$7))</f>
        <v>90.086710123555591</v>
      </c>
      <c r="P419" s="54">
        <f ca="1">MIN(100,MAX(0,MCDA_Prioritisation!$F$5+(RAND()-0.5)*2*$B$7))</f>
        <v>80.928174298378124</v>
      </c>
      <c r="Q419" s="54">
        <f ca="1">MIN(100,MAX(0,MCDA_Prioritisation!$G$2+(RAND()-0.5)*2*$B$7))</f>
        <v>81.996827045184943</v>
      </c>
      <c r="R419" s="54">
        <f ca="1">MIN(100,MAX(0,MCDA_Prioritisation!$G$3+(RAND()-0.5)*2*$B$7))</f>
        <v>87.622635069091388</v>
      </c>
      <c r="S419" s="54">
        <f ca="1">MIN(100,MAX(0,MCDA_Prioritisation!$G$4+(RAND()-0.5)*2*$B$7))</f>
        <v>90.344285607060712</v>
      </c>
      <c r="T419" s="54">
        <f ca="1">MIN(100,MAX(0,MCDA_Prioritisation!$G$5+(RAND()-0.5)*2*$B$7))</f>
        <v>63.445082022992558</v>
      </c>
      <c r="U419" s="54">
        <f ca="1">MIN(100,MAX(0,MCDA_Prioritisation!$H$2+(RAND()-0.5)*2*$B$7))</f>
        <v>60.282564347664618</v>
      </c>
      <c r="V419" s="54">
        <f ca="1">MIN(100,MAX(0,MCDA_Prioritisation!$H$3+(RAND()-0.5)*2*$B$7))</f>
        <v>67.515049026040728</v>
      </c>
      <c r="W419" s="54">
        <f ca="1">MIN(100,MAX(0,MCDA_Prioritisation!$H$4+(RAND()-0.5)*2*$B$7))</f>
        <v>74.606839170175547</v>
      </c>
      <c r="X419" s="54">
        <f ca="1">MIN(100,MAX(0,MCDA_Prioritisation!$H$5+(RAND()-0.5)*2*$B$7))</f>
        <v>81.834461435119593</v>
      </c>
      <c r="Y419" s="54">
        <f ca="1">H419*MCDA_Prioritisation!$D$2+I419*MCDA_Prioritisation!$E$2+J419*M419+K419*Q419+L419*U419</f>
        <v>90.482337382848442</v>
      </c>
      <c r="Z419" s="54">
        <f ca="1">H419*MCDA_Prioritisation!$D$3+I419*MCDA_Prioritisation!$E$3+J419*N419+K419*R419+L419*V419</f>
        <v>84.963067976459101</v>
      </c>
      <c r="AA419" s="54">
        <f ca="1">H419*MCDA_Prioritisation!$D$4+I419*MCDA_Prioritisation!$E$4+J419*O419+K419*S419+L419*W419</f>
        <v>74.748572128495198</v>
      </c>
      <c r="AB419" s="54">
        <f ca="1">H419*MCDA_Prioritisation!$D$5+I419*MCDA_Prioritisation!$E$5+J419*P419+K419*T419+L419*X419</f>
        <v>72.279999068861045</v>
      </c>
      <c r="AC419" s="54">
        <f t="shared" ca="1" si="90"/>
        <v>1</v>
      </c>
      <c r="AD419" s="54">
        <f t="shared" ca="1" si="91"/>
        <v>2</v>
      </c>
      <c r="AE419" s="54">
        <f t="shared" ca="1" si="92"/>
        <v>3</v>
      </c>
      <c r="AF419" s="54">
        <f t="shared" ca="1" si="93"/>
        <v>4</v>
      </c>
      <c r="AG419" s="54">
        <f t="shared" ca="1" si="94"/>
        <v>1</v>
      </c>
      <c r="AH419" s="54">
        <f t="shared" ca="1" si="95"/>
        <v>1</v>
      </c>
      <c r="AI419" s="54">
        <f t="shared" ca="1" si="96"/>
        <v>1</v>
      </c>
      <c r="AJ419" s="54">
        <f t="shared" ca="1" si="97"/>
        <v>1</v>
      </c>
    </row>
    <row r="420" spans="1:36" x14ac:dyDescent="0.2">
      <c r="A420" s="54">
        <v>397</v>
      </c>
      <c r="B420" s="54">
        <f ca="1">MAX(0.02,MCDA_Prioritisation!$B$9+(RAND()-0.5)*2*$B$6)</f>
        <v>0.2391320316693025</v>
      </c>
      <c r="C420" s="54">
        <f ca="1">MAX(0.02,MCDA_Prioritisation!$B$10+(RAND()-0.5)*2*$B$6)</f>
        <v>0.29196994178898189</v>
      </c>
      <c r="D420" s="54">
        <f ca="1">MAX(0.02,MCDA_Prioritisation!$B$11+(RAND()-0.5)*2*$B$6)</f>
        <v>0.21165950524513971</v>
      </c>
      <c r="E420" s="54">
        <f ca="1">MAX(0.02,MCDA_Prioritisation!$B$12+(RAND()-0.5)*2*$B$6)</f>
        <v>0.18079923219276259</v>
      </c>
      <c r="F420" s="54">
        <f ca="1">MAX(0.02,MCDA_Prioritisation!$B$13+(RAND()-0.5)*2*$B$6)</f>
        <v>0.16372771226783908</v>
      </c>
      <c r="G420" s="54">
        <f t="shared" ca="1" si="84"/>
        <v>1.0872884231640256</v>
      </c>
      <c r="H420" s="54">
        <f t="shared" ca="1" si="85"/>
        <v>0.21993431234503968</v>
      </c>
      <c r="I420" s="54">
        <f t="shared" ca="1" si="86"/>
        <v>0.26853035088826294</v>
      </c>
      <c r="J420" s="54">
        <f t="shared" ca="1" si="87"/>
        <v>0.19466730329861084</v>
      </c>
      <c r="K420" s="54">
        <f t="shared" ca="1" si="88"/>
        <v>0.16628451875412609</v>
      </c>
      <c r="L420" s="54">
        <f t="shared" ca="1" si="89"/>
        <v>0.15058351471396061</v>
      </c>
      <c r="M420" s="54">
        <f ca="1">MIN(100,MAX(0,MCDA_Prioritisation!$F$2+(RAND()-0.5)*2*$B$7))</f>
        <v>81.993542765247739</v>
      </c>
      <c r="N420" s="54">
        <f ca="1">MIN(100,MAX(0,MCDA_Prioritisation!$F$3+(RAND()-0.5)*2*$B$7))</f>
        <v>96.309788004849636</v>
      </c>
      <c r="O420" s="54">
        <f ca="1">MIN(100,MAX(0,MCDA_Prioritisation!$F$4+(RAND()-0.5)*2*$B$7))</f>
        <v>94.47427637492126</v>
      </c>
      <c r="P420" s="54">
        <f ca="1">MIN(100,MAX(0,MCDA_Prioritisation!$F$5+(RAND()-0.5)*2*$B$7))</f>
        <v>72.802120492187697</v>
      </c>
      <c r="Q420" s="54">
        <f ca="1">MIN(100,MAX(0,MCDA_Prioritisation!$G$2+(RAND()-0.5)*2*$B$7))</f>
        <v>80.00811598106614</v>
      </c>
      <c r="R420" s="54">
        <f ca="1">MIN(100,MAX(0,MCDA_Prioritisation!$G$3+(RAND()-0.5)*2*$B$7))</f>
        <v>96.229084299509765</v>
      </c>
      <c r="S420" s="54">
        <f ca="1">MIN(100,MAX(0,MCDA_Prioritisation!$G$4+(RAND()-0.5)*2*$B$7))</f>
        <v>79.032787120861542</v>
      </c>
      <c r="T420" s="54">
        <f ca="1">MIN(100,MAX(0,MCDA_Prioritisation!$G$5+(RAND()-0.5)*2*$B$7))</f>
        <v>73.858443049330788</v>
      </c>
      <c r="U420" s="54">
        <f ca="1">MIN(100,MAX(0,MCDA_Prioritisation!$H$2+(RAND()-0.5)*2*$B$7))</f>
        <v>62.657151424585841</v>
      </c>
      <c r="V420" s="54">
        <f ca="1">MIN(100,MAX(0,MCDA_Prioritisation!$H$3+(RAND()-0.5)*2*$B$7))</f>
        <v>62.147827033954577</v>
      </c>
      <c r="W420" s="54">
        <f ca="1">MIN(100,MAX(0,MCDA_Prioritisation!$H$4+(RAND()-0.5)*2*$B$7))</f>
        <v>70.283809422536621</v>
      </c>
      <c r="X420" s="54">
        <f ca="1">MIN(100,MAX(0,MCDA_Prioritisation!$H$5+(RAND()-0.5)*2*$B$7))</f>
        <v>73.768439684116601</v>
      </c>
      <c r="Y420" s="54">
        <f ca="1">H420*MCDA_Prioritisation!$D$2+I420*MCDA_Prioritisation!$E$2+J420*M420+K420*Q420+L420*U420</f>
        <v>87.547173327155235</v>
      </c>
      <c r="Z420" s="54">
        <f ca="1">H420*MCDA_Prioritisation!$D$3+I420*MCDA_Prioritisation!$E$3+J420*N420+K420*R420+L420*V420</f>
        <v>82.859255720035662</v>
      </c>
      <c r="AA420" s="54">
        <f ca="1">H420*MCDA_Prioritisation!$D$4+I420*MCDA_Prioritisation!$E$4+J420*O420+K420*S420+L420*W420</f>
        <v>72.078607289692314</v>
      </c>
      <c r="AB420" s="54">
        <f ca="1">H420*MCDA_Prioritisation!$D$5+I420*MCDA_Prioritisation!$E$5+J420*P420+K420*T420+L420*X420</f>
        <v>71.816189706383597</v>
      </c>
      <c r="AC420" s="54">
        <f t="shared" ca="1" si="90"/>
        <v>1</v>
      </c>
      <c r="AD420" s="54">
        <f t="shared" ca="1" si="91"/>
        <v>2</v>
      </c>
      <c r="AE420" s="54">
        <f t="shared" ca="1" si="92"/>
        <v>3</v>
      </c>
      <c r="AF420" s="54">
        <f t="shared" ca="1" si="93"/>
        <v>4</v>
      </c>
      <c r="AG420" s="54">
        <f t="shared" ca="1" si="94"/>
        <v>1</v>
      </c>
      <c r="AH420" s="54">
        <f t="shared" ca="1" si="95"/>
        <v>1</v>
      </c>
      <c r="AI420" s="54">
        <f t="shared" ca="1" si="96"/>
        <v>1</v>
      </c>
      <c r="AJ420" s="54">
        <f t="shared" ca="1" si="97"/>
        <v>1</v>
      </c>
    </row>
    <row r="421" spans="1:36" x14ac:dyDescent="0.2">
      <c r="A421" s="54">
        <v>398</v>
      </c>
      <c r="B421" s="54">
        <f ca="1">MAX(0.02,MCDA_Prioritisation!$B$9+(RAND()-0.5)*2*$B$6)</f>
        <v>0.1332028245870735</v>
      </c>
      <c r="C421" s="54">
        <f ca="1">MAX(0.02,MCDA_Prioritisation!$B$10+(RAND()-0.5)*2*$B$6)</f>
        <v>0.18649272599861899</v>
      </c>
      <c r="D421" s="54">
        <f ca="1">MAX(0.02,MCDA_Prioritisation!$B$11+(RAND()-0.5)*2*$B$6)</f>
        <v>0.2362190313477007</v>
      </c>
      <c r="E421" s="54">
        <f ca="1">MAX(0.02,MCDA_Prioritisation!$B$12+(RAND()-0.5)*2*$B$6)</f>
        <v>0.13787469333999866</v>
      </c>
      <c r="F421" s="54">
        <f ca="1">MAX(0.02,MCDA_Prioritisation!$B$13+(RAND()-0.5)*2*$B$6)</f>
        <v>7.4246762305542224E-2</v>
      </c>
      <c r="G421" s="54">
        <f t="shared" ca="1" si="84"/>
        <v>0.76803603757893413</v>
      </c>
      <c r="H421" s="54">
        <f t="shared" ca="1" si="85"/>
        <v>0.1734330396877812</v>
      </c>
      <c r="I421" s="54">
        <f t="shared" ca="1" si="86"/>
        <v>0.24281767635083451</v>
      </c>
      <c r="J421" s="54">
        <f t="shared" ca="1" si="87"/>
        <v>0.30756243169569181</v>
      </c>
      <c r="K421" s="54">
        <f t="shared" ca="1" si="88"/>
        <v>0.17951591669398551</v>
      </c>
      <c r="L421" s="54">
        <f t="shared" ca="1" si="89"/>
        <v>9.6670935571706931E-2</v>
      </c>
      <c r="M421" s="54">
        <f ca="1">MIN(100,MAX(0,MCDA_Prioritisation!$F$2+(RAND()-0.5)*2*$B$7))</f>
        <v>79.443823177312197</v>
      </c>
      <c r="N421" s="54">
        <f ca="1">MIN(100,MAX(0,MCDA_Prioritisation!$F$3+(RAND()-0.5)*2*$B$7))</f>
        <v>100</v>
      </c>
      <c r="O421" s="54">
        <f ca="1">MIN(100,MAX(0,MCDA_Prioritisation!$F$4+(RAND()-0.5)*2*$B$7))</f>
        <v>82.45598133815065</v>
      </c>
      <c r="P421" s="54">
        <f ca="1">MIN(100,MAX(0,MCDA_Prioritisation!$F$5+(RAND()-0.5)*2*$B$7))</f>
        <v>84.329383782467474</v>
      </c>
      <c r="Q421" s="54">
        <f ca="1">MIN(100,MAX(0,MCDA_Prioritisation!$G$2+(RAND()-0.5)*2*$B$7))</f>
        <v>81.919316111343278</v>
      </c>
      <c r="R421" s="54">
        <f ca="1">MIN(100,MAX(0,MCDA_Prioritisation!$G$3+(RAND()-0.5)*2*$B$7))</f>
        <v>100</v>
      </c>
      <c r="S421" s="54">
        <f ca="1">MIN(100,MAX(0,MCDA_Prioritisation!$G$4+(RAND()-0.5)*2*$B$7))</f>
        <v>84.616280874844847</v>
      </c>
      <c r="T421" s="54">
        <f ca="1">MIN(100,MAX(0,MCDA_Prioritisation!$G$5+(RAND()-0.5)*2*$B$7))</f>
        <v>78.809311123369625</v>
      </c>
      <c r="U421" s="54">
        <f ca="1">MIN(100,MAX(0,MCDA_Prioritisation!$H$2+(RAND()-0.5)*2*$B$7))</f>
        <v>70.989737274244902</v>
      </c>
      <c r="V421" s="54">
        <f ca="1">MIN(100,MAX(0,MCDA_Prioritisation!$H$3+(RAND()-0.5)*2*$B$7))</f>
        <v>59.062383306034683</v>
      </c>
      <c r="W421" s="54">
        <f ca="1">MIN(100,MAX(0,MCDA_Prioritisation!$H$4+(RAND()-0.5)*2*$B$7))</f>
        <v>80.541638417018802</v>
      </c>
      <c r="X421" s="54">
        <f ca="1">MIN(100,MAX(0,MCDA_Prioritisation!$H$5+(RAND()-0.5)*2*$B$7))</f>
        <v>81.828670614540044</v>
      </c>
      <c r="Y421" s="54">
        <f ca="1">H421*MCDA_Prioritisation!$D$2+I421*MCDA_Prioritisation!$E$2+J421*M421+K421*Q421+L421*U421</f>
        <v>87.62747248844137</v>
      </c>
      <c r="Z421" s="54">
        <f ca="1">H421*MCDA_Prioritisation!$D$3+I421*MCDA_Prioritisation!$E$3+J421*N421+K421*R421+L421*V421</f>
        <v>87.234417553184414</v>
      </c>
      <c r="AA421" s="54">
        <f ca="1">H421*MCDA_Prioritisation!$D$4+I421*MCDA_Prioritisation!$E$4+J421*O421+K421*S421+L421*W421</f>
        <v>73.657824763463111</v>
      </c>
      <c r="AB421" s="54">
        <f ca="1">H421*MCDA_Prioritisation!$D$5+I421*MCDA_Prioritisation!$E$5+J421*P421+K421*T421+L421*X421</f>
        <v>77.618402268384429</v>
      </c>
      <c r="AC421" s="54">
        <f t="shared" ca="1" si="90"/>
        <v>1</v>
      </c>
      <c r="AD421" s="54">
        <f t="shared" ca="1" si="91"/>
        <v>2</v>
      </c>
      <c r="AE421" s="54">
        <f t="shared" ca="1" si="92"/>
        <v>4</v>
      </c>
      <c r="AF421" s="54">
        <f t="shared" ca="1" si="93"/>
        <v>3</v>
      </c>
      <c r="AG421" s="54">
        <f t="shared" ca="1" si="94"/>
        <v>1</v>
      </c>
      <c r="AH421" s="54">
        <f t="shared" ca="1" si="95"/>
        <v>1</v>
      </c>
      <c r="AI421" s="54">
        <f t="shared" ca="1" si="96"/>
        <v>0</v>
      </c>
      <c r="AJ421" s="54">
        <f t="shared" ca="1" si="97"/>
        <v>1</v>
      </c>
    </row>
    <row r="422" spans="1:36" x14ac:dyDescent="0.2">
      <c r="A422" s="54">
        <v>399</v>
      </c>
      <c r="B422" s="54">
        <f ca="1">MAX(0.02,MCDA_Prioritisation!$B$9+(RAND()-0.5)*2*$B$6)</f>
        <v>0.13029749524964751</v>
      </c>
      <c r="C422" s="54">
        <f ca="1">MAX(0.02,MCDA_Prioritisation!$B$10+(RAND()-0.5)*2*$B$6)</f>
        <v>0.24093510922734948</v>
      </c>
      <c r="D422" s="54">
        <f ca="1">MAX(0.02,MCDA_Prioritisation!$B$11+(RAND()-0.5)*2*$B$6)</f>
        <v>0.19954139781305316</v>
      </c>
      <c r="E422" s="54">
        <f ca="1">MAX(0.02,MCDA_Prioritisation!$B$12+(RAND()-0.5)*2*$B$6)</f>
        <v>0.12584503363809924</v>
      </c>
      <c r="F422" s="54">
        <f ca="1">MAX(0.02,MCDA_Prioritisation!$B$13+(RAND()-0.5)*2*$B$6)</f>
        <v>0.11343365648054857</v>
      </c>
      <c r="G422" s="54">
        <f t="shared" ca="1" si="84"/>
        <v>0.81005269240869804</v>
      </c>
      <c r="H422" s="54">
        <f t="shared" ca="1" si="85"/>
        <v>0.16085064153321543</v>
      </c>
      <c r="I422" s="54">
        <f t="shared" ca="1" si="86"/>
        <v>0.29743140351885883</v>
      </c>
      <c r="J422" s="54">
        <f t="shared" ca="1" si="87"/>
        <v>0.2463313802707269</v>
      </c>
      <c r="K422" s="54">
        <f t="shared" ca="1" si="88"/>
        <v>0.15535413290695702</v>
      </c>
      <c r="L422" s="54">
        <f t="shared" ca="1" si="89"/>
        <v>0.14003244177024177</v>
      </c>
      <c r="M422" s="54">
        <f ca="1">MIN(100,MAX(0,MCDA_Prioritisation!$F$2+(RAND()-0.5)*2*$B$7))</f>
        <v>76.611446874143709</v>
      </c>
      <c r="N422" s="54">
        <f ca="1">MIN(100,MAX(0,MCDA_Prioritisation!$F$3+(RAND()-0.5)*2*$B$7))</f>
        <v>88.095715924303846</v>
      </c>
      <c r="O422" s="54">
        <f ca="1">MIN(100,MAX(0,MCDA_Prioritisation!$F$4+(RAND()-0.5)*2*$B$7))</f>
        <v>96.268331922267507</v>
      </c>
      <c r="P422" s="54">
        <f ca="1">MIN(100,MAX(0,MCDA_Prioritisation!$F$5+(RAND()-0.5)*2*$B$7))</f>
        <v>81.807659259989123</v>
      </c>
      <c r="Q422" s="54">
        <f ca="1">MIN(100,MAX(0,MCDA_Prioritisation!$G$2+(RAND()-0.5)*2*$B$7))</f>
        <v>83.28519544500476</v>
      </c>
      <c r="R422" s="54">
        <f ca="1">MIN(100,MAX(0,MCDA_Prioritisation!$G$3+(RAND()-0.5)*2*$B$7))</f>
        <v>99.272664307693475</v>
      </c>
      <c r="S422" s="54">
        <f ca="1">MIN(100,MAX(0,MCDA_Prioritisation!$G$4+(RAND()-0.5)*2*$B$7))</f>
        <v>90.559935614328069</v>
      </c>
      <c r="T422" s="54">
        <f ca="1">MIN(100,MAX(0,MCDA_Prioritisation!$G$5+(RAND()-0.5)*2*$B$7))</f>
        <v>65.70070891692518</v>
      </c>
      <c r="U422" s="54">
        <f ca="1">MIN(100,MAX(0,MCDA_Prioritisation!$H$2+(RAND()-0.5)*2*$B$7))</f>
        <v>69.499815521099819</v>
      </c>
      <c r="V422" s="54">
        <f ca="1">MIN(100,MAX(0,MCDA_Prioritisation!$H$3+(RAND()-0.5)*2*$B$7))</f>
        <v>62.710000022321474</v>
      </c>
      <c r="W422" s="54">
        <f ca="1">MIN(100,MAX(0,MCDA_Prioritisation!$H$4+(RAND()-0.5)*2*$B$7))</f>
        <v>84.370733736823212</v>
      </c>
      <c r="X422" s="54">
        <f ca="1">MIN(100,MAX(0,MCDA_Prioritisation!$H$5+(RAND()-0.5)*2*$B$7))</f>
        <v>71.563895318855756</v>
      </c>
      <c r="Y422" s="54">
        <f ca="1">H422*MCDA_Prioritisation!$D$2+I422*MCDA_Prioritisation!$E$2+J422*M422+K422*Q422+L422*U422</f>
        <v>87.370936150598823</v>
      </c>
      <c r="Z422" s="54">
        <f ca="1">H422*MCDA_Prioritisation!$D$3+I422*MCDA_Prioritisation!$E$3+J422*N422+K422*R422+L422*V422</f>
        <v>81.593804875304372</v>
      </c>
      <c r="AA422" s="54">
        <f ca="1">H422*MCDA_Prioritisation!$D$4+I422*MCDA_Prioritisation!$E$4+J422*O422+K422*S422+L422*W422</f>
        <v>77.021635412083526</v>
      </c>
      <c r="AB422" s="54">
        <f ca="1">H422*MCDA_Prioritisation!$D$5+I422*MCDA_Prioritisation!$E$5+J422*P422+K422*T422+L422*X422</f>
        <v>73.928505333356497</v>
      </c>
      <c r="AC422" s="54">
        <f t="shared" ca="1" si="90"/>
        <v>1</v>
      </c>
      <c r="AD422" s="54">
        <f t="shared" ca="1" si="91"/>
        <v>2</v>
      </c>
      <c r="AE422" s="54">
        <f t="shared" ca="1" si="92"/>
        <v>3</v>
      </c>
      <c r="AF422" s="54">
        <f t="shared" ca="1" si="93"/>
        <v>4</v>
      </c>
      <c r="AG422" s="54">
        <f t="shared" ca="1" si="94"/>
        <v>1</v>
      </c>
      <c r="AH422" s="54">
        <f t="shared" ca="1" si="95"/>
        <v>1</v>
      </c>
      <c r="AI422" s="54">
        <f t="shared" ca="1" si="96"/>
        <v>1</v>
      </c>
      <c r="AJ422" s="54">
        <f t="shared" ca="1" si="97"/>
        <v>1</v>
      </c>
    </row>
    <row r="423" spans="1:36" x14ac:dyDescent="0.2">
      <c r="A423" s="54">
        <v>400</v>
      </c>
      <c r="B423" s="54">
        <f ca="1">MAX(0.02,MCDA_Prioritisation!$B$9+(RAND()-0.5)*2*$B$6)</f>
        <v>0.17419868280787454</v>
      </c>
      <c r="C423" s="54">
        <f ca="1">MAX(0.02,MCDA_Prioritisation!$B$10+(RAND()-0.5)*2*$B$6)</f>
        <v>0.31597868899981452</v>
      </c>
      <c r="D423" s="54">
        <f ca="1">MAX(0.02,MCDA_Prioritisation!$B$11+(RAND()-0.5)*2*$B$6)</f>
        <v>0.31562716532031165</v>
      </c>
      <c r="E423" s="54">
        <f ca="1">MAX(0.02,MCDA_Prioritisation!$B$12+(RAND()-0.5)*2*$B$6)</f>
        <v>0.22334692054501537</v>
      </c>
      <c r="F423" s="54">
        <f ca="1">MAX(0.02,MCDA_Prioritisation!$B$13+(RAND()-0.5)*2*$B$6)</f>
        <v>0.116801635277238</v>
      </c>
      <c r="G423" s="54">
        <f t="shared" ca="1" si="84"/>
        <v>1.1459530929502542</v>
      </c>
      <c r="H423" s="54">
        <f t="shared" ca="1" si="85"/>
        <v>0.15201205344225771</v>
      </c>
      <c r="I423" s="54">
        <f t="shared" ca="1" si="86"/>
        <v>0.27573440042500164</v>
      </c>
      <c r="J423" s="54">
        <f t="shared" ca="1" si="87"/>
        <v>0.27542764818386245</v>
      </c>
      <c r="K423" s="54">
        <f t="shared" ca="1" si="88"/>
        <v>0.1949005783212375</v>
      </c>
      <c r="L423" s="54">
        <f t="shared" ca="1" si="89"/>
        <v>0.10192531962764061</v>
      </c>
      <c r="M423" s="54">
        <f ca="1">MIN(100,MAX(0,MCDA_Prioritisation!$F$2+(RAND()-0.5)*2*$B$7))</f>
        <v>92.784091377165893</v>
      </c>
      <c r="N423" s="54">
        <f ca="1">MIN(100,MAX(0,MCDA_Prioritisation!$F$3+(RAND()-0.5)*2*$B$7))</f>
        <v>100</v>
      </c>
      <c r="O423" s="54">
        <f ca="1">MIN(100,MAX(0,MCDA_Prioritisation!$F$4+(RAND()-0.5)*2*$B$7))</f>
        <v>91.176449171600908</v>
      </c>
      <c r="P423" s="54">
        <f ca="1">MIN(100,MAX(0,MCDA_Prioritisation!$F$5+(RAND()-0.5)*2*$B$7))</f>
        <v>80.80048061443182</v>
      </c>
      <c r="Q423" s="54">
        <f ca="1">MIN(100,MAX(0,MCDA_Prioritisation!$G$2+(RAND()-0.5)*2*$B$7))</f>
        <v>70.178600658690073</v>
      </c>
      <c r="R423" s="54">
        <f ca="1">MIN(100,MAX(0,MCDA_Prioritisation!$G$3+(RAND()-0.5)*2*$B$7))</f>
        <v>98.257005751049945</v>
      </c>
      <c r="S423" s="54">
        <f ca="1">MIN(100,MAX(0,MCDA_Prioritisation!$G$4+(RAND()-0.5)*2*$B$7))</f>
        <v>86.905422434168472</v>
      </c>
      <c r="T423" s="54">
        <f ca="1">MIN(100,MAX(0,MCDA_Prioritisation!$G$5+(RAND()-0.5)*2*$B$7))</f>
        <v>67.357691802750537</v>
      </c>
      <c r="U423" s="54">
        <f ca="1">MIN(100,MAX(0,MCDA_Prioritisation!$H$2+(RAND()-0.5)*2*$B$7))</f>
        <v>57.243272491240347</v>
      </c>
      <c r="V423" s="54">
        <f ca="1">MIN(100,MAX(0,MCDA_Prioritisation!$H$3+(RAND()-0.5)*2*$B$7))</f>
        <v>59.996139739814666</v>
      </c>
      <c r="W423" s="54">
        <f ca="1">MIN(100,MAX(0,MCDA_Prioritisation!$H$4+(RAND()-0.5)*2*$B$7))</f>
        <v>83.114046115769142</v>
      </c>
      <c r="X423" s="54">
        <f ca="1">MIN(100,MAX(0,MCDA_Prioritisation!$H$5+(RAND()-0.5)*2*$B$7))</f>
        <v>83.434984842860658</v>
      </c>
      <c r="Y423" s="54">
        <f ca="1">H423*MCDA_Prioritisation!$D$2+I423*MCDA_Prioritisation!$E$2+J423*M423+K423*Q423+L423*U423</f>
        <v>87.842338162971004</v>
      </c>
      <c r="Z423" s="54">
        <f ca="1">H423*MCDA_Prioritisation!$D$3+I423*MCDA_Prioritisation!$E$3+J423*N423+K423*R423+L423*V423</f>
        <v>86.147021723052475</v>
      </c>
      <c r="AA423" s="54">
        <f ca="1">H423*MCDA_Prioritisation!$D$4+I423*MCDA_Prioritisation!$E$4+J423*O423+K423*S423+L423*W423</f>
        <v>76.14714176122591</v>
      </c>
      <c r="AB423" s="54">
        <f ca="1">H423*MCDA_Prioritisation!$D$5+I423*MCDA_Prioritisation!$E$5+J423*P423+K423*T423+L423*X423</f>
        <v>75.141808332202785</v>
      </c>
      <c r="AC423" s="54">
        <f t="shared" ca="1" si="90"/>
        <v>1</v>
      </c>
      <c r="AD423" s="54">
        <f t="shared" ca="1" si="91"/>
        <v>2</v>
      </c>
      <c r="AE423" s="54">
        <f t="shared" ca="1" si="92"/>
        <v>3</v>
      </c>
      <c r="AF423" s="54">
        <f t="shared" ca="1" si="93"/>
        <v>4</v>
      </c>
      <c r="AG423" s="54">
        <f t="shared" ca="1" si="94"/>
        <v>1</v>
      </c>
      <c r="AH423" s="54">
        <f t="shared" ca="1" si="95"/>
        <v>1</v>
      </c>
      <c r="AI423" s="54">
        <f t="shared" ca="1" si="96"/>
        <v>1</v>
      </c>
      <c r="AJ423" s="54">
        <f t="shared" ca="1" si="97"/>
        <v>1</v>
      </c>
    </row>
    <row r="424" spans="1:36" x14ac:dyDescent="0.2">
      <c r="A424" s="54">
        <v>401</v>
      </c>
      <c r="B424" s="54">
        <f ca="1">MAX(0.02,MCDA_Prioritisation!$B$9+(RAND()-0.5)*2*$B$6)</f>
        <v>0.25943902051920958</v>
      </c>
      <c r="C424" s="54">
        <f ca="1">MAX(0.02,MCDA_Prioritisation!$B$10+(RAND()-0.5)*2*$B$6)</f>
        <v>0.21078724468232113</v>
      </c>
      <c r="D424" s="54">
        <f ca="1">MAX(0.02,MCDA_Prioritisation!$B$11+(RAND()-0.5)*2*$B$6)</f>
        <v>0.31029820130231578</v>
      </c>
      <c r="E424" s="54">
        <f ca="1">MAX(0.02,MCDA_Prioritisation!$B$12+(RAND()-0.5)*2*$B$6)</f>
        <v>0.22886134241893974</v>
      </c>
      <c r="F424" s="54">
        <f ca="1">MAX(0.02,MCDA_Prioritisation!$B$13+(RAND()-0.5)*2*$B$6)</f>
        <v>0.20395285947959785</v>
      </c>
      <c r="G424" s="54">
        <f t="shared" ca="1" si="84"/>
        <v>1.2133386684023839</v>
      </c>
      <c r="H424" s="54">
        <f t="shared" ca="1" si="85"/>
        <v>0.21382242837510135</v>
      </c>
      <c r="I424" s="54">
        <f t="shared" ca="1" si="86"/>
        <v>0.17372498723696572</v>
      </c>
      <c r="J424" s="54">
        <f t="shared" ca="1" si="87"/>
        <v>0.25573915130463021</v>
      </c>
      <c r="K424" s="54">
        <f t="shared" ca="1" si="88"/>
        <v>0.18862115613630276</v>
      </c>
      <c r="L424" s="54">
        <f t="shared" ca="1" si="89"/>
        <v>0.1680922769470001</v>
      </c>
      <c r="M424" s="54">
        <f ca="1">MIN(100,MAX(0,MCDA_Prioritisation!$F$2+(RAND()-0.5)*2*$B$7))</f>
        <v>84.994360660258053</v>
      </c>
      <c r="N424" s="54">
        <f ca="1">MIN(100,MAX(0,MCDA_Prioritisation!$F$3+(RAND()-0.5)*2*$B$7))</f>
        <v>90.422297594371173</v>
      </c>
      <c r="O424" s="54">
        <f ca="1">MIN(100,MAX(0,MCDA_Prioritisation!$F$4+(RAND()-0.5)*2*$B$7))</f>
        <v>91.041179661123437</v>
      </c>
      <c r="P424" s="54">
        <f ca="1">MIN(100,MAX(0,MCDA_Prioritisation!$F$5+(RAND()-0.5)*2*$B$7))</f>
        <v>70.467928015455669</v>
      </c>
      <c r="Q424" s="54">
        <f ca="1">MIN(100,MAX(0,MCDA_Prioritisation!$G$2+(RAND()-0.5)*2*$B$7))</f>
        <v>79.424283687827625</v>
      </c>
      <c r="R424" s="54">
        <f ca="1">MIN(100,MAX(0,MCDA_Prioritisation!$G$3+(RAND()-0.5)*2*$B$7))</f>
        <v>93.781327201231392</v>
      </c>
      <c r="S424" s="54">
        <f ca="1">MIN(100,MAX(0,MCDA_Prioritisation!$G$4+(RAND()-0.5)*2*$B$7))</f>
        <v>79.733225360445033</v>
      </c>
      <c r="T424" s="54">
        <f ca="1">MIN(100,MAX(0,MCDA_Prioritisation!$G$5+(RAND()-0.5)*2*$B$7))</f>
        <v>60.843753090564078</v>
      </c>
      <c r="U424" s="54">
        <f ca="1">MIN(100,MAX(0,MCDA_Prioritisation!$H$2+(RAND()-0.5)*2*$B$7))</f>
        <v>67.698142384098304</v>
      </c>
      <c r="V424" s="54">
        <f ca="1">MIN(100,MAX(0,MCDA_Prioritisation!$H$3+(RAND()-0.5)*2*$B$7))</f>
        <v>50.25203193152413</v>
      </c>
      <c r="W424" s="54">
        <f ca="1">MIN(100,MAX(0,MCDA_Prioritisation!$H$4+(RAND()-0.5)*2*$B$7))</f>
        <v>79.227104482755664</v>
      </c>
      <c r="X424" s="54">
        <f ca="1">MIN(100,MAX(0,MCDA_Prioritisation!$H$5+(RAND()-0.5)*2*$B$7))</f>
        <v>66.978046860726323</v>
      </c>
      <c r="Y424" s="54">
        <f ca="1">H424*MCDA_Prioritisation!$D$2+I424*MCDA_Prioritisation!$E$2+J424*M424+K424*Q424+L424*U424</f>
        <v>86.851762335061778</v>
      </c>
      <c r="Z424" s="54">
        <f ca="1">H424*MCDA_Prioritisation!$D$3+I424*MCDA_Prioritisation!$E$3+J424*N424+K424*R424+L424*V424</f>
        <v>80.58259140427154</v>
      </c>
      <c r="AA424" s="54">
        <f ca="1">H424*MCDA_Prioritisation!$D$4+I424*MCDA_Prioritisation!$E$4+J424*O424+K424*S424+L424*W424</f>
        <v>76.004876888824285</v>
      </c>
      <c r="AB424" s="54">
        <f ca="1">H424*MCDA_Prioritisation!$D$5+I424*MCDA_Prioritisation!$E$5+J424*P424+K424*T424+L424*X424</f>
        <v>66.713827317203354</v>
      </c>
      <c r="AC424" s="54">
        <f t="shared" ca="1" si="90"/>
        <v>1</v>
      </c>
      <c r="AD424" s="54">
        <f t="shared" ca="1" si="91"/>
        <v>2</v>
      </c>
      <c r="AE424" s="54">
        <f t="shared" ca="1" si="92"/>
        <v>3</v>
      </c>
      <c r="AF424" s="54">
        <f t="shared" ca="1" si="93"/>
        <v>4</v>
      </c>
      <c r="AG424" s="54">
        <f t="shared" ca="1" si="94"/>
        <v>1</v>
      </c>
      <c r="AH424" s="54">
        <f t="shared" ca="1" si="95"/>
        <v>1</v>
      </c>
      <c r="AI424" s="54">
        <f t="shared" ca="1" si="96"/>
        <v>1</v>
      </c>
      <c r="AJ424" s="54">
        <f t="shared" ca="1" si="97"/>
        <v>1</v>
      </c>
    </row>
    <row r="425" spans="1:36" x14ac:dyDescent="0.2">
      <c r="A425" s="54">
        <v>402</v>
      </c>
      <c r="B425" s="54">
        <f ca="1">MAX(0.02,MCDA_Prioritisation!$B$9+(RAND()-0.5)*2*$B$6)</f>
        <v>0.15338576461003406</v>
      </c>
      <c r="C425" s="54">
        <f ca="1">MAX(0.02,MCDA_Prioritisation!$B$10+(RAND()-0.5)*2*$B$6)</f>
        <v>0.21859226108430757</v>
      </c>
      <c r="D425" s="54">
        <f ca="1">MAX(0.02,MCDA_Prioritisation!$B$11+(RAND()-0.5)*2*$B$6)</f>
        <v>0.30073766810358143</v>
      </c>
      <c r="E425" s="54">
        <f ca="1">MAX(0.02,MCDA_Prioritisation!$B$12+(RAND()-0.5)*2*$B$6)</f>
        <v>0.20672431807317165</v>
      </c>
      <c r="F425" s="54">
        <f ca="1">MAX(0.02,MCDA_Prioritisation!$B$13+(RAND()-0.5)*2*$B$6)</f>
        <v>0.18844616677496098</v>
      </c>
      <c r="G425" s="54">
        <f t="shared" ca="1" si="84"/>
        <v>1.0678861786460558</v>
      </c>
      <c r="H425" s="54">
        <f t="shared" ca="1" si="85"/>
        <v>0.14363493757781165</v>
      </c>
      <c r="I425" s="54">
        <f t="shared" ca="1" si="86"/>
        <v>0.20469621712068117</v>
      </c>
      <c r="J425" s="54">
        <f t="shared" ca="1" si="87"/>
        <v>0.28161959028712091</v>
      </c>
      <c r="K425" s="54">
        <f t="shared" ca="1" si="88"/>
        <v>0.19358272651798139</v>
      </c>
      <c r="L425" s="54">
        <f t="shared" ca="1" si="89"/>
        <v>0.17646652849640473</v>
      </c>
      <c r="M425" s="54">
        <f ca="1">MIN(100,MAX(0,MCDA_Prioritisation!$F$2+(RAND()-0.5)*2*$B$7))</f>
        <v>93.42878170171727</v>
      </c>
      <c r="N425" s="54">
        <f ca="1">MIN(100,MAX(0,MCDA_Prioritisation!$F$3+(RAND()-0.5)*2*$B$7))</f>
        <v>85.732951298812409</v>
      </c>
      <c r="O425" s="54">
        <f ca="1">MIN(100,MAX(0,MCDA_Prioritisation!$F$4+(RAND()-0.5)*2*$B$7))</f>
        <v>89.626916183129268</v>
      </c>
      <c r="P425" s="54">
        <f ca="1">MIN(100,MAX(0,MCDA_Prioritisation!$F$5+(RAND()-0.5)*2*$B$7))</f>
        <v>77.539028502874586</v>
      </c>
      <c r="Q425" s="54">
        <f ca="1">MIN(100,MAX(0,MCDA_Prioritisation!$G$2+(RAND()-0.5)*2*$B$7))</f>
        <v>82.464205126258491</v>
      </c>
      <c r="R425" s="54">
        <f ca="1">MIN(100,MAX(0,MCDA_Prioritisation!$G$3+(RAND()-0.5)*2*$B$7))</f>
        <v>96.761233708722955</v>
      </c>
      <c r="S425" s="54">
        <f ca="1">MIN(100,MAX(0,MCDA_Prioritisation!$G$4+(RAND()-0.5)*2*$B$7))</f>
        <v>90.277479264023839</v>
      </c>
      <c r="T425" s="54">
        <f ca="1">MIN(100,MAX(0,MCDA_Prioritisation!$G$5+(RAND()-0.5)*2*$B$7))</f>
        <v>66.073801512098925</v>
      </c>
      <c r="U425" s="54">
        <f ca="1">MIN(100,MAX(0,MCDA_Prioritisation!$H$2+(RAND()-0.5)*2*$B$7))</f>
        <v>63.974672212437873</v>
      </c>
      <c r="V425" s="54">
        <f ca="1">MIN(100,MAX(0,MCDA_Prioritisation!$H$3+(RAND()-0.5)*2*$B$7))</f>
        <v>66.543151058239175</v>
      </c>
      <c r="W425" s="54">
        <f ca="1">MIN(100,MAX(0,MCDA_Prioritisation!$H$4+(RAND()-0.5)*2*$B$7))</f>
        <v>77.87367131198576</v>
      </c>
      <c r="X425" s="54">
        <f ca="1">MIN(100,MAX(0,MCDA_Prioritisation!$H$5+(RAND()-0.5)*2*$B$7))</f>
        <v>80.797884371006205</v>
      </c>
      <c r="Y425" s="54">
        <f ca="1">H425*MCDA_Prioritisation!$D$2+I425*MCDA_Prioritisation!$E$2+J425*M425+K425*Q425+L425*U425</f>
        <v>88.397524679215294</v>
      </c>
      <c r="Z425" s="54">
        <f ca="1">H425*MCDA_Prioritisation!$D$3+I425*MCDA_Prioritisation!$E$3+J425*N425+K425*R425+L425*V425</f>
        <v>82.058258084292717</v>
      </c>
      <c r="AA425" s="54">
        <f ca="1">H425*MCDA_Prioritisation!$D$4+I425*MCDA_Prioritisation!$E$4+J425*O425+K425*S425+L425*W425</f>
        <v>77.626093318057642</v>
      </c>
      <c r="AB425" s="54">
        <f ca="1">H425*MCDA_Prioritisation!$D$5+I425*MCDA_Prioritisation!$E$5+J425*P425+K425*T425+L425*X425</f>
        <v>73.722021357761648</v>
      </c>
      <c r="AC425" s="54">
        <f t="shared" ca="1" si="90"/>
        <v>1</v>
      </c>
      <c r="AD425" s="54">
        <f t="shared" ca="1" si="91"/>
        <v>2</v>
      </c>
      <c r="AE425" s="54">
        <f t="shared" ca="1" si="92"/>
        <v>3</v>
      </c>
      <c r="AF425" s="54">
        <f t="shared" ca="1" si="93"/>
        <v>4</v>
      </c>
      <c r="AG425" s="54">
        <f t="shared" ca="1" si="94"/>
        <v>1</v>
      </c>
      <c r="AH425" s="54">
        <f t="shared" ca="1" si="95"/>
        <v>1</v>
      </c>
      <c r="AI425" s="54">
        <f t="shared" ca="1" si="96"/>
        <v>1</v>
      </c>
      <c r="AJ425" s="54">
        <f t="shared" ca="1" si="97"/>
        <v>1</v>
      </c>
    </row>
    <row r="426" spans="1:36" x14ac:dyDescent="0.2">
      <c r="A426" s="54">
        <v>403</v>
      </c>
      <c r="B426" s="54">
        <f ca="1">MAX(0.02,MCDA_Prioritisation!$B$9+(RAND()-0.5)*2*$B$6)</f>
        <v>0.17763885180429745</v>
      </c>
      <c r="C426" s="54">
        <f ca="1">MAX(0.02,MCDA_Prioritisation!$B$10+(RAND()-0.5)*2*$B$6)</f>
        <v>0.26372146521706236</v>
      </c>
      <c r="D426" s="54">
        <f ca="1">MAX(0.02,MCDA_Prioritisation!$B$11+(RAND()-0.5)*2*$B$6)</f>
        <v>0.25917190847368421</v>
      </c>
      <c r="E426" s="54">
        <f ca="1">MAX(0.02,MCDA_Prioritisation!$B$12+(RAND()-0.5)*2*$B$6)</f>
        <v>0.16730503152349543</v>
      </c>
      <c r="F426" s="54">
        <f ca="1">MAX(0.02,MCDA_Prioritisation!$B$13+(RAND()-0.5)*2*$B$6)</f>
        <v>0.21957632435165281</v>
      </c>
      <c r="G426" s="54">
        <f t="shared" ca="1" si="84"/>
        <v>1.0874135813701922</v>
      </c>
      <c r="H426" s="54">
        <f t="shared" ca="1" si="85"/>
        <v>0.16335905201815132</v>
      </c>
      <c r="I426" s="54">
        <f t="shared" ca="1" si="86"/>
        <v>0.24252176884232118</v>
      </c>
      <c r="J426" s="54">
        <f t="shared" ca="1" si="87"/>
        <v>0.23833793591865521</v>
      </c>
      <c r="K426" s="54">
        <f t="shared" ca="1" si="88"/>
        <v>0.15385593337236347</v>
      </c>
      <c r="L426" s="54">
        <f t="shared" ca="1" si="89"/>
        <v>0.2019253098485089</v>
      </c>
      <c r="M426" s="54">
        <f ca="1">MIN(100,MAX(0,MCDA_Prioritisation!$F$2+(RAND()-0.5)*2*$B$7))</f>
        <v>77.150691668152888</v>
      </c>
      <c r="N426" s="54">
        <f ca="1">MIN(100,MAX(0,MCDA_Prioritisation!$F$3+(RAND()-0.5)*2*$B$7))</f>
        <v>92.652662238192505</v>
      </c>
      <c r="O426" s="54">
        <f ca="1">MIN(100,MAX(0,MCDA_Prioritisation!$F$4+(RAND()-0.5)*2*$B$7))</f>
        <v>91.887227117038933</v>
      </c>
      <c r="P426" s="54">
        <f ca="1">MIN(100,MAX(0,MCDA_Prioritisation!$F$5+(RAND()-0.5)*2*$B$7))</f>
        <v>65.210405628965077</v>
      </c>
      <c r="Q426" s="54">
        <f ca="1">MIN(100,MAX(0,MCDA_Prioritisation!$G$2+(RAND()-0.5)*2*$B$7))</f>
        <v>71.209018422521012</v>
      </c>
      <c r="R426" s="54">
        <f ca="1">MIN(100,MAX(0,MCDA_Prioritisation!$G$3+(RAND()-0.5)*2*$B$7))</f>
        <v>100</v>
      </c>
      <c r="S426" s="54">
        <f ca="1">MIN(100,MAX(0,MCDA_Prioritisation!$G$4+(RAND()-0.5)*2*$B$7))</f>
        <v>91.33117330976188</v>
      </c>
      <c r="T426" s="54">
        <f ca="1">MIN(100,MAX(0,MCDA_Prioritisation!$G$5+(RAND()-0.5)*2*$B$7))</f>
        <v>68.00784715622612</v>
      </c>
      <c r="U426" s="54">
        <f ca="1">MIN(100,MAX(0,MCDA_Prioritisation!$H$2+(RAND()-0.5)*2*$B$7))</f>
        <v>60.436727612819688</v>
      </c>
      <c r="V426" s="54">
        <f ca="1">MIN(100,MAX(0,MCDA_Prioritisation!$H$3+(RAND()-0.5)*2*$B$7))</f>
        <v>58.771536869664381</v>
      </c>
      <c r="W426" s="54">
        <f ca="1">MIN(100,MAX(0,MCDA_Prioritisation!$H$4+(RAND()-0.5)*2*$B$7))</f>
        <v>76.166491158156674</v>
      </c>
      <c r="X426" s="54">
        <f ca="1">MIN(100,MAX(0,MCDA_Prioritisation!$H$5+(RAND()-0.5)*2*$B$7))</f>
        <v>76.365404456865505</v>
      </c>
      <c r="Y426" s="54">
        <f ca="1">H426*MCDA_Prioritisation!$D$2+I426*MCDA_Prioritisation!$E$2+J426*M426+K426*Q426+L426*U426</f>
        <v>82.135653636306756</v>
      </c>
      <c r="Z426" s="54">
        <f ca="1">H426*MCDA_Prioritisation!$D$3+I426*MCDA_Prioritisation!$E$3+J426*N426+K426*R426+L426*V426</f>
        <v>81.250710040919998</v>
      </c>
      <c r="AA426" s="54">
        <f ca="1">H426*MCDA_Prioritisation!$D$4+I426*MCDA_Prioritisation!$E$4+J426*O426+K426*S426+L426*W426</f>
        <v>75.935821469708515</v>
      </c>
      <c r="AB426" s="54">
        <f ca="1">H426*MCDA_Prioritisation!$D$5+I426*MCDA_Prioritisation!$E$5+J426*P426+K426*T426+L426*X426</f>
        <v>70.489935298153355</v>
      </c>
      <c r="AC426" s="54">
        <f t="shared" ca="1" si="90"/>
        <v>1</v>
      </c>
      <c r="AD426" s="54">
        <f t="shared" ca="1" si="91"/>
        <v>2</v>
      </c>
      <c r="AE426" s="54">
        <f t="shared" ca="1" si="92"/>
        <v>3</v>
      </c>
      <c r="AF426" s="54">
        <f t="shared" ca="1" si="93"/>
        <v>4</v>
      </c>
      <c r="AG426" s="54">
        <f t="shared" ca="1" si="94"/>
        <v>1</v>
      </c>
      <c r="AH426" s="54">
        <f t="shared" ca="1" si="95"/>
        <v>1</v>
      </c>
      <c r="AI426" s="54">
        <f t="shared" ca="1" si="96"/>
        <v>1</v>
      </c>
      <c r="AJ426" s="54">
        <f t="shared" ca="1" si="97"/>
        <v>1</v>
      </c>
    </row>
    <row r="427" spans="1:36" x14ac:dyDescent="0.2">
      <c r="A427" s="54">
        <v>404</v>
      </c>
      <c r="B427" s="54">
        <f ca="1">MAX(0.02,MCDA_Prioritisation!$B$9+(RAND()-0.5)*2*$B$6)</f>
        <v>0.12635389915093062</v>
      </c>
      <c r="C427" s="54">
        <f ca="1">MAX(0.02,MCDA_Prioritisation!$B$10+(RAND()-0.5)*2*$B$6)</f>
        <v>0.26897784019526982</v>
      </c>
      <c r="D427" s="54">
        <f ca="1">MAX(0.02,MCDA_Prioritisation!$B$11+(RAND()-0.5)*2*$B$6)</f>
        <v>0.26004605373399597</v>
      </c>
      <c r="E427" s="54">
        <f ca="1">MAX(0.02,MCDA_Prioritisation!$B$12+(RAND()-0.5)*2*$B$6)</f>
        <v>0.16847737594499729</v>
      </c>
      <c r="F427" s="54">
        <f ca="1">MAX(0.02,MCDA_Prioritisation!$B$13+(RAND()-0.5)*2*$B$6)</f>
        <v>0.1402650418311098</v>
      </c>
      <c r="G427" s="54">
        <f t="shared" ca="1" si="84"/>
        <v>0.96412021085630362</v>
      </c>
      <c r="H427" s="54">
        <f t="shared" ca="1" si="85"/>
        <v>0.13105616678101453</v>
      </c>
      <c r="I427" s="54">
        <f t="shared" ca="1" si="86"/>
        <v>0.27898786600103687</v>
      </c>
      <c r="J427" s="54">
        <f t="shared" ca="1" si="87"/>
        <v>0.26972368259247526</v>
      </c>
      <c r="K427" s="54">
        <f t="shared" ca="1" si="88"/>
        <v>0.17474727118868358</v>
      </c>
      <c r="L427" s="54">
        <f t="shared" ca="1" si="89"/>
        <v>0.14548501343678966</v>
      </c>
      <c r="M427" s="54">
        <f ca="1">MIN(100,MAX(0,MCDA_Prioritisation!$F$2+(RAND()-0.5)*2*$B$7))</f>
        <v>82.316416403407715</v>
      </c>
      <c r="N427" s="54">
        <f ca="1">MIN(100,MAX(0,MCDA_Prioritisation!$F$3+(RAND()-0.5)*2*$B$7))</f>
        <v>100</v>
      </c>
      <c r="O427" s="54">
        <f ca="1">MIN(100,MAX(0,MCDA_Prioritisation!$F$4+(RAND()-0.5)*2*$B$7))</f>
        <v>99.487871133609644</v>
      </c>
      <c r="P427" s="54">
        <f ca="1">MIN(100,MAX(0,MCDA_Prioritisation!$F$5+(RAND()-0.5)*2*$B$7))</f>
        <v>71.096903178087402</v>
      </c>
      <c r="Q427" s="54">
        <f ca="1">MIN(100,MAX(0,MCDA_Prioritisation!$G$2+(RAND()-0.5)*2*$B$7))</f>
        <v>73.655171024311471</v>
      </c>
      <c r="R427" s="54">
        <f ca="1">MIN(100,MAX(0,MCDA_Prioritisation!$G$3+(RAND()-0.5)*2*$B$7))</f>
        <v>94.023386665756163</v>
      </c>
      <c r="S427" s="54">
        <f ca="1">MIN(100,MAX(0,MCDA_Prioritisation!$G$4+(RAND()-0.5)*2*$B$7))</f>
        <v>81.454878871269557</v>
      </c>
      <c r="T427" s="54">
        <f ca="1">MIN(100,MAX(0,MCDA_Prioritisation!$G$5+(RAND()-0.5)*2*$B$7))</f>
        <v>60.182658661324304</v>
      </c>
      <c r="U427" s="54">
        <f ca="1">MIN(100,MAX(0,MCDA_Prioritisation!$H$2+(RAND()-0.5)*2*$B$7))</f>
        <v>69.073249567379648</v>
      </c>
      <c r="V427" s="54">
        <f ca="1">MIN(100,MAX(0,MCDA_Prioritisation!$H$3+(RAND()-0.5)*2*$B$7))</f>
        <v>51.222423184040053</v>
      </c>
      <c r="W427" s="54">
        <f ca="1">MIN(100,MAX(0,MCDA_Prioritisation!$H$4+(RAND()-0.5)*2*$B$7))</f>
        <v>71.055751179820732</v>
      </c>
      <c r="X427" s="54">
        <f ca="1">MIN(100,MAX(0,MCDA_Prioritisation!$H$5+(RAND()-0.5)*2*$B$7))</f>
        <v>66.579889912155494</v>
      </c>
      <c r="Y427" s="54">
        <f ca="1">H427*MCDA_Prioritisation!$D$2+I427*MCDA_Prioritisation!$E$2+J427*M427+K427*Q427+L427*U427</f>
        <v>86.127253035215091</v>
      </c>
      <c r="Z427" s="54">
        <f ca="1">H427*MCDA_Prioritisation!$D$3+I427*MCDA_Prioritisation!$E$3+J427*N427+K427*R427+L427*V427</f>
        <v>82.598714792644785</v>
      </c>
      <c r="AA427" s="54">
        <f ca="1">H427*MCDA_Prioritisation!$D$4+I427*MCDA_Prioritisation!$E$4+J427*O427+K427*S427+L427*W427</f>
        <v>75.749300689820515</v>
      </c>
      <c r="AB427" s="54">
        <f ca="1">H427*MCDA_Prioritisation!$D$5+I427*MCDA_Prioritisation!$E$5+J427*P427+K427*T427+L427*X427</f>
        <v>69.795916044452738</v>
      </c>
      <c r="AC427" s="54">
        <f t="shared" ca="1" si="90"/>
        <v>1</v>
      </c>
      <c r="AD427" s="54">
        <f t="shared" ca="1" si="91"/>
        <v>2</v>
      </c>
      <c r="AE427" s="54">
        <f t="shared" ca="1" si="92"/>
        <v>3</v>
      </c>
      <c r="AF427" s="54">
        <f t="shared" ca="1" si="93"/>
        <v>4</v>
      </c>
      <c r="AG427" s="54">
        <f t="shared" ca="1" si="94"/>
        <v>1</v>
      </c>
      <c r="AH427" s="54">
        <f t="shared" ca="1" si="95"/>
        <v>1</v>
      </c>
      <c r="AI427" s="54">
        <f t="shared" ca="1" si="96"/>
        <v>1</v>
      </c>
      <c r="AJ427" s="54">
        <f t="shared" ca="1" si="97"/>
        <v>1</v>
      </c>
    </row>
    <row r="428" spans="1:36" x14ac:dyDescent="0.2">
      <c r="A428" s="54">
        <v>405</v>
      </c>
      <c r="B428" s="54">
        <f ca="1">MAX(0.02,MCDA_Prioritisation!$B$9+(RAND()-0.5)*2*$B$6)</f>
        <v>0.1579283863752669</v>
      </c>
      <c r="C428" s="54">
        <f ca="1">MAX(0.02,MCDA_Prioritisation!$B$10+(RAND()-0.5)*2*$B$6)</f>
        <v>0.18696637009544992</v>
      </c>
      <c r="D428" s="54">
        <f ca="1">MAX(0.02,MCDA_Prioritisation!$B$11+(RAND()-0.5)*2*$B$6)</f>
        <v>0.22747704463010837</v>
      </c>
      <c r="E428" s="54">
        <f ca="1">MAX(0.02,MCDA_Prioritisation!$B$12+(RAND()-0.5)*2*$B$6)</f>
        <v>8.2286296075263027E-2</v>
      </c>
      <c r="F428" s="54">
        <f ca="1">MAX(0.02,MCDA_Prioritisation!$B$13+(RAND()-0.5)*2*$B$6)</f>
        <v>7.3480474986925115E-2</v>
      </c>
      <c r="G428" s="54">
        <f t="shared" ca="1" si="84"/>
        <v>0.72813857216301336</v>
      </c>
      <c r="H428" s="54">
        <f t="shared" ca="1" si="85"/>
        <v>0.21689331181305746</v>
      </c>
      <c r="I428" s="54">
        <f t="shared" ca="1" si="86"/>
        <v>0.25677306112220694</v>
      </c>
      <c r="J428" s="54">
        <f t="shared" ca="1" si="87"/>
        <v>0.31240900197659288</v>
      </c>
      <c r="K428" s="54">
        <f t="shared" ca="1" si="88"/>
        <v>0.11300911560120047</v>
      </c>
      <c r="L428" s="54">
        <f t="shared" ca="1" si="89"/>
        <v>0.1009155094869422</v>
      </c>
      <c r="M428" s="54">
        <f ca="1">MIN(100,MAX(0,MCDA_Prioritisation!$F$2+(RAND()-0.5)*2*$B$7))</f>
        <v>90.302358173648031</v>
      </c>
      <c r="N428" s="54">
        <f ca="1">MIN(100,MAX(0,MCDA_Prioritisation!$F$3+(RAND()-0.5)*2*$B$7))</f>
        <v>89.786693268947218</v>
      </c>
      <c r="O428" s="54">
        <f ca="1">MIN(100,MAX(0,MCDA_Prioritisation!$F$4+(RAND()-0.5)*2*$B$7))</f>
        <v>84.105949728334309</v>
      </c>
      <c r="P428" s="54">
        <f ca="1">MIN(100,MAX(0,MCDA_Prioritisation!$F$5+(RAND()-0.5)*2*$B$7))</f>
        <v>65.562726481134121</v>
      </c>
      <c r="Q428" s="54">
        <f ca="1">MIN(100,MAX(0,MCDA_Prioritisation!$G$2+(RAND()-0.5)*2*$B$7))</f>
        <v>75.076839687034109</v>
      </c>
      <c r="R428" s="54">
        <f ca="1">MIN(100,MAX(0,MCDA_Prioritisation!$G$3+(RAND()-0.5)*2*$B$7))</f>
        <v>99.161600173769969</v>
      </c>
      <c r="S428" s="54">
        <f ca="1">MIN(100,MAX(0,MCDA_Prioritisation!$G$4+(RAND()-0.5)*2*$B$7))</f>
        <v>84.862174647174896</v>
      </c>
      <c r="T428" s="54">
        <f ca="1">MIN(100,MAX(0,MCDA_Prioritisation!$G$5+(RAND()-0.5)*2*$B$7))</f>
        <v>66.651739513516574</v>
      </c>
      <c r="U428" s="54">
        <f ca="1">MIN(100,MAX(0,MCDA_Prioritisation!$H$2+(RAND()-0.5)*2*$B$7))</f>
        <v>74.230280908202218</v>
      </c>
      <c r="V428" s="54">
        <f ca="1">MIN(100,MAX(0,MCDA_Prioritisation!$H$3+(RAND()-0.5)*2*$B$7))</f>
        <v>54.770080644980936</v>
      </c>
      <c r="W428" s="54">
        <f ca="1">MIN(100,MAX(0,MCDA_Prioritisation!$H$4+(RAND()-0.5)*2*$B$7))</f>
        <v>84.762916163237918</v>
      </c>
      <c r="X428" s="54">
        <f ca="1">MIN(100,MAX(0,MCDA_Prioritisation!$H$5+(RAND()-0.5)*2*$B$7))</f>
        <v>68.079126542650897</v>
      </c>
      <c r="Y428" s="54">
        <f ca="1">H428*MCDA_Prioritisation!$D$2+I428*MCDA_Prioritisation!$E$2+J428*M428+K428*Q428+L428*U428</f>
        <v>91.553260759063562</v>
      </c>
      <c r="Z428" s="54">
        <f ca="1">H428*MCDA_Prioritisation!$D$3+I428*MCDA_Prioritisation!$E$3+J428*N428+K428*R428+L428*V428</f>
        <v>82.413680919432707</v>
      </c>
      <c r="AA428" s="54">
        <f ca="1">H428*MCDA_Prioritisation!$D$4+I428*MCDA_Prioritisation!$E$4+J428*O428+K428*S428+L428*W428</f>
        <v>73.52852652945181</v>
      </c>
      <c r="AB428" s="54">
        <f ca="1">H428*MCDA_Prioritisation!$D$5+I428*MCDA_Prioritisation!$E$5+J428*P428+K428*T428+L428*X428</f>
        <v>67.988965483723419</v>
      </c>
      <c r="AC428" s="54">
        <f t="shared" ca="1" si="90"/>
        <v>1</v>
      </c>
      <c r="AD428" s="54">
        <f t="shared" ca="1" si="91"/>
        <v>2</v>
      </c>
      <c r="AE428" s="54">
        <f t="shared" ca="1" si="92"/>
        <v>3</v>
      </c>
      <c r="AF428" s="54">
        <f t="shared" ca="1" si="93"/>
        <v>4</v>
      </c>
      <c r="AG428" s="54">
        <f t="shared" ca="1" si="94"/>
        <v>1</v>
      </c>
      <c r="AH428" s="54">
        <f t="shared" ca="1" si="95"/>
        <v>1</v>
      </c>
      <c r="AI428" s="54">
        <f t="shared" ca="1" si="96"/>
        <v>1</v>
      </c>
      <c r="AJ428" s="54">
        <f t="shared" ca="1" si="97"/>
        <v>1</v>
      </c>
    </row>
    <row r="429" spans="1:36" x14ac:dyDescent="0.2">
      <c r="A429" s="54">
        <v>406</v>
      </c>
      <c r="B429" s="54">
        <f ca="1">MAX(0.02,MCDA_Prioritisation!$B$9+(RAND()-0.5)*2*$B$6)</f>
        <v>0.13584032077465186</v>
      </c>
      <c r="C429" s="54">
        <f ca="1">MAX(0.02,MCDA_Prioritisation!$B$10+(RAND()-0.5)*2*$B$6)</f>
        <v>0.25567905546856817</v>
      </c>
      <c r="D429" s="54">
        <f ca="1">MAX(0.02,MCDA_Prioritisation!$B$11+(RAND()-0.5)*2*$B$6)</f>
        <v>0.18055253621014394</v>
      </c>
      <c r="E429" s="54">
        <f ca="1">MAX(0.02,MCDA_Prioritisation!$B$12+(RAND()-0.5)*2*$B$6)</f>
        <v>0.1246907452319288</v>
      </c>
      <c r="F429" s="54">
        <f ca="1">MAX(0.02,MCDA_Prioritisation!$B$13+(RAND()-0.5)*2*$B$6)</f>
        <v>8.0715038995550714E-2</v>
      </c>
      <c r="G429" s="54">
        <f t="shared" ca="1" si="84"/>
        <v>0.77747769668084343</v>
      </c>
      <c r="H429" s="54">
        <f t="shared" ca="1" si="85"/>
        <v>0.17471925092458909</v>
      </c>
      <c r="I429" s="54">
        <f t="shared" ca="1" si="86"/>
        <v>0.32885709334183649</v>
      </c>
      <c r="J429" s="54">
        <f t="shared" ca="1" si="87"/>
        <v>0.23222857321945947</v>
      </c>
      <c r="K429" s="54">
        <f t="shared" ca="1" si="88"/>
        <v>0.16037854946096888</v>
      </c>
      <c r="L429" s="54">
        <f t="shared" ca="1" si="89"/>
        <v>0.10381653305314614</v>
      </c>
      <c r="M429" s="54">
        <f ca="1">MIN(100,MAX(0,MCDA_Prioritisation!$F$2+(RAND()-0.5)*2*$B$7))</f>
        <v>88.602449240549831</v>
      </c>
      <c r="N429" s="54">
        <f ca="1">MIN(100,MAX(0,MCDA_Prioritisation!$F$3+(RAND()-0.5)*2*$B$7))</f>
        <v>88.194015248208416</v>
      </c>
      <c r="O429" s="54">
        <f ca="1">MIN(100,MAX(0,MCDA_Prioritisation!$F$4+(RAND()-0.5)*2*$B$7))</f>
        <v>86.279656447373483</v>
      </c>
      <c r="P429" s="54">
        <f ca="1">MIN(100,MAX(0,MCDA_Prioritisation!$F$5+(RAND()-0.5)*2*$B$7))</f>
        <v>68.583178533431592</v>
      </c>
      <c r="Q429" s="54">
        <f ca="1">MIN(100,MAX(0,MCDA_Prioritisation!$G$2+(RAND()-0.5)*2*$B$7))</f>
        <v>74.026639051656659</v>
      </c>
      <c r="R429" s="54">
        <f ca="1">MIN(100,MAX(0,MCDA_Prioritisation!$G$3+(RAND()-0.5)*2*$B$7))</f>
        <v>98.782974853862811</v>
      </c>
      <c r="S429" s="54">
        <f ca="1">MIN(100,MAX(0,MCDA_Prioritisation!$G$4+(RAND()-0.5)*2*$B$7))</f>
        <v>81.373293810124167</v>
      </c>
      <c r="T429" s="54">
        <f ca="1">MIN(100,MAX(0,MCDA_Prioritisation!$G$5+(RAND()-0.5)*2*$B$7))</f>
        <v>65.845665535093886</v>
      </c>
      <c r="U429" s="54">
        <f ca="1">MIN(100,MAX(0,MCDA_Prioritisation!$H$2+(RAND()-0.5)*2*$B$7))</f>
        <v>62.34255729491808</v>
      </c>
      <c r="V429" s="54">
        <f ca="1">MIN(100,MAX(0,MCDA_Prioritisation!$H$3+(RAND()-0.5)*2*$B$7))</f>
        <v>57.671267973312879</v>
      </c>
      <c r="W429" s="54">
        <f ca="1">MIN(100,MAX(0,MCDA_Prioritisation!$H$4+(RAND()-0.5)*2*$B$7))</f>
        <v>76.847582963844957</v>
      </c>
      <c r="X429" s="54">
        <f ca="1">MIN(100,MAX(0,MCDA_Prioritisation!$H$5+(RAND()-0.5)*2*$B$7))</f>
        <v>71.938817145646581</v>
      </c>
      <c r="Y429" s="54">
        <f ca="1">H429*MCDA_Prioritisation!$D$2+I429*MCDA_Prioritisation!$E$2+J429*M429+K429*Q429+L429*U429</f>
        <v>89.278127950125963</v>
      </c>
      <c r="Z429" s="54">
        <f ca="1">H429*MCDA_Prioritisation!$D$3+I429*MCDA_Prioritisation!$E$3+J429*N429+K429*R429+L429*V429</f>
        <v>81.497861448302189</v>
      </c>
      <c r="AA429" s="54">
        <f ca="1">H429*MCDA_Prioritisation!$D$4+I429*MCDA_Prioritisation!$E$4+J429*O429+K429*S429+L429*W429</f>
        <v>71.169263144109337</v>
      </c>
      <c r="AB429" s="54">
        <f ca="1">H429*MCDA_Prioritisation!$D$5+I429*MCDA_Prioritisation!$E$5+J429*P429+K429*T429+L429*X429</f>
        <v>70.882916264427266</v>
      </c>
      <c r="AC429" s="54">
        <f t="shared" ca="1" si="90"/>
        <v>1</v>
      </c>
      <c r="AD429" s="54">
        <f t="shared" ca="1" si="91"/>
        <v>2</v>
      </c>
      <c r="AE429" s="54">
        <f t="shared" ca="1" si="92"/>
        <v>3</v>
      </c>
      <c r="AF429" s="54">
        <f t="shared" ca="1" si="93"/>
        <v>4</v>
      </c>
      <c r="AG429" s="54">
        <f t="shared" ca="1" si="94"/>
        <v>1</v>
      </c>
      <c r="AH429" s="54">
        <f t="shared" ca="1" si="95"/>
        <v>1</v>
      </c>
      <c r="AI429" s="54">
        <f t="shared" ca="1" si="96"/>
        <v>1</v>
      </c>
      <c r="AJ429" s="54">
        <f t="shared" ca="1" si="97"/>
        <v>1</v>
      </c>
    </row>
    <row r="430" spans="1:36" x14ac:dyDescent="0.2">
      <c r="A430" s="54">
        <v>407</v>
      </c>
      <c r="B430" s="54">
        <f ca="1">MAX(0.02,MCDA_Prioritisation!$B$9+(RAND()-0.5)*2*$B$6)</f>
        <v>0.17767152655383781</v>
      </c>
      <c r="C430" s="54">
        <f ca="1">MAX(0.02,MCDA_Prioritisation!$B$10+(RAND()-0.5)*2*$B$6)</f>
        <v>0.29663216985643243</v>
      </c>
      <c r="D430" s="54">
        <f ca="1">MAX(0.02,MCDA_Prioritisation!$B$11+(RAND()-0.5)*2*$B$6)</f>
        <v>0.25623582923506921</v>
      </c>
      <c r="E430" s="54">
        <f ca="1">MAX(0.02,MCDA_Prioritisation!$B$12+(RAND()-0.5)*2*$B$6)</f>
        <v>0.1272351150099143</v>
      </c>
      <c r="F430" s="54">
        <f ca="1">MAX(0.02,MCDA_Prioritisation!$B$13+(RAND()-0.5)*2*$B$6)</f>
        <v>8.301044629614697E-2</v>
      </c>
      <c r="G430" s="54">
        <f t="shared" ca="1" si="84"/>
        <v>0.94078508695140073</v>
      </c>
      <c r="H430" s="54">
        <f t="shared" ca="1" si="85"/>
        <v>0.18885453119753373</v>
      </c>
      <c r="I430" s="54">
        <f t="shared" ca="1" si="86"/>
        <v>0.31530279760031521</v>
      </c>
      <c r="J430" s="54">
        <f t="shared" ca="1" si="87"/>
        <v>0.27236382973012185</v>
      </c>
      <c r="K430" s="54">
        <f t="shared" ca="1" si="88"/>
        <v>0.13524355006754804</v>
      </c>
      <c r="L430" s="54">
        <f t="shared" ca="1" si="89"/>
        <v>8.8235291404481137E-2</v>
      </c>
      <c r="M430" s="54">
        <f ca="1">MIN(100,MAX(0,MCDA_Prioritisation!$F$2+(RAND()-0.5)*2*$B$7))</f>
        <v>79.983675050806468</v>
      </c>
      <c r="N430" s="54">
        <f ca="1">MIN(100,MAX(0,MCDA_Prioritisation!$F$3+(RAND()-0.5)*2*$B$7))</f>
        <v>95.216725137061289</v>
      </c>
      <c r="O430" s="54">
        <f ca="1">MIN(100,MAX(0,MCDA_Prioritisation!$F$4+(RAND()-0.5)*2*$B$7))</f>
        <v>97.020272959382112</v>
      </c>
      <c r="P430" s="54">
        <f ca="1">MIN(100,MAX(0,MCDA_Prioritisation!$F$5+(RAND()-0.5)*2*$B$7))</f>
        <v>74.496018686188563</v>
      </c>
      <c r="Q430" s="54">
        <f ca="1">MIN(100,MAX(0,MCDA_Prioritisation!$G$2+(RAND()-0.5)*2*$B$7))</f>
        <v>88.26673977205796</v>
      </c>
      <c r="R430" s="54">
        <f ca="1">MIN(100,MAX(0,MCDA_Prioritisation!$G$3+(RAND()-0.5)*2*$B$7))</f>
        <v>98.232021752390025</v>
      </c>
      <c r="S430" s="54">
        <f ca="1">MIN(100,MAX(0,MCDA_Prioritisation!$G$4+(RAND()-0.5)*2*$B$7))</f>
        <v>87.142960649542317</v>
      </c>
      <c r="T430" s="54">
        <f ca="1">MIN(100,MAX(0,MCDA_Prioritisation!$G$5+(RAND()-0.5)*2*$B$7))</f>
        <v>64.776631355961086</v>
      </c>
      <c r="U430" s="54">
        <f ca="1">MIN(100,MAX(0,MCDA_Prioritisation!$H$2+(RAND()-0.5)*2*$B$7))</f>
        <v>71.700301646000014</v>
      </c>
      <c r="V430" s="54">
        <f ca="1">MIN(100,MAX(0,MCDA_Prioritisation!$H$3+(RAND()-0.5)*2*$B$7))</f>
        <v>55.217928311317237</v>
      </c>
      <c r="W430" s="54">
        <f ca="1">MIN(100,MAX(0,MCDA_Prioritisation!$H$4+(RAND()-0.5)*2*$B$7))</f>
        <v>85.462783101844963</v>
      </c>
      <c r="X430" s="54">
        <f ca="1">MIN(100,MAX(0,MCDA_Prioritisation!$H$5+(RAND()-0.5)*2*$B$7))</f>
        <v>70.218120417091029</v>
      </c>
      <c r="Y430" s="54">
        <f ca="1">H430*MCDA_Prioritisation!$D$2+I430*MCDA_Prioritisation!$E$2+J430*M430+K430*Q430+L430*U430</f>
        <v>90.464397181697706</v>
      </c>
      <c r="Z430" s="54">
        <f ca="1">H430*MCDA_Prioritisation!$D$3+I430*MCDA_Prioritisation!$E$3+J430*N430+K430*R430+L430*V430</f>
        <v>83.527410919431517</v>
      </c>
      <c r="AA430" s="54">
        <f ca="1">H430*MCDA_Prioritisation!$D$4+I430*MCDA_Prioritisation!$E$4+J430*O430+K430*S430+L430*W430</f>
        <v>76.100223804346271</v>
      </c>
      <c r="AB430" s="54">
        <f ca="1">H430*MCDA_Prioritisation!$D$5+I430*MCDA_Prioritisation!$E$5+J430*P430+K430*T430+L430*X430</f>
        <v>71.784080031204411</v>
      </c>
      <c r="AC430" s="54">
        <f t="shared" ca="1" si="90"/>
        <v>1</v>
      </c>
      <c r="AD430" s="54">
        <f t="shared" ca="1" si="91"/>
        <v>2</v>
      </c>
      <c r="AE430" s="54">
        <f t="shared" ca="1" si="92"/>
        <v>3</v>
      </c>
      <c r="AF430" s="54">
        <f t="shared" ca="1" si="93"/>
        <v>4</v>
      </c>
      <c r="AG430" s="54">
        <f t="shared" ca="1" si="94"/>
        <v>1</v>
      </c>
      <c r="AH430" s="54">
        <f t="shared" ca="1" si="95"/>
        <v>1</v>
      </c>
      <c r="AI430" s="54">
        <f t="shared" ca="1" si="96"/>
        <v>1</v>
      </c>
      <c r="AJ430" s="54">
        <f t="shared" ca="1" si="97"/>
        <v>1</v>
      </c>
    </row>
    <row r="431" spans="1:36" x14ac:dyDescent="0.2">
      <c r="A431" s="54">
        <v>408</v>
      </c>
      <c r="B431" s="54">
        <f ca="1">MAX(0.02,MCDA_Prioritisation!$B$9+(RAND()-0.5)*2*$B$6)</f>
        <v>0.19494453546503943</v>
      </c>
      <c r="C431" s="54">
        <f ca="1">MAX(0.02,MCDA_Prioritisation!$B$10+(RAND()-0.5)*2*$B$6)</f>
        <v>0.1972380922269954</v>
      </c>
      <c r="D431" s="54">
        <f ca="1">MAX(0.02,MCDA_Prioritisation!$B$11+(RAND()-0.5)*2*$B$6)</f>
        <v>0.24991157677381071</v>
      </c>
      <c r="E431" s="54">
        <f ca="1">MAX(0.02,MCDA_Prioritisation!$B$12+(RAND()-0.5)*2*$B$6)</f>
        <v>0.16180589409834858</v>
      </c>
      <c r="F431" s="54">
        <f ca="1">MAX(0.02,MCDA_Prioritisation!$B$13+(RAND()-0.5)*2*$B$6)</f>
        <v>0.18777371608831031</v>
      </c>
      <c r="G431" s="54">
        <f t="shared" ca="1" si="84"/>
        <v>0.99167381465250437</v>
      </c>
      <c r="H431" s="54">
        <f t="shared" ca="1" si="85"/>
        <v>0.19658130787021999</v>
      </c>
      <c r="I431" s="54">
        <f t="shared" ca="1" si="86"/>
        <v>0.19889412154752745</v>
      </c>
      <c r="J431" s="54">
        <f t="shared" ca="1" si="87"/>
        <v>0.25200985755722816</v>
      </c>
      <c r="K431" s="54">
        <f t="shared" ca="1" si="88"/>
        <v>0.16316443139627268</v>
      </c>
      <c r="L431" s="54">
        <f t="shared" ca="1" si="89"/>
        <v>0.18935028162875178</v>
      </c>
      <c r="M431" s="54">
        <f ca="1">MIN(100,MAX(0,MCDA_Prioritisation!$F$2+(RAND()-0.5)*2*$B$7))</f>
        <v>77.057580178403811</v>
      </c>
      <c r="N431" s="54">
        <f ca="1">MIN(100,MAX(0,MCDA_Prioritisation!$F$3+(RAND()-0.5)*2*$B$7))</f>
        <v>94.585511963912793</v>
      </c>
      <c r="O431" s="54">
        <f ca="1">MIN(100,MAX(0,MCDA_Prioritisation!$F$4+(RAND()-0.5)*2*$B$7))</f>
        <v>82.732183192200296</v>
      </c>
      <c r="P431" s="54">
        <f ca="1">MIN(100,MAX(0,MCDA_Prioritisation!$F$5+(RAND()-0.5)*2*$B$7))</f>
        <v>84.918412611096016</v>
      </c>
      <c r="Q431" s="54">
        <f ca="1">MIN(100,MAX(0,MCDA_Prioritisation!$G$2+(RAND()-0.5)*2*$B$7))</f>
        <v>70.12868398475419</v>
      </c>
      <c r="R431" s="54">
        <f ca="1">MIN(100,MAX(0,MCDA_Prioritisation!$G$3+(RAND()-0.5)*2*$B$7))</f>
        <v>87.067401854505121</v>
      </c>
      <c r="S431" s="54">
        <f ca="1">MIN(100,MAX(0,MCDA_Prioritisation!$G$4+(RAND()-0.5)*2*$B$7))</f>
        <v>85.078938265603128</v>
      </c>
      <c r="T431" s="54">
        <f ca="1">MIN(100,MAX(0,MCDA_Prioritisation!$G$5+(RAND()-0.5)*2*$B$7))</f>
        <v>61.911180577380215</v>
      </c>
      <c r="U431" s="54">
        <f ca="1">MIN(100,MAX(0,MCDA_Prioritisation!$H$2+(RAND()-0.5)*2*$B$7))</f>
        <v>63.555264113854676</v>
      </c>
      <c r="V431" s="54">
        <f ca="1">MIN(100,MAX(0,MCDA_Prioritisation!$H$3+(RAND()-0.5)*2*$B$7))</f>
        <v>67.204210892716503</v>
      </c>
      <c r="W431" s="54">
        <f ca="1">MIN(100,MAX(0,MCDA_Prioritisation!$H$4+(RAND()-0.5)*2*$B$7))</f>
        <v>76.914705936381452</v>
      </c>
      <c r="X431" s="54">
        <f ca="1">MIN(100,MAX(0,MCDA_Prioritisation!$H$5+(RAND()-0.5)*2*$B$7))</f>
        <v>75.835609858361579</v>
      </c>
      <c r="Y431" s="54">
        <f ca="1">H431*MCDA_Prioritisation!$D$2+I431*MCDA_Prioritisation!$E$2+J431*M431+K431*Q431+L431*U431</f>
        <v>82.443526752128378</v>
      </c>
      <c r="Z431" s="54">
        <f ca="1">H431*MCDA_Prioritisation!$D$3+I431*MCDA_Prioritisation!$E$3+J431*N431+K431*R431+L431*V431</f>
        <v>82.413532760001132</v>
      </c>
      <c r="AA431" s="54">
        <f ca="1">H431*MCDA_Prioritisation!$D$4+I431*MCDA_Prioritisation!$E$4+J431*O431+K431*S431+L431*W431</f>
        <v>73.832540441332199</v>
      </c>
      <c r="AB431" s="54">
        <f ca="1">H431*MCDA_Prioritisation!$D$5+I431*MCDA_Prioritisation!$E$5+J431*P431+K431*T431+L431*X431</f>
        <v>73.020389057580132</v>
      </c>
      <c r="AC431" s="54">
        <f t="shared" ca="1" si="90"/>
        <v>1</v>
      </c>
      <c r="AD431" s="54">
        <f t="shared" ca="1" si="91"/>
        <v>2</v>
      </c>
      <c r="AE431" s="54">
        <f t="shared" ca="1" si="92"/>
        <v>3</v>
      </c>
      <c r="AF431" s="54">
        <f t="shared" ca="1" si="93"/>
        <v>4</v>
      </c>
      <c r="AG431" s="54">
        <f t="shared" ca="1" si="94"/>
        <v>1</v>
      </c>
      <c r="AH431" s="54">
        <f t="shared" ca="1" si="95"/>
        <v>1</v>
      </c>
      <c r="AI431" s="54">
        <f t="shared" ca="1" si="96"/>
        <v>1</v>
      </c>
      <c r="AJ431" s="54">
        <f t="shared" ca="1" si="97"/>
        <v>1</v>
      </c>
    </row>
    <row r="432" spans="1:36" x14ac:dyDescent="0.2">
      <c r="A432" s="54">
        <v>409</v>
      </c>
      <c r="B432" s="54">
        <f ca="1">MAX(0.02,MCDA_Prioritisation!$B$9+(RAND()-0.5)*2*$B$6)</f>
        <v>0.14656078645347917</v>
      </c>
      <c r="C432" s="54">
        <f ca="1">MAX(0.02,MCDA_Prioritisation!$B$10+(RAND()-0.5)*2*$B$6)</f>
        <v>0.20122254168685533</v>
      </c>
      <c r="D432" s="54">
        <f ca="1">MAX(0.02,MCDA_Prioritisation!$B$11+(RAND()-0.5)*2*$B$6)</f>
        <v>0.32047347957252714</v>
      </c>
      <c r="E432" s="54">
        <f ca="1">MAX(0.02,MCDA_Prioritisation!$B$12+(RAND()-0.5)*2*$B$6)</f>
        <v>0.11237774928880247</v>
      </c>
      <c r="F432" s="54">
        <f ca="1">MAX(0.02,MCDA_Prioritisation!$B$13+(RAND()-0.5)*2*$B$6)</f>
        <v>0.10330271997643727</v>
      </c>
      <c r="G432" s="54">
        <f t="shared" ca="1" si="84"/>
        <v>0.88393727697810143</v>
      </c>
      <c r="H432" s="54">
        <f t="shared" ca="1" si="85"/>
        <v>0.16580450929111573</v>
      </c>
      <c r="I432" s="54">
        <f t="shared" ca="1" si="86"/>
        <v>0.22764346173381303</v>
      </c>
      <c r="J432" s="54">
        <f t="shared" ca="1" si="87"/>
        <v>0.3625522850084153</v>
      </c>
      <c r="K432" s="54">
        <f t="shared" ca="1" si="88"/>
        <v>0.1271331713410549</v>
      </c>
      <c r="L432" s="54">
        <f t="shared" ca="1" si="89"/>
        <v>0.11686657262560099</v>
      </c>
      <c r="M432" s="54">
        <f ca="1">MIN(100,MAX(0,MCDA_Prioritisation!$F$2+(RAND()-0.5)*2*$B$7))</f>
        <v>87.129758697186887</v>
      </c>
      <c r="N432" s="54">
        <f ca="1">MIN(100,MAX(0,MCDA_Prioritisation!$F$3+(RAND()-0.5)*2*$B$7))</f>
        <v>88.903734676354574</v>
      </c>
      <c r="O432" s="54">
        <f ca="1">MIN(100,MAX(0,MCDA_Prioritisation!$F$4+(RAND()-0.5)*2*$B$7))</f>
        <v>83.427315846645911</v>
      </c>
      <c r="P432" s="54">
        <f ca="1">MIN(100,MAX(0,MCDA_Prioritisation!$F$5+(RAND()-0.5)*2*$B$7))</f>
        <v>76.84398614454193</v>
      </c>
      <c r="Q432" s="54">
        <f ca="1">MIN(100,MAX(0,MCDA_Prioritisation!$G$2+(RAND()-0.5)*2*$B$7))</f>
        <v>71.695156921540004</v>
      </c>
      <c r="R432" s="54">
        <f ca="1">MIN(100,MAX(0,MCDA_Prioritisation!$G$3+(RAND()-0.5)*2*$B$7))</f>
        <v>89.32592656974731</v>
      </c>
      <c r="S432" s="54">
        <f ca="1">MIN(100,MAX(0,MCDA_Prioritisation!$G$4+(RAND()-0.5)*2*$B$7))</f>
        <v>84.631332452323463</v>
      </c>
      <c r="T432" s="54">
        <f ca="1">MIN(100,MAX(0,MCDA_Prioritisation!$G$5+(RAND()-0.5)*2*$B$7))</f>
        <v>60.814482804284765</v>
      </c>
      <c r="U432" s="54">
        <f ca="1">MIN(100,MAX(0,MCDA_Prioritisation!$H$2+(RAND()-0.5)*2*$B$7))</f>
        <v>68.886401833163589</v>
      </c>
      <c r="V432" s="54">
        <f ca="1">MIN(100,MAX(0,MCDA_Prioritisation!$H$3+(RAND()-0.5)*2*$B$7))</f>
        <v>56.826635222402942</v>
      </c>
      <c r="W432" s="54">
        <f ca="1">MIN(100,MAX(0,MCDA_Prioritisation!$H$4+(RAND()-0.5)*2*$B$7))</f>
        <v>73.708490518269983</v>
      </c>
      <c r="X432" s="54">
        <f ca="1">MIN(100,MAX(0,MCDA_Prioritisation!$H$5+(RAND()-0.5)*2*$B$7))</f>
        <v>73.10452886102739</v>
      </c>
      <c r="Y432" s="54">
        <f ca="1">H432*MCDA_Prioritisation!$D$2+I432*MCDA_Prioritisation!$E$2+J432*M432+K432*Q432+L432*U432</f>
        <v>88.099240562371534</v>
      </c>
      <c r="Z432" s="54">
        <f ca="1">H432*MCDA_Prioritisation!$D$3+I432*MCDA_Prioritisation!$E$3+J432*N432+K432*R432+L432*V432</f>
        <v>81.276352745958121</v>
      </c>
      <c r="AA432" s="54">
        <f ca="1">H432*MCDA_Prioritisation!$D$4+I432*MCDA_Prioritisation!$E$4+J432*O432+K432*S432+L432*W432</f>
        <v>73.582839765196056</v>
      </c>
      <c r="AB432" s="54">
        <f ca="1">H432*MCDA_Prioritisation!$D$5+I432*MCDA_Prioritisation!$E$5+J432*P432+K432*T432+L432*X432</f>
        <v>72.077944072528837</v>
      </c>
      <c r="AC432" s="54">
        <f t="shared" ca="1" si="90"/>
        <v>1</v>
      </c>
      <c r="AD432" s="54">
        <f t="shared" ca="1" si="91"/>
        <v>2</v>
      </c>
      <c r="AE432" s="54">
        <f t="shared" ca="1" si="92"/>
        <v>3</v>
      </c>
      <c r="AF432" s="54">
        <f t="shared" ca="1" si="93"/>
        <v>4</v>
      </c>
      <c r="AG432" s="54">
        <f t="shared" ca="1" si="94"/>
        <v>1</v>
      </c>
      <c r="AH432" s="54">
        <f t="shared" ca="1" si="95"/>
        <v>1</v>
      </c>
      <c r="AI432" s="54">
        <f t="shared" ca="1" si="96"/>
        <v>1</v>
      </c>
      <c r="AJ432" s="54">
        <f t="shared" ca="1" si="97"/>
        <v>1</v>
      </c>
    </row>
    <row r="433" spans="1:36" x14ac:dyDescent="0.2">
      <c r="A433" s="54">
        <v>410</v>
      </c>
      <c r="B433" s="54">
        <f ca="1">MAX(0.02,MCDA_Prioritisation!$B$9+(RAND()-0.5)*2*$B$6)</f>
        <v>0.17040130061651185</v>
      </c>
      <c r="C433" s="54">
        <f ca="1">MAX(0.02,MCDA_Prioritisation!$B$10+(RAND()-0.5)*2*$B$6)</f>
        <v>0.27889208101046159</v>
      </c>
      <c r="D433" s="54">
        <f ca="1">MAX(0.02,MCDA_Prioritisation!$B$11+(RAND()-0.5)*2*$B$6)</f>
        <v>0.17822485756302137</v>
      </c>
      <c r="E433" s="54">
        <f ca="1">MAX(0.02,MCDA_Prioritisation!$B$12+(RAND()-0.5)*2*$B$6)</f>
        <v>0.18305474136059902</v>
      </c>
      <c r="F433" s="54">
        <f ca="1">MAX(0.02,MCDA_Prioritisation!$B$13+(RAND()-0.5)*2*$B$6)</f>
        <v>9.6098488494288301E-2</v>
      </c>
      <c r="G433" s="54">
        <f t="shared" ca="1" si="84"/>
        <v>0.90667146904488194</v>
      </c>
      <c r="H433" s="54">
        <f t="shared" ca="1" si="85"/>
        <v>0.18794161549609395</v>
      </c>
      <c r="I433" s="54">
        <f t="shared" ca="1" si="86"/>
        <v>0.30759993066094365</v>
      </c>
      <c r="J433" s="54">
        <f t="shared" ca="1" si="87"/>
        <v>0.19657049289393588</v>
      </c>
      <c r="K433" s="54">
        <f t="shared" ca="1" si="88"/>
        <v>0.20189754239585261</v>
      </c>
      <c r="L433" s="54">
        <f t="shared" ca="1" si="89"/>
        <v>0.10599041855317413</v>
      </c>
      <c r="M433" s="54">
        <f ca="1">MIN(100,MAX(0,MCDA_Prioritisation!$F$2+(RAND()-0.5)*2*$B$7))</f>
        <v>90.867137225673133</v>
      </c>
      <c r="N433" s="54">
        <f ca="1">MIN(100,MAX(0,MCDA_Prioritisation!$F$3+(RAND()-0.5)*2*$B$7))</f>
        <v>100</v>
      </c>
      <c r="O433" s="54">
        <f ca="1">MIN(100,MAX(0,MCDA_Prioritisation!$F$4+(RAND()-0.5)*2*$B$7))</f>
        <v>90.676046736523119</v>
      </c>
      <c r="P433" s="54">
        <f ca="1">MIN(100,MAX(0,MCDA_Prioritisation!$F$5+(RAND()-0.5)*2*$B$7))</f>
        <v>69.704538176022552</v>
      </c>
      <c r="Q433" s="54">
        <f ca="1">MIN(100,MAX(0,MCDA_Prioritisation!$G$2+(RAND()-0.5)*2*$B$7))</f>
        <v>82.110210939246272</v>
      </c>
      <c r="R433" s="54">
        <f ca="1">MIN(100,MAX(0,MCDA_Prioritisation!$G$3+(RAND()-0.5)*2*$B$7))</f>
        <v>91.625639554649538</v>
      </c>
      <c r="S433" s="54">
        <f ca="1">MIN(100,MAX(0,MCDA_Prioritisation!$G$4+(RAND()-0.5)*2*$B$7))</f>
        <v>85.324320351182422</v>
      </c>
      <c r="T433" s="54">
        <f ca="1">MIN(100,MAX(0,MCDA_Prioritisation!$G$5+(RAND()-0.5)*2*$B$7))</f>
        <v>63.054487118404602</v>
      </c>
      <c r="U433" s="54">
        <f ca="1">MIN(100,MAX(0,MCDA_Prioritisation!$H$2+(RAND()-0.5)*2*$B$7))</f>
        <v>72.989383444226007</v>
      </c>
      <c r="V433" s="54">
        <f ca="1">MIN(100,MAX(0,MCDA_Prioritisation!$H$3+(RAND()-0.5)*2*$B$7))</f>
        <v>69.762586934230356</v>
      </c>
      <c r="W433" s="54">
        <f ca="1">MIN(100,MAX(0,MCDA_Prioritisation!$H$4+(RAND()-0.5)*2*$B$7))</f>
        <v>77.951530159457064</v>
      </c>
      <c r="X433" s="54">
        <f ca="1">MIN(100,MAX(0,MCDA_Prioritisation!$H$5+(RAND()-0.5)*2*$B$7))</f>
        <v>84.571791390692965</v>
      </c>
      <c r="Y433" s="54">
        <f ca="1">H433*MCDA_Prioritisation!$D$2+I433*MCDA_Prioritisation!$E$2+J433*M433+K433*Q433+L433*U433</f>
        <v>91.729977663445752</v>
      </c>
      <c r="Z433" s="54">
        <f ca="1">H433*MCDA_Prioritisation!$D$3+I433*MCDA_Prioritisation!$E$3+J433*N433+K433*R433+L433*V433</f>
        <v>84.346613732273127</v>
      </c>
      <c r="AA433" s="54">
        <f ca="1">H433*MCDA_Prioritisation!$D$4+I433*MCDA_Prioritisation!$E$4+J433*O433+K433*S433+L433*W433</f>
        <v>73.178448400137839</v>
      </c>
      <c r="AB433" s="54">
        <f ca="1">H433*MCDA_Prioritisation!$D$5+I433*MCDA_Prioritisation!$E$5+J433*P433+K433*T433+L433*X433</f>
        <v>71.237727262322096</v>
      </c>
      <c r="AC433" s="54">
        <f t="shared" ca="1" si="90"/>
        <v>1</v>
      </c>
      <c r="AD433" s="54">
        <f t="shared" ca="1" si="91"/>
        <v>2</v>
      </c>
      <c r="AE433" s="54">
        <f t="shared" ca="1" si="92"/>
        <v>3</v>
      </c>
      <c r="AF433" s="54">
        <f t="shared" ca="1" si="93"/>
        <v>4</v>
      </c>
      <c r="AG433" s="54">
        <f t="shared" ca="1" si="94"/>
        <v>1</v>
      </c>
      <c r="AH433" s="54">
        <f t="shared" ca="1" si="95"/>
        <v>1</v>
      </c>
      <c r="AI433" s="54">
        <f t="shared" ca="1" si="96"/>
        <v>1</v>
      </c>
      <c r="AJ433" s="54">
        <f t="shared" ca="1" si="97"/>
        <v>1</v>
      </c>
    </row>
    <row r="434" spans="1:36" x14ac:dyDescent="0.2">
      <c r="A434" s="54">
        <v>411</v>
      </c>
      <c r="B434" s="54">
        <f ca="1">MAX(0.02,MCDA_Prioritisation!$B$9+(RAND()-0.5)*2*$B$6)</f>
        <v>0.23563860479812243</v>
      </c>
      <c r="C434" s="54">
        <f ca="1">MAX(0.02,MCDA_Prioritisation!$B$10+(RAND()-0.5)*2*$B$6)</f>
        <v>0.28050483699304002</v>
      </c>
      <c r="D434" s="54">
        <f ca="1">MAX(0.02,MCDA_Prioritisation!$B$11+(RAND()-0.5)*2*$B$6)</f>
        <v>0.30395690041268386</v>
      </c>
      <c r="E434" s="54">
        <f ca="1">MAX(0.02,MCDA_Prioritisation!$B$12+(RAND()-0.5)*2*$B$6)</f>
        <v>0.10200907459721512</v>
      </c>
      <c r="F434" s="54">
        <f ca="1">MAX(0.02,MCDA_Prioritisation!$B$13+(RAND()-0.5)*2*$B$6)</f>
        <v>9.0266682990702257E-2</v>
      </c>
      <c r="G434" s="54">
        <f t="shared" ca="1" si="84"/>
        <v>1.0123760997917637</v>
      </c>
      <c r="H434" s="54">
        <f t="shared" ca="1" si="85"/>
        <v>0.23275796894710482</v>
      </c>
      <c r="I434" s="54">
        <f t="shared" ca="1" si="86"/>
        <v>0.27707572022960364</v>
      </c>
      <c r="J434" s="54">
        <f t="shared" ca="1" si="87"/>
        <v>0.30024108676133798</v>
      </c>
      <c r="K434" s="54">
        <f t="shared" ca="1" si="88"/>
        <v>0.10076203361398736</v>
      </c>
      <c r="L434" s="54">
        <f t="shared" ca="1" si="89"/>
        <v>8.9163190447966195E-2</v>
      </c>
      <c r="M434" s="54">
        <f ca="1">MIN(100,MAX(0,MCDA_Prioritisation!$F$2+(RAND()-0.5)*2*$B$7))</f>
        <v>91.459070240315981</v>
      </c>
      <c r="N434" s="54">
        <f ca="1">MIN(100,MAX(0,MCDA_Prioritisation!$F$3+(RAND()-0.5)*2*$B$7))</f>
        <v>100</v>
      </c>
      <c r="O434" s="54">
        <f ca="1">MIN(100,MAX(0,MCDA_Prioritisation!$F$4+(RAND()-0.5)*2*$B$7))</f>
        <v>99.367956247981397</v>
      </c>
      <c r="P434" s="54">
        <f ca="1">MIN(100,MAX(0,MCDA_Prioritisation!$F$5+(RAND()-0.5)*2*$B$7))</f>
        <v>69.474720916524149</v>
      </c>
      <c r="Q434" s="54">
        <f ca="1">MIN(100,MAX(0,MCDA_Prioritisation!$G$2+(RAND()-0.5)*2*$B$7))</f>
        <v>87.49376492394984</v>
      </c>
      <c r="R434" s="54">
        <f ca="1">MIN(100,MAX(0,MCDA_Prioritisation!$G$3+(RAND()-0.5)*2*$B$7))</f>
        <v>100</v>
      </c>
      <c r="S434" s="54">
        <f ca="1">MIN(100,MAX(0,MCDA_Prioritisation!$G$4+(RAND()-0.5)*2*$B$7))</f>
        <v>84.67305199676133</v>
      </c>
      <c r="T434" s="54">
        <f ca="1">MIN(100,MAX(0,MCDA_Prioritisation!$G$5+(RAND()-0.5)*2*$B$7))</f>
        <v>77.364337815671234</v>
      </c>
      <c r="U434" s="54">
        <f ca="1">MIN(100,MAX(0,MCDA_Prioritisation!$H$2+(RAND()-0.5)*2*$B$7))</f>
        <v>74.29992660745495</v>
      </c>
      <c r="V434" s="54">
        <f ca="1">MIN(100,MAX(0,MCDA_Prioritisation!$H$3+(RAND()-0.5)*2*$B$7))</f>
        <v>62.483711151244258</v>
      </c>
      <c r="W434" s="54">
        <f ca="1">MIN(100,MAX(0,MCDA_Prioritisation!$H$4+(RAND()-0.5)*2*$B$7))</f>
        <v>87.001615462723635</v>
      </c>
      <c r="X434" s="54">
        <f ca="1">MIN(100,MAX(0,MCDA_Prioritisation!$H$5+(RAND()-0.5)*2*$B$7))</f>
        <v>73.590979058259649</v>
      </c>
      <c r="Y434" s="54">
        <f ca="1">H434*MCDA_Prioritisation!$D$2+I434*MCDA_Prioritisation!$E$2+J434*M434+K434*Q434+L434*U434</f>
        <v>93.884007749456629</v>
      </c>
      <c r="Z434" s="54">
        <f ca="1">H434*MCDA_Prioritisation!$D$3+I434*MCDA_Prioritisation!$E$3+J434*N434+K434*R434+L434*V434</f>
        <v>86.164831344593381</v>
      </c>
      <c r="AA434" s="54">
        <f ca="1">H434*MCDA_Prioritisation!$D$4+I434*MCDA_Prioritisation!$E$4+J434*O434+K434*S434+L434*W434</f>
        <v>77.444631463198903</v>
      </c>
      <c r="AB434" s="54">
        <f ca="1">H434*MCDA_Prioritisation!$D$5+I434*MCDA_Prioritisation!$E$5+J434*P434+K434*T434+L434*X434</f>
        <v>70.869545715066366</v>
      </c>
      <c r="AC434" s="54">
        <f t="shared" ca="1" si="90"/>
        <v>1</v>
      </c>
      <c r="AD434" s="54">
        <f t="shared" ca="1" si="91"/>
        <v>2</v>
      </c>
      <c r="AE434" s="54">
        <f t="shared" ca="1" si="92"/>
        <v>3</v>
      </c>
      <c r="AF434" s="54">
        <f t="shared" ca="1" si="93"/>
        <v>4</v>
      </c>
      <c r="AG434" s="54">
        <f t="shared" ca="1" si="94"/>
        <v>1</v>
      </c>
      <c r="AH434" s="54">
        <f t="shared" ca="1" si="95"/>
        <v>1</v>
      </c>
      <c r="AI434" s="54">
        <f t="shared" ca="1" si="96"/>
        <v>1</v>
      </c>
      <c r="AJ434" s="54">
        <f t="shared" ca="1" si="97"/>
        <v>1</v>
      </c>
    </row>
    <row r="435" spans="1:36" x14ac:dyDescent="0.2">
      <c r="A435" s="54">
        <v>412</v>
      </c>
      <c r="B435" s="54">
        <f ca="1">MAX(0.02,MCDA_Prioritisation!$B$9+(RAND()-0.5)*2*$B$6)</f>
        <v>0.23914270523295955</v>
      </c>
      <c r="C435" s="54">
        <f ca="1">MAX(0.02,MCDA_Prioritisation!$B$10+(RAND()-0.5)*2*$B$6)</f>
        <v>0.31708257794192368</v>
      </c>
      <c r="D435" s="54">
        <f ca="1">MAX(0.02,MCDA_Prioritisation!$B$11+(RAND()-0.5)*2*$B$6)</f>
        <v>0.27144719210846729</v>
      </c>
      <c r="E435" s="54">
        <f ca="1">MAX(0.02,MCDA_Prioritisation!$B$12+(RAND()-0.5)*2*$B$6)</f>
        <v>0.18437154083754584</v>
      </c>
      <c r="F435" s="54">
        <f ca="1">MAX(0.02,MCDA_Prioritisation!$B$13+(RAND()-0.5)*2*$B$6)</f>
        <v>7.2177354146501435E-2</v>
      </c>
      <c r="G435" s="54">
        <f t="shared" ca="1" si="84"/>
        <v>1.084221370267398</v>
      </c>
      <c r="H435" s="54">
        <f t="shared" ca="1" si="85"/>
        <v>0.22056630849655784</v>
      </c>
      <c r="I435" s="54">
        <f t="shared" ca="1" si="86"/>
        <v>0.29245187988106403</v>
      </c>
      <c r="J435" s="54">
        <f t="shared" ca="1" si="87"/>
        <v>0.25036141101103843</v>
      </c>
      <c r="K435" s="54">
        <f t="shared" ca="1" si="88"/>
        <v>0.17004972037405505</v>
      </c>
      <c r="L435" s="54">
        <f t="shared" ca="1" si="89"/>
        <v>6.6570680237284546E-2</v>
      </c>
      <c r="M435" s="54">
        <f ca="1">MIN(100,MAX(0,MCDA_Prioritisation!$F$2+(RAND()-0.5)*2*$B$7))</f>
        <v>92.395203591788885</v>
      </c>
      <c r="N435" s="54">
        <f ca="1">MIN(100,MAX(0,MCDA_Prioritisation!$F$3+(RAND()-0.5)*2*$B$7))</f>
        <v>98.573485224096515</v>
      </c>
      <c r="O435" s="54">
        <f ca="1">MIN(100,MAX(0,MCDA_Prioritisation!$F$4+(RAND()-0.5)*2*$B$7))</f>
        <v>91.238639864790912</v>
      </c>
      <c r="P435" s="54">
        <f ca="1">MIN(100,MAX(0,MCDA_Prioritisation!$F$5+(RAND()-0.5)*2*$B$7))</f>
        <v>74.314390301228471</v>
      </c>
      <c r="Q435" s="54">
        <f ca="1">MIN(100,MAX(0,MCDA_Prioritisation!$G$2+(RAND()-0.5)*2*$B$7))</f>
        <v>89.546982503621621</v>
      </c>
      <c r="R435" s="54">
        <f ca="1">MIN(100,MAX(0,MCDA_Prioritisation!$G$3+(RAND()-0.5)*2*$B$7))</f>
        <v>97.191772439656305</v>
      </c>
      <c r="S435" s="54">
        <f ca="1">MIN(100,MAX(0,MCDA_Prioritisation!$G$4+(RAND()-0.5)*2*$B$7))</f>
        <v>88.262414438371451</v>
      </c>
      <c r="T435" s="54">
        <f ca="1">MIN(100,MAX(0,MCDA_Prioritisation!$G$5+(RAND()-0.5)*2*$B$7))</f>
        <v>75.061974729512841</v>
      </c>
      <c r="U435" s="54">
        <f ca="1">MIN(100,MAX(0,MCDA_Prioritisation!$H$2+(RAND()-0.5)*2*$B$7))</f>
        <v>58.283671823616601</v>
      </c>
      <c r="V435" s="54">
        <f ca="1">MIN(100,MAX(0,MCDA_Prioritisation!$H$3+(RAND()-0.5)*2*$B$7))</f>
        <v>65.898006496926897</v>
      </c>
      <c r="W435" s="54">
        <f ca="1">MIN(100,MAX(0,MCDA_Prioritisation!$H$4+(RAND()-0.5)*2*$B$7))</f>
        <v>84.346718405267808</v>
      </c>
      <c r="X435" s="54">
        <f ca="1">MIN(100,MAX(0,MCDA_Prioritisation!$H$5+(RAND()-0.5)*2*$B$7))</f>
        <v>66.162829804963494</v>
      </c>
      <c r="Y435" s="54">
        <f ca="1">H435*MCDA_Prioritisation!$D$2+I435*MCDA_Prioritisation!$E$2+J435*M435+K435*Q435+L435*U435</f>
        <v>93.541435394760683</v>
      </c>
      <c r="Z435" s="54">
        <f ca="1">H435*MCDA_Prioritisation!$D$3+I435*MCDA_Prioritisation!$E$3+J435*N435+K435*R435+L435*V435</f>
        <v>86.13933153133253</v>
      </c>
      <c r="AA435" s="54">
        <f ca="1">H435*MCDA_Prioritisation!$D$4+I435*MCDA_Prioritisation!$E$4+J435*O435+K435*S435+L435*W435</f>
        <v>74.777513753333025</v>
      </c>
      <c r="AB435" s="54">
        <f ca="1">H435*MCDA_Prioritisation!$D$5+I435*MCDA_Prioritisation!$E$5+J435*P435+K435*T435+L435*X435</f>
        <v>72.073525546976512</v>
      </c>
      <c r="AC435" s="54">
        <f t="shared" ca="1" si="90"/>
        <v>1</v>
      </c>
      <c r="AD435" s="54">
        <f t="shared" ca="1" si="91"/>
        <v>2</v>
      </c>
      <c r="AE435" s="54">
        <f t="shared" ca="1" si="92"/>
        <v>3</v>
      </c>
      <c r="AF435" s="54">
        <f t="shared" ca="1" si="93"/>
        <v>4</v>
      </c>
      <c r="AG435" s="54">
        <f t="shared" ca="1" si="94"/>
        <v>1</v>
      </c>
      <c r="AH435" s="54">
        <f t="shared" ca="1" si="95"/>
        <v>1</v>
      </c>
      <c r="AI435" s="54">
        <f t="shared" ca="1" si="96"/>
        <v>1</v>
      </c>
      <c r="AJ435" s="54">
        <f t="shared" ca="1" si="97"/>
        <v>1</v>
      </c>
    </row>
    <row r="436" spans="1:36" x14ac:dyDescent="0.2">
      <c r="A436" s="54">
        <v>413</v>
      </c>
      <c r="B436" s="54">
        <f ca="1">MAX(0.02,MCDA_Prioritisation!$B$9+(RAND()-0.5)*2*$B$6)</f>
        <v>0.20951716183217223</v>
      </c>
      <c r="C436" s="54">
        <f ca="1">MAX(0.02,MCDA_Prioritisation!$B$10+(RAND()-0.5)*2*$B$6)</f>
        <v>0.29013983033406993</v>
      </c>
      <c r="D436" s="54">
        <f ca="1">MAX(0.02,MCDA_Prioritisation!$B$11+(RAND()-0.5)*2*$B$6)</f>
        <v>0.31583861984282746</v>
      </c>
      <c r="E436" s="54">
        <f ca="1">MAX(0.02,MCDA_Prioritisation!$B$12+(RAND()-0.5)*2*$B$6)</f>
        <v>0.14680343082083325</v>
      </c>
      <c r="F436" s="54">
        <f ca="1">MAX(0.02,MCDA_Prioritisation!$B$13+(RAND()-0.5)*2*$B$6)</f>
        <v>0.20149285047334131</v>
      </c>
      <c r="G436" s="54">
        <f t="shared" ca="1" si="84"/>
        <v>1.1637918933032441</v>
      </c>
      <c r="H436" s="54">
        <f t="shared" ca="1" si="85"/>
        <v>0.1800297484780462</v>
      </c>
      <c r="I436" s="54">
        <f t="shared" ca="1" si="86"/>
        <v>0.24930559492947893</v>
      </c>
      <c r="J436" s="54">
        <f t="shared" ca="1" si="87"/>
        <v>0.27138754072806626</v>
      </c>
      <c r="K436" s="54">
        <f t="shared" ca="1" si="88"/>
        <v>0.12614233839020336</v>
      </c>
      <c r="L436" s="54">
        <f t="shared" ca="1" si="89"/>
        <v>0.17313477747420536</v>
      </c>
      <c r="M436" s="54">
        <f ca="1">MIN(100,MAX(0,MCDA_Prioritisation!$F$2+(RAND()-0.5)*2*$B$7))</f>
        <v>82.567124949370836</v>
      </c>
      <c r="N436" s="54">
        <f ca="1">MIN(100,MAX(0,MCDA_Prioritisation!$F$3+(RAND()-0.5)*2*$B$7))</f>
        <v>92.596227162068686</v>
      </c>
      <c r="O436" s="54">
        <f ca="1">MIN(100,MAX(0,MCDA_Prioritisation!$F$4+(RAND()-0.5)*2*$B$7))</f>
        <v>83.105737078205294</v>
      </c>
      <c r="P436" s="54">
        <f ca="1">MIN(100,MAX(0,MCDA_Prioritisation!$F$5+(RAND()-0.5)*2*$B$7))</f>
        <v>82.09274430282241</v>
      </c>
      <c r="Q436" s="54">
        <f ca="1">MIN(100,MAX(0,MCDA_Prioritisation!$G$2+(RAND()-0.5)*2*$B$7))</f>
        <v>74.318375472672798</v>
      </c>
      <c r="R436" s="54">
        <f ca="1">MIN(100,MAX(0,MCDA_Prioritisation!$G$3+(RAND()-0.5)*2*$B$7))</f>
        <v>85.636985204143116</v>
      </c>
      <c r="S436" s="54">
        <f ca="1">MIN(100,MAX(0,MCDA_Prioritisation!$G$4+(RAND()-0.5)*2*$B$7))</f>
        <v>92.113115986943598</v>
      </c>
      <c r="T436" s="54">
        <f ca="1">MIN(100,MAX(0,MCDA_Prioritisation!$G$5+(RAND()-0.5)*2*$B$7))</f>
        <v>77.240435768825833</v>
      </c>
      <c r="U436" s="54">
        <f ca="1">MIN(100,MAX(0,MCDA_Prioritisation!$H$2+(RAND()-0.5)*2*$B$7))</f>
        <v>57.484428789401754</v>
      </c>
      <c r="V436" s="54">
        <f ca="1">MIN(100,MAX(0,MCDA_Prioritisation!$H$3+(RAND()-0.5)*2*$B$7))</f>
        <v>60.40733285567164</v>
      </c>
      <c r="W436" s="54">
        <f ca="1">MIN(100,MAX(0,MCDA_Prioritisation!$H$4+(RAND()-0.5)*2*$B$7))</f>
        <v>82.283013814369994</v>
      </c>
      <c r="X436" s="54">
        <f ca="1">MIN(100,MAX(0,MCDA_Prioritisation!$H$5+(RAND()-0.5)*2*$B$7))</f>
        <v>83.21603652157134</v>
      </c>
      <c r="Y436" s="54">
        <f ca="1">H436*MCDA_Prioritisation!$D$2+I436*MCDA_Prioritisation!$E$2+J436*M436+K436*Q436+L436*U436</f>
        <v>84.668470779918181</v>
      </c>
      <c r="Z436" s="54">
        <f ca="1">H436*MCDA_Prioritisation!$D$3+I436*MCDA_Prioritisation!$E$3+J436*N436+K436*R436+L436*V436</f>
        <v>80.255869052942458</v>
      </c>
      <c r="AA436" s="54">
        <f ca="1">H436*MCDA_Prioritisation!$D$4+I436*MCDA_Prioritisation!$E$4+J436*O436+K436*S436+L436*W436</f>
        <v>74.553977096882264</v>
      </c>
      <c r="AB436" s="54">
        <f ca="1">H436*MCDA_Prioritisation!$D$5+I436*MCDA_Prioritisation!$E$5+J436*P436+K436*T436+L436*X436</f>
        <v>76.949400353511095</v>
      </c>
      <c r="AC436" s="54">
        <f t="shared" ca="1" si="90"/>
        <v>1</v>
      </c>
      <c r="AD436" s="54">
        <f t="shared" ca="1" si="91"/>
        <v>2</v>
      </c>
      <c r="AE436" s="54">
        <f t="shared" ca="1" si="92"/>
        <v>4</v>
      </c>
      <c r="AF436" s="54">
        <f t="shared" ca="1" si="93"/>
        <v>3</v>
      </c>
      <c r="AG436" s="54">
        <f t="shared" ca="1" si="94"/>
        <v>1</v>
      </c>
      <c r="AH436" s="54">
        <f t="shared" ca="1" si="95"/>
        <v>1</v>
      </c>
      <c r="AI436" s="54">
        <f t="shared" ca="1" si="96"/>
        <v>0</v>
      </c>
      <c r="AJ436" s="54">
        <f t="shared" ca="1" si="97"/>
        <v>1</v>
      </c>
    </row>
    <row r="437" spans="1:36" x14ac:dyDescent="0.2">
      <c r="A437" s="54">
        <v>414</v>
      </c>
      <c r="B437" s="54">
        <f ca="1">MAX(0.02,MCDA_Prioritisation!$B$9+(RAND()-0.5)*2*$B$6)</f>
        <v>0.26136668271164071</v>
      </c>
      <c r="C437" s="54">
        <f ca="1">MAX(0.02,MCDA_Prioritisation!$B$10+(RAND()-0.5)*2*$B$6)</f>
        <v>0.23924542165319598</v>
      </c>
      <c r="D437" s="54">
        <f ca="1">MAX(0.02,MCDA_Prioritisation!$B$11+(RAND()-0.5)*2*$B$6)</f>
        <v>0.28343617981545827</v>
      </c>
      <c r="E437" s="54">
        <f ca="1">MAX(0.02,MCDA_Prioritisation!$B$12+(RAND()-0.5)*2*$B$6)</f>
        <v>0.12899379341008071</v>
      </c>
      <c r="F437" s="54">
        <f ca="1">MAX(0.02,MCDA_Prioritisation!$B$13+(RAND()-0.5)*2*$B$6)</f>
        <v>0.18829929515137755</v>
      </c>
      <c r="G437" s="54">
        <f t="shared" ca="1" si="84"/>
        <v>1.1013413727417531</v>
      </c>
      <c r="H437" s="54">
        <f t="shared" ca="1" si="85"/>
        <v>0.23731668416394541</v>
      </c>
      <c r="I437" s="54">
        <f t="shared" ca="1" si="86"/>
        <v>0.21723093999238616</v>
      </c>
      <c r="J437" s="54">
        <f t="shared" ca="1" si="87"/>
        <v>0.25735542750914114</v>
      </c>
      <c r="K437" s="54">
        <f t="shared" ca="1" si="88"/>
        <v>0.11712426010924742</v>
      </c>
      <c r="L437" s="54">
        <f t="shared" ca="1" si="89"/>
        <v>0.17097268822527992</v>
      </c>
      <c r="M437" s="54">
        <f ca="1">MIN(100,MAX(0,MCDA_Prioritisation!$F$2+(RAND()-0.5)*2*$B$7))</f>
        <v>93.616629957418553</v>
      </c>
      <c r="N437" s="54">
        <f ca="1">MIN(100,MAX(0,MCDA_Prioritisation!$F$3+(RAND()-0.5)*2*$B$7))</f>
        <v>100</v>
      </c>
      <c r="O437" s="54">
        <f ca="1">MIN(100,MAX(0,MCDA_Prioritisation!$F$4+(RAND()-0.5)*2*$B$7))</f>
        <v>86.569887839319108</v>
      </c>
      <c r="P437" s="54">
        <f ca="1">MIN(100,MAX(0,MCDA_Prioritisation!$F$5+(RAND()-0.5)*2*$B$7))</f>
        <v>76.250880973908991</v>
      </c>
      <c r="Q437" s="54">
        <f ca="1">MIN(100,MAX(0,MCDA_Prioritisation!$G$2+(RAND()-0.5)*2*$B$7))</f>
        <v>82.786390533470822</v>
      </c>
      <c r="R437" s="54">
        <f ca="1">MIN(100,MAX(0,MCDA_Prioritisation!$G$3+(RAND()-0.5)*2*$B$7))</f>
        <v>100</v>
      </c>
      <c r="S437" s="54">
        <f ca="1">MIN(100,MAX(0,MCDA_Prioritisation!$G$4+(RAND()-0.5)*2*$B$7))</f>
        <v>91.121221837898901</v>
      </c>
      <c r="T437" s="54">
        <f ca="1">MIN(100,MAX(0,MCDA_Prioritisation!$G$5+(RAND()-0.5)*2*$B$7))</f>
        <v>75.348478141724456</v>
      </c>
      <c r="U437" s="54">
        <f ca="1">MIN(100,MAX(0,MCDA_Prioritisation!$H$2+(RAND()-0.5)*2*$B$7))</f>
        <v>56.901344594512004</v>
      </c>
      <c r="V437" s="54">
        <f ca="1">MIN(100,MAX(0,MCDA_Prioritisation!$H$3+(RAND()-0.5)*2*$B$7))</f>
        <v>50.792408162540809</v>
      </c>
      <c r="W437" s="54">
        <f ca="1">MIN(100,MAX(0,MCDA_Prioritisation!$H$4+(RAND()-0.5)*2*$B$7))</f>
        <v>76.651738940918364</v>
      </c>
      <c r="X437" s="54">
        <f ca="1">MIN(100,MAX(0,MCDA_Prioritisation!$H$5+(RAND()-0.5)*2*$B$7))</f>
        <v>76.357824651706039</v>
      </c>
      <c r="Y437" s="54">
        <f ca="1">H437*MCDA_Prioritisation!$D$2+I437*MCDA_Prioritisation!$E$2+J437*M437+K437*Q437+L437*U437</f>
        <v>88.972380827594378</v>
      </c>
      <c r="Z437" s="54">
        <f ca="1">H437*MCDA_Prioritisation!$D$3+I437*MCDA_Prioritisation!$E$3+J437*N437+K437*R437+L437*V437</f>
        <v>82.671425244033145</v>
      </c>
      <c r="AA437" s="54">
        <f ca="1">H437*MCDA_Prioritisation!$D$4+I437*MCDA_Prioritisation!$E$4+J437*O437+K437*S437+L437*W437</f>
        <v>74.431389204586722</v>
      </c>
      <c r="AB437" s="54">
        <f ca="1">H437*MCDA_Prioritisation!$D$5+I437*MCDA_Prioritisation!$E$5+J437*P437+K437*T437+L437*X437</f>
        <v>72.366756779635949</v>
      </c>
      <c r="AC437" s="54">
        <f t="shared" ca="1" si="90"/>
        <v>1</v>
      </c>
      <c r="AD437" s="54">
        <f t="shared" ca="1" si="91"/>
        <v>2</v>
      </c>
      <c r="AE437" s="54">
        <f t="shared" ca="1" si="92"/>
        <v>3</v>
      </c>
      <c r="AF437" s="54">
        <f t="shared" ca="1" si="93"/>
        <v>4</v>
      </c>
      <c r="AG437" s="54">
        <f t="shared" ca="1" si="94"/>
        <v>1</v>
      </c>
      <c r="AH437" s="54">
        <f t="shared" ca="1" si="95"/>
        <v>1</v>
      </c>
      <c r="AI437" s="54">
        <f t="shared" ca="1" si="96"/>
        <v>1</v>
      </c>
      <c r="AJ437" s="54">
        <f t="shared" ca="1" si="97"/>
        <v>1</v>
      </c>
    </row>
    <row r="438" spans="1:36" x14ac:dyDescent="0.2">
      <c r="A438" s="54">
        <v>415</v>
      </c>
      <c r="B438" s="54">
        <f ca="1">MAX(0.02,MCDA_Prioritisation!$B$9+(RAND()-0.5)*2*$B$6)</f>
        <v>0.23755574632488968</v>
      </c>
      <c r="C438" s="54">
        <f ca="1">MAX(0.02,MCDA_Prioritisation!$B$10+(RAND()-0.5)*2*$B$6)</f>
        <v>0.29181133485112959</v>
      </c>
      <c r="D438" s="54">
        <f ca="1">MAX(0.02,MCDA_Prioritisation!$B$11+(RAND()-0.5)*2*$B$6)</f>
        <v>0.31496860512182367</v>
      </c>
      <c r="E438" s="54">
        <f ca="1">MAX(0.02,MCDA_Prioritisation!$B$12+(RAND()-0.5)*2*$B$6)</f>
        <v>0.20830242547954481</v>
      </c>
      <c r="F438" s="54">
        <f ca="1">MAX(0.02,MCDA_Prioritisation!$B$13+(RAND()-0.5)*2*$B$6)</f>
        <v>0.22558589786133326</v>
      </c>
      <c r="G438" s="54">
        <f t="shared" ca="1" si="84"/>
        <v>1.278224009638721</v>
      </c>
      <c r="H438" s="54">
        <f t="shared" ca="1" si="85"/>
        <v>0.1858482899190986</v>
      </c>
      <c r="I438" s="54">
        <f t="shared" ca="1" si="86"/>
        <v>0.2282943620606904</v>
      </c>
      <c r="J438" s="54">
        <f t="shared" ca="1" si="87"/>
        <v>0.24641111631978094</v>
      </c>
      <c r="K438" s="54">
        <f t="shared" ca="1" si="88"/>
        <v>0.16296237897958096</v>
      </c>
      <c r="L438" s="54">
        <f t="shared" ca="1" si="89"/>
        <v>0.17648385272084913</v>
      </c>
      <c r="M438" s="54">
        <f ca="1">MIN(100,MAX(0,MCDA_Prioritisation!$F$2+(RAND()-0.5)*2*$B$7))</f>
        <v>76.387541193496872</v>
      </c>
      <c r="N438" s="54">
        <f ca="1">MIN(100,MAX(0,MCDA_Prioritisation!$F$3+(RAND()-0.5)*2*$B$7))</f>
        <v>93.522206423638266</v>
      </c>
      <c r="O438" s="54">
        <f ca="1">MIN(100,MAX(0,MCDA_Prioritisation!$F$4+(RAND()-0.5)*2*$B$7))</f>
        <v>83.824479027601228</v>
      </c>
      <c r="P438" s="54">
        <f ca="1">MIN(100,MAX(0,MCDA_Prioritisation!$F$5+(RAND()-0.5)*2*$B$7))</f>
        <v>69.502927780242544</v>
      </c>
      <c r="Q438" s="54">
        <f ca="1">MIN(100,MAX(0,MCDA_Prioritisation!$G$2+(RAND()-0.5)*2*$B$7))</f>
        <v>77.482968305917794</v>
      </c>
      <c r="R438" s="54">
        <f ca="1">MIN(100,MAX(0,MCDA_Prioritisation!$G$3+(RAND()-0.5)*2*$B$7))</f>
        <v>100</v>
      </c>
      <c r="S438" s="54">
        <f ca="1">MIN(100,MAX(0,MCDA_Prioritisation!$G$4+(RAND()-0.5)*2*$B$7))</f>
        <v>86.930644091418486</v>
      </c>
      <c r="T438" s="54">
        <f ca="1">MIN(100,MAX(0,MCDA_Prioritisation!$G$5+(RAND()-0.5)*2*$B$7))</f>
        <v>75.627799206000802</v>
      </c>
      <c r="U438" s="54">
        <f ca="1">MIN(100,MAX(0,MCDA_Prioritisation!$H$2+(RAND()-0.5)*2*$B$7))</f>
        <v>60.758385389734926</v>
      </c>
      <c r="V438" s="54">
        <f ca="1">MIN(100,MAX(0,MCDA_Prioritisation!$H$3+(RAND()-0.5)*2*$B$7))</f>
        <v>54.331985255036699</v>
      </c>
      <c r="W438" s="54">
        <f ca="1">MIN(100,MAX(0,MCDA_Prioritisation!$H$4+(RAND()-0.5)*2*$B$7))</f>
        <v>87.21799629438415</v>
      </c>
      <c r="X438" s="54">
        <f ca="1">MIN(100,MAX(0,MCDA_Prioritisation!$H$5+(RAND()-0.5)*2*$B$7))</f>
        <v>70.273681881896707</v>
      </c>
      <c r="Y438" s="54">
        <f ca="1">H438*MCDA_Prioritisation!$D$2+I438*MCDA_Prioritisation!$E$2+J438*M438+K438*Q438+L438*U438</f>
        <v>83.586687280602135</v>
      </c>
      <c r="Z438" s="54">
        <f ca="1">H438*MCDA_Prioritisation!$D$3+I438*MCDA_Prioritisation!$E$3+J438*N438+K438*R438+L438*V438</f>
        <v>81.775646719759891</v>
      </c>
      <c r="AA438" s="54">
        <f ca="1">H438*MCDA_Prioritisation!$D$4+I438*MCDA_Prioritisation!$E$4+J438*O438+K438*S438+L438*W438</f>
        <v>75.608078162966791</v>
      </c>
      <c r="AB438" s="54">
        <f ca="1">H438*MCDA_Prioritisation!$D$5+I438*MCDA_Prioritisation!$E$5+J438*P438+K438*T438+L438*X438</f>
        <v>70.914494026155552</v>
      </c>
      <c r="AC438" s="54">
        <f t="shared" ca="1" si="90"/>
        <v>1</v>
      </c>
      <c r="AD438" s="54">
        <f t="shared" ca="1" si="91"/>
        <v>2</v>
      </c>
      <c r="AE438" s="54">
        <f t="shared" ca="1" si="92"/>
        <v>3</v>
      </c>
      <c r="AF438" s="54">
        <f t="shared" ca="1" si="93"/>
        <v>4</v>
      </c>
      <c r="AG438" s="54">
        <f t="shared" ca="1" si="94"/>
        <v>1</v>
      </c>
      <c r="AH438" s="54">
        <f t="shared" ca="1" si="95"/>
        <v>1</v>
      </c>
      <c r="AI438" s="54">
        <f t="shared" ca="1" si="96"/>
        <v>1</v>
      </c>
      <c r="AJ438" s="54">
        <f t="shared" ca="1" si="97"/>
        <v>1</v>
      </c>
    </row>
    <row r="439" spans="1:36" x14ac:dyDescent="0.2">
      <c r="A439" s="54">
        <v>416</v>
      </c>
      <c r="B439" s="54">
        <f ca="1">MAX(0.02,MCDA_Prioritisation!$B$9+(RAND()-0.5)*2*$B$6)</f>
        <v>0.19305634188012802</v>
      </c>
      <c r="C439" s="54">
        <f ca="1">MAX(0.02,MCDA_Prioritisation!$B$10+(RAND()-0.5)*2*$B$6)</f>
        <v>0.22385150009682903</v>
      </c>
      <c r="D439" s="54">
        <f ca="1">MAX(0.02,MCDA_Prioritisation!$B$11+(RAND()-0.5)*2*$B$6)</f>
        <v>0.28914812822276065</v>
      </c>
      <c r="E439" s="54">
        <f ca="1">MAX(0.02,MCDA_Prioritisation!$B$12+(RAND()-0.5)*2*$B$6)</f>
        <v>0.17701925441108959</v>
      </c>
      <c r="F439" s="54">
        <f ca="1">MAX(0.02,MCDA_Prioritisation!$B$13+(RAND()-0.5)*2*$B$6)</f>
        <v>9.1686580633247916E-2</v>
      </c>
      <c r="G439" s="54">
        <f t="shared" ca="1" si="84"/>
        <v>0.9747618052440552</v>
      </c>
      <c r="H439" s="54">
        <f t="shared" ca="1" si="85"/>
        <v>0.19805488976026475</v>
      </c>
      <c r="I439" s="54">
        <f t="shared" ca="1" si="86"/>
        <v>0.22964738553823658</v>
      </c>
      <c r="J439" s="54">
        <f t="shared" ca="1" si="87"/>
        <v>0.29663465132424371</v>
      </c>
      <c r="K439" s="54">
        <f t="shared" ca="1" si="88"/>
        <v>0.18160257558180437</v>
      </c>
      <c r="L439" s="54">
        <f t="shared" ca="1" si="89"/>
        <v>9.4060497795450615E-2</v>
      </c>
      <c r="M439" s="54">
        <f ca="1">MIN(100,MAX(0,MCDA_Prioritisation!$F$2+(RAND()-0.5)*2*$B$7))</f>
        <v>94.471915694591488</v>
      </c>
      <c r="N439" s="54">
        <f ca="1">MIN(100,MAX(0,MCDA_Prioritisation!$F$3+(RAND()-0.5)*2*$B$7))</f>
        <v>96.65700868851961</v>
      </c>
      <c r="O439" s="54">
        <f ca="1">MIN(100,MAX(0,MCDA_Prioritisation!$F$4+(RAND()-0.5)*2*$B$7))</f>
        <v>80.099288493837463</v>
      </c>
      <c r="P439" s="54">
        <f ca="1">MIN(100,MAX(0,MCDA_Prioritisation!$F$5+(RAND()-0.5)*2*$B$7))</f>
        <v>78.850821437714814</v>
      </c>
      <c r="Q439" s="54">
        <f ca="1">MIN(100,MAX(0,MCDA_Prioritisation!$G$2+(RAND()-0.5)*2*$B$7))</f>
        <v>81.149736981780222</v>
      </c>
      <c r="R439" s="54">
        <f ca="1">MIN(100,MAX(0,MCDA_Prioritisation!$G$3+(RAND()-0.5)*2*$B$7))</f>
        <v>93.210786061718792</v>
      </c>
      <c r="S439" s="54">
        <f ca="1">MIN(100,MAX(0,MCDA_Prioritisation!$G$4+(RAND()-0.5)*2*$B$7))</f>
        <v>85.193181638963893</v>
      </c>
      <c r="T439" s="54">
        <f ca="1">MIN(100,MAX(0,MCDA_Prioritisation!$G$5+(RAND()-0.5)*2*$B$7))</f>
        <v>62.653728367213809</v>
      </c>
      <c r="U439" s="54">
        <f ca="1">MIN(100,MAX(0,MCDA_Prioritisation!$H$2+(RAND()-0.5)*2*$B$7))</f>
        <v>56.01767268981289</v>
      </c>
      <c r="V439" s="54">
        <f ca="1">MIN(100,MAX(0,MCDA_Prioritisation!$H$3+(RAND()-0.5)*2*$B$7))</f>
        <v>59.149549865168275</v>
      </c>
      <c r="W439" s="54">
        <f ca="1">MIN(100,MAX(0,MCDA_Prioritisation!$H$4+(RAND()-0.5)*2*$B$7))</f>
        <v>85.883788727125534</v>
      </c>
      <c r="X439" s="54">
        <f ca="1">MIN(100,MAX(0,MCDA_Prioritisation!$H$5+(RAND()-0.5)*2*$B$7))</f>
        <v>78.2557241883719</v>
      </c>
      <c r="Y439" s="54">
        <f ca="1">H439*MCDA_Prioritisation!$D$2+I439*MCDA_Prioritisation!$E$2+J439*M439+K439*Q439+L439*U439</f>
        <v>90.799922724072331</v>
      </c>
      <c r="Z439" s="54">
        <f ca="1">H439*MCDA_Prioritisation!$D$3+I439*MCDA_Prioritisation!$E$3+J439*N439+K439*R439+L439*V439</f>
        <v>85.173772400040349</v>
      </c>
      <c r="AA439" s="54">
        <f ca="1">H439*MCDA_Prioritisation!$D$4+I439*MCDA_Prioritisation!$E$4+J439*O439+K439*S439+L439*W439</f>
        <v>73.627396908234587</v>
      </c>
      <c r="AB439" s="54">
        <f ca="1">H439*MCDA_Prioritisation!$D$5+I439*MCDA_Prioritisation!$E$5+J439*P439+K439*T439+L439*X439</f>
        <v>71.95193366545098</v>
      </c>
      <c r="AC439" s="54">
        <f t="shared" ca="1" si="90"/>
        <v>1</v>
      </c>
      <c r="AD439" s="54">
        <f t="shared" ca="1" si="91"/>
        <v>2</v>
      </c>
      <c r="AE439" s="54">
        <f t="shared" ca="1" si="92"/>
        <v>3</v>
      </c>
      <c r="AF439" s="54">
        <f t="shared" ca="1" si="93"/>
        <v>4</v>
      </c>
      <c r="AG439" s="54">
        <f t="shared" ca="1" si="94"/>
        <v>1</v>
      </c>
      <c r="AH439" s="54">
        <f t="shared" ca="1" si="95"/>
        <v>1</v>
      </c>
      <c r="AI439" s="54">
        <f t="shared" ca="1" si="96"/>
        <v>1</v>
      </c>
      <c r="AJ439" s="54">
        <f t="shared" ca="1" si="97"/>
        <v>1</v>
      </c>
    </row>
    <row r="440" spans="1:36" x14ac:dyDescent="0.2">
      <c r="A440" s="54">
        <v>417</v>
      </c>
      <c r="B440" s="54">
        <f ca="1">MAX(0.02,MCDA_Prioritisation!$B$9+(RAND()-0.5)*2*$B$6)</f>
        <v>0.18941075834687585</v>
      </c>
      <c r="C440" s="54">
        <f ca="1">MAX(0.02,MCDA_Prioritisation!$B$10+(RAND()-0.5)*2*$B$6)</f>
        <v>0.32107215233917602</v>
      </c>
      <c r="D440" s="54">
        <f ca="1">MAX(0.02,MCDA_Prioritisation!$B$11+(RAND()-0.5)*2*$B$6)</f>
        <v>0.31730113669388715</v>
      </c>
      <c r="E440" s="54">
        <f ca="1">MAX(0.02,MCDA_Prioritisation!$B$12+(RAND()-0.5)*2*$B$6)</f>
        <v>8.2366238423102076E-2</v>
      </c>
      <c r="F440" s="54">
        <f ca="1">MAX(0.02,MCDA_Prioritisation!$B$13+(RAND()-0.5)*2*$B$6)</f>
        <v>0.20501435544413646</v>
      </c>
      <c r="G440" s="54">
        <f t="shared" ca="1" si="84"/>
        <v>1.1151646412471776</v>
      </c>
      <c r="H440" s="54">
        <f t="shared" ca="1" si="85"/>
        <v>0.16985003948389421</v>
      </c>
      <c r="I440" s="54">
        <f t="shared" ca="1" si="86"/>
        <v>0.2879145737441024</v>
      </c>
      <c r="J440" s="54">
        <f t="shared" ca="1" si="87"/>
        <v>0.28453299625696882</v>
      </c>
      <c r="K440" s="54">
        <f t="shared" ca="1" si="88"/>
        <v>7.3860159636146047E-2</v>
      </c>
      <c r="L440" s="54">
        <f t="shared" ca="1" si="89"/>
        <v>0.18384223087888846</v>
      </c>
      <c r="M440" s="54">
        <f ca="1">MIN(100,MAX(0,MCDA_Prioritisation!$F$2+(RAND()-0.5)*2*$B$7))</f>
        <v>85.705687435752623</v>
      </c>
      <c r="N440" s="54">
        <f ca="1">MIN(100,MAX(0,MCDA_Prioritisation!$F$3+(RAND()-0.5)*2*$B$7))</f>
        <v>90.955138220666655</v>
      </c>
      <c r="O440" s="54">
        <f ca="1">MIN(100,MAX(0,MCDA_Prioritisation!$F$4+(RAND()-0.5)*2*$B$7))</f>
        <v>92.503858011101528</v>
      </c>
      <c r="P440" s="54">
        <f ca="1">MIN(100,MAX(0,MCDA_Prioritisation!$F$5+(RAND()-0.5)*2*$B$7))</f>
        <v>84.165494381433433</v>
      </c>
      <c r="Q440" s="54">
        <f ca="1">MIN(100,MAX(0,MCDA_Prioritisation!$G$2+(RAND()-0.5)*2*$B$7))</f>
        <v>75.106090961854278</v>
      </c>
      <c r="R440" s="54">
        <f ca="1">MIN(100,MAX(0,MCDA_Prioritisation!$G$3+(RAND()-0.5)*2*$B$7))</f>
        <v>94.936426331983881</v>
      </c>
      <c r="S440" s="54">
        <f ca="1">MIN(100,MAX(0,MCDA_Prioritisation!$G$4+(RAND()-0.5)*2*$B$7))</f>
        <v>88.561699356450845</v>
      </c>
      <c r="T440" s="54">
        <f ca="1">MIN(100,MAX(0,MCDA_Prioritisation!$G$5+(RAND()-0.5)*2*$B$7))</f>
        <v>71.899141614849711</v>
      </c>
      <c r="U440" s="54">
        <f ca="1">MIN(100,MAX(0,MCDA_Prioritisation!$H$2+(RAND()-0.5)*2*$B$7))</f>
        <v>72.022525104800508</v>
      </c>
      <c r="V440" s="54">
        <f ca="1">MIN(100,MAX(0,MCDA_Prioritisation!$H$3+(RAND()-0.5)*2*$B$7))</f>
        <v>64.995171961303186</v>
      </c>
      <c r="W440" s="54">
        <f ca="1">MIN(100,MAX(0,MCDA_Prioritisation!$H$4+(RAND()-0.5)*2*$B$7))</f>
        <v>85.323911939377226</v>
      </c>
      <c r="X440" s="54">
        <f ca="1">MIN(100,MAX(0,MCDA_Prioritisation!$H$5+(RAND()-0.5)*2*$B$7))</f>
        <v>75.167636050464296</v>
      </c>
      <c r="Y440" s="54">
        <f ca="1">H440*MCDA_Prioritisation!$D$2+I440*MCDA_Prioritisation!$E$2+J440*M440+K440*Q440+L440*U440</f>
        <v>88.950686922044326</v>
      </c>
      <c r="Z440" s="54">
        <f ca="1">H440*MCDA_Prioritisation!$D$3+I440*MCDA_Prioritisation!$E$3+J440*N440+K440*R440+L440*V440</f>
        <v>80.624213342695626</v>
      </c>
      <c r="AA440" s="54">
        <f ca="1">H440*MCDA_Prioritisation!$D$4+I440*MCDA_Prioritisation!$E$4+J440*O440+K440*S440+L440*W440</f>
        <v>76.079509019838738</v>
      </c>
      <c r="AB440" s="54">
        <f ca="1">H440*MCDA_Prioritisation!$D$5+I440*MCDA_Prioritisation!$E$5+J440*P440+K440*T440+L440*X440</f>
        <v>76.303268505128585</v>
      </c>
      <c r="AC440" s="54">
        <f t="shared" ca="1" si="90"/>
        <v>1</v>
      </c>
      <c r="AD440" s="54">
        <f t="shared" ca="1" si="91"/>
        <v>2</v>
      </c>
      <c r="AE440" s="54">
        <f t="shared" ca="1" si="92"/>
        <v>4</v>
      </c>
      <c r="AF440" s="54">
        <f t="shared" ca="1" si="93"/>
        <v>3</v>
      </c>
      <c r="AG440" s="54">
        <f t="shared" ca="1" si="94"/>
        <v>1</v>
      </c>
      <c r="AH440" s="54">
        <f t="shared" ca="1" si="95"/>
        <v>1</v>
      </c>
      <c r="AI440" s="54">
        <f t="shared" ca="1" si="96"/>
        <v>0</v>
      </c>
      <c r="AJ440" s="54">
        <f t="shared" ca="1" si="97"/>
        <v>1</v>
      </c>
    </row>
    <row r="441" spans="1:36" x14ac:dyDescent="0.2">
      <c r="A441" s="54">
        <v>418</v>
      </c>
      <c r="B441" s="54">
        <f ca="1">MAX(0.02,MCDA_Prioritisation!$B$9+(RAND()-0.5)*2*$B$6)</f>
        <v>0.14059475344402284</v>
      </c>
      <c r="C441" s="54">
        <f ca="1">MAX(0.02,MCDA_Prioritisation!$B$10+(RAND()-0.5)*2*$B$6)</f>
        <v>0.19577641210785521</v>
      </c>
      <c r="D441" s="54">
        <f ca="1">MAX(0.02,MCDA_Prioritisation!$B$11+(RAND()-0.5)*2*$B$6)</f>
        <v>0.20865914698180105</v>
      </c>
      <c r="E441" s="54">
        <f ca="1">MAX(0.02,MCDA_Prioritisation!$B$12+(RAND()-0.5)*2*$B$6)</f>
        <v>8.4549341844704112E-2</v>
      </c>
      <c r="F441" s="54">
        <f ca="1">MAX(0.02,MCDA_Prioritisation!$B$13+(RAND()-0.5)*2*$B$6)</f>
        <v>0.15754860540178589</v>
      </c>
      <c r="G441" s="54">
        <f t="shared" ca="1" si="84"/>
        <v>0.78712825978016898</v>
      </c>
      <c r="H441" s="54">
        <f t="shared" ca="1" si="85"/>
        <v>0.17861733675181279</v>
      </c>
      <c r="I441" s="54">
        <f t="shared" ca="1" si="86"/>
        <v>0.24872237742109793</v>
      </c>
      <c r="J441" s="54">
        <f t="shared" ca="1" si="87"/>
        <v>0.26508913177640941</v>
      </c>
      <c r="K441" s="54">
        <f t="shared" ca="1" si="88"/>
        <v>0.10741494895421141</v>
      </c>
      <c r="L441" s="54">
        <f t="shared" ca="1" si="89"/>
        <v>0.20015620509646856</v>
      </c>
      <c r="M441" s="54">
        <f ca="1">MIN(100,MAX(0,MCDA_Prioritisation!$F$2+(RAND()-0.5)*2*$B$7))</f>
        <v>86.582547437652195</v>
      </c>
      <c r="N441" s="54">
        <f ca="1">MIN(100,MAX(0,MCDA_Prioritisation!$F$3+(RAND()-0.5)*2*$B$7))</f>
        <v>100</v>
      </c>
      <c r="O441" s="54">
        <f ca="1">MIN(100,MAX(0,MCDA_Prioritisation!$F$4+(RAND()-0.5)*2*$B$7))</f>
        <v>84.624237598351812</v>
      </c>
      <c r="P441" s="54">
        <f ca="1">MIN(100,MAX(0,MCDA_Prioritisation!$F$5+(RAND()-0.5)*2*$B$7))</f>
        <v>66.173931126584776</v>
      </c>
      <c r="Q441" s="54">
        <f ca="1">MIN(100,MAX(0,MCDA_Prioritisation!$G$2+(RAND()-0.5)*2*$B$7))</f>
        <v>74.201445238796197</v>
      </c>
      <c r="R441" s="54">
        <f ca="1">MIN(100,MAX(0,MCDA_Prioritisation!$G$3+(RAND()-0.5)*2*$B$7))</f>
        <v>100</v>
      </c>
      <c r="S441" s="54">
        <f ca="1">MIN(100,MAX(0,MCDA_Prioritisation!$G$4+(RAND()-0.5)*2*$B$7))</f>
        <v>92.201052615803377</v>
      </c>
      <c r="T441" s="54">
        <f ca="1">MIN(100,MAX(0,MCDA_Prioritisation!$G$5+(RAND()-0.5)*2*$B$7))</f>
        <v>61.079794499689733</v>
      </c>
      <c r="U441" s="54">
        <f ca="1">MIN(100,MAX(0,MCDA_Prioritisation!$H$2+(RAND()-0.5)*2*$B$7))</f>
        <v>63.209730878110747</v>
      </c>
      <c r="V441" s="54">
        <f ca="1">MIN(100,MAX(0,MCDA_Prioritisation!$H$3+(RAND()-0.5)*2*$B$7))</f>
        <v>50.234872141926587</v>
      </c>
      <c r="W441" s="54">
        <f ca="1">MIN(100,MAX(0,MCDA_Prioritisation!$H$4+(RAND()-0.5)*2*$B$7))</f>
        <v>81.896736402404457</v>
      </c>
      <c r="X441" s="54">
        <f ca="1">MIN(100,MAX(0,MCDA_Prioritisation!$H$5+(RAND()-0.5)*2*$B$7))</f>
        <v>79.759092042123157</v>
      </c>
      <c r="Y441" s="54">
        <f ca="1">H441*MCDA_Prioritisation!$D$2+I441*MCDA_Prioritisation!$E$2+J441*M441+K441*Q441+L441*U441</f>
        <v>86.308228054913798</v>
      </c>
      <c r="Z441" s="54">
        <f ca="1">H441*MCDA_Prioritisation!$D$3+I441*MCDA_Prioritisation!$E$3+J441*N441+K441*R441+L441*V441</f>
        <v>81.004720289715024</v>
      </c>
      <c r="AA441" s="54">
        <f ca="1">H441*MCDA_Prioritisation!$D$4+I441*MCDA_Prioritisation!$E$4+J441*O441+K441*S441+L441*W441</f>
        <v>74.733413444001712</v>
      </c>
      <c r="AB441" s="54">
        <f ca="1">H441*MCDA_Prioritisation!$D$5+I441*MCDA_Prioritisation!$E$5+J441*P441+K441*T441+L441*X441</f>
        <v>70.462715056289895</v>
      </c>
      <c r="AC441" s="54">
        <f t="shared" ca="1" si="90"/>
        <v>1</v>
      </c>
      <c r="AD441" s="54">
        <f t="shared" ca="1" si="91"/>
        <v>2</v>
      </c>
      <c r="AE441" s="54">
        <f t="shared" ca="1" si="92"/>
        <v>3</v>
      </c>
      <c r="AF441" s="54">
        <f t="shared" ca="1" si="93"/>
        <v>4</v>
      </c>
      <c r="AG441" s="54">
        <f t="shared" ca="1" si="94"/>
        <v>1</v>
      </c>
      <c r="AH441" s="54">
        <f t="shared" ca="1" si="95"/>
        <v>1</v>
      </c>
      <c r="AI441" s="54">
        <f t="shared" ca="1" si="96"/>
        <v>1</v>
      </c>
      <c r="AJ441" s="54">
        <f t="shared" ca="1" si="97"/>
        <v>1</v>
      </c>
    </row>
    <row r="442" spans="1:36" x14ac:dyDescent="0.2">
      <c r="A442" s="54">
        <v>419</v>
      </c>
      <c r="B442" s="54">
        <f ca="1">MAX(0.02,MCDA_Prioritisation!$B$9+(RAND()-0.5)*2*$B$6)</f>
        <v>0.26880823747588001</v>
      </c>
      <c r="C442" s="54">
        <f ca="1">MAX(0.02,MCDA_Prioritisation!$B$10+(RAND()-0.5)*2*$B$6)</f>
        <v>0.20912108257122095</v>
      </c>
      <c r="D442" s="54">
        <f ca="1">MAX(0.02,MCDA_Prioritisation!$B$11+(RAND()-0.5)*2*$B$6)</f>
        <v>0.18382899165063854</v>
      </c>
      <c r="E442" s="54">
        <f ca="1">MAX(0.02,MCDA_Prioritisation!$B$12+(RAND()-0.5)*2*$B$6)</f>
        <v>0.21809369416244512</v>
      </c>
      <c r="F442" s="54">
        <f ca="1">MAX(0.02,MCDA_Prioritisation!$B$13+(RAND()-0.5)*2*$B$6)</f>
        <v>0.1976311361543148</v>
      </c>
      <c r="G442" s="54">
        <f t="shared" ca="1" si="84"/>
        <v>1.0774831420144995</v>
      </c>
      <c r="H442" s="54">
        <f t="shared" ca="1" si="85"/>
        <v>0.24947790549493601</v>
      </c>
      <c r="I442" s="54">
        <f t="shared" ca="1" si="86"/>
        <v>0.19408292753447723</v>
      </c>
      <c r="J442" s="54">
        <f t="shared" ca="1" si="87"/>
        <v>0.17060962207440716</v>
      </c>
      <c r="K442" s="54">
        <f t="shared" ca="1" si="88"/>
        <v>0.20241030755682141</v>
      </c>
      <c r="L442" s="54">
        <f t="shared" ca="1" si="89"/>
        <v>0.18341923733935814</v>
      </c>
      <c r="M442" s="54">
        <f ca="1">MIN(100,MAX(0,MCDA_Prioritisation!$F$2+(RAND()-0.5)*2*$B$7))</f>
        <v>80.763411254398704</v>
      </c>
      <c r="N442" s="54">
        <f ca="1">MIN(100,MAX(0,MCDA_Prioritisation!$F$3+(RAND()-0.5)*2*$B$7))</f>
        <v>95.376237862168011</v>
      </c>
      <c r="O442" s="54">
        <f ca="1">MIN(100,MAX(0,MCDA_Prioritisation!$F$4+(RAND()-0.5)*2*$B$7))</f>
        <v>89.515729870485217</v>
      </c>
      <c r="P442" s="54">
        <f ca="1">MIN(100,MAX(0,MCDA_Prioritisation!$F$5+(RAND()-0.5)*2*$B$7))</f>
        <v>83.05103497556243</v>
      </c>
      <c r="Q442" s="54">
        <f ca="1">MIN(100,MAX(0,MCDA_Prioritisation!$G$2+(RAND()-0.5)*2*$B$7))</f>
        <v>82.702240960893562</v>
      </c>
      <c r="R442" s="54">
        <f ca="1">MIN(100,MAX(0,MCDA_Prioritisation!$G$3+(RAND()-0.5)*2*$B$7))</f>
        <v>92.131050985730255</v>
      </c>
      <c r="S442" s="54">
        <f ca="1">MIN(100,MAX(0,MCDA_Prioritisation!$G$4+(RAND()-0.5)*2*$B$7))</f>
        <v>90.044383289804131</v>
      </c>
      <c r="T442" s="54">
        <f ca="1">MIN(100,MAX(0,MCDA_Prioritisation!$G$5+(RAND()-0.5)*2*$B$7))</f>
        <v>65.724046143781067</v>
      </c>
      <c r="U442" s="54">
        <f ca="1">MIN(100,MAX(0,MCDA_Prioritisation!$H$2+(RAND()-0.5)*2*$B$7))</f>
        <v>72.638864027951414</v>
      </c>
      <c r="V442" s="54">
        <f ca="1">MIN(100,MAX(0,MCDA_Prioritisation!$H$3+(RAND()-0.5)*2*$B$7))</f>
        <v>67.746294270500044</v>
      </c>
      <c r="W442" s="54">
        <f ca="1">MIN(100,MAX(0,MCDA_Prioritisation!$H$4+(RAND()-0.5)*2*$B$7))</f>
        <v>77.222208823846728</v>
      </c>
      <c r="X442" s="54">
        <f ca="1">MIN(100,MAX(0,MCDA_Prioritisation!$H$5+(RAND()-0.5)*2*$B$7))</f>
        <v>69.840296649986186</v>
      </c>
      <c r="Y442" s="54">
        <f ca="1">H442*MCDA_Prioritisation!$D$2+I442*MCDA_Prioritisation!$E$2+J442*M442+K442*Q442+L442*U442</f>
        <v>88.198249444231209</v>
      </c>
      <c r="Z442" s="54">
        <f ca="1">H442*MCDA_Prioritisation!$D$3+I442*MCDA_Prioritisation!$E$3+J442*N442+K442*R442+L442*V442</f>
        <v>83.265054297718606</v>
      </c>
      <c r="AA442" s="54">
        <f ca="1">H442*MCDA_Prioritisation!$D$4+I442*MCDA_Prioritisation!$E$4+J442*O442+K442*S442+L442*W442</f>
        <v>75.620711066083643</v>
      </c>
      <c r="AB442" s="54">
        <f ca="1">H442*MCDA_Prioritisation!$D$5+I442*MCDA_Prioritisation!$E$5+J442*P442+K442*T442+L442*X442</f>
        <v>69.844455671437913</v>
      </c>
      <c r="AC442" s="54">
        <f t="shared" ca="1" si="90"/>
        <v>1</v>
      </c>
      <c r="AD442" s="54">
        <f t="shared" ca="1" si="91"/>
        <v>2</v>
      </c>
      <c r="AE442" s="54">
        <f t="shared" ca="1" si="92"/>
        <v>3</v>
      </c>
      <c r="AF442" s="54">
        <f t="shared" ca="1" si="93"/>
        <v>4</v>
      </c>
      <c r="AG442" s="54">
        <f t="shared" ca="1" si="94"/>
        <v>1</v>
      </c>
      <c r="AH442" s="54">
        <f t="shared" ca="1" si="95"/>
        <v>1</v>
      </c>
      <c r="AI442" s="54">
        <f t="shared" ca="1" si="96"/>
        <v>1</v>
      </c>
      <c r="AJ442" s="54">
        <f t="shared" ca="1" si="97"/>
        <v>1</v>
      </c>
    </row>
    <row r="443" spans="1:36" x14ac:dyDescent="0.2">
      <c r="A443" s="54">
        <v>420</v>
      </c>
      <c r="B443" s="54">
        <f ca="1">MAX(0.02,MCDA_Prioritisation!$B$9+(RAND()-0.5)*2*$B$6)</f>
        <v>0.16083103566324641</v>
      </c>
      <c r="C443" s="54">
        <f ca="1">MAX(0.02,MCDA_Prioritisation!$B$10+(RAND()-0.5)*2*$B$6)</f>
        <v>0.25978409236846234</v>
      </c>
      <c r="D443" s="54">
        <f ca="1">MAX(0.02,MCDA_Prioritisation!$B$11+(RAND()-0.5)*2*$B$6)</f>
        <v>0.20059140475076462</v>
      </c>
      <c r="E443" s="54">
        <f ca="1">MAX(0.02,MCDA_Prioritisation!$B$12+(RAND()-0.5)*2*$B$6)</f>
        <v>0.11894258410613621</v>
      </c>
      <c r="F443" s="54">
        <f ca="1">MAX(0.02,MCDA_Prioritisation!$B$13+(RAND()-0.5)*2*$B$6)</f>
        <v>0.16770723674579555</v>
      </c>
      <c r="G443" s="54">
        <f t="shared" ca="1" si="84"/>
        <v>0.9078563536344052</v>
      </c>
      <c r="H443" s="54">
        <f t="shared" ca="1" si="85"/>
        <v>0.17715471728472726</v>
      </c>
      <c r="I443" s="54">
        <f t="shared" ca="1" si="86"/>
        <v>0.28615109794459587</v>
      </c>
      <c r="J443" s="54">
        <f t="shared" ca="1" si="87"/>
        <v>0.2209505985696312</v>
      </c>
      <c r="K443" s="54">
        <f t="shared" ca="1" si="88"/>
        <v>0.13101476200499726</v>
      </c>
      <c r="L443" s="54">
        <f t="shared" ca="1" si="89"/>
        <v>0.18472882419604836</v>
      </c>
      <c r="M443" s="54">
        <f ca="1">MIN(100,MAX(0,MCDA_Prioritisation!$F$2+(RAND()-0.5)*2*$B$7))</f>
        <v>88.640365466981365</v>
      </c>
      <c r="N443" s="54">
        <f ca="1">MIN(100,MAX(0,MCDA_Prioritisation!$F$3+(RAND()-0.5)*2*$B$7))</f>
        <v>92.282641869306744</v>
      </c>
      <c r="O443" s="54">
        <f ca="1">MIN(100,MAX(0,MCDA_Prioritisation!$F$4+(RAND()-0.5)*2*$B$7))</f>
        <v>83.072430482644435</v>
      </c>
      <c r="P443" s="54">
        <f ca="1">MIN(100,MAX(0,MCDA_Prioritisation!$F$5+(RAND()-0.5)*2*$B$7))</f>
        <v>81.711946872787877</v>
      </c>
      <c r="Q443" s="54">
        <f ca="1">MIN(100,MAX(0,MCDA_Prioritisation!$G$2+(RAND()-0.5)*2*$B$7))</f>
        <v>77.931630566458054</v>
      </c>
      <c r="R443" s="54">
        <f ca="1">MIN(100,MAX(0,MCDA_Prioritisation!$G$3+(RAND()-0.5)*2*$B$7))</f>
        <v>100</v>
      </c>
      <c r="S443" s="54">
        <f ca="1">MIN(100,MAX(0,MCDA_Prioritisation!$G$4+(RAND()-0.5)*2*$B$7))</f>
        <v>85.146620641775343</v>
      </c>
      <c r="T443" s="54">
        <f ca="1">MIN(100,MAX(0,MCDA_Prioritisation!$G$5+(RAND()-0.5)*2*$B$7))</f>
        <v>78.009192240289565</v>
      </c>
      <c r="U443" s="54">
        <f ca="1">MIN(100,MAX(0,MCDA_Prioritisation!$H$2+(RAND()-0.5)*2*$B$7))</f>
        <v>64.662792926682741</v>
      </c>
      <c r="V443" s="54">
        <f ca="1">MIN(100,MAX(0,MCDA_Prioritisation!$H$3+(RAND()-0.5)*2*$B$7))</f>
        <v>58.830120704757043</v>
      </c>
      <c r="W443" s="54">
        <f ca="1">MIN(100,MAX(0,MCDA_Prioritisation!$H$4+(RAND()-0.5)*2*$B$7))</f>
        <v>85.881713720814943</v>
      </c>
      <c r="X443" s="54">
        <f ca="1">MIN(100,MAX(0,MCDA_Prioritisation!$H$5+(RAND()-0.5)*2*$B$7))</f>
        <v>83.551710530838776</v>
      </c>
      <c r="Y443" s="54">
        <f ca="1">H443*MCDA_Prioritisation!$D$2+I443*MCDA_Prioritisation!$E$2+J443*M443+K443*Q443+L443*U443</f>
        <v>88.070999068197239</v>
      </c>
      <c r="Z443" s="54">
        <f ca="1">H443*MCDA_Prioritisation!$D$3+I443*MCDA_Prioritisation!$E$3+J443*N443+K443*R443+L443*V443</f>
        <v>80.652751476311892</v>
      </c>
      <c r="AA443" s="54">
        <f ca="1">H443*MCDA_Prioritisation!$D$4+I443*MCDA_Prioritisation!$E$4+J443*O443+K443*S443+L443*W443</f>
        <v>73.319450270222845</v>
      </c>
      <c r="AB443" s="54">
        <f ca="1">H443*MCDA_Prioritisation!$D$5+I443*MCDA_Prioritisation!$E$5+J443*P443+K443*T443+L443*X443</f>
        <v>77.174418792873055</v>
      </c>
      <c r="AC443" s="54">
        <f t="shared" ca="1" si="90"/>
        <v>1</v>
      </c>
      <c r="AD443" s="54">
        <f t="shared" ca="1" si="91"/>
        <v>2</v>
      </c>
      <c r="AE443" s="54">
        <f t="shared" ca="1" si="92"/>
        <v>4</v>
      </c>
      <c r="AF443" s="54">
        <f t="shared" ca="1" si="93"/>
        <v>3</v>
      </c>
      <c r="AG443" s="54">
        <f t="shared" ca="1" si="94"/>
        <v>1</v>
      </c>
      <c r="AH443" s="54">
        <f t="shared" ca="1" si="95"/>
        <v>1</v>
      </c>
      <c r="AI443" s="54">
        <f t="shared" ca="1" si="96"/>
        <v>0</v>
      </c>
      <c r="AJ443" s="54">
        <f t="shared" ca="1" si="97"/>
        <v>1</v>
      </c>
    </row>
    <row r="444" spans="1:36" x14ac:dyDescent="0.2">
      <c r="A444" s="54">
        <v>421</v>
      </c>
      <c r="B444" s="54">
        <f ca="1">MAX(0.02,MCDA_Prioritisation!$B$9+(RAND()-0.5)*2*$B$6)</f>
        <v>0.16864542336621702</v>
      </c>
      <c r="C444" s="54">
        <f ca="1">MAX(0.02,MCDA_Prioritisation!$B$10+(RAND()-0.5)*2*$B$6)</f>
        <v>0.30152699137260436</v>
      </c>
      <c r="D444" s="54">
        <f ca="1">MAX(0.02,MCDA_Prioritisation!$B$11+(RAND()-0.5)*2*$B$6)</f>
        <v>0.25377937232694076</v>
      </c>
      <c r="E444" s="54">
        <f ca="1">MAX(0.02,MCDA_Prioritisation!$B$12+(RAND()-0.5)*2*$B$6)</f>
        <v>0.1265886832638326</v>
      </c>
      <c r="F444" s="54">
        <f ca="1">MAX(0.02,MCDA_Prioritisation!$B$13+(RAND()-0.5)*2*$B$6)</f>
        <v>8.7614690627731959E-2</v>
      </c>
      <c r="G444" s="54">
        <f t="shared" ca="1" si="84"/>
        <v>0.93815516095732665</v>
      </c>
      <c r="H444" s="54">
        <f t="shared" ca="1" si="85"/>
        <v>0.17976282643281019</v>
      </c>
      <c r="I444" s="54">
        <f t="shared" ca="1" si="86"/>
        <v>0.32140418122831149</v>
      </c>
      <c r="J444" s="54">
        <f t="shared" ca="1" si="87"/>
        <v>0.27050895511567119</v>
      </c>
      <c r="K444" s="54">
        <f t="shared" ca="1" si="88"/>
        <v>0.1349336320173915</v>
      </c>
      <c r="L444" s="54">
        <f t="shared" ca="1" si="89"/>
        <v>9.3390405205815666E-2</v>
      </c>
      <c r="M444" s="54">
        <f ca="1">MIN(100,MAX(0,MCDA_Prioritisation!$F$2+(RAND()-0.5)*2*$B$7))</f>
        <v>78.881240042523146</v>
      </c>
      <c r="N444" s="54">
        <f ca="1">MIN(100,MAX(0,MCDA_Prioritisation!$F$3+(RAND()-0.5)*2*$B$7))</f>
        <v>100</v>
      </c>
      <c r="O444" s="54">
        <f ca="1">MIN(100,MAX(0,MCDA_Prioritisation!$F$4+(RAND()-0.5)*2*$B$7))</f>
        <v>87.037374716828964</v>
      </c>
      <c r="P444" s="54">
        <f ca="1">MIN(100,MAX(0,MCDA_Prioritisation!$F$5+(RAND()-0.5)*2*$B$7))</f>
        <v>66.910618359902003</v>
      </c>
      <c r="Q444" s="54">
        <f ca="1">MIN(100,MAX(0,MCDA_Prioritisation!$G$2+(RAND()-0.5)*2*$B$7))</f>
        <v>73.828084982669267</v>
      </c>
      <c r="R444" s="54">
        <f ca="1">MIN(100,MAX(0,MCDA_Prioritisation!$G$3+(RAND()-0.5)*2*$B$7))</f>
        <v>99.343982956335125</v>
      </c>
      <c r="S444" s="54">
        <f ca="1">MIN(100,MAX(0,MCDA_Prioritisation!$G$4+(RAND()-0.5)*2*$B$7))</f>
        <v>81.015622654366311</v>
      </c>
      <c r="T444" s="54">
        <f ca="1">MIN(100,MAX(0,MCDA_Prioritisation!$G$5+(RAND()-0.5)*2*$B$7))</f>
        <v>61.63399251827979</v>
      </c>
      <c r="U444" s="54">
        <f ca="1">MIN(100,MAX(0,MCDA_Prioritisation!$H$2+(RAND()-0.5)*2*$B$7))</f>
        <v>67.050779200408186</v>
      </c>
      <c r="V444" s="54">
        <f ca="1">MIN(100,MAX(0,MCDA_Prioritisation!$H$3+(RAND()-0.5)*2*$B$7))</f>
        <v>62.894082069095333</v>
      </c>
      <c r="W444" s="54">
        <f ca="1">MIN(100,MAX(0,MCDA_Prioritisation!$H$4+(RAND()-0.5)*2*$B$7))</f>
        <v>71.82545285645088</v>
      </c>
      <c r="X444" s="54">
        <f ca="1">MIN(100,MAX(0,MCDA_Prioritisation!$H$5+(RAND()-0.5)*2*$B$7))</f>
        <v>70.347639193692302</v>
      </c>
      <c r="Y444" s="54">
        <f ca="1">H444*MCDA_Prioritisation!$D$2+I444*MCDA_Prioritisation!$E$2+J444*M444+K444*Q444+L444*U444</f>
        <v>87.678573678735546</v>
      </c>
      <c r="Z444" s="54">
        <f ca="1">H444*MCDA_Prioritisation!$D$3+I444*MCDA_Prioritisation!$E$3+J444*N444+K444*R444+L444*V444</f>
        <v>85.414996150959922</v>
      </c>
      <c r="AA444" s="54">
        <f ca="1">H444*MCDA_Prioritisation!$D$4+I444*MCDA_Prioritisation!$E$4+J444*O444+K444*S444+L444*W444</f>
        <v>71.232693288748038</v>
      </c>
      <c r="AB444" s="54">
        <f ca="1">H444*MCDA_Prioritisation!$D$5+I444*MCDA_Prioritisation!$E$5+J444*P444+K444*T444+L444*X444</f>
        <v>69.554456209394985</v>
      </c>
      <c r="AC444" s="54">
        <f t="shared" ca="1" si="90"/>
        <v>1</v>
      </c>
      <c r="AD444" s="54">
        <f t="shared" ca="1" si="91"/>
        <v>2</v>
      </c>
      <c r="AE444" s="54">
        <f t="shared" ca="1" si="92"/>
        <v>3</v>
      </c>
      <c r="AF444" s="54">
        <f t="shared" ca="1" si="93"/>
        <v>4</v>
      </c>
      <c r="AG444" s="54">
        <f t="shared" ca="1" si="94"/>
        <v>1</v>
      </c>
      <c r="AH444" s="54">
        <f t="shared" ca="1" si="95"/>
        <v>1</v>
      </c>
      <c r="AI444" s="54">
        <f t="shared" ca="1" si="96"/>
        <v>1</v>
      </c>
      <c r="AJ444" s="54">
        <f t="shared" ca="1" si="97"/>
        <v>1</v>
      </c>
    </row>
    <row r="445" spans="1:36" x14ac:dyDescent="0.2">
      <c r="A445" s="54">
        <v>422</v>
      </c>
      <c r="B445" s="54">
        <f ca="1">MAX(0.02,MCDA_Prioritisation!$B$9+(RAND()-0.5)*2*$B$6)</f>
        <v>0.14019682759018137</v>
      </c>
      <c r="C445" s="54">
        <f ca="1">MAX(0.02,MCDA_Prioritisation!$B$10+(RAND()-0.5)*2*$B$6)</f>
        <v>0.22431763145702022</v>
      </c>
      <c r="D445" s="54">
        <f ca="1">MAX(0.02,MCDA_Prioritisation!$B$11+(RAND()-0.5)*2*$B$6)</f>
        <v>0.20762208338297772</v>
      </c>
      <c r="E445" s="54">
        <f ca="1">MAX(0.02,MCDA_Prioritisation!$B$12+(RAND()-0.5)*2*$B$6)</f>
        <v>0.19670118642345266</v>
      </c>
      <c r="F445" s="54">
        <f ca="1">MAX(0.02,MCDA_Prioritisation!$B$13+(RAND()-0.5)*2*$B$6)</f>
        <v>0.16258504785058417</v>
      </c>
      <c r="G445" s="54">
        <f t="shared" ca="1" si="84"/>
        <v>0.93142277670421614</v>
      </c>
      <c r="H445" s="54">
        <f t="shared" ca="1" si="85"/>
        <v>0.15051900285953868</v>
      </c>
      <c r="I445" s="54">
        <f t="shared" ca="1" si="86"/>
        <v>0.24083331121744173</v>
      </c>
      <c r="J445" s="54">
        <f t="shared" ca="1" si="87"/>
        <v>0.22290853152382215</v>
      </c>
      <c r="K445" s="54">
        <f t="shared" ca="1" si="88"/>
        <v>0.21118356920524112</v>
      </c>
      <c r="L445" s="54">
        <f t="shared" ca="1" si="89"/>
        <v>0.17455558519395634</v>
      </c>
      <c r="M445" s="54">
        <f ca="1">MIN(100,MAX(0,MCDA_Prioritisation!$F$2+(RAND()-0.5)*2*$B$7))</f>
        <v>93.511209234864623</v>
      </c>
      <c r="N445" s="54">
        <f ca="1">MIN(100,MAX(0,MCDA_Prioritisation!$F$3+(RAND()-0.5)*2*$B$7))</f>
        <v>94.008794167483572</v>
      </c>
      <c r="O445" s="54">
        <f ca="1">MIN(100,MAX(0,MCDA_Prioritisation!$F$4+(RAND()-0.5)*2*$B$7))</f>
        <v>98.901381761121542</v>
      </c>
      <c r="P445" s="54">
        <f ca="1">MIN(100,MAX(0,MCDA_Prioritisation!$F$5+(RAND()-0.5)*2*$B$7))</f>
        <v>74.213869363025395</v>
      </c>
      <c r="Q445" s="54">
        <f ca="1">MIN(100,MAX(0,MCDA_Prioritisation!$G$2+(RAND()-0.5)*2*$B$7))</f>
        <v>76.946899634020468</v>
      </c>
      <c r="R445" s="54">
        <f ca="1">MIN(100,MAX(0,MCDA_Prioritisation!$G$3+(RAND()-0.5)*2*$B$7))</f>
        <v>85.704952857550182</v>
      </c>
      <c r="S445" s="54">
        <f ca="1">MIN(100,MAX(0,MCDA_Prioritisation!$G$4+(RAND()-0.5)*2*$B$7))</f>
        <v>78.96480613815811</v>
      </c>
      <c r="T445" s="54">
        <f ca="1">MIN(100,MAX(0,MCDA_Prioritisation!$G$5+(RAND()-0.5)*2*$B$7))</f>
        <v>62.651791240959909</v>
      </c>
      <c r="U445" s="54">
        <f ca="1">MIN(100,MAX(0,MCDA_Prioritisation!$H$2+(RAND()-0.5)*2*$B$7))</f>
        <v>71.613025894188667</v>
      </c>
      <c r="V445" s="54">
        <f ca="1">MIN(100,MAX(0,MCDA_Prioritisation!$H$3+(RAND()-0.5)*2*$B$7))</f>
        <v>50.685669362659958</v>
      </c>
      <c r="W445" s="54">
        <f ca="1">MIN(100,MAX(0,MCDA_Prioritisation!$H$4+(RAND()-0.5)*2*$B$7))</f>
        <v>79.110285934547449</v>
      </c>
      <c r="X445" s="54">
        <f ca="1">MIN(100,MAX(0,MCDA_Prioritisation!$H$5+(RAND()-0.5)*2*$B$7))</f>
        <v>74.743295720233718</v>
      </c>
      <c r="Y445" s="54">
        <f ca="1">H445*MCDA_Prioritisation!$D$2+I445*MCDA_Prioritisation!$E$2+J445*M445+K445*Q445+L445*U445</f>
        <v>88.730052285718543</v>
      </c>
      <c r="Z445" s="54">
        <f ca="1">H445*MCDA_Prioritisation!$D$3+I445*MCDA_Prioritisation!$E$3+J445*N445+K445*R445+L445*V445</f>
        <v>78.572341782976167</v>
      </c>
      <c r="AA445" s="54">
        <f ca="1">H445*MCDA_Prioritisation!$D$4+I445*MCDA_Prioritisation!$E$4+J445*O445+K445*S445+L445*W445</f>
        <v>76.148794580149811</v>
      </c>
      <c r="AB445" s="54">
        <f ca="1">H445*MCDA_Prioritisation!$D$5+I445*MCDA_Prioritisation!$E$5+J445*P445+K445*T445+L445*X445</f>
        <v>71.06161534506559</v>
      </c>
      <c r="AC445" s="54">
        <f t="shared" ca="1" si="90"/>
        <v>1</v>
      </c>
      <c r="AD445" s="54">
        <f t="shared" ca="1" si="91"/>
        <v>2</v>
      </c>
      <c r="AE445" s="54">
        <f t="shared" ca="1" si="92"/>
        <v>3</v>
      </c>
      <c r="AF445" s="54">
        <f t="shared" ca="1" si="93"/>
        <v>4</v>
      </c>
      <c r="AG445" s="54">
        <f t="shared" ca="1" si="94"/>
        <v>1</v>
      </c>
      <c r="AH445" s="54">
        <f t="shared" ca="1" si="95"/>
        <v>1</v>
      </c>
      <c r="AI445" s="54">
        <f t="shared" ca="1" si="96"/>
        <v>1</v>
      </c>
      <c r="AJ445" s="54">
        <f t="shared" ca="1" si="97"/>
        <v>1</v>
      </c>
    </row>
    <row r="446" spans="1:36" x14ac:dyDescent="0.2">
      <c r="A446" s="54">
        <v>423</v>
      </c>
      <c r="B446" s="54">
        <f ca="1">MAX(0.02,MCDA_Prioritisation!$B$9+(RAND()-0.5)*2*$B$6)</f>
        <v>0.27556649551219842</v>
      </c>
      <c r="C446" s="54">
        <f ca="1">MAX(0.02,MCDA_Prioritisation!$B$10+(RAND()-0.5)*2*$B$6)</f>
        <v>0.28377402833512821</v>
      </c>
      <c r="D446" s="54">
        <f ca="1">MAX(0.02,MCDA_Prioritisation!$B$11+(RAND()-0.5)*2*$B$6)</f>
        <v>0.32903624497120237</v>
      </c>
      <c r="E446" s="54">
        <f ca="1">MAX(0.02,MCDA_Prioritisation!$B$12+(RAND()-0.5)*2*$B$6)</f>
        <v>0.10497313937151345</v>
      </c>
      <c r="F446" s="54">
        <f ca="1">MAX(0.02,MCDA_Prioritisation!$B$13+(RAND()-0.5)*2*$B$6)</f>
        <v>0.12287291812458084</v>
      </c>
      <c r="G446" s="54">
        <f t="shared" ca="1" si="84"/>
        <v>1.1162228263146232</v>
      </c>
      <c r="H446" s="54">
        <f t="shared" ca="1" si="85"/>
        <v>0.24687409092145379</v>
      </c>
      <c r="I446" s="54">
        <f t="shared" ca="1" si="86"/>
        <v>0.25422704288538039</v>
      </c>
      <c r="J446" s="54">
        <f t="shared" ca="1" si="87"/>
        <v>0.29477648836260123</v>
      </c>
      <c r="K446" s="54">
        <f t="shared" ca="1" si="88"/>
        <v>9.4043175696467335E-2</v>
      </c>
      <c r="L446" s="54">
        <f t="shared" ca="1" si="89"/>
        <v>0.11007920213409735</v>
      </c>
      <c r="M446" s="54">
        <f ca="1">MIN(100,MAX(0,MCDA_Prioritisation!$F$2+(RAND()-0.5)*2*$B$7))</f>
        <v>90.839285773889571</v>
      </c>
      <c r="N446" s="54">
        <f ca="1">MIN(100,MAX(0,MCDA_Prioritisation!$F$3+(RAND()-0.5)*2*$B$7))</f>
        <v>99.207483510541834</v>
      </c>
      <c r="O446" s="54">
        <f ca="1">MIN(100,MAX(0,MCDA_Prioritisation!$F$4+(RAND()-0.5)*2*$B$7))</f>
        <v>92.794943739133558</v>
      </c>
      <c r="P446" s="54">
        <f ca="1">MIN(100,MAX(0,MCDA_Prioritisation!$F$5+(RAND()-0.5)*2*$B$7))</f>
        <v>74.464589863224333</v>
      </c>
      <c r="Q446" s="54">
        <f ca="1">MIN(100,MAX(0,MCDA_Prioritisation!$G$2+(RAND()-0.5)*2*$B$7))</f>
        <v>79.259453237628506</v>
      </c>
      <c r="R446" s="54">
        <f ca="1">MIN(100,MAX(0,MCDA_Prioritisation!$G$3+(RAND()-0.5)*2*$B$7))</f>
        <v>87.313879896753846</v>
      </c>
      <c r="S446" s="54">
        <f ca="1">MIN(100,MAX(0,MCDA_Prioritisation!$G$4+(RAND()-0.5)*2*$B$7))</f>
        <v>92.545439945334138</v>
      </c>
      <c r="T446" s="54">
        <f ca="1">MIN(100,MAX(0,MCDA_Prioritisation!$G$5+(RAND()-0.5)*2*$B$7))</f>
        <v>63.703003452189009</v>
      </c>
      <c r="U446" s="54">
        <f ca="1">MIN(100,MAX(0,MCDA_Prioritisation!$H$2+(RAND()-0.5)*2*$B$7))</f>
        <v>72.162680410918057</v>
      </c>
      <c r="V446" s="54">
        <f ca="1">MIN(100,MAX(0,MCDA_Prioritisation!$H$3+(RAND()-0.5)*2*$B$7))</f>
        <v>54.123721604916781</v>
      </c>
      <c r="W446" s="54">
        <f ca="1">MIN(100,MAX(0,MCDA_Prioritisation!$H$4+(RAND()-0.5)*2*$B$7))</f>
        <v>73.41731498318768</v>
      </c>
      <c r="X446" s="54">
        <f ca="1">MIN(100,MAX(0,MCDA_Prioritisation!$H$5+(RAND()-0.5)*2*$B$7))</f>
        <v>72.64302475988687</v>
      </c>
      <c r="Y446" s="54">
        <f ca="1">H446*MCDA_Prioritisation!$D$2+I446*MCDA_Prioritisation!$E$2+J446*M446+K446*Q446+L446*U446</f>
        <v>92.284820016401341</v>
      </c>
      <c r="Z446" s="54">
        <f ca="1">H446*MCDA_Prioritisation!$D$3+I446*MCDA_Prioritisation!$E$3+J446*N446+K446*R446+L446*V446</f>
        <v>83.478458971478119</v>
      </c>
      <c r="AA446" s="54">
        <f ca="1">H446*MCDA_Prioritisation!$D$4+I446*MCDA_Prioritisation!$E$4+J446*O446+K446*S446+L446*W446</f>
        <v>75.196544207609037</v>
      </c>
      <c r="AB446" s="54">
        <f ca="1">H446*MCDA_Prioritisation!$D$5+I446*MCDA_Prioritisation!$E$5+J446*P446+K446*T446+L446*X446</f>
        <v>70.418974460805018</v>
      </c>
      <c r="AC446" s="54">
        <f t="shared" ca="1" si="90"/>
        <v>1</v>
      </c>
      <c r="AD446" s="54">
        <f t="shared" ca="1" si="91"/>
        <v>2</v>
      </c>
      <c r="AE446" s="54">
        <f t="shared" ca="1" si="92"/>
        <v>3</v>
      </c>
      <c r="AF446" s="54">
        <f t="shared" ca="1" si="93"/>
        <v>4</v>
      </c>
      <c r="AG446" s="54">
        <f t="shared" ca="1" si="94"/>
        <v>1</v>
      </c>
      <c r="AH446" s="54">
        <f t="shared" ca="1" si="95"/>
        <v>1</v>
      </c>
      <c r="AI446" s="54">
        <f t="shared" ca="1" si="96"/>
        <v>1</v>
      </c>
      <c r="AJ446" s="54">
        <f t="shared" ca="1" si="97"/>
        <v>1</v>
      </c>
    </row>
    <row r="447" spans="1:36" x14ac:dyDescent="0.2">
      <c r="A447" s="54">
        <v>424</v>
      </c>
      <c r="B447" s="54">
        <f ca="1">MAX(0.02,MCDA_Prioritisation!$B$9+(RAND()-0.5)*2*$B$6)</f>
        <v>0.27634179849694079</v>
      </c>
      <c r="C447" s="54">
        <f ca="1">MAX(0.02,MCDA_Prioritisation!$B$10+(RAND()-0.5)*2*$B$6)</f>
        <v>0.32489131377681912</v>
      </c>
      <c r="D447" s="54">
        <f ca="1">MAX(0.02,MCDA_Prioritisation!$B$11+(RAND()-0.5)*2*$B$6)</f>
        <v>0.25330901652913129</v>
      </c>
      <c r="E447" s="54">
        <f ca="1">MAX(0.02,MCDA_Prioritisation!$B$12+(RAND()-0.5)*2*$B$6)</f>
        <v>0.11772494040333473</v>
      </c>
      <c r="F447" s="54">
        <f ca="1">MAX(0.02,MCDA_Prioritisation!$B$13+(RAND()-0.5)*2*$B$6)</f>
        <v>0.11251215254866878</v>
      </c>
      <c r="G447" s="54">
        <f t="shared" ca="1" si="84"/>
        <v>1.0847792217548948</v>
      </c>
      <c r="H447" s="54">
        <f t="shared" ca="1" si="85"/>
        <v>0.25474473787384183</v>
      </c>
      <c r="I447" s="54">
        <f t="shared" ca="1" si="86"/>
        <v>0.29949994179573997</v>
      </c>
      <c r="J447" s="54">
        <f t="shared" ca="1" si="87"/>
        <v>0.23351204692079389</v>
      </c>
      <c r="K447" s="54">
        <f t="shared" ca="1" si="88"/>
        <v>0.10852433199530309</v>
      </c>
      <c r="L447" s="54">
        <f t="shared" ca="1" si="89"/>
        <v>0.1037189414143211</v>
      </c>
      <c r="M447" s="54">
        <f ca="1">MIN(100,MAX(0,MCDA_Prioritisation!$F$2+(RAND()-0.5)*2*$B$7))</f>
        <v>83.630199604093391</v>
      </c>
      <c r="N447" s="54">
        <f ca="1">MIN(100,MAX(0,MCDA_Prioritisation!$F$3+(RAND()-0.5)*2*$B$7))</f>
        <v>90.798583305729338</v>
      </c>
      <c r="O447" s="54">
        <f ca="1">MIN(100,MAX(0,MCDA_Prioritisation!$F$4+(RAND()-0.5)*2*$B$7))</f>
        <v>93.54587332750917</v>
      </c>
      <c r="P447" s="54">
        <f ca="1">MIN(100,MAX(0,MCDA_Prioritisation!$F$5+(RAND()-0.5)*2*$B$7))</f>
        <v>69.367406517116009</v>
      </c>
      <c r="Q447" s="54">
        <f ca="1">MIN(100,MAX(0,MCDA_Prioritisation!$G$2+(RAND()-0.5)*2*$B$7))</f>
        <v>75.205831989760441</v>
      </c>
      <c r="R447" s="54">
        <f ca="1">MIN(100,MAX(0,MCDA_Prioritisation!$G$3+(RAND()-0.5)*2*$B$7))</f>
        <v>96.864367306823965</v>
      </c>
      <c r="S447" s="54">
        <f ca="1">MIN(100,MAX(0,MCDA_Prioritisation!$G$4+(RAND()-0.5)*2*$B$7))</f>
        <v>83.775622170289367</v>
      </c>
      <c r="T447" s="54">
        <f ca="1">MIN(100,MAX(0,MCDA_Prioritisation!$G$5+(RAND()-0.5)*2*$B$7))</f>
        <v>78.754106681002256</v>
      </c>
      <c r="U447" s="54">
        <f ca="1">MIN(100,MAX(0,MCDA_Prioritisation!$H$2+(RAND()-0.5)*2*$B$7))</f>
        <v>68.293795621015803</v>
      </c>
      <c r="V447" s="54">
        <f ca="1">MIN(100,MAX(0,MCDA_Prioritisation!$H$3+(RAND()-0.5)*2*$B$7))</f>
        <v>62.28932433115542</v>
      </c>
      <c r="W447" s="54">
        <f ca="1">MIN(100,MAX(0,MCDA_Prioritisation!$H$4+(RAND()-0.5)*2*$B$7))</f>
        <v>87.585763773668532</v>
      </c>
      <c r="X447" s="54">
        <f ca="1">MIN(100,MAX(0,MCDA_Prioritisation!$H$5+(RAND()-0.5)*2*$B$7))</f>
        <v>67.762861506134627</v>
      </c>
      <c r="Y447" s="54">
        <f ca="1">H447*MCDA_Prioritisation!$D$2+I447*MCDA_Prioritisation!$E$2+J447*M447+K447*Q447+L447*U447</f>
        <v>90.198149926722095</v>
      </c>
      <c r="Z447" s="54">
        <f ca="1">H447*MCDA_Prioritisation!$D$3+I447*MCDA_Prioritisation!$E$3+J447*N447+K447*R447+L447*V447</f>
        <v>82.220985439450232</v>
      </c>
      <c r="AA447" s="54">
        <f ca="1">H447*MCDA_Prioritisation!$D$4+I447*MCDA_Prioritisation!$E$4+J447*O447+K447*S447+L447*W447</f>
        <v>74.095370961340691</v>
      </c>
      <c r="AB447" s="54">
        <f ca="1">H447*MCDA_Prioritisation!$D$5+I447*MCDA_Prioritisation!$E$5+J447*P447+K447*T447+L447*X447</f>
        <v>70.479180185826934</v>
      </c>
      <c r="AC447" s="54">
        <f t="shared" ca="1" si="90"/>
        <v>1</v>
      </c>
      <c r="AD447" s="54">
        <f t="shared" ca="1" si="91"/>
        <v>2</v>
      </c>
      <c r="AE447" s="54">
        <f t="shared" ca="1" si="92"/>
        <v>3</v>
      </c>
      <c r="AF447" s="54">
        <f t="shared" ca="1" si="93"/>
        <v>4</v>
      </c>
      <c r="AG447" s="54">
        <f t="shared" ca="1" si="94"/>
        <v>1</v>
      </c>
      <c r="AH447" s="54">
        <f t="shared" ca="1" si="95"/>
        <v>1</v>
      </c>
      <c r="AI447" s="54">
        <f t="shared" ca="1" si="96"/>
        <v>1</v>
      </c>
      <c r="AJ447" s="54">
        <f t="shared" ca="1" si="97"/>
        <v>1</v>
      </c>
    </row>
    <row r="448" spans="1:36" x14ac:dyDescent="0.2">
      <c r="A448" s="54">
        <v>425</v>
      </c>
      <c r="B448" s="54">
        <f ca="1">MAX(0.02,MCDA_Prioritisation!$B$9+(RAND()-0.5)*2*$B$6)</f>
        <v>0.16319386214824838</v>
      </c>
      <c r="C448" s="54">
        <f ca="1">MAX(0.02,MCDA_Prioritisation!$B$10+(RAND()-0.5)*2*$B$6)</f>
        <v>0.25845784235411218</v>
      </c>
      <c r="D448" s="54">
        <f ca="1">MAX(0.02,MCDA_Prioritisation!$B$11+(RAND()-0.5)*2*$B$6)</f>
        <v>0.24247876634179108</v>
      </c>
      <c r="E448" s="54">
        <f ca="1">MAX(0.02,MCDA_Prioritisation!$B$12+(RAND()-0.5)*2*$B$6)</f>
        <v>0.14523753993062857</v>
      </c>
      <c r="F448" s="54">
        <f ca="1">MAX(0.02,MCDA_Prioritisation!$B$13+(RAND()-0.5)*2*$B$6)</f>
        <v>0.15788218809745208</v>
      </c>
      <c r="G448" s="54">
        <f t="shared" ca="1" si="84"/>
        <v>0.9672501988722324</v>
      </c>
      <c r="H448" s="54">
        <f t="shared" ca="1" si="85"/>
        <v>0.16871938857032506</v>
      </c>
      <c r="I448" s="54">
        <f t="shared" ca="1" si="86"/>
        <v>0.26720888003482623</v>
      </c>
      <c r="J448" s="54">
        <f t="shared" ca="1" si="87"/>
        <v>0.25068877382967691</v>
      </c>
      <c r="K448" s="54">
        <f t="shared" ca="1" si="88"/>
        <v>0.15015508924161361</v>
      </c>
      <c r="L448" s="54">
        <f t="shared" ca="1" si="89"/>
        <v>0.16322786832355804</v>
      </c>
      <c r="M448" s="54">
        <f ca="1">MIN(100,MAX(0,MCDA_Prioritisation!$F$2+(RAND()-0.5)*2*$B$7))</f>
        <v>85.903441250802075</v>
      </c>
      <c r="N448" s="54">
        <f ca="1">MIN(100,MAX(0,MCDA_Prioritisation!$F$3+(RAND()-0.5)*2*$B$7))</f>
        <v>88.692907893852691</v>
      </c>
      <c r="O448" s="54">
        <f ca="1">MIN(100,MAX(0,MCDA_Prioritisation!$F$4+(RAND()-0.5)*2*$B$7))</f>
        <v>94.914291324856322</v>
      </c>
      <c r="P448" s="54">
        <f ca="1">MIN(100,MAX(0,MCDA_Prioritisation!$F$5+(RAND()-0.5)*2*$B$7))</f>
        <v>65.282718758001963</v>
      </c>
      <c r="Q448" s="54">
        <f ca="1">MIN(100,MAX(0,MCDA_Prioritisation!$G$2+(RAND()-0.5)*2*$B$7))</f>
        <v>84.222283410039068</v>
      </c>
      <c r="R448" s="54">
        <f ca="1">MIN(100,MAX(0,MCDA_Prioritisation!$G$3+(RAND()-0.5)*2*$B$7))</f>
        <v>100</v>
      </c>
      <c r="S448" s="54">
        <f ca="1">MIN(100,MAX(0,MCDA_Prioritisation!$G$4+(RAND()-0.5)*2*$B$7))</f>
        <v>76.717806385033896</v>
      </c>
      <c r="T448" s="54">
        <f ca="1">MIN(100,MAX(0,MCDA_Prioritisation!$G$5+(RAND()-0.5)*2*$B$7))</f>
        <v>60.663458147539941</v>
      </c>
      <c r="U448" s="54">
        <f ca="1">MIN(100,MAX(0,MCDA_Prioritisation!$H$2+(RAND()-0.5)*2*$B$7))</f>
        <v>64.261919010525759</v>
      </c>
      <c r="V448" s="54">
        <f ca="1">MIN(100,MAX(0,MCDA_Prioritisation!$H$3+(RAND()-0.5)*2*$B$7))</f>
        <v>56.905977906175302</v>
      </c>
      <c r="W448" s="54">
        <f ca="1">MIN(100,MAX(0,MCDA_Prioritisation!$H$4+(RAND()-0.5)*2*$B$7))</f>
        <v>83.138043179710294</v>
      </c>
      <c r="X448" s="54">
        <f ca="1">MIN(100,MAX(0,MCDA_Prioritisation!$H$5+(RAND()-0.5)*2*$B$7))</f>
        <v>67.166198784910705</v>
      </c>
      <c r="Y448" s="54">
        <f ca="1">H448*MCDA_Prioritisation!$D$2+I448*MCDA_Prioritisation!$E$2+J448*M448+K448*Q448+L448*U448</f>
        <v>88.263595751464521</v>
      </c>
      <c r="Z448" s="54">
        <f ca="1">H448*MCDA_Prioritisation!$D$3+I448*MCDA_Prioritisation!$E$3+J448*N448+K448*R448+L448*V448</f>
        <v>80.717381096312124</v>
      </c>
      <c r="AA448" s="54">
        <f ca="1">H448*MCDA_Prioritisation!$D$4+I448*MCDA_Prioritisation!$E$4+J448*O448+K448*S448+L448*W448</f>
        <v>75.207618146341417</v>
      </c>
      <c r="AB448" s="54">
        <f ca="1">H448*MCDA_Prioritisation!$D$5+I448*MCDA_Prioritisation!$E$5+J448*P448+K448*T448+L448*X448</f>
        <v>67.862736458476604</v>
      </c>
      <c r="AC448" s="54">
        <f t="shared" ca="1" si="90"/>
        <v>1</v>
      </c>
      <c r="AD448" s="54">
        <f t="shared" ca="1" si="91"/>
        <v>2</v>
      </c>
      <c r="AE448" s="54">
        <f t="shared" ca="1" si="92"/>
        <v>3</v>
      </c>
      <c r="AF448" s="54">
        <f t="shared" ca="1" si="93"/>
        <v>4</v>
      </c>
      <c r="AG448" s="54">
        <f t="shared" ca="1" si="94"/>
        <v>1</v>
      </c>
      <c r="AH448" s="54">
        <f t="shared" ca="1" si="95"/>
        <v>1</v>
      </c>
      <c r="AI448" s="54">
        <f t="shared" ca="1" si="96"/>
        <v>1</v>
      </c>
      <c r="AJ448" s="54">
        <f t="shared" ca="1" si="97"/>
        <v>1</v>
      </c>
    </row>
    <row r="449" spans="1:36" x14ac:dyDescent="0.2">
      <c r="A449" s="54">
        <v>426</v>
      </c>
      <c r="B449" s="54">
        <f ca="1">MAX(0.02,MCDA_Prioritisation!$B$9+(RAND()-0.5)*2*$B$6)</f>
        <v>0.19749324781916774</v>
      </c>
      <c r="C449" s="54">
        <f ca="1">MAX(0.02,MCDA_Prioritisation!$B$10+(RAND()-0.5)*2*$B$6)</f>
        <v>0.27088882343199644</v>
      </c>
      <c r="D449" s="54">
        <f ca="1">MAX(0.02,MCDA_Prioritisation!$B$11+(RAND()-0.5)*2*$B$6)</f>
        <v>0.27298723324632268</v>
      </c>
      <c r="E449" s="54">
        <f ca="1">MAX(0.02,MCDA_Prioritisation!$B$12+(RAND()-0.5)*2*$B$6)</f>
        <v>0.1255231504741201</v>
      </c>
      <c r="F449" s="54">
        <f ca="1">MAX(0.02,MCDA_Prioritisation!$B$13+(RAND()-0.5)*2*$B$6)</f>
        <v>0.17005323352941629</v>
      </c>
      <c r="G449" s="54">
        <f t="shared" ca="1" si="84"/>
        <v>1.0369456885010233</v>
      </c>
      <c r="H449" s="54">
        <f t="shared" ca="1" si="85"/>
        <v>0.19045669412508759</v>
      </c>
      <c r="I449" s="54">
        <f t="shared" ca="1" si="86"/>
        <v>0.26123723396119708</v>
      </c>
      <c r="J449" s="54">
        <f t="shared" ca="1" si="87"/>
        <v>0.26326087882282878</v>
      </c>
      <c r="K449" s="54">
        <f t="shared" ca="1" si="88"/>
        <v>0.12105084370963777</v>
      </c>
      <c r="L449" s="54">
        <f t="shared" ca="1" si="89"/>
        <v>0.16399434938124868</v>
      </c>
      <c r="M449" s="54">
        <f ca="1">MIN(100,MAX(0,MCDA_Prioritisation!$F$2+(RAND()-0.5)*2*$B$7))</f>
        <v>81.072709816856076</v>
      </c>
      <c r="N449" s="54">
        <f ca="1">MIN(100,MAX(0,MCDA_Prioritisation!$F$3+(RAND()-0.5)*2*$B$7))</f>
        <v>94.572009519355603</v>
      </c>
      <c r="O449" s="54">
        <f ca="1">MIN(100,MAX(0,MCDA_Prioritisation!$F$4+(RAND()-0.5)*2*$B$7))</f>
        <v>91.379824529597926</v>
      </c>
      <c r="P449" s="54">
        <f ca="1">MIN(100,MAX(0,MCDA_Prioritisation!$F$5+(RAND()-0.5)*2*$B$7))</f>
        <v>80.401896814682161</v>
      </c>
      <c r="Q449" s="54">
        <f ca="1">MIN(100,MAX(0,MCDA_Prioritisation!$G$2+(RAND()-0.5)*2*$B$7))</f>
        <v>83.919597886940466</v>
      </c>
      <c r="R449" s="54">
        <f ca="1">MIN(100,MAX(0,MCDA_Prioritisation!$G$3+(RAND()-0.5)*2*$B$7))</f>
        <v>100</v>
      </c>
      <c r="S449" s="54">
        <f ca="1">MIN(100,MAX(0,MCDA_Prioritisation!$G$4+(RAND()-0.5)*2*$B$7))</f>
        <v>78.144572612840534</v>
      </c>
      <c r="T449" s="54">
        <f ca="1">MIN(100,MAX(0,MCDA_Prioritisation!$G$5+(RAND()-0.5)*2*$B$7))</f>
        <v>70.218161651097063</v>
      </c>
      <c r="U449" s="54">
        <f ca="1">MIN(100,MAX(0,MCDA_Prioritisation!$H$2+(RAND()-0.5)*2*$B$7))</f>
        <v>62.25912506951147</v>
      </c>
      <c r="V449" s="54">
        <f ca="1">MIN(100,MAX(0,MCDA_Prioritisation!$H$3+(RAND()-0.5)*2*$B$7))</f>
        <v>50.782800106644565</v>
      </c>
      <c r="W449" s="54">
        <f ca="1">MIN(100,MAX(0,MCDA_Prioritisation!$H$4+(RAND()-0.5)*2*$B$7))</f>
        <v>82.538951029837449</v>
      </c>
      <c r="X449" s="54">
        <f ca="1">MIN(100,MAX(0,MCDA_Prioritisation!$H$5+(RAND()-0.5)*2*$B$7))</f>
        <v>74.219488498890414</v>
      </c>
      <c r="Y449" s="54">
        <f ca="1">H449*MCDA_Prioritisation!$D$2+I449*MCDA_Prioritisation!$E$2+J449*M449+K449*Q449+L449*U449</f>
        <v>86.881348480370178</v>
      </c>
      <c r="Z449" s="54">
        <f ca="1">H449*MCDA_Prioritisation!$D$3+I449*MCDA_Prioritisation!$E$3+J449*N449+K449*R449+L449*V449</f>
        <v>80.974671615563764</v>
      </c>
      <c r="AA449" s="54">
        <f ca="1">H449*MCDA_Prioritisation!$D$4+I449*MCDA_Prioritisation!$E$4+J449*O449+K449*S449+L449*W449</f>
        <v>74.563709161844329</v>
      </c>
      <c r="AB449" s="54">
        <f ca="1">H449*MCDA_Prioritisation!$D$5+I449*MCDA_Prioritisation!$E$5+J449*P449+K449*T449+L449*X449</f>
        <v>73.914553459252275</v>
      </c>
      <c r="AC449" s="54">
        <f t="shared" ca="1" si="90"/>
        <v>1</v>
      </c>
      <c r="AD449" s="54">
        <f t="shared" ca="1" si="91"/>
        <v>2</v>
      </c>
      <c r="AE449" s="54">
        <f t="shared" ca="1" si="92"/>
        <v>3</v>
      </c>
      <c r="AF449" s="54">
        <f t="shared" ca="1" si="93"/>
        <v>4</v>
      </c>
      <c r="AG449" s="54">
        <f t="shared" ca="1" si="94"/>
        <v>1</v>
      </c>
      <c r="AH449" s="54">
        <f t="shared" ca="1" si="95"/>
        <v>1</v>
      </c>
      <c r="AI449" s="54">
        <f t="shared" ca="1" si="96"/>
        <v>1</v>
      </c>
      <c r="AJ449" s="54">
        <f t="shared" ca="1" si="97"/>
        <v>1</v>
      </c>
    </row>
    <row r="450" spans="1:36" x14ac:dyDescent="0.2">
      <c r="A450" s="54">
        <v>427</v>
      </c>
      <c r="B450" s="54">
        <f ca="1">MAX(0.02,MCDA_Prioritisation!$B$9+(RAND()-0.5)*2*$B$6)</f>
        <v>0.22367125328797921</v>
      </c>
      <c r="C450" s="54">
        <f ca="1">MAX(0.02,MCDA_Prioritisation!$B$10+(RAND()-0.5)*2*$B$6)</f>
        <v>0.23975283357589144</v>
      </c>
      <c r="D450" s="54">
        <f ca="1">MAX(0.02,MCDA_Prioritisation!$B$11+(RAND()-0.5)*2*$B$6)</f>
        <v>0.18865716492666451</v>
      </c>
      <c r="E450" s="54">
        <f ca="1">MAX(0.02,MCDA_Prioritisation!$B$12+(RAND()-0.5)*2*$B$6)</f>
        <v>9.1306901466040022E-2</v>
      </c>
      <c r="F450" s="54">
        <f ca="1">MAX(0.02,MCDA_Prioritisation!$B$13+(RAND()-0.5)*2*$B$6)</f>
        <v>0.1965697628585508</v>
      </c>
      <c r="G450" s="54">
        <f t="shared" ca="1" si="84"/>
        <v>0.93995791611512602</v>
      </c>
      <c r="H450" s="54">
        <f t="shared" ca="1" si="85"/>
        <v>0.23795879523247077</v>
      </c>
      <c r="I450" s="54">
        <f t="shared" ca="1" si="86"/>
        <v>0.25506762533241595</v>
      </c>
      <c r="J450" s="54">
        <f t="shared" ca="1" si="87"/>
        <v>0.2007080973437515</v>
      </c>
      <c r="K450" s="54">
        <f t="shared" ca="1" si="88"/>
        <v>9.7139350497109658E-2</v>
      </c>
      <c r="L450" s="54">
        <f t="shared" ca="1" si="89"/>
        <v>0.20912613159425208</v>
      </c>
      <c r="M450" s="54">
        <f ca="1">MIN(100,MAX(0,MCDA_Prioritisation!$F$2+(RAND()-0.5)*2*$B$7))</f>
        <v>90.574206760206053</v>
      </c>
      <c r="N450" s="54">
        <f ca="1">MIN(100,MAX(0,MCDA_Prioritisation!$F$3+(RAND()-0.5)*2*$B$7))</f>
        <v>89.796562624374758</v>
      </c>
      <c r="O450" s="54">
        <f ca="1">MIN(100,MAX(0,MCDA_Prioritisation!$F$4+(RAND()-0.5)*2*$B$7))</f>
        <v>87.028417000574748</v>
      </c>
      <c r="P450" s="54">
        <f ca="1">MIN(100,MAX(0,MCDA_Prioritisation!$F$5+(RAND()-0.5)*2*$B$7))</f>
        <v>74.217256982122876</v>
      </c>
      <c r="Q450" s="54">
        <f ca="1">MIN(100,MAX(0,MCDA_Prioritisation!$G$2+(RAND()-0.5)*2*$B$7))</f>
        <v>74.561357873504392</v>
      </c>
      <c r="R450" s="54">
        <f ca="1">MIN(100,MAX(0,MCDA_Prioritisation!$G$3+(RAND()-0.5)*2*$B$7))</f>
        <v>86.46455565355113</v>
      </c>
      <c r="S450" s="54">
        <f ca="1">MIN(100,MAX(0,MCDA_Prioritisation!$G$4+(RAND()-0.5)*2*$B$7))</f>
        <v>82.387238303697615</v>
      </c>
      <c r="T450" s="54">
        <f ca="1">MIN(100,MAX(0,MCDA_Prioritisation!$G$5+(RAND()-0.5)*2*$B$7))</f>
        <v>70.219917349710812</v>
      </c>
      <c r="U450" s="54">
        <f ca="1">MIN(100,MAX(0,MCDA_Prioritisation!$H$2+(RAND()-0.5)*2*$B$7))</f>
        <v>62.56463692850366</v>
      </c>
      <c r="V450" s="54">
        <f ca="1">MIN(100,MAX(0,MCDA_Prioritisation!$H$3+(RAND()-0.5)*2*$B$7))</f>
        <v>59.606062946337026</v>
      </c>
      <c r="W450" s="54">
        <f ca="1">MIN(100,MAX(0,MCDA_Prioritisation!$H$4+(RAND()-0.5)*2*$B$7))</f>
        <v>81.084153197446412</v>
      </c>
      <c r="X450" s="54">
        <f ca="1">MIN(100,MAX(0,MCDA_Prioritisation!$H$5+(RAND()-0.5)*2*$B$7))</f>
        <v>67.689908869015426</v>
      </c>
      <c r="Y450" s="54">
        <f ca="1">H450*MCDA_Prioritisation!$D$2+I450*MCDA_Prioritisation!$E$2+J450*M450+K450*Q450+L450*U450</f>
        <v>87.808361135220807</v>
      </c>
      <c r="Z450" s="54">
        <f ca="1">H450*MCDA_Prioritisation!$D$3+I450*MCDA_Prioritisation!$E$3+J450*N450+K450*R450+L450*V450</f>
        <v>78.234412701957709</v>
      </c>
      <c r="AA450" s="54">
        <f ca="1">H450*MCDA_Prioritisation!$D$4+I450*MCDA_Prioritisation!$E$4+J450*O450+K450*S450+L450*W450</f>
        <v>72.909997299730918</v>
      </c>
      <c r="AB450" s="54">
        <f ca="1">H450*MCDA_Prioritisation!$D$5+I450*MCDA_Prioritisation!$E$5+J450*P450+K450*T450+L450*X450</f>
        <v>69.951593683769588</v>
      </c>
      <c r="AC450" s="54">
        <f t="shared" ca="1" si="90"/>
        <v>1</v>
      </c>
      <c r="AD450" s="54">
        <f t="shared" ca="1" si="91"/>
        <v>2</v>
      </c>
      <c r="AE450" s="54">
        <f t="shared" ca="1" si="92"/>
        <v>3</v>
      </c>
      <c r="AF450" s="54">
        <f t="shared" ca="1" si="93"/>
        <v>4</v>
      </c>
      <c r="AG450" s="54">
        <f t="shared" ca="1" si="94"/>
        <v>1</v>
      </c>
      <c r="AH450" s="54">
        <f t="shared" ca="1" si="95"/>
        <v>1</v>
      </c>
      <c r="AI450" s="54">
        <f t="shared" ca="1" si="96"/>
        <v>1</v>
      </c>
      <c r="AJ450" s="54">
        <f t="shared" ca="1" si="97"/>
        <v>1</v>
      </c>
    </row>
    <row r="451" spans="1:36" x14ac:dyDescent="0.2">
      <c r="A451" s="54">
        <v>428</v>
      </c>
      <c r="B451" s="54">
        <f ca="1">MAX(0.02,MCDA_Prioritisation!$B$9+(RAND()-0.5)*2*$B$6)</f>
        <v>0.18975491291199084</v>
      </c>
      <c r="C451" s="54">
        <f ca="1">MAX(0.02,MCDA_Prioritisation!$B$10+(RAND()-0.5)*2*$B$6)</f>
        <v>0.30569808532121284</v>
      </c>
      <c r="D451" s="54">
        <f ca="1">MAX(0.02,MCDA_Prioritisation!$B$11+(RAND()-0.5)*2*$B$6)</f>
        <v>0.19223418868364334</v>
      </c>
      <c r="E451" s="54">
        <f ca="1">MAX(0.02,MCDA_Prioritisation!$B$12+(RAND()-0.5)*2*$B$6)</f>
        <v>9.224062599126398E-2</v>
      </c>
      <c r="F451" s="54">
        <f ca="1">MAX(0.02,MCDA_Prioritisation!$B$13+(RAND()-0.5)*2*$B$6)</f>
        <v>0.1598051474238838</v>
      </c>
      <c r="G451" s="54">
        <f t="shared" ca="1" si="84"/>
        <v>0.93973296033199483</v>
      </c>
      <c r="H451" s="54">
        <f t="shared" ca="1" si="85"/>
        <v>0.20192429224250369</v>
      </c>
      <c r="I451" s="54">
        <f t="shared" ca="1" si="86"/>
        <v>0.32530314272813615</v>
      </c>
      <c r="J451" s="54">
        <f t="shared" ca="1" si="87"/>
        <v>0.20456256915340038</v>
      </c>
      <c r="K451" s="54">
        <f t="shared" ca="1" si="88"/>
        <v>9.8156210205372199E-2</v>
      </c>
      <c r="L451" s="54">
        <f t="shared" ca="1" si="89"/>
        <v>0.17005378567058754</v>
      </c>
      <c r="M451" s="54">
        <f ca="1">MIN(100,MAX(0,MCDA_Prioritisation!$F$2+(RAND()-0.5)*2*$B$7))</f>
        <v>93.96429977613802</v>
      </c>
      <c r="N451" s="54">
        <f ca="1">MIN(100,MAX(0,MCDA_Prioritisation!$F$3+(RAND()-0.5)*2*$B$7))</f>
        <v>86.782666646821014</v>
      </c>
      <c r="O451" s="54">
        <f ca="1">MIN(100,MAX(0,MCDA_Prioritisation!$F$4+(RAND()-0.5)*2*$B$7))</f>
        <v>88.470006945861414</v>
      </c>
      <c r="P451" s="54">
        <f ca="1">MIN(100,MAX(0,MCDA_Prioritisation!$F$5+(RAND()-0.5)*2*$B$7))</f>
        <v>75.446199122429633</v>
      </c>
      <c r="Q451" s="54">
        <f ca="1">MIN(100,MAX(0,MCDA_Prioritisation!$G$2+(RAND()-0.5)*2*$B$7))</f>
        <v>80.983413444881108</v>
      </c>
      <c r="R451" s="54">
        <f ca="1">MIN(100,MAX(0,MCDA_Prioritisation!$G$3+(RAND()-0.5)*2*$B$7))</f>
        <v>100</v>
      </c>
      <c r="S451" s="54">
        <f ca="1">MIN(100,MAX(0,MCDA_Prioritisation!$G$4+(RAND()-0.5)*2*$B$7))</f>
        <v>75.150584097197779</v>
      </c>
      <c r="T451" s="54">
        <f ca="1">MIN(100,MAX(0,MCDA_Prioritisation!$G$5+(RAND()-0.5)*2*$B$7))</f>
        <v>65.601862295702816</v>
      </c>
      <c r="U451" s="54">
        <f ca="1">MIN(100,MAX(0,MCDA_Prioritisation!$H$2+(RAND()-0.5)*2*$B$7))</f>
        <v>66.461742948597006</v>
      </c>
      <c r="V451" s="54">
        <f ca="1">MIN(100,MAX(0,MCDA_Prioritisation!$H$3+(RAND()-0.5)*2*$B$7))</f>
        <v>62.057069683329168</v>
      </c>
      <c r="W451" s="54">
        <f ca="1">MIN(100,MAX(0,MCDA_Prioritisation!$H$4+(RAND()-0.5)*2*$B$7))</f>
        <v>75.8951249354335</v>
      </c>
      <c r="X451" s="54">
        <f ca="1">MIN(100,MAX(0,MCDA_Prioritisation!$H$5+(RAND()-0.5)*2*$B$7))</f>
        <v>69.035434676071901</v>
      </c>
      <c r="Y451" s="54">
        <f ca="1">H451*MCDA_Prioritisation!$D$2+I451*MCDA_Prioritisation!$E$2+J451*M451+K451*Q451+L451*U451</f>
        <v>91.195418011889771</v>
      </c>
      <c r="Z451" s="54">
        <f ca="1">H451*MCDA_Prioritisation!$D$3+I451*MCDA_Prioritisation!$E$3+J451*N451+K451*R451+L451*V451</f>
        <v>79.427101187093214</v>
      </c>
      <c r="AA451" s="54">
        <f ca="1">H451*MCDA_Prioritisation!$D$4+I451*MCDA_Prioritisation!$E$4+J451*O451+K451*S451+L451*W451</f>
        <v>70.18503021745039</v>
      </c>
      <c r="AB451" s="54">
        <f ca="1">H451*MCDA_Prioritisation!$D$5+I451*MCDA_Prioritisation!$E$5+J451*P451+K451*T451+L451*X451</f>
        <v>71.684784012340003</v>
      </c>
      <c r="AC451" s="54">
        <f t="shared" ca="1" si="90"/>
        <v>1</v>
      </c>
      <c r="AD451" s="54">
        <f t="shared" ca="1" si="91"/>
        <v>2</v>
      </c>
      <c r="AE451" s="54">
        <f t="shared" ca="1" si="92"/>
        <v>4</v>
      </c>
      <c r="AF451" s="54">
        <f t="shared" ca="1" si="93"/>
        <v>3</v>
      </c>
      <c r="AG451" s="54">
        <f t="shared" ca="1" si="94"/>
        <v>1</v>
      </c>
      <c r="AH451" s="54">
        <f t="shared" ca="1" si="95"/>
        <v>1</v>
      </c>
      <c r="AI451" s="54">
        <f t="shared" ca="1" si="96"/>
        <v>0</v>
      </c>
      <c r="AJ451" s="54">
        <f t="shared" ca="1" si="97"/>
        <v>1</v>
      </c>
    </row>
    <row r="452" spans="1:36" x14ac:dyDescent="0.2">
      <c r="A452" s="54">
        <v>429</v>
      </c>
      <c r="B452" s="54">
        <f ca="1">MAX(0.02,MCDA_Prioritisation!$B$9+(RAND()-0.5)*2*$B$6)</f>
        <v>0.24751289697652157</v>
      </c>
      <c r="C452" s="54">
        <f ca="1">MAX(0.02,MCDA_Prioritisation!$B$10+(RAND()-0.5)*2*$B$6)</f>
        <v>0.18299613202430323</v>
      </c>
      <c r="D452" s="54">
        <f ca="1">MAX(0.02,MCDA_Prioritisation!$B$11+(RAND()-0.5)*2*$B$6)</f>
        <v>0.27590841646463565</v>
      </c>
      <c r="E452" s="54">
        <f ca="1">MAX(0.02,MCDA_Prioritisation!$B$12+(RAND()-0.5)*2*$B$6)</f>
        <v>0.1167413603394345</v>
      </c>
      <c r="F452" s="54">
        <f ca="1">MAX(0.02,MCDA_Prioritisation!$B$13+(RAND()-0.5)*2*$B$6)</f>
        <v>0.16514116251275968</v>
      </c>
      <c r="G452" s="54">
        <f t="shared" ca="1" si="84"/>
        <v>0.98829996831765454</v>
      </c>
      <c r="H452" s="54">
        <f t="shared" ca="1" si="85"/>
        <v>0.25044308905306689</v>
      </c>
      <c r="I452" s="54">
        <f t="shared" ca="1" si="86"/>
        <v>0.18516253960405421</v>
      </c>
      <c r="J452" s="54">
        <f t="shared" ca="1" si="87"/>
        <v>0.27917477011995057</v>
      </c>
      <c r="K452" s="54">
        <f t="shared" ca="1" si="88"/>
        <v>0.11812340795493384</v>
      </c>
      <c r="L452" s="54">
        <f t="shared" ca="1" si="89"/>
        <v>0.16709619326799452</v>
      </c>
      <c r="M452" s="54">
        <f ca="1">MIN(100,MAX(0,MCDA_Prioritisation!$F$2+(RAND()-0.5)*2*$B$7))</f>
        <v>92.674576195269452</v>
      </c>
      <c r="N452" s="54">
        <f ca="1">MIN(100,MAX(0,MCDA_Prioritisation!$F$3+(RAND()-0.5)*2*$B$7))</f>
        <v>88.94821075010654</v>
      </c>
      <c r="O452" s="54">
        <f ca="1">MIN(100,MAX(0,MCDA_Prioritisation!$F$4+(RAND()-0.5)*2*$B$7))</f>
        <v>98.625598430475449</v>
      </c>
      <c r="P452" s="54">
        <f ca="1">MIN(100,MAX(0,MCDA_Prioritisation!$F$5+(RAND()-0.5)*2*$B$7))</f>
        <v>77.592275031066563</v>
      </c>
      <c r="Q452" s="54">
        <f ca="1">MIN(100,MAX(0,MCDA_Prioritisation!$G$2+(RAND()-0.5)*2*$B$7))</f>
        <v>85.74541630752681</v>
      </c>
      <c r="R452" s="54">
        <f ca="1">MIN(100,MAX(0,MCDA_Prioritisation!$G$3+(RAND()-0.5)*2*$B$7))</f>
        <v>89.724393337256231</v>
      </c>
      <c r="S452" s="54">
        <f ca="1">MIN(100,MAX(0,MCDA_Prioritisation!$G$4+(RAND()-0.5)*2*$B$7))</f>
        <v>83.346542052839055</v>
      </c>
      <c r="T452" s="54">
        <f ca="1">MIN(100,MAX(0,MCDA_Prioritisation!$G$5+(RAND()-0.5)*2*$B$7))</f>
        <v>79.033383613655744</v>
      </c>
      <c r="U452" s="54">
        <f ca="1">MIN(100,MAX(0,MCDA_Prioritisation!$H$2+(RAND()-0.5)*2*$B$7))</f>
        <v>55.224318726642942</v>
      </c>
      <c r="V452" s="54">
        <f ca="1">MIN(100,MAX(0,MCDA_Prioritisation!$H$3+(RAND()-0.5)*2*$B$7))</f>
        <v>55.193158975018221</v>
      </c>
      <c r="W452" s="54">
        <f ca="1">MIN(100,MAX(0,MCDA_Prioritisation!$H$4+(RAND()-0.5)*2*$B$7))</f>
        <v>82.840815808080407</v>
      </c>
      <c r="X452" s="54">
        <f ca="1">MIN(100,MAX(0,MCDA_Prioritisation!$H$5+(RAND()-0.5)*2*$B$7))</f>
        <v>80.761092477449353</v>
      </c>
      <c r="Y452" s="54">
        <f ca="1">H452*MCDA_Prioritisation!$D$2+I452*MCDA_Prioritisation!$E$2+J452*M452+K452*Q452+L452*U452</f>
        <v>88.789280596790391</v>
      </c>
      <c r="Z452" s="54">
        <f ca="1">H452*MCDA_Prioritisation!$D$3+I452*MCDA_Prioritisation!$E$3+J452*N452+K452*R452+L452*V452</f>
        <v>80.007515079983392</v>
      </c>
      <c r="AA452" s="54">
        <f ca="1">H452*MCDA_Prioritisation!$D$4+I452*MCDA_Prioritisation!$E$4+J452*O452+K452*S452+L452*W452</f>
        <v>78.76050068131056</v>
      </c>
      <c r="AB452" s="54">
        <f ca="1">H452*MCDA_Prioritisation!$D$5+I452*MCDA_Prioritisation!$E$5+J452*P452+K452*T452+L452*X452</f>
        <v>73.355345362791638</v>
      </c>
      <c r="AC452" s="54">
        <f t="shared" ca="1" si="90"/>
        <v>1</v>
      </c>
      <c r="AD452" s="54">
        <f t="shared" ca="1" si="91"/>
        <v>2</v>
      </c>
      <c r="AE452" s="54">
        <f t="shared" ca="1" si="92"/>
        <v>3</v>
      </c>
      <c r="AF452" s="54">
        <f t="shared" ca="1" si="93"/>
        <v>4</v>
      </c>
      <c r="AG452" s="54">
        <f t="shared" ca="1" si="94"/>
        <v>1</v>
      </c>
      <c r="AH452" s="54">
        <f t="shared" ca="1" si="95"/>
        <v>1</v>
      </c>
      <c r="AI452" s="54">
        <f t="shared" ca="1" si="96"/>
        <v>1</v>
      </c>
      <c r="AJ452" s="54">
        <f t="shared" ca="1" si="97"/>
        <v>1</v>
      </c>
    </row>
    <row r="453" spans="1:36" x14ac:dyDescent="0.2">
      <c r="A453" s="54">
        <v>430</v>
      </c>
      <c r="B453" s="54">
        <f ca="1">MAX(0.02,MCDA_Prioritisation!$B$9+(RAND()-0.5)*2*$B$6)</f>
        <v>0.19583917533177636</v>
      </c>
      <c r="C453" s="54">
        <f ca="1">MAX(0.02,MCDA_Prioritisation!$B$10+(RAND()-0.5)*2*$B$6)</f>
        <v>0.18776514373094341</v>
      </c>
      <c r="D453" s="54">
        <f ca="1">MAX(0.02,MCDA_Prioritisation!$B$11+(RAND()-0.5)*2*$B$6)</f>
        <v>0.28663246154302552</v>
      </c>
      <c r="E453" s="54">
        <f ca="1">MAX(0.02,MCDA_Prioritisation!$B$12+(RAND()-0.5)*2*$B$6)</f>
        <v>0.16875273042902972</v>
      </c>
      <c r="F453" s="54">
        <f ca="1">MAX(0.02,MCDA_Prioritisation!$B$13+(RAND()-0.5)*2*$B$6)</f>
        <v>0.21059602502067037</v>
      </c>
      <c r="G453" s="54">
        <f t="shared" ca="1" si="84"/>
        <v>1.0495855360554454</v>
      </c>
      <c r="H453" s="54">
        <f t="shared" ca="1" si="85"/>
        <v>0.18658715140814494</v>
      </c>
      <c r="I453" s="54">
        <f t="shared" ca="1" si="86"/>
        <v>0.17889456102510976</v>
      </c>
      <c r="J453" s="54">
        <f t="shared" ca="1" si="87"/>
        <v>0.27309109329026032</v>
      </c>
      <c r="K453" s="54">
        <f t="shared" ca="1" si="88"/>
        <v>0.16078035055936135</v>
      </c>
      <c r="L453" s="54">
        <f t="shared" ca="1" si="89"/>
        <v>0.20064684371712363</v>
      </c>
      <c r="M453" s="54">
        <f ca="1">MIN(100,MAX(0,MCDA_Prioritisation!$F$2+(RAND()-0.5)*2*$B$7))</f>
        <v>85.850828987663149</v>
      </c>
      <c r="N453" s="54">
        <f ca="1">MIN(100,MAX(0,MCDA_Prioritisation!$F$3+(RAND()-0.5)*2*$B$7))</f>
        <v>87.766349838410108</v>
      </c>
      <c r="O453" s="54">
        <f ca="1">MIN(100,MAX(0,MCDA_Prioritisation!$F$4+(RAND()-0.5)*2*$B$7))</f>
        <v>93.34968623614877</v>
      </c>
      <c r="P453" s="54">
        <f ca="1">MIN(100,MAX(0,MCDA_Prioritisation!$F$5+(RAND()-0.5)*2*$B$7))</f>
        <v>66.75101983729553</v>
      </c>
      <c r="Q453" s="54">
        <f ca="1">MIN(100,MAX(0,MCDA_Prioritisation!$G$2+(RAND()-0.5)*2*$B$7))</f>
        <v>80.257885823256004</v>
      </c>
      <c r="R453" s="54">
        <f ca="1">MIN(100,MAX(0,MCDA_Prioritisation!$G$3+(RAND()-0.5)*2*$B$7))</f>
        <v>87.442383366898909</v>
      </c>
      <c r="S453" s="54">
        <f ca="1">MIN(100,MAX(0,MCDA_Prioritisation!$G$4+(RAND()-0.5)*2*$B$7))</f>
        <v>93.429056722897883</v>
      </c>
      <c r="T453" s="54">
        <f ca="1">MIN(100,MAX(0,MCDA_Prioritisation!$G$5+(RAND()-0.5)*2*$B$7))</f>
        <v>72.925562387912834</v>
      </c>
      <c r="U453" s="54">
        <f ca="1">MIN(100,MAX(0,MCDA_Prioritisation!$H$2+(RAND()-0.5)*2*$B$7))</f>
        <v>60.313645919150439</v>
      </c>
      <c r="V453" s="54">
        <f ca="1">MIN(100,MAX(0,MCDA_Prioritisation!$H$3+(RAND()-0.5)*2*$B$7))</f>
        <v>69.461753926065398</v>
      </c>
      <c r="W453" s="54">
        <f ca="1">MIN(100,MAX(0,MCDA_Prioritisation!$H$4+(RAND()-0.5)*2*$B$7))</f>
        <v>81.033005681181962</v>
      </c>
      <c r="X453" s="54">
        <f ca="1">MIN(100,MAX(0,MCDA_Prioritisation!$H$5+(RAND()-0.5)*2*$B$7))</f>
        <v>71.332713654227433</v>
      </c>
      <c r="Y453" s="54">
        <f ca="1">H453*MCDA_Prioritisation!$D$2+I453*MCDA_Prioritisation!$E$2+J453*M453+K453*Q453+L453*U453</f>
        <v>84.998901696007579</v>
      </c>
      <c r="Z453" s="54">
        <f ca="1">H453*MCDA_Prioritisation!$D$3+I453*MCDA_Prioritisation!$E$3+J453*N453+K453*R453+L453*V453</f>
        <v>81.282147975952213</v>
      </c>
      <c r="AA453" s="54">
        <f ca="1">H453*MCDA_Prioritisation!$D$4+I453*MCDA_Prioritisation!$E$4+J453*O453+K453*S453+L453*W453</f>
        <v>79.524258691257387</v>
      </c>
      <c r="AB453" s="54">
        <f ca="1">H453*MCDA_Prioritisation!$D$5+I453*MCDA_Prioritisation!$E$5+J453*P453+K453*T453+L453*X453</f>
        <v>69.213475677902863</v>
      </c>
      <c r="AC453" s="54">
        <f t="shared" ca="1" si="90"/>
        <v>1</v>
      </c>
      <c r="AD453" s="54">
        <f t="shared" ca="1" si="91"/>
        <v>2</v>
      </c>
      <c r="AE453" s="54">
        <f t="shared" ca="1" si="92"/>
        <v>3</v>
      </c>
      <c r="AF453" s="54">
        <f t="shared" ca="1" si="93"/>
        <v>4</v>
      </c>
      <c r="AG453" s="54">
        <f t="shared" ca="1" si="94"/>
        <v>1</v>
      </c>
      <c r="AH453" s="54">
        <f t="shared" ca="1" si="95"/>
        <v>1</v>
      </c>
      <c r="AI453" s="54">
        <f t="shared" ca="1" si="96"/>
        <v>1</v>
      </c>
      <c r="AJ453" s="54">
        <f t="shared" ca="1" si="97"/>
        <v>1</v>
      </c>
    </row>
    <row r="454" spans="1:36" x14ac:dyDescent="0.2">
      <c r="A454" s="54">
        <v>431</v>
      </c>
      <c r="B454" s="54">
        <f ca="1">MAX(0.02,MCDA_Prioritisation!$B$9+(RAND()-0.5)*2*$B$6)</f>
        <v>0.12069339532994436</v>
      </c>
      <c r="C454" s="54">
        <f ca="1">MAX(0.02,MCDA_Prioritisation!$B$10+(RAND()-0.5)*2*$B$6)</f>
        <v>0.18110634047857616</v>
      </c>
      <c r="D454" s="54">
        <f ca="1">MAX(0.02,MCDA_Prioritisation!$B$11+(RAND()-0.5)*2*$B$6)</f>
        <v>0.21218373664624421</v>
      </c>
      <c r="E454" s="54">
        <f ca="1">MAX(0.02,MCDA_Prioritisation!$B$12+(RAND()-0.5)*2*$B$6)</f>
        <v>0.18825058396544619</v>
      </c>
      <c r="F454" s="54">
        <f ca="1">MAX(0.02,MCDA_Prioritisation!$B$13+(RAND()-0.5)*2*$B$6)</f>
        <v>0.22495441639833846</v>
      </c>
      <c r="G454" s="54">
        <f t="shared" ca="1" si="84"/>
        <v>0.92718847281854944</v>
      </c>
      <c r="H454" s="54">
        <f t="shared" ca="1" si="85"/>
        <v>0.13017137169862553</v>
      </c>
      <c r="I454" s="54">
        <f t="shared" ca="1" si="86"/>
        <v>0.19532850740479235</v>
      </c>
      <c r="J454" s="54">
        <f t="shared" ca="1" si="87"/>
        <v>0.22884639193283901</v>
      </c>
      <c r="K454" s="54">
        <f t="shared" ca="1" si="88"/>
        <v>0.20303378383597182</v>
      </c>
      <c r="L454" s="54">
        <f t="shared" ca="1" si="89"/>
        <v>0.24261994512777121</v>
      </c>
      <c r="M454" s="54">
        <f ca="1">MIN(100,MAX(0,MCDA_Prioritisation!$F$2+(RAND()-0.5)*2*$B$7))</f>
        <v>90.832813692033852</v>
      </c>
      <c r="N454" s="54">
        <f ca="1">MIN(100,MAX(0,MCDA_Prioritisation!$F$3+(RAND()-0.5)*2*$B$7))</f>
        <v>100</v>
      </c>
      <c r="O454" s="54">
        <f ca="1">MIN(100,MAX(0,MCDA_Prioritisation!$F$4+(RAND()-0.5)*2*$B$7))</f>
        <v>80.201452199935602</v>
      </c>
      <c r="P454" s="54">
        <f ca="1">MIN(100,MAX(0,MCDA_Prioritisation!$F$5+(RAND()-0.5)*2*$B$7))</f>
        <v>65.450183188215973</v>
      </c>
      <c r="Q454" s="54">
        <f ca="1">MIN(100,MAX(0,MCDA_Prioritisation!$G$2+(RAND()-0.5)*2*$B$7))</f>
        <v>77.293590379423634</v>
      </c>
      <c r="R454" s="54">
        <f ca="1">MIN(100,MAX(0,MCDA_Prioritisation!$G$3+(RAND()-0.5)*2*$B$7))</f>
        <v>86.383252303589131</v>
      </c>
      <c r="S454" s="54">
        <f ca="1">MIN(100,MAX(0,MCDA_Prioritisation!$G$4+(RAND()-0.5)*2*$B$7))</f>
        <v>93.55998149256898</v>
      </c>
      <c r="T454" s="54">
        <f ca="1">MIN(100,MAX(0,MCDA_Prioritisation!$G$5+(RAND()-0.5)*2*$B$7))</f>
        <v>74.775263508997185</v>
      </c>
      <c r="U454" s="54">
        <f ca="1">MIN(100,MAX(0,MCDA_Prioritisation!$H$2+(RAND()-0.5)*2*$B$7))</f>
        <v>72.872475537568448</v>
      </c>
      <c r="V454" s="54">
        <f ca="1">MIN(100,MAX(0,MCDA_Prioritisation!$H$3+(RAND()-0.5)*2*$B$7))</f>
        <v>55.076517404682903</v>
      </c>
      <c r="W454" s="54">
        <f ca="1">MIN(100,MAX(0,MCDA_Prioritisation!$H$4+(RAND()-0.5)*2*$B$7))</f>
        <v>84.996953787872087</v>
      </c>
      <c r="X454" s="54">
        <f ca="1">MIN(100,MAX(0,MCDA_Prioritisation!$H$5+(RAND()-0.5)*2*$B$7))</f>
        <v>74.72859607753206</v>
      </c>
      <c r="Y454" s="54">
        <f ca="1">H454*MCDA_Prioritisation!$D$2+I454*MCDA_Prioritisation!$E$2+J454*M454+K454*Q454+L454*U454</f>
        <v>86.710275730123271</v>
      </c>
      <c r="Z454" s="54">
        <f ca="1">H454*MCDA_Prioritisation!$D$3+I454*MCDA_Prioritisation!$E$3+J454*N454+K454*R454+L454*V454</f>
        <v>79.368295477123525</v>
      </c>
      <c r="AA454" s="54">
        <f ca="1">H454*MCDA_Prioritisation!$D$4+I454*MCDA_Prioritisation!$E$4+J454*O454+K454*S454+L454*W454</f>
        <v>77.690257607497514</v>
      </c>
      <c r="AB454" s="54">
        <f ca="1">H454*MCDA_Prioritisation!$D$5+I454*MCDA_Prioritisation!$E$5+J454*P454+K454*T454+L454*X454</f>
        <v>71.624903982610022</v>
      </c>
      <c r="AC454" s="54">
        <f t="shared" ca="1" si="90"/>
        <v>1</v>
      </c>
      <c r="AD454" s="54">
        <f t="shared" ca="1" si="91"/>
        <v>2</v>
      </c>
      <c r="AE454" s="54">
        <f t="shared" ca="1" si="92"/>
        <v>3</v>
      </c>
      <c r="AF454" s="54">
        <f t="shared" ca="1" si="93"/>
        <v>4</v>
      </c>
      <c r="AG454" s="54">
        <f t="shared" ca="1" si="94"/>
        <v>1</v>
      </c>
      <c r="AH454" s="54">
        <f t="shared" ca="1" si="95"/>
        <v>1</v>
      </c>
      <c r="AI454" s="54">
        <f t="shared" ca="1" si="96"/>
        <v>1</v>
      </c>
      <c r="AJ454" s="54">
        <f t="shared" ca="1" si="97"/>
        <v>1</v>
      </c>
    </row>
    <row r="455" spans="1:36" x14ac:dyDescent="0.2">
      <c r="A455" s="54">
        <v>432</v>
      </c>
      <c r="B455" s="54">
        <f ca="1">MAX(0.02,MCDA_Prioritisation!$B$9+(RAND()-0.5)*2*$B$6)</f>
        <v>0.16308494593170886</v>
      </c>
      <c r="C455" s="54">
        <f ca="1">MAX(0.02,MCDA_Prioritisation!$B$10+(RAND()-0.5)*2*$B$6)</f>
        <v>0.17974689593716059</v>
      </c>
      <c r="D455" s="54">
        <f ca="1">MAX(0.02,MCDA_Prioritisation!$B$11+(RAND()-0.5)*2*$B$6)</f>
        <v>0.25706668582039571</v>
      </c>
      <c r="E455" s="54">
        <f ca="1">MAX(0.02,MCDA_Prioritisation!$B$12+(RAND()-0.5)*2*$B$6)</f>
        <v>0.20714470692281534</v>
      </c>
      <c r="F455" s="54">
        <f ca="1">MAX(0.02,MCDA_Prioritisation!$B$13+(RAND()-0.5)*2*$B$6)</f>
        <v>0.20121832589006214</v>
      </c>
      <c r="G455" s="54">
        <f t="shared" ca="1" si="84"/>
        <v>1.0082615605021428</v>
      </c>
      <c r="H455" s="54">
        <f t="shared" ca="1" si="85"/>
        <v>0.16174864967626848</v>
      </c>
      <c r="I455" s="54">
        <f t="shared" ca="1" si="86"/>
        <v>0.17827407388975688</v>
      </c>
      <c r="J455" s="54">
        <f t="shared" ca="1" si="87"/>
        <v>0.25496031574621297</v>
      </c>
      <c r="K455" s="54">
        <f t="shared" ca="1" si="88"/>
        <v>0.20544739087310976</v>
      </c>
      <c r="L455" s="54">
        <f t="shared" ca="1" si="89"/>
        <v>0.19956956981465179</v>
      </c>
      <c r="M455" s="54">
        <f ca="1">MIN(100,MAX(0,MCDA_Prioritisation!$F$2+(RAND()-0.5)*2*$B$7))</f>
        <v>78.078158471363693</v>
      </c>
      <c r="N455" s="54">
        <f ca="1">MIN(100,MAX(0,MCDA_Prioritisation!$F$3+(RAND()-0.5)*2*$B$7))</f>
        <v>100</v>
      </c>
      <c r="O455" s="54">
        <f ca="1">MIN(100,MAX(0,MCDA_Prioritisation!$F$4+(RAND()-0.5)*2*$B$7))</f>
        <v>87.505575640353797</v>
      </c>
      <c r="P455" s="54">
        <f ca="1">MIN(100,MAX(0,MCDA_Prioritisation!$F$5+(RAND()-0.5)*2*$B$7))</f>
        <v>81.363959982293125</v>
      </c>
      <c r="Q455" s="54">
        <f ca="1">MIN(100,MAX(0,MCDA_Prioritisation!$G$2+(RAND()-0.5)*2*$B$7))</f>
        <v>71.754493586671259</v>
      </c>
      <c r="R455" s="54">
        <f ca="1">MIN(100,MAX(0,MCDA_Prioritisation!$G$3+(RAND()-0.5)*2*$B$7))</f>
        <v>90.717887087149705</v>
      </c>
      <c r="S455" s="54">
        <f ca="1">MIN(100,MAX(0,MCDA_Prioritisation!$G$4+(RAND()-0.5)*2*$B$7))</f>
        <v>94.528959102200076</v>
      </c>
      <c r="T455" s="54">
        <f ca="1">MIN(100,MAX(0,MCDA_Prioritisation!$G$5+(RAND()-0.5)*2*$B$7))</f>
        <v>63.549131987135695</v>
      </c>
      <c r="U455" s="54">
        <f ca="1">MIN(100,MAX(0,MCDA_Prioritisation!$H$2+(RAND()-0.5)*2*$B$7))</f>
        <v>57.469537545298294</v>
      </c>
      <c r="V455" s="54">
        <f ca="1">MIN(100,MAX(0,MCDA_Prioritisation!$H$3+(RAND()-0.5)*2*$B$7))</f>
        <v>55.869574235612426</v>
      </c>
      <c r="W455" s="54">
        <f ca="1">MIN(100,MAX(0,MCDA_Prioritisation!$H$4+(RAND()-0.5)*2*$B$7))</f>
        <v>83.988526121557101</v>
      </c>
      <c r="X455" s="54">
        <f ca="1">MIN(100,MAX(0,MCDA_Prioritisation!$H$5+(RAND()-0.5)*2*$B$7))</f>
        <v>68.529488869267851</v>
      </c>
      <c r="Y455" s="54">
        <f ca="1">H455*MCDA_Prioritisation!$D$2+I455*MCDA_Prioritisation!$E$2+J455*M455+K455*Q455+L455*U455</f>
        <v>80.12004866950933</v>
      </c>
      <c r="Z455" s="54">
        <f ca="1">H455*MCDA_Prioritisation!$D$3+I455*MCDA_Prioritisation!$E$3+J455*N455+K455*R455+L455*V455</f>
        <v>82.385359606379822</v>
      </c>
      <c r="AA455" s="54">
        <f ca="1">H455*MCDA_Prioritisation!$D$4+I455*MCDA_Prioritisation!$E$4+J455*O455+K455*S455+L455*W455</f>
        <v>79.479996733494346</v>
      </c>
      <c r="AB455" s="54">
        <f ca="1">H455*MCDA_Prioritisation!$D$5+I455*MCDA_Prioritisation!$E$5+J455*P455+K455*T455+L455*X455</f>
        <v>71.053167349492284</v>
      </c>
      <c r="AC455" s="54">
        <f t="shared" ca="1" si="90"/>
        <v>2</v>
      </c>
      <c r="AD455" s="54">
        <f t="shared" ca="1" si="91"/>
        <v>1</v>
      </c>
      <c r="AE455" s="54">
        <f t="shared" ca="1" si="92"/>
        <v>3</v>
      </c>
      <c r="AF455" s="54">
        <f t="shared" ca="1" si="93"/>
        <v>4</v>
      </c>
      <c r="AG455" s="54">
        <f t="shared" ca="1" si="94"/>
        <v>0</v>
      </c>
      <c r="AH455" s="54">
        <f t="shared" ca="1" si="95"/>
        <v>0</v>
      </c>
      <c r="AI455" s="54">
        <f t="shared" ca="1" si="96"/>
        <v>0</v>
      </c>
      <c r="AJ455" s="54">
        <f t="shared" ca="1" si="97"/>
        <v>1</v>
      </c>
    </row>
    <row r="456" spans="1:36" x14ac:dyDescent="0.2">
      <c r="A456" s="54">
        <v>433</v>
      </c>
      <c r="B456" s="54">
        <f ca="1">MAX(0.02,MCDA_Prioritisation!$B$9+(RAND()-0.5)*2*$B$6)</f>
        <v>0.27999197674867154</v>
      </c>
      <c r="C456" s="54">
        <f ca="1">MAX(0.02,MCDA_Prioritisation!$B$10+(RAND()-0.5)*2*$B$6)</f>
        <v>0.22180570423856319</v>
      </c>
      <c r="D456" s="54">
        <f ca="1">MAX(0.02,MCDA_Prioritisation!$B$11+(RAND()-0.5)*2*$B$6)</f>
        <v>0.31222657368495565</v>
      </c>
      <c r="E456" s="54">
        <f ca="1">MAX(0.02,MCDA_Prioritisation!$B$12+(RAND()-0.5)*2*$B$6)</f>
        <v>0.10556969714456568</v>
      </c>
      <c r="F456" s="54">
        <f ca="1">MAX(0.02,MCDA_Prioritisation!$B$13+(RAND()-0.5)*2*$B$6)</f>
        <v>8.7726625622378776E-2</v>
      </c>
      <c r="G456" s="54">
        <f t="shared" ca="1" si="84"/>
        <v>1.0073205774391349</v>
      </c>
      <c r="H456" s="54">
        <f t="shared" ca="1" si="85"/>
        <v>0.27795716976266122</v>
      </c>
      <c r="I456" s="54">
        <f t="shared" ca="1" si="86"/>
        <v>0.22019375877583053</v>
      </c>
      <c r="J456" s="54">
        <f t="shared" ca="1" si="87"/>
        <v>0.30995750576118974</v>
      </c>
      <c r="K456" s="54">
        <f t="shared" ca="1" si="88"/>
        <v>0.10480248245593345</v>
      </c>
      <c r="L456" s="54">
        <f t="shared" ca="1" si="89"/>
        <v>8.7089083244384982E-2</v>
      </c>
      <c r="M456" s="54">
        <f ca="1">MIN(100,MAX(0,MCDA_Prioritisation!$F$2+(RAND()-0.5)*2*$B$7))</f>
        <v>85.019251902146721</v>
      </c>
      <c r="N456" s="54">
        <f ca="1">MIN(100,MAX(0,MCDA_Prioritisation!$F$3+(RAND()-0.5)*2*$B$7))</f>
        <v>98.634043773009139</v>
      </c>
      <c r="O456" s="54">
        <f ca="1">MIN(100,MAX(0,MCDA_Prioritisation!$F$4+(RAND()-0.5)*2*$B$7))</f>
        <v>86.452036672940807</v>
      </c>
      <c r="P456" s="54">
        <f ca="1">MIN(100,MAX(0,MCDA_Prioritisation!$F$5+(RAND()-0.5)*2*$B$7))</f>
        <v>70.973700086636114</v>
      </c>
      <c r="Q456" s="54">
        <f ca="1">MIN(100,MAX(0,MCDA_Prioritisation!$G$2+(RAND()-0.5)*2*$B$7))</f>
        <v>75.489401299811789</v>
      </c>
      <c r="R456" s="54">
        <f ca="1">MIN(100,MAX(0,MCDA_Prioritisation!$G$3+(RAND()-0.5)*2*$B$7))</f>
        <v>98.53240194758591</v>
      </c>
      <c r="S456" s="54">
        <f ca="1">MIN(100,MAX(0,MCDA_Prioritisation!$G$4+(RAND()-0.5)*2*$B$7))</f>
        <v>80.945004891409639</v>
      </c>
      <c r="T456" s="54">
        <f ca="1">MIN(100,MAX(0,MCDA_Prioritisation!$G$5+(RAND()-0.5)*2*$B$7))</f>
        <v>76.292191823581035</v>
      </c>
      <c r="U456" s="54">
        <f ca="1">MIN(100,MAX(0,MCDA_Prioritisation!$H$2+(RAND()-0.5)*2*$B$7))</f>
        <v>57.188591711285369</v>
      </c>
      <c r="V456" s="54">
        <f ca="1">MIN(100,MAX(0,MCDA_Prioritisation!$H$3+(RAND()-0.5)*2*$B$7))</f>
        <v>54.971872227014842</v>
      </c>
      <c r="W456" s="54">
        <f ca="1">MIN(100,MAX(0,MCDA_Prioritisation!$H$4+(RAND()-0.5)*2*$B$7))</f>
        <v>73.547607311716746</v>
      </c>
      <c r="X456" s="54">
        <f ca="1">MIN(100,MAX(0,MCDA_Prioritisation!$H$5+(RAND()-0.5)*2*$B$7))</f>
        <v>84.530698496802458</v>
      </c>
      <c r="Y456" s="54">
        <f ca="1">H456*MCDA_Prioritisation!$D$2+I456*MCDA_Prioritisation!$E$2+J456*M456+K456*Q456+L456*U456</f>
        <v>89.059426794626589</v>
      </c>
      <c r="Z456" s="54">
        <f ca="1">H456*MCDA_Prioritisation!$D$3+I456*MCDA_Prioritisation!$E$3+J456*N456+K456*R456+L456*V456</f>
        <v>85.992922108184374</v>
      </c>
      <c r="AA456" s="54">
        <f ca="1">H456*MCDA_Prioritisation!$D$4+I456*MCDA_Prioritisation!$E$4+J456*O456+K456*S456+L456*W456</f>
        <v>73.050760769327184</v>
      </c>
      <c r="AB456" s="54">
        <f ca="1">H456*MCDA_Prioritisation!$D$5+I456*MCDA_Prioritisation!$E$5+J456*P456+K456*T456+L456*X456</f>
        <v>70.625260655824079</v>
      </c>
      <c r="AC456" s="54">
        <f t="shared" ca="1" si="90"/>
        <v>1</v>
      </c>
      <c r="AD456" s="54">
        <f t="shared" ca="1" si="91"/>
        <v>2</v>
      </c>
      <c r="AE456" s="54">
        <f t="shared" ca="1" si="92"/>
        <v>3</v>
      </c>
      <c r="AF456" s="54">
        <f t="shared" ca="1" si="93"/>
        <v>4</v>
      </c>
      <c r="AG456" s="54">
        <f t="shared" ca="1" si="94"/>
        <v>1</v>
      </c>
      <c r="AH456" s="54">
        <f t="shared" ca="1" si="95"/>
        <v>1</v>
      </c>
      <c r="AI456" s="54">
        <f t="shared" ca="1" si="96"/>
        <v>1</v>
      </c>
      <c r="AJ456" s="54">
        <f t="shared" ca="1" si="97"/>
        <v>1</v>
      </c>
    </row>
    <row r="457" spans="1:36" x14ac:dyDescent="0.2">
      <c r="A457" s="54">
        <v>434</v>
      </c>
      <c r="B457" s="54">
        <f ca="1">MAX(0.02,MCDA_Prioritisation!$B$9+(RAND()-0.5)*2*$B$6)</f>
        <v>0.26892381565212148</v>
      </c>
      <c r="C457" s="54">
        <f ca="1">MAX(0.02,MCDA_Prioritisation!$B$10+(RAND()-0.5)*2*$B$6)</f>
        <v>0.27437843271796225</v>
      </c>
      <c r="D457" s="54">
        <f ca="1">MAX(0.02,MCDA_Prioritisation!$B$11+(RAND()-0.5)*2*$B$6)</f>
        <v>0.25414480853084653</v>
      </c>
      <c r="E457" s="54">
        <f ca="1">MAX(0.02,MCDA_Prioritisation!$B$12+(RAND()-0.5)*2*$B$6)</f>
        <v>0.13238014545805407</v>
      </c>
      <c r="F457" s="54">
        <f ca="1">MAX(0.02,MCDA_Prioritisation!$B$13+(RAND()-0.5)*2*$B$6)</f>
        <v>0.12446773733300419</v>
      </c>
      <c r="G457" s="54">
        <f t="shared" ca="1" si="84"/>
        <v>1.0542949396919885</v>
      </c>
      <c r="H457" s="54">
        <f t="shared" ca="1" si="85"/>
        <v>0.25507455791326039</v>
      </c>
      <c r="I457" s="54">
        <f t="shared" ca="1" si="86"/>
        <v>0.2602482686658078</v>
      </c>
      <c r="J457" s="54">
        <f t="shared" ca="1" si="87"/>
        <v>0.24105665214052413</v>
      </c>
      <c r="K457" s="54">
        <f t="shared" ca="1" si="88"/>
        <v>0.1255627248829714</v>
      </c>
      <c r="L457" s="54">
        <f t="shared" ca="1" si="89"/>
        <v>0.11805779639743633</v>
      </c>
      <c r="M457" s="54">
        <f ca="1">MIN(100,MAX(0,MCDA_Prioritisation!$F$2+(RAND()-0.5)*2*$B$7))</f>
        <v>79.426563235936783</v>
      </c>
      <c r="N457" s="54">
        <f ca="1">MIN(100,MAX(0,MCDA_Prioritisation!$F$3+(RAND()-0.5)*2*$B$7))</f>
        <v>89.290590322124288</v>
      </c>
      <c r="O457" s="54">
        <f ca="1">MIN(100,MAX(0,MCDA_Prioritisation!$F$4+(RAND()-0.5)*2*$B$7))</f>
        <v>98.796914076867196</v>
      </c>
      <c r="P457" s="54">
        <f ca="1">MIN(100,MAX(0,MCDA_Prioritisation!$F$5+(RAND()-0.5)*2*$B$7))</f>
        <v>65.793471237943834</v>
      </c>
      <c r="Q457" s="54">
        <f ca="1">MIN(100,MAX(0,MCDA_Prioritisation!$G$2+(RAND()-0.5)*2*$B$7))</f>
        <v>73.507381793350234</v>
      </c>
      <c r="R457" s="54">
        <f ca="1">MIN(100,MAX(0,MCDA_Prioritisation!$G$3+(RAND()-0.5)*2*$B$7))</f>
        <v>93.556488064912514</v>
      </c>
      <c r="S457" s="54">
        <f ca="1">MIN(100,MAX(0,MCDA_Prioritisation!$G$4+(RAND()-0.5)*2*$B$7))</f>
        <v>88.737692847085526</v>
      </c>
      <c r="T457" s="54">
        <f ca="1">MIN(100,MAX(0,MCDA_Prioritisation!$G$5+(RAND()-0.5)*2*$B$7))</f>
        <v>69.765128809472145</v>
      </c>
      <c r="U457" s="54">
        <f ca="1">MIN(100,MAX(0,MCDA_Prioritisation!$H$2+(RAND()-0.5)*2*$B$7))</f>
        <v>61.08147431324349</v>
      </c>
      <c r="V457" s="54">
        <f ca="1">MIN(100,MAX(0,MCDA_Prioritisation!$H$3+(RAND()-0.5)*2*$B$7))</f>
        <v>65.049878185225396</v>
      </c>
      <c r="W457" s="54">
        <f ca="1">MIN(100,MAX(0,MCDA_Prioritisation!$H$4+(RAND()-0.5)*2*$B$7))</f>
        <v>70.660345526690506</v>
      </c>
      <c r="X457" s="54">
        <f ca="1">MIN(100,MAX(0,MCDA_Prioritisation!$H$5+(RAND()-0.5)*2*$B$7))</f>
        <v>67.003310226984283</v>
      </c>
      <c r="Y457" s="54">
        <f ca="1">H457*MCDA_Prioritisation!$D$2+I457*MCDA_Prioritisation!$E$2+J457*M457+K457*Q457+L457*U457</f>
        <v>87.119515497703475</v>
      </c>
      <c r="Z457" s="54">
        <f ca="1">H457*MCDA_Prioritisation!$D$3+I457*MCDA_Prioritisation!$E$3+J457*N457+K457*R457+L457*V457</f>
        <v>82.17080056639044</v>
      </c>
      <c r="AA457" s="54">
        <f ca="1">H457*MCDA_Prioritisation!$D$4+I457*MCDA_Prioritisation!$E$4+J457*O457+K457*S457+L457*W457</f>
        <v>75.257057389127937</v>
      </c>
      <c r="AB457" s="54">
        <f ca="1">H457*MCDA_Prioritisation!$D$5+I457*MCDA_Prioritisation!$E$5+J457*P457+K457*T457+L457*X457</f>
        <v>67.952939374785231</v>
      </c>
      <c r="AC457" s="54">
        <f t="shared" ca="1" si="90"/>
        <v>1</v>
      </c>
      <c r="AD457" s="54">
        <f t="shared" ca="1" si="91"/>
        <v>2</v>
      </c>
      <c r="AE457" s="54">
        <f t="shared" ca="1" si="92"/>
        <v>3</v>
      </c>
      <c r="AF457" s="54">
        <f t="shared" ca="1" si="93"/>
        <v>4</v>
      </c>
      <c r="AG457" s="54">
        <f t="shared" ca="1" si="94"/>
        <v>1</v>
      </c>
      <c r="AH457" s="54">
        <f t="shared" ca="1" si="95"/>
        <v>1</v>
      </c>
      <c r="AI457" s="54">
        <f t="shared" ca="1" si="96"/>
        <v>1</v>
      </c>
      <c r="AJ457" s="54">
        <f t="shared" ca="1" si="97"/>
        <v>1</v>
      </c>
    </row>
    <row r="458" spans="1:36" x14ac:dyDescent="0.2">
      <c r="A458" s="54">
        <v>435</v>
      </c>
      <c r="B458" s="54">
        <f ca="1">MAX(0.02,MCDA_Prioritisation!$B$9+(RAND()-0.5)*2*$B$6)</f>
        <v>0.20059875888709477</v>
      </c>
      <c r="C458" s="54">
        <f ca="1">MAX(0.02,MCDA_Prioritisation!$B$10+(RAND()-0.5)*2*$B$6)</f>
        <v>0.2429263800480036</v>
      </c>
      <c r="D458" s="54">
        <f ca="1">MAX(0.02,MCDA_Prioritisation!$B$11+(RAND()-0.5)*2*$B$6)</f>
        <v>0.17221099342693041</v>
      </c>
      <c r="E458" s="54">
        <f ca="1">MAX(0.02,MCDA_Prioritisation!$B$12+(RAND()-0.5)*2*$B$6)</f>
        <v>0.16039765384915772</v>
      </c>
      <c r="F458" s="54">
        <f ca="1">MAX(0.02,MCDA_Prioritisation!$B$13+(RAND()-0.5)*2*$B$6)</f>
        <v>0.18719654458493301</v>
      </c>
      <c r="G458" s="54">
        <f t="shared" ca="1" si="84"/>
        <v>0.96333033079611941</v>
      </c>
      <c r="H458" s="54">
        <f t="shared" ca="1" si="85"/>
        <v>0.20823465479521974</v>
      </c>
      <c r="I458" s="54">
        <f t="shared" ca="1" si="86"/>
        <v>0.25217349883216422</v>
      </c>
      <c r="J458" s="54">
        <f t="shared" ca="1" si="87"/>
        <v>0.1787662943038564</v>
      </c>
      <c r="K458" s="54">
        <f t="shared" ca="1" si="88"/>
        <v>0.16650327382155738</v>
      </c>
      <c r="L458" s="54">
        <f t="shared" ca="1" si="89"/>
        <v>0.19432227824720236</v>
      </c>
      <c r="M458" s="54">
        <f ca="1">MIN(100,MAX(0,MCDA_Prioritisation!$F$2+(RAND()-0.5)*2*$B$7))</f>
        <v>81.425941947742956</v>
      </c>
      <c r="N458" s="54">
        <f ca="1">MIN(100,MAX(0,MCDA_Prioritisation!$F$3+(RAND()-0.5)*2*$B$7))</f>
        <v>92.103476100497801</v>
      </c>
      <c r="O458" s="54">
        <f ca="1">MIN(100,MAX(0,MCDA_Prioritisation!$F$4+(RAND()-0.5)*2*$B$7))</f>
        <v>82.378445617440107</v>
      </c>
      <c r="P458" s="54">
        <f ca="1">MIN(100,MAX(0,MCDA_Prioritisation!$F$5+(RAND()-0.5)*2*$B$7))</f>
        <v>77.185677709555492</v>
      </c>
      <c r="Q458" s="54">
        <f ca="1">MIN(100,MAX(0,MCDA_Prioritisation!$G$2+(RAND()-0.5)*2*$B$7))</f>
        <v>84.903305002678565</v>
      </c>
      <c r="R458" s="54">
        <f ca="1">MIN(100,MAX(0,MCDA_Prioritisation!$G$3+(RAND()-0.5)*2*$B$7))</f>
        <v>90.612437656026913</v>
      </c>
      <c r="S458" s="54">
        <f ca="1">MIN(100,MAX(0,MCDA_Prioritisation!$G$4+(RAND()-0.5)*2*$B$7))</f>
        <v>92.41120332977836</v>
      </c>
      <c r="T458" s="54">
        <f ca="1">MIN(100,MAX(0,MCDA_Prioritisation!$G$5+(RAND()-0.5)*2*$B$7))</f>
        <v>74.764043362802781</v>
      </c>
      <c r="U458" s="54">
        <f ca="1">MIN(100,MAX(0,MCDA_Prioritisation!$H$2+(RAND()-0.5)*2*$B$7))</f>
        <v>64.694450685687173</v>
      </c>
      <c r="V458" s="54">
        <f ca="1">MIN(100,MAX(0,MCDA_Prioritisation!$H$3+(RAND()-0.5)*2*$B$7))</f>
        <v>54.800534264401826</v>
      </c>
      <c r="W458" s="54">
        <f ca="1">MIN(100,MAX(0,MCDA_Prioritisation!$H$4+(RAND()-0.5)*2*$B$7))</f>
        <v>80.867809184240514</v>
      </c>
      <c r="X458" s="54">
        <f ca="1">MIN(100,MAX(0,MCDA_Prioritisation!$H$5+(RAND()-0.5)*2*$B$7))</f>
        <v>75.295769310652531</v>
      </c>
      <c r="Y458" s="54">
        <f ca="1">H458*MCDA_Prioritisation!$D$2+I458*MCDA_Prioritisation!$E$2+J458*M458+K458*Q458+L458*U458</f>
        <v>87.305280553347558</v>
      </c>
      <c r="Z458" s="54">
        <f ca="1">H458*MCDA_Prioritisation!$D$3+I458*MCDA_Prioritisation!$E$3+J458*N458+K458*R458+L458*V458</f>
        <v>78.740170778739142</v>
      </c>
      <c r="AA458" s="54">
        <f ca="1">H458*MCDA_Prioritisation!$D$4+I458*MCDA_Prioritisation!$E$4+J458*O458+K458*S458+L458*W458</f>
        <v>74.082829612969959</v>
      </c>
      <c r="AB458" s="54">
        <f ca="1">H458*MCDA_Prioritisation!$D$5+I458*MCDA_Prioritisation!$E$5+J458*P458+K458*T458+L458*X458</f>
        <v>73.136039356766744</v>
      </c>
      <c r="AC458" s="54">
        <f t="shared" ca="1" si="90"/>
        <v>1</v>
      </c>
      <c r="AD458" s="54">
        <f t="shared" ca="1" si="91"/>
        <v>2</v>
      </c>
      <c r="AE458" s="54">
        <f t="shared" ca="1" si="92"/>
        <v>3</v>
      </c>
      <c r="AF458" s="54">
        <f t="shared" ca="1" si="93"/>
        <v>4</v>
      </c>
      <c r="AG458" s="54">
        <f t="shared" ca="1" si="94"/>
        <v>1</v>
      </c>
      <c r="AH458" s="54">
        <f t="shared" ca="1" si="95"/>
        <v>1</v>
      </c>
      <c r="AI458" s="54">
        <f t="shared" ca="1" si="96"/>
        <v>1</v>
      </c>
      <c r="AJ458" s="54">
        <f t="shared" ca="1" si="97"/>
        <v>1</v>
      </c>
    </row>
    <row r="459" spans="1:36" x14ac:dyDescent="0.2">
      <c r="A459" s="54">
        <v>436</v>
      </c>
      <c r="B459" s="54">
        <f ca="1">MAX(0.02,MCDA_Prioritisation!$B$9+(RAND()-0.5)*2*$B$6)</f>
        <v>0.19902274817059509</v>
      </c>
      <c r="C459" s="54">
        <f ca="1">MAX(0.02,MCDA_Prioritisation!$B$10+(RAND()-0.5)*2*$B$6)</f>
        <v>0.22132418724948327</v>
      </c>
      <c r="D459" s="54">
        <f ca="1">MAX(0.02,MCDA_Prioritisation!$B$11+(RAND()-0.5)*2*$B$6)</f>
        <v>0.25768653855534468</v>
      </c>
      <c r="E459" s="54">
        <f ca="1">MAX(0.02,MCDA_Prioritisation!$B$12+(RAND()-0.5)*2*$B$6)</f>
        <v>0.15274139145045354</v>
      </c>
      <c r="F459" s="54">
        <f ca="1">MAX(0.02,MCDA_Prioritisation!$B$13+(RAND()-0.5)*2*$B$6)</f>
        <v>0.14249330010103994</v>
      </c>
      <c r="G459" s="54">
        <f t="shared" ca="1" si="84"/>
        <v>0.97326816552691642</v>
      </c>
      <c r="H459" s="54">
        <f t="shared" ca="1" si="85"/>
        <v>0.20448911740871173</v>
      </c>
      <c r="I459" s="54">
        <f t="shared" ca="1" si="86"/>
        <v>0.22740308898284045</v>
      </c>
      <c r="J459" s="54">
        <f t="shared" ca="1" si="87"/>
        <v>0.26476417053653051</v>
      </c>
      <c r="K459" s="54">
        <f t="shared" ca="1" si="88"/>
        <v>0.15693659451787481</v>
      </c>
      <c r="L459" s="54">
        <f t="shared" ca="1" si="89"/>
        <v>0.14640702855404264</v>
      </c>
      <c r="M459" s="54">
        <f ca="1">MIN(100,MAX(0,MCDA_Prioritisation!$F$2+(RAND()-0.5)*2*$B$7))</f>
        <v>91.800426552389538</v>
      </c>
      <c r="N459" s="54">
        <f ca="1">MIN(100,MAX(0,MCDA_Prioritisation!$F$3+(RAND()-0.5)*2*$B$7))</f>
        <v>97.135407445261379</v>
      </c>
      <c r="O459" s="54">
        <f ca="1">MIN(100,MAX(0,MCDA_Prioritisation!$F$4+(RAND()-0.5)*2*$B$7))</f>
        <v>85.979340104955469</v>
      </c>
      <c r="P459" s="54">
        <f ca="1">MIN(100,MAX(0,MCDA_Prioritisation!$F$5+(RAND()-0.5)*2*$B$7))</f>
        <v>84.741168586743072</v>
      </c>
      <c r="Q459" s="54">
        <f ca="1">MIN(100,MAX(0,MCDA_Prioritisation!$G$2+(RAND()-0.5)*2*$B$7))</f>
        <v>70.983042896376446</v>
      </c>
      <c r="R459" s="54">
        <f ca="1">MIN(100,MAX(0,MCDA_Prioritisation!$G$3+(RAND()-0.5)*2*$B$7))</f>
        <v>100</v>
      </c>
      <c r="S459" s="54">
        <f ca="1">MIN(100,MAX(0,MCDA_Prioritisation!$G$4+(RAND()-0.5)*2*$B$7))</f>
        <v>85.663618093077815</v>
      </c>
      <c r="T459" s="54">
        <f ca="1">MIN(100,MAX(0,MCDA_Prioritisation!$G$5+(RAND()-0.5)*2*$B$7))</f>
        <v>70.850141635967987</v>
      </c>
      <c r="U459" s="54">
        <f ca="1">MIN(100,MAX(0,MCDA_Prioritisation!$H$2+(RAND()-0.5)*2*$B$7))</f>
        <v>61.190771797275417</v>
      </c>
      <c r="V459" s="54">
        <f ca="1">MIN(100,MAX(0,MCDA_Prioritisation!$H$3+(RAND()-0.5)*2*$B$7))</f>
        <v>65.031516523208907</v>
      </c>
      <c r="W459" s="54">
        <f ca="1">MIN(100,MAX(0,MCDA_Prioritisation!$H$4+(RAND()-0.5)*2*$B$7))</f>
        <v>77.518223082522198</v>
      </c>
      <c r="X459" s="54">
        <f ca="1">MIN(100,MAX(0,MCDA_Prioritisation!$H$5+(RAND()-0.5)*2*$B$7))</f>
        <v>68.657279153288982</v>
      </c>
      <c r="Y459" s="54">
        <f ca="1">H459*MCDA_Prioritisation!$D$2+I459*MCDA_Prioritisation!$E$2+J459*M459+K459*Q459+L459*U459</f>
        <v>87.593280524639468</v>
      </c>
      <c r="Z459" s="54">
        <f ca="1">H459*MCDA_Prioritisation!$D$3+I459*MCDA_Prioritisation!$E$3+J459*N459+K459*R459+L459*V459</f>
        <v>85.342815126343964</v>
      </c>
      <c r="AA459" s="54">
        <f ca="1">H459*MCDA_Prioritisation!$D$4+I459*MCDA_Prioritisation!$E$4+J459*O459+K459*S459+L459*W459</f>
        <v>74.200442744178147</v>
      </c>
      <c r="AB459" s="54">
        <f ca="1">H459*MCDA_Prioritisation!$D$5+I459*MCDA_Prioritisation!$E$5+J459*P459+K459*T459+L459*X459</f>
        <v>73.583287738060164</v>
      </c>
      <c r="AC459" s="54">
        <f t="shared" ca="1" si="90"/>
        <v>1</v>
      </c>
      <c r="AD459" s="54">
        <f t="shared" ca="1" si="91"/>
        <v>2</v>
      </c>
      <c r="AE459" s="54">
        <f t="shared" ca="1" si="92"/>
        <v>3</v>
      </c>
      <c r="AF459" s="54">
        <f t="shared" ca="1" si="93"/>
        <v>4</v>
      </c>
      <c r="AG459" s="54">
        <f t="shared" ca="1" si="94"/>
        <v>1</v>
      </c>
      <c r="AH459" s="54">
        <f t="shared" ca="1" si="95"/>
        <v>1</v>
      </c>
      <c r="AI459" s="54">
        <f t="shared" ca="1" si="96"/>
        <v>1</v>
      </c>
      <c r="AJ459" s="54">
        <f t="shared" ca="1" si="97"/>
        <v>1</v>
      </c>
    </row>
    <row r="460" spans="1:36" x14ac:dyDescent="0.2">
      <c r="A460" s="54">
        <v>437</v>
      </c>
      <c r="B460" s="54">
        <f ca="1">MAX(0.02,MCDA_Prioritisation!$B$9+(RAND()-0.5)*2*$B$6)</f>
        <v>0.17234627182786758</v>
      </c>
      <c r="C460" s="54">
        <f ca="1">MAX(0.02,MCDA_Prioritisation!$B$10+(RAND()-0.5)*2*$B$6)</f>
        <v>0.32344186866120439</v>
      </c>
      <c r="D460" s="54">
        <f ca="1">MAX(0.02,MCDA_Prioritisation!$B$11+(RAND()-0.5)*2*$B$6)</f>
        <v>0.2772389211287497</v>
      </c>
      <c r="E460" s="54">
        <f ca="1">MAX(0.02,MCDA_Prioritisation!$B$12+(RAND()-0.5)*2*$B$6)</f>
        <v>0.13097072558242007</v>
      </c>
      <c r="F460" s="54">
        <f ca="1">MAX(0.02,MCDA_Prioritisation!$B$13+(RAND()-0.5)*2*$B$6)</f>
        <v>0.16972464027741774</v>
      </c>
      <c r="G460" s="54">
        <f t="shared" ca="1" si="84"/>
        <v>1.0737224274776596</v>
      </c>
      <c r="H460" s="54">
        <f t="shared" ca="1" si="85"/>
        <v>0.16051287317592469</v>
      </c>
      <c r="I460" s="54">
        <f t="shared" ca="1" si="86"/>
        <v>0.30123415548003357</v>
      </c>
      <c r="J460" s="54">
        <f t="shared" ca="1" si="87"/>
        <v>0.25820353010603209</v>
      </c>
      <c r="K460" s="54">
        <f t="shared" ca="1" si="88"/>
        <v>0.1219781968139481</v>
      </c>
      <c r="L460" s="54">
        <f t="shared" ca="1" si="89"/>
        <v>0.15807124442406148</v>
      </c>
      <c r="M460" s="54">
        <f ca="1">MIN(100,MAX(0,MCDA_Prioritisation!$F$2+(RAND()-0.5)*2*$B$7))</f>
        <v>87.764608593246905</v>
      </c>
      <c r="N460" s="54">
        <f ca="1">MIN(100,MAX(0,MCDA_Prioritisation!$F$3+(RAND()-0.5)*2*$B$7))</f>
        <v>97.866982923274676</v>
      </c>
      <c r="O460" s="54">
        <f ca="1">MIN(100,MAX(0,MCDA_Prioritisation!$F$4+(RAND()-0.5)*2*$B$7))</f>
        <v>90.192646425020939</v>
      </c>
      <c r="P460" s="54">
        <f ca="1">MIN(100,MAX(0,MCDA_Prioritisation!$F$5+(RAND()-0.5)*2*$B$7))</f>
        <v>74.618718010786353</v>
      </c>
      <c r="Q460" s="54">
        <f ca="1">MIN(100,MAX(0,MCDA_Prioritisation!$G$2+(RAND()-0.5)*2*$B$7))</f>
        <v>86.840136771402314</v>
      </c>
      <c r="R460" s="54">
        <f ca="1">MIN(100,MAX(0,MCDA_Prioritisation!$G$3+(RAND()-0.5)*2*$B$7))</f>
        <v>86.404593947738761</v>
      </c>
      <c r="S460" s="54">
        <f ca="1">MIN(100,MAX(0,MCDA_Prioritisation!$G$4+(RAND()-0.5)*2*$B$7))</f>
        <v>93.321268155878997</v>
      </c>
      <c r="T460" s="54">
        <f ca="1">MIN(100,MAX(0,MCDA_Prioritisation!$G$5+(RAND()-0.5)*2*$B$7))</f>
        <v>77.501883099438089</v>
      </c>
      <c r="U460" s="54">
        <f ca="1">MIN(100,MAX(0,MCDA_Prioritisation!$H$2+(RAND()-0.5)*2*$B$7))</f>
        <v>65.713280026280927</v>
      </c>
      <c r="V460" s="54">
        <f ca="1">MIN(100,MAX(0,MCDA_Prioritisation!$H$3+(RAND()-0.5)*2*$B$7))</f>
        <v>65.111380541258612</v>
      </c>
      <c r="W460" s="54">
        <f ca="1">MIN(100,MAX(0,MCDA_Prioritisation!$H$4+(RAND()-0.5)*2*$B$7))</f>
        <v>88.151621381023787</v>
      </c>
      <c r="X460" s="54">
        <f ca="1">MIN(100,MAX(0,MCDA_Prioritisation!$H$5+(RAND()-0.5)*2*$B$7))</f>
        <v>75.851811056811883</v>
      </c>
      <c r="Y460" s="54">
        <f ca="1">H460*MCDA_Prioritisation!$D$2+I460*MCDA_Prioritisation!$E$2+J460*M460+K460*Q460+L460*U460</f>
        <v>89.81581786613971</v>
      </c>
      <c r="Z460" s="54">
        <f ca="1">H460*MCDA_Prioritisation!$D$3+I460*MCDA_Prioritisation!$E$3+J460*N460+K460*R460+L460*V460</f>
        <v>82.037570342603502</v>
      </c>
      <c r="AA460" s="54">
        <f ca="1">H460*MCDA_Prioritisation!$D$4+I460*MCDA_Prioritisation!$E$4+J460*O460+K460*S460+L460*W460</f>
        <v>76.213583032460036</v>
      </c>
      <c r="AB460" s="54">
        <f ca="1">H460*MCDA_Prioritisation!$D$5+I460*MCDA_Prioritisation!$E$5+J460*P460+K460*T460+L460*X460</f>
        <v>74.560764073316477</v>
      </c>
      <c r="AC460" s="54">
        <f t="shared" ca="1" si="90"/>
        <v>1</v>
      </c>
      <c r="AD460" s="54">
        <f t="shared" ca="1" si="91"/>
        <v>2</v>
      </c>
      <c r="AE460" s="54">
        <f t="shared" ca="1" si="92"/>
        <v>3</v>
      </c>
      <c r="AF460" s="54">
        <f t="shared" ca="1" si="93"/>
        <v>4</v>
      </c>
      <c r="AG460" s="54">
        <f t="shared" ca="1" si="94"/>
        <v>1</v>
      </c>
      <c r="AH460" s="54">
        <f t="shared" ca="1" si="95"/>
        <v>1</v>
      </c>
      <c r="AI460" s="54">
        <f t="shared" ca="1" si="96"/>
        <v>1</v>
      </c>
      <c r="AJ460" s="54">
        <f t="shared" ca="1" si="97"/>
        <v>1</v>
      </c>
    </row>
    <row r="461" spans="1:36" x14ac:dyDescent="0.2">
      <c r="A461" s="54">
        <v>438</v>
      </c>
      <c r="B461" s="54">
        <f ca="1">MAX(0.02,MCDA_Prioritisation!$B$9+(RAND()-0.5)*2*$B$6)</f>
        <v>0.14148138496223414</v>
      </c>
      <c r="C461" s="54">
        <f ca="1">MAX(0.02,MCDA_Prioritisation!$B$10+(RAND()-0.5)*2*$B$6)</f>
        <v>0.1852068189706633</v>
      </c>
      <c r="D461" s="54">
        <f ca="1">MAX(0.02,MCDA_Prioritisation!$B$11+(RAND()-0.5)*2*$B$6)</f>
        <v>0.2303257012927119</v>
      </c>
      <c r="E461" s="54">
        <f ca="1">MAX(0.02,MCDA_Prioritisation!$B$12+(RAND()-0.5)*2*$B$6)</f>
        <v>7.1949160523682984E-2</v>
      </c>
      <c r="F461" s="54">
        <f ca="1">MAX(0.02,MCDA_Prioritisation!$B$13+(RAND()-0.5)*2*$B$6)</f>
        <v>0.12886450332403182</v>
      </c>
      <c r="G461" s="54">
        <f t="shared" ca="1" si="84"/>
        <v>0.75782756907332405</v>
      </c>
      <c r="H461" s="54">
        <f t="shared" ca="1" si="85"/>
        <v>0.18669337292022564</v>
      </c>
      <c r="I461" s="54">
        <f t="shared" ca="1" si="86"/>
        <v>0.24439176737412083</v>
      </c>
      <c r="J461" s="54">
        <f t="shared" ca="1" si="87"/>
        <v>0.30392890242084425</v>
      </c>
      <c r="K461" s="54">
        <f t="shared" ca="1" si="88"/>
        <v>9.494133422945121E-2</v>
      </c>
      <c r="L461" s="54">
        <f t="shared" ca="1" si="89"/>
        <v>0.1700446230553582</v>
      </c>
      <c r="M461" s="54">
        <f ca="1">MIN(100,MAX(0,MCDA_Prioritisation!$F$2+(RAND()-0.5)*2*$B$7))</f>
        <v>86.748672487333749</v>
      </c>
      <c r="N461" s="54">
        <f ca="1">MIN(100,MAX(0,MCDA_Prioritisation!$F$3+(RAND()-0.5)*2*$B$7))</f>
        <v>90.917626598804773</v>
      </c>
      <c r="O461" s="54">
        <f ca="1">MIN(100,MAX(0,MCDA_Prioritisation!$F$4+(RAND()-0.5)*2*$B$7))</f>
        <v>81.607882963428381</v>
      </c>
      <c r="P461" s="54">
        <f ca="1">MIN(100,MAX(0,MCDA_Prioritisation!$F$5+(RAND()-0.5)*2*$B$7))</f>
        <v>79.355300567023022</v>
      </c>
      <c r="Q461" s="54">
        <f ca="1">MIN(100,MAX(0,MCDA_Prioritisation!$G$2+(RAND()-0.5)*2*$B$7))</f>
        <v>72.255293182447645</v>
      </c>
      <c r="R461" s="54">
        <f ca="1">MIN(100,MAX(0,MCDA_Prioritisation!$G$3+(RAND()-0.5)*2*$B$7))</f>
        <v>100</v>
      </c>
      <c r="S461" s="54">
        <f ca="1">MIN(100,MAX(0,MCDA_Prioritisation!$G$4+(RAND()-0.5)*2*$B$7))</f>
        <v>85.577698765694933</v>
      </c>
      <c r="T461" s="54">
        <f ca="1">MIN(100,MAX(0,MCDA_Prioritisation!$G$5+(RAND()-0.5)*2*$B$7))</f>
        <v>61.291530855792324</v>
      </c>
      <c r="U461" s="54">
        <f ca="1">MIN(100,MAX(0,MCDA_Prioritisation!$H$2+(RAND()-0.5)*2*$B$7))</f>
        <v>68.196844206322879</v>
      </c>
      <c r="V461" s="54">
        <f ca="1">MIN(100,MAX(0,MCDA_Prioritisation!$H$3+(RAND()-0.5)*2*$B$7))</f>
        <v>60.895762361893212</v>
      </c>
      <c r="W461" s="54">
        <f ca="1">MIN(100,MAX(0,MCDA_Prioritisation!$H$4+(RAND()-0.5)*2*$B$7))</f>
        <v>84.688532962516945</v>
      </c>
      <c r="X461" s="54">
        <f ca="1">MIN(100,MAX(0,MCDA_Prioritisation!$H$5+(RAND()-0.5)*2*$B$7))</f>
        <v>69.008813544517167</v>
      </c>
      <c r="Y461" s="54">
        <f ca="1">H461*MCDA_Prioritisation!$D$2+I461*MCDA_Prioritisation!$E$2+J461*M461+K461*Q461+L461*U461</f>
        <v>87.930463451486204</v>
      </c>
      <c r="Z461" s="54">
        <f ca="1">H461*MCDA_Prioritisation!$D$3+I461*MCDA_Prioritisation!$E$3+J461*N461+K461*R461+L461*V461</f>
        <v>81.571982264449787</v>
      </c>
      <c r="AA461" s="54">
        <f ca="1">H461*MCDA_Prioritisation!$D$4+I461*MCDA_Prioritisation!$E$4+J461*O461+K461*S461+L461*W461</f>
        <v>73.659373896764663</v>
      </c>
      <c r="AB461" s="54">
        <f ca="1">H461*MCDA_Prioritisation!$D$5+I461*MCDA_Prioritisation!$E$5+J461*P461+K461*T461+L461*X461</f>
        <v>72.132089590106716</v>
      </c>
      <c r="AC461" s="54">
        <f t="shared" ca="1" si="90"/>
        <v>1</v>
      </c>
      <c r="AD461" s="54">
        <f t="shared" ca="1" si="91"/>
        <v>2</v>
      </c>
      <c r="AE461" s="54">
        <f t="shared" ca="1" si="92"/>
        <v>3</v>
      </c>
      <c r="AF461" s="54">
        <f t="shared" ca="1" si="93"/>
        <v>4</v>
      </c>
      <c r="AG461" s="54">
        <f t="shared" ca="1" si="94"/>
        <v>1</v>
      </c>
      <c r="AH461" s="54">
        <f t="shared" ca="1" si="95"/>
        <v>1</v>
      </c>
      <c r="AI461" s="54">
        <f t="shared" ca="1" si="96"/>
        <v>1</v>
      </c>
      <c r="AJ461" s="54">
        <f t="shared" ca="1" si="97"/>
        <v>1</v>
      </c>
    </row>
    <row r="462" spans="1:36" x14ac:dyDescent="0.2">
      <c r="A462" s="54">
        <v>439</v>
      </c>
      <c r="B462" s="54">
        <f ca="1">MAX(0.02,MCDA_Prioritisation!$B$9+(RAND()-0.5)*2*$B$6)</f>
        <v>0.18859179223605738</v>
      </c>
      <c r="C462" s="54">
        <f ca="1">MAX(0.02,MCDA_Prioritisation!$B$10+(RAND()-0.5)*2*$B$6)</f>
        <v>0.22351794812822975</v>
      </c>
      <c r="D462" s="54">
        <f ca="1">MAX(0.02,MCDA_Prioritisation!$B$11+(RAND()-0.5)*2*$B$6)</f>
        <v>0.31574878808636897</v>
      </c>
      <c r="E462" s="54">
        <f ca="1">MAX(0.02,MCDA_Prioritisation!$B$12+(RAND()-0.5)*2*$B$6)</f>
        <v>0.12469085840253168</v>
      </c>
      <c r="F462" s="54">
        <f ca="1">MAX(0.02,MCDA_Prioritisation!$B$13+(RAND()-0.5)*2*$B$6)</f>
        <v>0.10445117800909656</v>
      </c>
      <c r="G462" s="54">
        <f t="shared" ca="1" si="84"/>
        <v>0.95700056486228435</v>
      </c>
      <c r="H462" s="54">
        <f t="shared" ca="1" si="85"/>
        <v>0.19706549730531914</v>
      </c>
      <c r="I462" s="54">
        <f t="shared" ca="1" si="86"/>
        <v>0.23356093646652629</v>
      </c>
      <c r="J462" s="54">
        <f t="shared" ca="1" si="87"/>
        <v>0.32993584296557471</v>
      </c>
      <c r="K462" s="54">
        <f t="shared" ca="1" si="88"/>
        <v>0.13029340104984694</v>
      </c>
      <c r="L462" s="54">
        <f t="shared" ca="1" si="89"/>
        <v>0.1091443222127329</v>
      </c>
      <c r="M462" s="54">
        <f ca="1">MIN(100,MAX(0,MCDA_Prioritisation!$F$2+(RAND()-0.5)*2*$B$7))</f>
        <v>91.812166639111183</v>
      </c>
      <c r="N462" s="54">
        <f ca="1">MIN(100,MAX(0,MCDA_Prioritisation!$F$3+(RAND()-0.5)*2*$B$7))</f>
        <v>97.588266752687346</v>
      </c>
      <c r="O462" s="54">
        <f ca="1">MIN(100,MAX(0,MCDA_Prioritisation!$F$4+(RAND()-0.5)*2*$B$7))</f>
        <v>91.370438438920559</v>
      </c>
      <c r="P462" s="54">
        <f ca="1">MIN(100,MAX(0,MCDA_Prioritisation!$F$5+(RAND()-0.5)*2*$B$7))</f>
        <v>83.016864751901224</v>
      </c>
      <c r="Q462" s="54">
        <f ca="1">MIN(100,MAX(0,MCDA_Prioritisation!$G$2+(RAND()-0.5)*2*$B$7))</f>
        <v>78.351101951324296</v>
      </c>
      <c r="R462" s="54">
        <f ca="1">MIN(100,MAX(0,MCDA_Prioritisation!$G$3+(RAND()-0.5)*2*$B$7))</f>
        <v>90.001391634587435</v>
      </c>
      <c r="S462" s="54">
        <f ca="1">MIN(100,MAX(0,MCDA_Prioritisation!$G$4+(RAND()-0.5)*2*$B$7))</f>
        <v>82.536637822792358</v>
      </c>
      <c r="T462" s="54">
        <f ca="1">MIN(100,MAX(0,MCDA_Prioritisation!$G$5+(RAND()-0.5)*2*$B$7))</f>
        <v>77.790785676017663</v>
      </c>
      <c r="U462" s="54">
        <f ca="1">MIN(100,MAX(0,MCDA_Prioritisation!$H$2+(RAND()-0.5)*2*$B$7))</f>
        <v>73.274119073667507</v>
      </c>
      <c r="V462" s="54">
        <f ca="1">MIN(100,MAX(0,MCDA_Prioritisation!$H$3+(RAND()-0.5)*2*$B$7))</f>
        <v>65.068944047022114</v>
      </c>
      <c r="W462" s="54">
        <f ca="1">MIN(100,MAX(0,MCDA_Prioritisation!$H$4+(RAND()-0.5)*2*$B$7))</f>
        <v>81.80616135514353</v>
      </c>
      <c r="X462" s="54">
        <f ca="1">MIN(100,MAX(0,MCDA_Prioritisation!$H$5+(RAND()-0.5)*2*$B$7))</f>
        <v>74.423631724355417</v>
      </c>
      <c r="Y462" s="54">
        <f ca="1">H462*MCDA_Prioritisation!$D$2+I462*MCDA_Prioritisation!$E$2+J462*M462+K462*Q462+L462*U462</f>
        <v>91.560853583027381</v>
      </c>
      <c r="Z462" s="54">
        <f ca="1">H462*MCDA_Prioritisation!$D$3+I462*MCDA_Prioritisation!$E$3+J462*N462+K462*R462+L462*V462</f>
        <v>85.235511781510994</v>
      </c>
      <c r="AA462" s="54">
        <f ca="1">H462*MCDA_Prioritisation!$D$4+I462*MCDA_Prioritisation!$E$4+J462*O462+K462*S462+L462*W462</f>
        <v>76.291210122182108</v>
      </c>
      <c r="AB462" s="54">
        <f ca="1">H462*MCDA_Prioritisation!$D$5+I462*MCDA_Prioritisation!$E$5+J462*P462+K462*T462+L462*X462</f>
        <v>75.748560227768422</v>
      </c>
      <c r="AC462" s="54">
        <f t="shared" ca="1" si="90"/>
        <v>1</v>
      </c>
      <c r="AD462" s="54">
        <f t="shared" ca="1" si="91"/>
        <v>2</v>
      </c>
      <c r="AE462" s="54">
        <f t="shared" ca="1" si="92"/>
        <v>3</v>
      </c>
      <c r="AF462" s="54">
        <f t="shared" ca="1" si="93"/>
        <v>4</v>
      </c>
      <c r="AG462" s="54">
        <f t="shared" ca="1" si="94"/>
        <v>1</v>
      </c>
      <c r="AH462" s="54">
        <f t="shared" ca="1" si="95"/>
        <v>1</v>
      </c>
      <c r="AI462" s="54">
        <f t="shared" ca="1" si="96"/>
        <v>1</v>
      </c>
      <c r="AJ462" s="54">
        <f t="shared" ca="1" si="97"/>
        <v>1</v>
      </c>
    </row>
    <row r="463" spans="1:36" x14ac:dyDescent="0.2">
      <c r="A463" s="54">
        <v>440</v>
      </c>
      <c r="B463" s="54">
        <f ca="1">MAX(0.02,MCDA_Prioritisation!$B$9+(RAND()-0.5)*2*$B$6)</f>
        <v>0.2482398577379514</v>
      </c>
      <c r="C463" s="54">
        <f ca="1">MAX(0.02,MCDA_Prioritisation!$B$10+(RAND()-0.5)*2*$B$6)</f>
        <v>0.19359033314923779</v>
      </c>
      <c r="D463" s="54">
        <f ca="1">MAX(0.02,MCDA_Prioritisation!$B$11+(RAND()-0.5)*2*$B$6)</f>
        <v>0.30824906916504519</v>
      </c>
      <c r="E463" s="54">
        <f ca="1">MAX(0.02,MCDA_Prioritisation!$B$12+(RAND()-0.5)*2*$B$6)</f>
        <v>0.15965518422596064</v>
      </c>
      <c r="F463" s="54">
        <f ca="1">MAX(0.02,MCDA_Prioritisation!$B$13+(RAND()-0.5)*2*$B$6)</f>
        <v>0.17398889645779475</v>
      </c>
      <c r="G463" s="54">
        <f t="shared" ca="1" si="84"/>
        <v>1.0837233407359896</v>
      </c>
      <c r="H463" s="54">
        <f t="shared" ca="1" si="85"/>
        <v>0.22906202017330746</v>
      </c>
      <c r="I463" s="54">
        <f t="shared" ca="1" si="86"/>
        <v>0.17863445943478959</v>
      </c>
      <c r="J463" s="54">
        <f t="shared" ca="1" si="87"/>
        <v>0.28443520368925873</v>
      </c>
      <c r="K463" s="54">
        <f t="shared" ca="1" si="88"/>
        <v>0.1473209796492285</v>
      </c>
      <c r="L463" s="54">
        <f t="shared" ca="1" si="89"/>
        <v>0.16054733705341584</v>
      </c>
      <c r="M463" s="54">
        <f ca="1">MIN(100,MAX(0,MCDA_Prioritisation!$F$2+(RAND()-0.5)*2*$B$7))</f>
        <v>89.111503609310617</v>
      </c>
      <c r="N463" s="54">
        <f ca="1">MIN(100,MAX(0,MCDA_Prioritisation!$F$3+(RAND()-0.5)*2*$B$7))</f>
        <v>91.899413054351442</v>
      </c>
      <c r="O463" s="54">
        <f ca="1">MIN(100,MAX(0,MCDA_Prioritisation!$F$4+(RAND()-0.5)*2*$B$7))</f>
        <v>96.641933991196026</v>
      </c>
      <c r="P463" s="54">
        <f ca="1">MIN(100,MAX(0,MCDA_Prioritisation!$F$5+(RAND()-0.5)*2*$B$7))</f>
        <v>84.804342221657024</v>
      </c>
      <c r="Q463" s="54">
        <f ca="1">MIN(100,MAX(0,MCDA_Prioritisation!$G$2+(RAND()-0.5)*2*$B$7))</f>
        <v>71.572940991813709</v>
      </c>
      <c r="R463" s="54">
        <f ca="1">MIN(100,MAX(0,MCDA_Prioritisation!$G$3+(RAND()-0.5)*2*$B$7))</f>
        <v>100</v>
      </c>
      <c r="S463" s="54">
        <f ca="1">MIN(100,MAX(0,MCDA_Prioritisation!$G$4+(RAND()-0.5)*2*$B$7))</f>
        <v>84.624186223863347</v>
      </c>
      <c r="T463" s="54">
        <f ca="1">MIN(100,MAX(0,MCDA_Prioritisation!$G$5+(RAND()-0.5)*2*$B$7))</f>
        <v>67.351564342975735</v>
      </c>
      <c r="U463" s="54">
        <f ca="1">MIN(100,MAX(0,MCDA_Prioritisation!$H$2+(RAND()-0.5)*2*$B$7))</f>
        <v>65.403010553662071</v>
      </c>
      <c r="V463" s="54">
        <f ca="1">MIN(100,MAX(0,MCDA_Prioritisation!$H$3+(RAND()-0.5)*2*$B$7))</f>
        <v>50.274445652858866</v>
      </c>
      <c r="W463" s="54">
        <f ca="1">MIN(100,MAX(0,MCDA_Prioritisation!$H$4+(RAND()-0.5)*2*$B$7))</f>
        <v>79.676457313320412</v>
      </c>
      <c r="X463" s="54">
        <f ca="1">MIN(100,MAX(0,MCDA_Prioritisation!$H$5+(RAND()-0.5)*2*$B$7))</f>
        <v>73.120378940304676</v>
      </c>
      <c r="Y463" s="54">
        <f ca="1">H463*MCDA_Prioritisation!$D$2+I463*MCDA_Prioritisation!$E$2+J463*M463+K463*Q463+L463*U463</f>
        <v>87.160571603937399</v>
      </c>
      <c r="Z463" s="54">
        <f ca="1">H463*MCDA_Prioritisation!$D$3+I463*MCDA_Prioritisation!$E$3+J463*N463+K463*R463+L463*V463</f>
        <v>81.953848214812936</v>
      </c>
      <c r="AA463" s="54">
        <f ca="1">H463*MCDA_Prioritisation!$D$4+I463*MCDA_Prioritisation!$E$4+J463*O463+K463*S463+L463*W463</f>
        <v>78.441359551822245</v>
      </c>
      <c r="AB463" s="54">
        <f ca="1">H463*MCDA_Prioritisation!$D$5+I463*MCDA_Prioritisation!$E$5+J463*P463+K463*T463+L463*X463</f>
        <v>72.962125550590059</v>
      </c>
      <c r="AC463" s="54">
        <f t="shared" ca="1" si="90"/>
        <v>1</v>
      </c>
      <c r="AD463" s="54">
        <f t="shared" ca="1" si="91"/>
        <v>2</v>
      </c>
      <c r="AE463" s="54">
        <f t="shared" ca="1" si="92"/>
        <v>3</v>
      </c>
      <c r="AF463" s="54">
        <f t="shared" ca="1" si="93"/>
        <v>4</v>
      </c>
      <c r="AG463" s="54">
        <f t="shared" ca="1" si="94"/>
        <v>1</v>
      </c>
      <c r="AH463" s="54">
        <f t="shared" ca="1" si="95"/>
        <v>1</v>
      </c>
      <c r="AI463" s="54">
        <f t="shared" ca="1" si="96"/>
        <v>1</v>
      </c>
      <c r="AJ463" s="54">
        <f t="shared" ca="1" si="97"/>
        <v>1</v>
      </c>
    </row>
    <row r="464" spans="1:36" x14ac:dyDescent="0.2">
      <c r="A464" s="54">
        <v>441</v>
      </c>
      <c r="B464" s="54">
        <f ca="1">MAX(0.02,MCDA_Prioritisation!$B$9+(RAND()-0.5)*2*$B$6)</f>
        <v>0.14661032910181743</v>
      </c>
      <c r="C464" s="54">
        <f ca="1">MAX(0.02,MCDA_Prioritisation!$B$10+(RAND()-0.5)*2*$B$6)</f>
        <v>0.27662882935100597</v>
      </c>
      <c r="D464" s="54">
        <f ca="1">MAX(0.02,MCDA_Prioritisation!$B$11+(RAND()-0.5)*2*$B$6)</f>
        <v>0.23181644618962427</v>
      </c>
      <c r="E464" s="54">
        <f ca="1">MAX(0.02,MCDA_Prioritisation!$B$12+(RAND()-0.5)*2*$B$6)</f>
        <v>0.11444402583998035</v>
      </c>
      <c r="F464" s="54">
        <f ca="1">MAX(0.02,MCDA_Prioritisation!$B$13+(RAND()-0.5)*2*$B$6)</f>
        <v>0.15753463596951706</v>
      </c>
      <c r="G464" s="54">
        <f t="shared" ca="1" si="84"/>
        <v>0.92703426645194509</v>
      </c>
      <c r="H464" s="54">
        <f t="shared" ca="1" si="85"/>
        <v>0.1581498488323865</v>
      </c>
      <c r="I464" s="54">
        <f t="shared" ca="1" si="86"/>
        <v>0.29840194625140715</v>
      </c>
      <c r="J464" s="54">
        <f t="shared" ca="1" si="87"/>
        <v>0.25006243520734084</v>
      </c>
      <c r="K464" s="54">
        <f t="shared" ca="1" si="88"/>
        <v>0.1234517751733105</v>
      </c>
      <c r="L464" s="54">
        <f t="shared" ca="1" si="89"/>
        <v>0.16993399453555499</v>
      </c>
      <c r="M464" s="54">
        <f ca="1">MIN(100,MAX(0,MCDA_Prioritisation!$F$2+(RAND()-0.5)*2*$B$7))</f>
        <v>83.49976179651182</v>
      </c>
      <c r="N464" s="54">
        <f ca="1">MIN(100,MAX(0,MCDA_Prioritisation!$F$3+(RAND()-0.5)*2*$B$7))</f>
        <v>93.281121973914281</v>
      </c>
      <c r="O464" s="54">
        <f ca="1">MIN(100,MAX(0,MCDA_Prioritisation!$F$4+(RAND()-0.5)*2*$B$7))</f>
        <v>97.353227163536971</v>
      </c>
      <c r="P464" s="54">
        <f ca="1">MIN(100,MAX(0,MCDA_Prioritisation!$F$5+(RAND()-0.5)*2*$B$7))</f>
        <v>79.668883579483534</v>
      </c>
      <c r="Q464" s="54">
        <f ca="1">MIN(100,MAX(0,MCDA_Prioritisation!$G$2+(RAND()-0.5)*2*$B$7))</f>
        <v>76.82357363294031</v>
      </c>
      <c r="R464" s="54">
        <f ca="1">MIN(100,MAX(0,MCDA_Prioritisation!$G$3+(RAND()-0.5)*2*$B$7))</f>
        <v>100</v>
      </c>
      <c r="S464" s="54">
        <f ca="1">MIN(100,MAX(0,MCDA_Prioritisation!$G$4+(RAND()-0.5)*2*$B$7))</f>
        <v>86.170425178734874</v>
      </c>
      <c r="T464" s="54">
        <f ca="1">MIN(100,MAX(0,MCDA_Prioritisation!$G$5+(RAND()-0.5)*2*$B$7))</f>
        <v>79.704079653689817</v>
      </c>
      <c r="U464" s="54">
        <f ca="1">MIN(100,MAX(0,MCDA_Prioritisation!$H$2+(RAND()-0.5)*2*$B$7))</f>
        <v>64.805952256039632</v>
      </c>
      <c r="V464" s="54">
        <f ca="1">MIN(100,MAX(0,MCDA_Prioritisation!$H$3+(RAND()-0.5)*2*$B$7))</f>
        <v>50.875337819307184</v>
      </c>
      <c r="W464" s="54">
        <f ca="1">MIN(100,MAX(0,MCDA_Prioritisation!$H$4+(RAND()-0.5)*2*$B$7))</f>
        <v>78.321870116020932</v>
      </c>
      <c r="X464" s="54">
        <f ca="1">MIN(100,MAX(0,MCDA_Prioritisation!$H$5+(RAND()-0.5)*2*$B$7))</f>
        <v>66.798570064294609</v>
      </c>
      <c r="Y464" s="54">
        <f ca="1">H464*MCDA_Prioritisation!$D$2+I464*MCDA_Prioritisation!$E$2+J464*M464+K464*Q464+L464*U464</f>
        <v>87.032074159141274</v>
      </c>
      <c r="Z464" s="54">
        <f ca="1">H464*MCDA_Prioritisation!$D$3+I464*MCDA_Prioritisation!$E$3+J464*N464+K464*R464+L464*V464</f>
        <v>79.840488060746438</v>
      </c>
      <c r="AA464" s="54">
        <f ca="1">H464*MCDA_Prioritisation!$D$4+I464*MCDA_Prioritisation!$E$4+J464*O464+K464*S464+L464*W464</f>
        <v>75.580920832292946</v>
      </c>
      <c r="AB464" s="54">
        <f ca="1">H464*MCDA_Prioritisation!$D$5+I464*MCDA_Prioritisation!$E$5+J464*P464+K464*T464+L464*X464</f>
        <v>74.599987886973622</v>
      </c>
      <c r="AC464" s="54">
        <f t="shared" ca="1" si="90"/>
        <v>1</v>
      </c>
      <c r="AD464" s="54">
        <f t="shared" ca="1" si="91"/>
        <v>2</v>
      </c>
      <c r="AE464" s="54">
        <f t="shared" ca="1" si="92"/>
        <v>3</v>
      </c>
      <c r="AF464" s="54">
        <f t="shared" ca="1" si="93"/>
        <v>4</v>
      </c>
      <c r="AG464" s="54">
        <f t="shared" ca="1" si="94"/>
        <v>1</v>
      </c>
      <c r="AH464" s="54">
        <f t="shared" ca="1" si="95"/>
        <v>1</v>
      </c>
      <c r="AI464" s="54">
        <f t="shared" ca="1" si="96"/>
        <v>1</v>
      </c>
      <c r="AJ464" s="54">
        <f t="shared" ca="1" si="97"/>
        <v>1</v>
      </c>
    </row>
    <row r="465" spans="1:36" x14ac:dyDescent="0.2">
      <c r="A465" s="54">
        <v>442</v>
      </c>
      <c r="B465" s="54">
        <f ca="1">MAX(0.02,MCDA_Prioritisation!$B$9+(RAND()-0.5)*2*$B$6)</f>
        <v>0.25120795096639237</v>
      </c>
      <c r="C465" s="54">
        <f ca="1">MAX(0.02,MCDA_Prioritisation!$B$10+(RAND()-0.5)*2*$B$6)</f>
        <v>0.24974003610979234</v>
      </c>
      <c r="D465" s="54">
        <f ca="1">MAX(0.02,MCDA_Prioritisation!$B$11+(RAND()-0.5)*2*$B$6)</f>
        <v>0.22062375536640993</v>
      </c>
      <c r="E465" s="54">
        <f ca="1">MAX(0.02,MCDA_Prioritisation!$B$12+(RAND()-0.5)*2*$B$6)</f>
        <v>7.751990027765486E-2</v>
      </c>
      <c r="F465" s="54">
        <f ca="1">MAX(0.02,MCDA_Prioritisation!$B$13+(RAND()-0.5)*2*$B$6)</f>
        <v>0.16009032194238268</v>
      </c>
      <c r="G465" s="54">
        <f t="shared" ca="1" si="84"/>
        <v>0.95918196466263228</v>
      </c>
      <c r="H465" s="54">
        <f t="shared" ca="1" si="85"/>
        <v>0.26189811758475706</v>
      </c>
      <c r="I465" s="54">
        <f t="shared" ca="1" si="86"/>
        <v>0.26036773553976489</v>
      </c>
      <c r="J465" s="54">
        <f t="shared" ca="1" si="87"/>
        <v>0.23001241004777304</v>
      </c>
      <c r="K465" s="54">
        <f t="shared" ca="1" si="88"/>
        <v>8.0818763418806047E-2</v>
      </c>
      <c r="L465" s="54">
        <f t="shared" ca="1" si="89"/>
        <v>0.16690297340889887</v>
      </c>
      <c r="M465" s="54">
        <f ca="1">MIN(100,MAX(0,MCDA_Prioritisation!$F$2+(RAND()-0.5)*2*$B$7))</f>
        <v>88.810607647319287</v>
      </c>
      <c r="N465" s="54">
        <f ca="1">MIN(100,MAX(0,MCDA_Prioritisation!$F$3+(RAND()-0.5)*2*$B$7))</f>
        <v>100</v>
      </c>
      <c r="O465" s="54">
        <f ca="1">MIN(100,MAX(0,MCDA_Prioritisation!$F$4+(RAND()-0.5)*2*$B$7))</f>
        <v>96.378932961271431</v>
      </c>
      <c r="P465" s="54">
        <f ca="1">MIN(100,MAX(0,MCDA_Prioritisation!$F$5+(RAND()-0.5)*2*$B$7))</f>
        <v>73.168528523609339</v>
      </c>
      <c r="Q465" s="54">
        <f ca="1">MIN(100,MAX(0,MCDA_Prioritisation!$G$2+(RAND()-0.5)*2*$B$7))</f>
        <v>79.410814075633894</v>
      </c>
      <c r="R465" s="54">
        <f ca="1">MIN(100,MAX(0,MCDA_Prioritisation!$G$3+(RAND()-0.5)*2*$B$7))</f>
        <v>98.866152227764829</v>
      </c>
      <c r="S465" s="54">
        <f ca="1">MIN(100,MAX(0,MCDA_Prioritisation!$G$4+(RAND()-0.5)*2*$B$7))</f>
        <v>86.680313392767744</v>
      </c>
      <c r="T465" s="54">
        <f ca="1">MIN(100,MAX(0,MCDA_Prioritisation!$G$5+(RAND()-0.5)*2*$B$7))</f>
        <v>64.067635974971012</v>
      </c>
      <c r="U465" s="54">
        <f ca="1">MIN(100,MAX(0,MCDA_Prioritisation!$H$2+(RAND()-0.5)*2*$B$7))</f>
        <v>65.714412155280939</v>
      </c>
      <c r="V465" s="54">
        <f ca="1">MIN(100,MAX(0,MCDA_Prioritisation!$H$3+(RAND()-0.5)*2*$B$7))</f>
        <v>64.437381573756113</v>
      </c>
      <c r="W465" s="54">
        <f ca="1">MIN(100,MAX(0,MCDA_Prioritisation!$H$4+(RAND()-0.5)*2*$B$7))</f>
        <v>86.440967086777334</v>
      </c>
      <c r="X465" s="54">
        <f ca="1">MIN(100,MAX(0,MCDA_Prioritisation!$H$5+(RAND()-0.5)*2*$B$7))</f>
        <v>77.607397196944945</v>
      </c>
      <c r="Y465" s="54">
        <f ca="1">H465*MCDA_Prioritisation!$D$2+I465*MCDA_Prioritisation!$E$2+J465*M465+K465*Q465+L465*U465</f>
        <v>90.039941795427012</v>
      </c>
      <c r="Z465" s="54">
        <f ca="1">H465*MCDA_Prioritisation!$D$3+I465*MCDA_Prioritisation!$E$3+J465*N465+K465*R465+L465*V465</f>
        <v>83.571174752166101</v>
      </c>
      <c r="AA465" s="54">
        <f ca="1">H465*MCDA_Prioritisation!$D$4+I465*MCDA_Prioritisation!$E$4+J465*O465+K465*S465+L465*W465</f>
        <v>76.039922618693424</v>
      </c>
      <c r="AB465" s="54">
        <f ca="1">H465*MCDA_Prioritisation!$D$5+I465*MCDA_Prioritisation!$E$5+J465*P465+K465*T465+L465*X465</f>
        <v>70.755477263680206</v>
      </c>
      <c r="AC465" s="54">
        <f t="shared" ca="1" si="90"/>
        <v>1</v>
      </c>
      <c r="AD465" s="54">
        <f t="shared" ca="1" si="91"/>
        <v>2</v>
      </c>
      <c r="AE465" s="54">
        <f t="shared" ca="1" si="92"/>
        <v>3</v>
      </c>
      <c r="AF465" s="54">
        <f t="shared" ca="1" si="93"/>
        <v>4</v>
      </c>
      <c r="AG465" s="54">
        <f t="shared" ca="1" si="94"/>
        <v>1</v>
      </c>
      <c r="AH465" s="54">
        <f t="shared" ca="1" si="95"/>
        <v>1</v>
      </c>
      <c r="AI465" s="54">
        <f t="shared" ca="1" si="96"/>
        <v>1</v>
      </c>
      <c r="AJ465" s="54">
        <f t="shared" ca="1" si="97"/>
        <v>1</v>
      </c>
    </row>
    <row r="466" spans="1:36" x14ac:dyDescent="0.2">
      <c r="A466" s="54">
        <v>443</v>
      </c>
      <c r="B466" s="54">
        <f ca="1">MAX(0.02,MCDA_Prioritisation!$B$9+(RAND()-0.5)*2*$B$6)</f>
        <v>0.23687532967520233</v>
      </c>
      <c r="C466" s="54">
        <f ca="1">MAX(0.02,MCDA_Prioritisation!$B$10+(RAND()-0.5)*2*$B$6)</f>
        <v>0.17724466952040283</v>
      </c>
      <c r="D466" s="54">
        <f ca="1">MAX(0.02,MCDA_Prioritisation!$B$11+(RAND()-0.5)*2*$B$6)</f>
        <v>0.28737359476745605</v>
      </c>
      <c r="E466" s="54">
        <f ca="1">MAX(0.02,MCDA_Prioritisation!$B$12+(RAND()-0.5)*2*$B$6)</f>
        <v>0.15237517266299583</v>
      </c>
      <c r="F466" s="54">
        <f ca="1">MAX(0.02,MCDA_Prioritisation!$B$13+(RAND()-0.5)*2*$B$6)</f>
        <v>0.10693127097558966</v>
      </c>
      <c r="G466" s="54">
        <f t="shared" ca="1" si="84"/>
        <v>0.96080003760164667</v>
      </c>
      <c r="H466" s="54">
        <f t="shared" ca="1" si="85"/>
        <v>0.24653967569203222</v>
      </c>
      <c r="I466" s="54">
        <f t="shared" ca="1" si="86"/>
        <v>0.18447612675249447</v>
      </c>
      <c r="J466" s="54">
        <f t="shared" ca="1" si="87"/>
        <v>0.29909823430565147</v>
      </c>
      <c r="K466" s="54">
        <f t="shared" ca="1" si="88"/>
        <v>0.15859197200216124</v>
      </c>
      <c r="L466" s="54">
        <f t="shared" ca="1" si="89"/>
        <v>0.11129399124766062</v>
      </c>
      <c r="M466" s="54">
        <f ca="1">MIN(100,MAX(0,MCDA_Prioritisation!$F$2+(RAND()-0.5)*2*$B$7))</f>
        <v>94.520509993104397</v>
      </c>
      <c r="N466" s="54">
        <f ca="1">MIN(100,MAX(0,MCDA_Prioritisation!$F$3+(RAND()-0.5)*2*$B$7))</f>
        <v>96.727128274265922</v>
      </c>
      <c r="O466" s="54">
        <f ca="1">MIN(100,MAX(0,MCDA_Prioritisation!$F$4+(RAND()-0.5)*2*$B$7))</f>
        <v>97.808727588650967</v>
      </c>
      <c r="P466" s="54">
        <f ca="1">MIN(100,MAX(0,MCDA_Prioritisation!$F$5+(RAND()-0.5)*2*$B$7))</f>
        <v>73.085744268300758</v>
      </c>
      <c r="Q466" s="54">
        <f ca="1">MIN(100,MAX(0,MCDA_Prioritisation!$G$2+(RAND()-0.5)*2*$B$7))</f>
        <v>85.58143033422823</v>
      </c>
      <c r="R466" s="54">
        <f ca="1">MIN(100,MAX(0,MCDA_Prioritisation!$G$3+(RAND()-0.5)*2*$B$7))</f>
        <v>99.293538962951018</v>
      </c>
      <c r="S466" s="54">
        <f ca="1">MIN(100,MAX(0,MCDA_Prioritisation!$G$4+(RAND()-0.5)*2*$B$7))</f>
        <v>84.439275695612935</v>
      </c>
      <c r="T466" s="54">
        <f ca="1">MIN(100,MAX(0,MCDA_Prioritisation!$G$5+(RAND()-0.5)*2*$B$7))</f>
        <v>70.643893679156733</v>
      </c>
      <c r="U466" s="54">
        <f ca="1">MIN(100,MAX(0,MCDA_Prioritisation!$H$2+(RAND()-0.5)*2*$B$7))</f>
        <v>71.119699983729248</v>
      </c>
      <c r="V466" s="54">
        <f ca="1">MIN(100,MAX(0,MCDA_Prioritisation!$H$3+(RAND()-0.5)*2*$B$7))</f>
        <v>62.721246272916119</v>
      </c>
      <c r="W466" s="54">
        <f ca="1">MIN(100,MAX(0,MCDA_Prioritisation!$H$4+(RAND()-0.5)*2*$B$7))</f>
        <v>87.873028648534017</v>
      </c>
      <c r="X466" s="54">
        <f ca="1">MIN(100,MAX(0,MCDA_Prioritisation!$H$5+(RAND()-0.5)*2*$B$7))</f>
        <v>68.979274846626325</v>
      </c>
      <c r="Y466" s="54">
        <f ca="1">H466*MCDA_Prioritisation!$D$2+I466*MCDA_Prioritisation!$E$2+J466*M466+K466*Q466+L466*U466</f>
        <v>92.860220960056125</v>
      </c>
      <c r="Z466" s="54">
        <f ca="1">H466*MCDA_Prioritisation!$D$3+I466*MCDA_Prioritisation!$E$3+J466*N466+K466*R466+L466*V466</f>
        <v>86.621803250893947</v>
      </c>
      <c r="AA466" s="54">
        <f ca="1">H466*MCDA_Prioritisation!$D$4+I466*MCDA_Prioritisation!$E$4+J466*O466+K466*S466+L466*W466</f>
        <v>79.655456943170435</v>
      </c>
      <c r="AB466" s="54">
        <f ca="1">H466*MCDA_Prioritisation!$D$5+I466*MCDA_Prioritisation!$E$5+J466*P466+K466*T466+L466*X466</f>
        <v>69.338428151032076</v>
      </c>
      <c r="AC466" s="54">
        <f t="shared" ca="1" si="90"/>
        <v>1</v>
      </c>
      <c r="AD466" s="54">
        <f t="shared" ca="1" si="91"/>
        <v>2</v>
      </c>
      <c r="AE466" s="54">
        <f t="shared" ca="1" si="92"/>
        <v>3</v>
      </c>
      <c r="AF466" s="54">
        <f t="shared" ca="1" si="93"/>
        <v>4</v>
      </c>
      <c r="AG466" s="54">
        <f t="shared" ca="1" si="94"/>
        <v>1</v>
      </c>
      <c r="AH466" s="54">
        <f t="shared" ca="1" si="95"/>
        <v>1</v>
      </c>
      <c r="AI466" s="54">
        <f t="shared" ca="1" si="96"/>
        <v>1</v>
      </c>
      <c r="AJ466" s="54">
        <f t="shared" ca="1" si="97"/>
        <v>1</v>
      </c>
    </row>
    <row r="467" spans="1:36" x14ac:dyDescent="0.2">
      <c r="A467" s="54">
        <v>444</v>
      </c>
      <c r="B467" s="54">
        <f ca="1">MAX(0.02,MCDA_Prioritisation!$B$9+(RAND()-0.5)*2*$B$6)</f>
        <v>0.23176161668285256</v>
      </c>
      <c r="C467" s="54">
        <f ca="1">MAX(0.02,MCDA_Prioritisation!$B$10+(RAND()-0.5)*2*$B$6)</f>
        <v>0.21260502687968441</v>
      </c>
      <c r="D467" s="54">
        <f ca="1">MAX(0.02,MCDA_Prioritisation!$B$11+(RAND()-0.5)*2*$B$6)</f>
        <v>0.32561395657101722</v>
      </c>
      <c r="E467" s="54">
        <f ca="1">MAX(0.02,MCDA_Prioritisation!$B$12+(RAND()-0.5)*2*$B$6)</f>
        <v>0.21051859794062211</v>
      </c>
      <c r="F467" s="54">
        <f ca="1">MAX(0.02,MCDA_Prioritisation!$B$13+(RAND()-0.5)*2*$B$6)</f>
        <v>0.18337288749459041</v>
      </c>
      <c r="G467" s="54">
        <f t="shared" ca="1" si="84"/>
        <v>1.1638720855687668</v>
      </c>
      <c r="H467" s="54">
        <f t="shared" ca="1" si="85"/>
        <v>0.19912980090900123</v>
      </c>
      <c r="I467" s="54">
        <f t="shared" ca="1" si="86"/>
        <v>0.18267044077768008</v>
      </c>
      <c r="J467" s="54">
        <f t="shared" ca="1" si="87"/>
        <v>0.27976782037168163</v>
      </c>
      <c r="K467" s="54">
        <f t="shared" ca="1" si="88"/>
        <v>0.18087777905399702</v>
      </c>
      <c r="L467" s="54">
        <f t="shared" ca="1" si="89"/>
        <v>0.15755415888763999</v>
      </c>
      <c r="M467" s="54">
        <f ca="1">MIN(100,MAX(0,MCDA_Prioritisation!$F$2+(RAND()-0.5)*2*$B$7))</f>
        <v>85.786990239971658</v>
      </c>
      <c r="N467" s="54">
        <f ca="1">MIN(100,MAX(0,MCDA_Prioritisation!$F$3+(RAND()-0.5)*2*$B$7))</f>
        <v>89.188543179512919</v>
      </c>
      <c r="O467" s="54">
        <f ca="1">MIN(100,MAX(0,MCDA_Prioritisation!$F$4+(RAND()-0.5)*2*$B$7))</f>
        <v>87.32103442315487</v>
      </c>
      <c r="P467" s="54">
        <f ca="1">MIN(100,MAX(0,MCDA_Prioritisation!$F$5+(RAND()-0.5)*2*$B$7))</f>
        <v>75.610466861574338</v>
      </c>
      <c r="Q467" s="54">
        <f ca="1">MIN(100,MAX(0,MCDA_Prioritisation!$G$2+(RAND()-0.5)*2*$B$7))</f>
        <v>83.748063238640512</v>
      </c>
      <c r="R467" s="54">
        <f ca="1">MIN(100,MAX(0,MCDA_Prioritisation!$G$3+(RAND()-0.5)*2*$B$7))</f>
        <v>88.699496411254813</v>
      </c>
      <c r="S467" s="54">
        <f ca="1">MIN(100,MAX(0,MCDA_Prioritisation!$G$4+(RAND()-0.5)*2*$B$7))</f>
        <v>82.733420828159296</v>
      </c>
      <c r="T467" s="54">
        <f ca="1">MIN(100,MAX(0,MCDA_Prioritisation!$G$5+(RAND()-0.5)*2*$B$7))</f>
        <v>74.911895688507357</v>
      </c>
      <c r="U467" s="54">
        <f ca="1">MIN(100,MAX(0,MCDA_Prioritisation!$H$2+(RAND()-0.5)*2*$B$7))</f>
        <v>60.873754860650969</v>
      </c>
      <c r="V467" s="54">
        <f ca="1">MIN(100,MAX(0,MCDA_Prioritisation!$H$3+(RAND()-0.5)*2*$B$7))</f>
        <v>50.782471739716158</v>
      </c>
      <c r="W467" s="54">
        <f ca="1">MIN(100,MAX(0,MCDA_Prioritisation!$H$4+(RAND()-0.5)*2*$B$7))</f>
        <v>83.33239722962486</v>
      </c>
      <c r="X467" s="54">
        <f ca="1">MIN(100,MAX(0,MCDA_Prioritisation!$H$5+(RAND()-0.5)*2*$B$7))</f>
        <v>66.794258080363193</v>
      </c>
      <c r="Y467" s="54">
        <f ca="1">H467*MCDA_Prioritisation!$D$2+I467*MCDA_Prioritisation!$E$2+J467*M467+K467*Q467+L467*U467</f>
        <v>86.919540368432962</v>
      </c>
      <c r="Z467" s="54">
        <f ca="1">H467*MCDA_Prioritisation!$D$3+I467*MCDA_Prioritisation!$E$3+J467*N467+K467*R467+L467*V467</f>
        <v>79.685280030279557</v>
      </c>
      <c r="AA467" s="54">
        <f ca="1">H467*MCDA_Prioritisation!$D$4+I467*MCDA_Prioritisation!$E$4+J467*O467+K467*S467+L467*W467</f>
        <v>76.353689594679466</v>
      </c>
      <c r="AB467" s="54">
        <f ca="1">H467*MCDA_Prioritisation!$D$5+I467*MCDA_Prioritisation!$E$5+J467*P467+K467*T467+L467*X467</f>
        <v>71.156900780709094</v>
      </c>
      <c r="AC467" s="54">
        <f t="shared" ca="1" si="90"/>
        <v>1</v>
      </c>
      <c r="AD467" s="54">
        <f t="shared" ca="1" si="91"/>
        <v>2</v>
      </c>
      <c r="AE467" s="54">
        <f t="shared" ca="1" si="92"/>
        <v>3</v>
      </c>
      <c r="AF467" s="54">
        <f t="shared" ca="1" si="93"/>
        <v>4</v>
      </c>
      <c r="AG467" s="54">
        <f t="shared" ca="1" si="94"/>
        <v>1</v>
      </c>
      <c r="AH467" s="54">
        <f t="shared" ca="1" si="95"/>
        <v>1</v>
      </c>
      <c r="AI467" s="54">
        <f t="shared" ca="1" si="96"/>
        <v>1</v>
      </c>
      <c r="AJ467" s="54">
        <f t="shared" ca="1" si="97"/>
        <v>1</v>
      </c>
    </row>
    <row r="468" spans="1:36" x14ac:dyDescent="0.2">
      <c r="A468" s="54">
        <v>445</v>
      </c>
      <c r="B468" s="54">
        <f ca="1">MAX(0.02,MCDA_Prioritisation!$B$9+(RAND()-0.5)*2*$B$6)</f>
        <v>0.23374325864409332</v>
      </c>
      <c r="C468" s="54">
        <f ca="1">MAX(0.02,MCDA_Prioritisation!$B$10+(RAND()-0.5)*2*$B$6)</f>
        <v>0.32755020889432768</v>
      </c>
      <c r="D468" s="54">
        <f ca="1">MAX(0.02,MCDA_Prioritisation!$B$11+(RAND()-0.5)*2*$B$6)</f>
        <v>0.19501244608440452</v>
      </c>
      <c r="E468" s="54">
        <f ca="1">MAX(0.02,MCDA_Prioritisation!$B$12+(RAND()-0.5)*2*$B$6)</f>
        <v>0.1356848846283808</v>
      </c>
      <c r="F468" s="54">
        <f ca="1">MAX(0.02,MCDA_Prioritisation!$B$13+(RAND()-0.5)*2*$B$6)</f>
        <v>0.16394101574991271</v>
      </c>
      <c r="G468" s="54">
        <f t="shared" ca="1" si="84"/>
        <v>1.0559318140011191</v>
      </c>
      <c r="H468" s="54">
        <f t="shared" ca="1" si="85"/>
        <v>0.22136207617270029</v>
      </c>
      <c r="I468" s="54">
        <f t="shared" ca="1" si="86"/>
        <v>0.31020015170598936</v>
      </c>
      <c r="J468" s="54">
        <f t="shared" ca="1" si="87"/>
        <v>0.18468280195618561</v>
      </c>
      <c r="K468" s="54">
        <f t="shared" ca="1" si="88"/>
        <v>0.12849777119059033</v>
      </c>
      <c r="L468" s="54">
        <f t="shared" ca="1" si="89"/>
        <v>0.15525719897453433</v>
      </c>
      <c r="M468" s="54">
        <f ca="1">MIN(100,MAX(0,MCDA_Prioritisation!$F$2+(RAND()-0.5)*2*$B$7))</f>
        <v>76.595834550908421</v>
      </c>
      <c r="N468" s="54">
        <f ca="1">MIN(100,MAX(0,MCDA_Prioritisation!$F$3+(RAND()-0.5)*2*$B$7))</f>
        <v>97.333100649867276</v>
      </c>
      <c r="O468" s="54">
        <f ca="1">MIN(100,MAX(0,MCDA_Prioritisation!$F$4+(RAND()-0.5)*2*$B$7))</f>
        <v>82.821808670176551</v>
      </c>
      <c r="P468" s="54">
        <f ca="1">MIN(100,MAX(0,MCDA_Prioritisation!$F$5+(RAND()-0.5)*2*$B$7))</f>
        <v>65.897276975405603</v>
      </c>
      <c r="Q468" s="54">
        <f ca="1">MIN(100,MAX(0,MCDA_Prioritisation!$G$2+(RAND()-0.5)*2*$B$7))</f>
        <v>79.550235869403608</v>
      </c>
      <c r="R468" s="54">
        <f ca="1">MIN(100,MAX(0,MCDA_Prioritisation!$G$3+(RAND()-0.5)*2*$B$7))</f>
        <v>100</v>
      </c>
      <c r="S468" s="54">
        <f ca="1">MIN(100,MAX(0,MCDA_Prioritisation!$G$4+(RAND()-0.5)*2*$B$7))</f>
        <v>88.537477370795031</v>
      </c>
      <c r="T468" s="54">
        <f ca="1">MIN(100,MAX(0,MCDA_Prioritisation!$G$5+(RAND()-0.5)*2*$B$7))</f>
        <v>66.900980745831262</v>
      </c>
      <c r="U468" s="54">
        <f ca="1">MIN(100,MAX(0,MCDA_Prioritisation!$H$2+(RAND()-0.5)*2*$B$7))</f>
        <v>65.876220540301205</v>
      </c>
      <c r="V468" s="54">
        <f ca="1">MIN(100,MAX(0,MCDA_Prioritisation!$H$3+(RAND()-0.5)*2*$B$7))</f>
        <v>51.911699861354613</v>
      </c>
      <c r="W468" s="54">
        <f ca="1">MIN(100,MAX(0,MCDA_Prioritisation!$H$4+(RAND()-0.5)*2*$B$7))</f>
        <v>84.450404117735104</v>
      </c>
      <c r="X468" s="54">
        <f ca="1">MIN(100,MAX(0,MCDA_Prioritisation!$H$5+(RAND()-0.5)*2*$B$7))</f>
        <v>72.635099333049951</v>
      </c>
      <c r="Y468" s="54">
        <f ca="1">H468*MCDA_Prioritisation!$D$2+I468*MCDA_Prioritisation!$E$2+J468*M468+K468*Q468+L468*U468</f>
        <v>87.751941617923109</v>
      </c>
      <c r="Z468" s="54">
        <f ca="1">H468*MCDA_Prioritisation!$D$3+I468*MCDA_Prioritisation!$E$3+J468*N468+K468*R468+L468*V468</f>
        <v>80.791548807318023</v>
      </c>
      <c r="AA468" s="54">
        <f ca="1">H468*MCDA_Prioritisation!$D$4+I468*MCDA_Prioritisation!$E$4+J468*O468+K468*S468+L468*W468</f>
        <v>72.118527353162477</v>
      </c>
      <c r="AB468" s="54">
        <f ca="1">H468*MCDA_Prioritisation!$D$5+I468*MCDA_Prioritisation!$E$5+J468*P468+K468*T468+L468*X468</f>
        <v>69.877844661862085</v>
      </c>
      <c r="AC468" s="54">
        <f t="shared" ca="1" si="90"/>
        <v>1</v>
      </c>
      <c r="AD468" s="54">
        <f t="shared" ca="1" si="91"/>
        <v>2</v>
      </c>
      <c r="AE468" s="54">
        <f t="shared" ca="1" si="92"/>
        <v>3</v>
      </c>
      <c r="AF468" s="54">
        <f t="shared" ca="1" si="93"/>
        <v>4</v>
      </c>
      <c r="AG468" s="54">
        <f t="shared" ca="1" si="94"/>
        <v>1</v>
      </c>
      <c r="AH468" s="54">
        <f t="shared" ca="1" si="95"/>
        <v>1</v>
      </c>
      <c r="AI468" s="54">
        <f t="shared" ca="1" si="96"/>
        <v>1</v>
      </c>
      <c r="AJ468" s="54">
        <f t="shared" ca="1" si="97"/>
        <v>1</v>
      </c>
    </row>
    <row r="469" spans="1:36" x14ac:dyDescent="0.2">
      <c r="A469" s="54">
        <v>446</v>
      </c>
      <c r="B469" s="54">
        <f ca="1">MAX(0.02,MCDA_Prioritisation!$B$9+(RAND()-0.5)*2*$B$6)</f>
        <v>0.22947080725852198</v>
      </c>
      <c r="C469" s="54">
        <f ca="1">MAX(0.02,MCDA_Prioritisation!$B$10+(RAND()-0.5)*2*$B$6)</f>
        <v>0.17743198825951248</v>
      </c>
      <c r="D469" s="54">
        <f ca="1">MAX(0.02,MCDA_Prioritisation!$B$11+(RAND()-0.5)*2*$B$6)</f>
        <v>0.25848449800134327</v>
      </c>
      <c r="E469" s="54">
        <f ca="1">MAX(0.02,MCDA_Prioritisation!$B$12+(RAND()-0.5)*2*$B$6)</f>
        <v>0.20680993717012142</v>
      </c>
      <c r="F469" s="54">
        <f ca="1">MAX(0.02,MCDA_Prioritisation!$B$13+(RAND()-0.5)*2*$B$6)</f>
        <v>0.12033862124348212</v>
      </c>
      <c r="G469" s="54">
        <f t="shared" ca="1" si="84"/>
        <v>0.99253585193298122</v>
      </c>
      <c r="H469" s="54">
        <f t="shared" ca="1" si="85"/>
        <v>0.23119649210819287</v>
      </c>
      <c r="I469" s="54">
        <f t="shared" ca="1" si="86"/>
        <v>0.17876632659058161</v>
      </c>
      <c r="J469" s="54">
        <f t="shared" ca="1" si="87"/>
        <v>0.26042837394532409</v>
      </c>
      <c r="K469" s="54">
        <f t="shared" ca="1" si="88"/>
        <v>0.20836520591911656</v>
      </c>
      <c r="L469" s="54">
        <f t="shared" ca="1" si="89"/>
        <v>0.12124360143678489</v>
      </c>
      <c r="M469" s="54">
        <f ca="1">MIN(100,MAX(0,MCDA_Prioritisation!$F$2+(RAND()-0.5)*2*$B$7))</f>
        <v>82.804940534768818</v>
      </c>
      <c r="N469" s="54">
        <f ca="1">MIN(100,MAX(0,MCDA_Prioritisation!$F$3+(RAND()-0.5)*2*$B$7))</f>
        <v>97.890354030336908</v>
      </c>
      <c r="O469" s="54">
        <f ca="1">MIN(100,MAX(0,MCDA_Prioritisation!$F$4+(RAND()-0.5)*2*$B$7))</f>
        <v>85.888303167381778</v>
      </c>
      <c r="P469" s="54">
        <f ca="1">MIN(100,MAX(0,MCDA_Prioritisation!$F$5+(RAND()-0.5)*2*$B$7))</f>
        <v>68.918503046647913</v>
      </c>
      <c r="Q469" s="54">
        <f ca="1">MIN(100,MAX(0,MCDA_Prioritisation!$G$2+(RAND()-0.5)*2*$B$7))</f>
        <v>86.666570738282616</v>
      </c>
      <c r="R469" s="54">
        <f ca="1">MIN(100,MAX(0,MCDA_Prioritisation!$G$3+(RAND()-0.5)*2*$B$7))</f>
        <v>96.543371860450293</v>
      </c>
      <c r="S469" s="54">
        <f ca="1">MIN(100,MAX(0,MCDA_Prioritisation!$G$4+(RAND()-0.5)*2*$B$7))</f>
        <v>82.348920247929129</v>
      </c>
      <c r="T469" s="54">
        <f ca="1">MIN(100,MAX(0,MCDA_Prioritisation!$G$5+(RAND()-0.5)*2*$B$7))</f>
        <v>74.944351820358349</v>
      </c>
      <c r="U469" s="54">
        <f ca="1">MIN(100,MAX(0,MCDA_Prioritisation!$H$2+(RAND()-0.5)*2*$B$7))</f>
        <v>61.794352776210623</v>
      </c>
      <c r="V469" s="54">
        <f ca="1">MIN(100,MAX(0,MCDA_Prioritisation!$H$3+(RAND()-0.5)*2*$B$7))</f>
        <v>54.229165254321877</v>
      </c>
      <c r="W469" s="54">
        <f ca="1">MIN(100,MAX(0,MCDA_Prioritisation!$H$4+(RAND()-0.5)*2*$B$7))</f>
        <v>88.12008305286777</v>
      </c>
      <c r="X469" s="54">
        <f ca="1">MIN(100,MAX(0,MCDA_Prioritisation!$H$5+(RAND()-0.5)*2*$B$7))</f>
        <v>82.578880619332566</v>
      </c>
      <c r="Y469" s="54">
        <f ca="1">H469*MCDA_Prioritisation!$D$2+I469*MCDA_Prioritisation!$E$2+J469*M469+K469*Q469+L469*U469</f>
        <v>88.111505625215443</v>
      </c>
      <c r="Z469" s="54">
        <f ca="1">H469*MCDA_Prioritisation!$D$3+I469*MCDA_Prioritisation!$E$3+J469*N469+K469*R469+L469*V469</f>
        <v>85.3916746278761</v>
      </c>
      <c r="AA469" s="54">
        <f ca="1">H469*MCDA_Prioritisation!$D$4+I469*MCDA_Prioritisation!$E$4+J469*O469+K469*S469+L469*W469</f>
        <v>76.060452227599384</v>
      </c>
      <c r="AB469" s="54">
        <f ca="1">H469*MCDA_Prioritisation!$D$5+I469*MCDA_Prioritisation!$E$5+J469*P469+K469*T469+L469*X469</f>
        <v>70.879872331789471</v>
      </c>
      <c r="AC469" s="54">
        <f t="shared" ca="1" si="90"/>
        <v>1</v>
      </c>
      <c r="AD469" s="54">
        <f t="shared" ca="1" si="91"/>
        <v>2</v>
      </c>
      <c r="AE469" s="54">
        <f t="shared" ca="1" si="92"/>
        <v>3</v>
      </c>
      <c r="AF469" s="54">
        <f t="shared" ca="1" si="93"/>
        <v>4</v>
      </c>
      <c r="AG469" s="54">
        <f t="shared" ca="1" si="94"/>
        <v>1</v>
      </c>
      <c r="AH469" s="54">
        <f t="shared" ca="1" si="95"/>
        <v>1</v>
      </c>
      <c r="AI469" s="54">
        <f t="shared" ca="1" si="96"/>
        <v>1</v>
      </c>
      <c r="AJ469" s="54">
        <f t="shared" ca="1" si="97"/>
        <v>1</v>
      </c>
    </row>
    <row r="470" spans="1:36" x14ac:dyDescent="0.2">
      <c r="A470" s="54">
        <v>447</v>
      </c>
      <c r="B470" s="54">
        <f ca="1">MAX(0.02,MCDA_Prioritisation!$B$9+(RAND()-0.5)*2*$B$6)</f>
        <v>0.21742474262337458</v>
      </c>
      <c r="C470" s="54">
        <f ca="1">MAX(0.02,MCDA_Prioritisation!$B$10+(RAND()-0.5)*2*$B$6)</f>
        <v>0.21194585692110018</v>
      </c>
      <c r="D470" s="54">
        <f ca="1">MAX(0.02,MCDA_Prioritisation!$B$11+(RAND()-0.5)*2*$B$6)</f>
        <v>0.17346323575998268</v>
      </c>
      <c r="E470" s="54">
        <f ca="1">MAX(0.02,MCDA_Prioritisation!$B$12+(RAND()-0.5)*2*$B$6)</f>
        <v>0.11022278167966967</v>
      </c>
      <c r="F470" s="54">
        <f ca="1">MAX(0.02,MCDA_Prioritisation!$B$13+(RAND()-0.5)*2*$B$6)</f>
        <v>0.17155644877869017</v>
      </c>
      <c r="G470" s="54">
        <f t="shared" ca="1" si="84"/>
        <v>0.88461306576281729</v>
      </c>
      <c r="H470" s="54">
        <f t="shared" ca="1" si="85"/>
        <v>0.24578513594063348</v>
      </c>
      <c r="I470" s="54">
        <f t="shared" ca="1" si="86"/>
        <v>0.23959159673764888</v>
      </c>
      <c r="J470" s="54">
        <f t="shared" ca="1" si="87"/>
        <v>0.19608938921832711</v>
      </c>
      <c r="K470" s="54">
        <f t="shared" ca="1" si="88"/>
        <v>0.12459999286198949</v>
      </c>
      <c r="L470" s="54">
        <f t="shared" ca="1" si="89"/>
        <v>0.19393388524140104</v>
      </c>
      <c r="M470" s="54">
        <f ca="1">MIN(100,MAX(0,MCDA_Prioritisation!$F$2+(RAND()-0.5)*2*$B$7))</f>
        <v>82.660469700001087</v>
      </c>
      <c r="N470" s="54">
        <f ca="1">MIN(100,MAX(0,MCDA_Prioritisation!$F$3+(RAND()-0.5)*2*$B$7))</f>
        <v>100</v>
      </c>
      <c r="O470" s="54">
        <f ca="1">MIN(100,MAX(0,MCDA_Prioritisation!$F$4+(RAND()-0.5)*2*$B$7))</f>
        <v>93.431780382750148</v>
      </c>
      <c r="P470" s="54">
        <f ca="1">MIN(100,MAX(0,MCDA_Prioritisation!$F$5+(RAND()-0.5)*2*$B$7))</f>
        <v>82.153472143957913</v>
      </c>
      <c r="Q470" s="54">
        <f ca="1">MIN(100,MAX(0,MCDA_Prioritisation!$G$2+(RAND()-0.5)*2*$B$7))</f>
        <v>79.458558099373818</v>
      </c>
      <c r="R470" s="54">
        <f ca="1">MIN(100,MAX(0,MCDA_Prioritisation!$G$3+(RAND()-0.5)*2*$B$7))</f>
        <v>100</v>
      </c>
      <c r="S470" s="54">
        <f ca="1">MIN(100,MAX(0,MCDA_Prioritisation!$G$4+(RAND()-0.5)*2*$B$7))</f>
        <v>77.560834072273749</v>
      </c>
      <c r="T470" s="54">
        <f ca="1">MIN(100,MAX(0,MCDA_Prioritisation!$G$5+(RAND()-0.5)*2*$B$7))</f>
        <v>75.94381429767904</v>
      </c>
      <c r="U470" s="54">
        <f ca="1">MIN(100,MAX(0,MCDA_Prioritisation!$H$2+(RAND()-0.5)*2*$B$7))</f>
        <v>68.707380756686632</v>
      </c>
      <c r="V470" s="54">
        <f ca="1">MIN(100,MAX(0,MCDA_Prioritisation!$H$3+(RAND()-0.5)*2*$B$7))</f>
        <v>61.888108791872867</v>
      </c>
      <c r="W470" s="54">
        <f ca="1">MIN(100,MAX(0,MCDA_Prioritisation!$H$4+(RAND()-0.5)*2*$B$7))</f>
        <v>87.99565411138606</v>
      </c>
      <c r="X470" s="54">
        <f ca="1">MIN(100,MAX(0,MCDA_Prioritisation!$H$5+(RAND()-0.5)*2*$B$7))</f>
        <v>81.469445162362163</v>
      </c>
      <c r="Y470" s="54">
        <f ca="1">H470*MCDA_Prioritisation!$D$2+I470*MCDA_Prioritisation!$E$2+J470*M470+K470*Q470+L470*U470</f>
        <v>87.971739350711957</v>
      </c>
      <c r="Z470" s="54">
        <f ca="1">H470*MCDA_Prioritisation!$D$3+I470*MCDA_Prioritisation!$E$3+J470*N470+K470*R470+L470*V470</f>
        <v>82.976827013672619</v>
      </c>
      <c r="AA470" s="54">
        <f ca="1">H470*MCDA_Prioritisation!$D$4+I470*MCDA_Prioritisation!$E$4+J470*O470+K470*S470+L470*W470</f>
        <v>75.23406375037186</v>
      </c>
      <c r="AB470" s="54">
        <f ca="1">H470*MCDA_Prioritisation!$D$5+I470*MCDA_Prioritisation!$E$5+J470*P470+K470*T470+L470*X470</f>
        <v>74.564448898317721</v>
      </c>
      <c r="AC470" s="54">
        <f t="shared" ca="1" si="90"/>
        <v>1</v>
      </c>
      <c r="AD470" s="54">
        <f t="shared" ca="1" si="91"/>
        <v>2</v>
      </c>
      <c r="AE470" s="54">
        <f t="shared" ca="1" si="92"/>
        <v>3</v>
      </c>
      <c r="AF470" s="54">
        <f t="shared" ca="1" si="93"/>
        <v>4</v>
      </c>
      <c r="AG470" s="54">
        <f t="shared" ca="1" si="94"/>
        <v>1</v>
      </c>
      <c r="AH470" s="54">
        <f t="shared" ca="1" si="95"/>
        <v>1</v>
      </c>
      <c r="AI470" s="54">
        <f t="shared" ca="1" si="96"/>
        <v>1</v>
      </c>
      <c r="AJ470" s="54">
        <f t="shared" ca="1" si="97"/>
        <v>1</v>
      </c>
    </row>
    <row r="471" spans="1:36" x14ac:dyDescent="0.2">
      <c r="A471" s="54">
        <v>448</v>
      </c>
      <c r="B471" s="54">
        <f ca="1">MAX(0.02,MCDA_Prioritisation!$B$9+(RAND()-0.5)*2*$B$6)</f>
        <v>0.14758679075498798</v>
      </c>
      <c r="C471" s="54">
        <f ca="1">MAX(0.02,MCDA_Prioritisation!$B$10+(RAND()-0.5)*2*$B$6)</f>
        <v>0.20901877948089775</v>
      </c>
      <c r="D471" s="54">
        <f ca="1">MAX(0.02,MCDA_Prioritisation!$B$11+(RAND()-0.5)*2*$B$6)</f>
        <v>0.28530689356052696</v>
      </c>
      <c r="E471" s="54">
        <f ca="1">MAX(0.02,MCDA_Prioritisation!$B$12+(RAND()-0.5)*2*$B$6)</f>
        <v>0.13192029848997647</v>
      </c>
      <c r="F471" s="54">
        <f ca="1">MAX(0.02,MCDA_Prioritisation!$B$13+(RAND()-0.5)*2*$B$6)</f>
        <v>0.13597564994846917</v>
      </c>
      <c r="G471" s="54">
        <f t="shared" ca="1" si="84"/>
        <v>0.9098084122348582</v>
      </c>
      <c r="H471" s="54">
        <f t="shared" ca="1" si="85"/>
        <v>0.1622174391556295</v>
      </c>
      <c r="I471" s="54">
        <f t="shared" ca="1" si="86"/>
        <v>0.22973933486442813</v>
      </c>
      <c r="J471" s="54">
        <f t="shared" ca="1" si="87"/>
        <v>0.3135900808607579</v>
      </c>
      <c r="K471" s="54">
        <f t="shared" ca="1" si="88"/>
        <v>0.14499788825421689</v>
      </c>
      <c r="L471" s="54">
        <f t="shared" ca="1" si="89"/>
        <v>0.14945525686496772</v>
      </c>
      <c r="M471" s="54">
        <f ca="1">MIN(100,MAX(0,MCDA_Prioritisation!$F$2+(RAND()-0.5)*2*$B$7))</f>
        <v>75.282562260972142</v>
      </c>
      <c r="N471" s="54">
        <f ca="1">MIN(100,MAX(0,MCDA_Prioritisation!$F$3+(RAND()-0.5)*2*$B$7))</f>
        <v>88.383517462196735</v>
      </c>
      <c r="O471" s="54">
        <f ca="1">MIN(100,MAX(0,MCDA_Prioritisation!$F$4+(RAND()-0.5)*2*$B$7))</f>
        <v>95.363269568017941</v>
      </c>
      <c r="P471" s="54">
        <f ca="1">MIN(100,MAX(0,MCDA_Prioritisation!$F$5+(RAND()-0.5)*2*$B$7))</f>
        <v>84.790716669310527</v>
      </c>
      <c r="Q471" s="54">
        <f ca="1">MIN(100,MAX(0,MCDA_Prioritisation!$G$2+(RAND()-0.5)*2*$B$7))</f>
        <v>87.547398459835975</v>
      </c>
      <c r="R471" s="54">
        <f ca="1">MIN(100,MAX(0,MCDA_Prioritisation!$G$3+(RAND()-0.5)*2*$B$7))</f>
        <v>97.252966680748301</v>
      </c>
      <c r="S471" s="54">
        <f ca="1">MIN(100,MAX(0,MCDA_Prioritisation!$G$4+(RAND()-0.5)*2*$B$7))</f>
        <v>91.601967680062259</v>
      </c>
      <c r="T471" s="54">
        <f ca="1">MIN(100,MAX(0,MCDA_Prioritisation!$G$5+(RAND()-0.5)*2*$B$7))</f>
        <v>72.167652911604222</v>
      </c>
      <c r="U471" s="54">
        <f ca="1">MIN(100,MAX(0,MCDA_Prioritisation!$H$2+(RAND()-0.5)*2*$B$7))</f>
        <v>73.410557207761713</v>
      </c>
      <c r="V471" s="54">
        <f ca="1">MIN(100,MAX(0,MCDA_Prioritisation!$H$3+(RAND()-0.5)*2*$B$7))</f>
        <v>66.247590722992385</v>
      </c>
      <c r="W471" s="54">
        <f ca="1">MIN(100,MAX(0,MCDA_Prioritisation!$H$4+(RAND()-0.5)*2*$B$7))</f>
        <v>73.476475987726786</v>
      </c>
      <c r="X471" s="54">
        <f ca="1">MIN(100,MAX(0,MCDA_Prioritisation!$H$5+(RAND()-0.5)*2*$B$7))</f>
        <v>76.723319668531389</v>
      </c>
      <c r="Y471" s="54">
        <f ca="1">H471*MCDA_Prioritisation!$D$2+I471*MCDA_Prioritisation!$E$2+J471*M471+K471*Q471+L471*U471</f>
        <v>86.469323771742182</v>
      </c>
      <c r="Z471" s="54">
        <f ca="1">H471*MCDA_Prioritisation!$D$3+I471*MCDA_Prioritisation!$E$3+J471*N471+K471*R471+L471*V471</f>
        <v>82.604326588997765</v>
      </c>
      <c r="AA471" s="54">
        <f ca="1">H471*MCDA_Prioritisation!$D$4+I471*MCDA_Prioritisation!$E$4+J471*O471+K471*S471+L471*W471</f>
        <v>77.995618179211775</v>
      </c>
      <c r="AB471" s="54">
        <f ca="1">H471*MCDA_Prioritisation!$D$5+I471*MCDA_Prioritisation!$E$5+J471*P471+K471*T471+L471*X471</f>
        <v>76.449212868106116</v>
      </c>
      <c r="AC471" s="54">
        <f t="shared" ca="1" si="90"/>
        <v>1</v>
      </c>
      <c r="AD471" s="54">
        <f t="shared" ca="1" si="91"/>
        <v>2</v>
      </c>
      <c r="AE471" s="54">
        <f t="shared" ca="1" si="92"/>
        <v>3</v>
      </c>
      <c r="AF471" s="54">
        <f t="shared" ca="1" si="93"/>
        <v>4</v>
      </c>
      <c r="AG471" s="54">
        <f t="shared" ca="1" si="94"/>
        <v>1</v>
      </c>
      <c r="AH471" s="54">
        <f t="shared" ca="1" si="95"/>
        <v>1</v>
      </c>
      <c r="AI471" s="54">
        <f t="shared" ca="1" si="96"/>
        <v>1</v>
      </c>
      <c r="AJ471" s="54">
        <f t="shared" ca="1" si="97"/>
        <v>1</v>
      </c>
    </row>
    <row r="472" spans="1:36" x14ac:dyDescent="0.2">
      <c r="A472" s="54">
        <v>449</v>
      </c>
      <c r="B472" s="54">
        <f ca="1">MAX(0.02,MCDA_Prioritisation!$B$9+(RAND()-0.5)*2*$B$6)</f>
        <v>0.15161821422383476</v>
      </c>
      <c r="C472" s="54">
        <f ca="1">MAX(0.02,MCDA_Prioritisation!$B$10+(RAND()-0.5)*2*$B$6)</f>
        <v>0.18436031787671806</v>
      </c>
      <c r="D472" s="54">
        <f ca="1">MAX(0.02,MCDA_Prioritisation!$B$11+(RAND()-0.5)*2*$B$6)</f>
        <v>0.32440169952562808</v>
      </c>
      <c r="E472" s="54">
        <f ca="1">MAX(0.02,MCDA_Prioritisation!$B$12+(RAND()-0.5)*2*$B$6)</f>
        <v>9.7918148279770884E-2</v>
      </c>
      <c r="F472" s="54">
        <f ca="1">MAX(0.02,MCDA_Prioritisation!$B$13+(RAND()-0.5)*2*$B$6)</f>
        <v>0.22465284927167595</v>
      </c>
      <c r="G472" s="54">
        <f t="shared" ref="G472:G535" ca="1" si="98">SUM(B472:F472)</f>
        <v>0.98295122917762767</v>
      </c>
      <c r="H472" s="54">
        <f t="shared" ref="H472:H535" ca="1" si="99">B472/$G472</f>
        <v>0.1542479522108986</v>
      </c>
      <c r="I472" s="54">
        <f t="shared" ref="I472:I535" ca="1" si="100">C472/$G472</f>
        <v>0.18755795038881076</v>
      </c>
      <c r="J472" s="54">
        <f t="shared" ref="J472:J535" ca="1" si="101">D472/$G472</f>
        <v>0.33002827596750067</v>
      </c>
      <c r="K472" s="54">
        <f t="shared" ref="K472:K535" ca="1" si="102">E472/$G472</f>
        <v>9.9616486935666909E-2</v>
      </c>
      <c r="L472" s="54">
        <f t="shared" ref="L472:L535" ca="1" si="103">F472/$G472</f>
        <v>0.22854933449712311</v>
      </c>
      <c r="M472" s="54">
        <f ca="1">MIN(100,MAX(0,MCDA_Prioritisation!$F$2+(RAND()-0.5)*2*$B$7))</f>
        <v>75.537833298378573</v>
      </c>
      <c r="N472" s="54">
        <f ca="1">MIN(100,MAX(0,MCDA_Prioritisation!$F$3+(RAND()-0.5)*2*$B$7))</f>
        <v>100</v>
      </c>
      <c r="O472" s="54">
        <f ca="1">MIN(100,MAX(0,MCDA_Prioritisation!$F$4+(RAND()-0.5)*2*$B$7))</f>
        <v>97.303097293488463</v>
      </c>
      <c r="P472" s="54">
        <f ca="1">MIN(100,MAX(0,MCDA_Prioritisation!$F$5+(RAND()-0.5)*2*$B$7))</f>
        <v>66.119342322971974</v>
      </c>
      <c r="Q472" s="54">
        <f ca="1">MIN(100,MAX(0,MCDA_Prioritisation!$G$2+(RAND()-0.5)*2*$B$7))</f>
        <v>72.171348775329122</v>
      </c>
      <c r="R472" s="54">
        <f ca="1">MIN(100,MAX(0,MCDA_Prioritisation!$G$3+(RAND()-0.5)*2*$B$7))</f>
        <v>86.542302173713011</v>
      </c>
      <c r="S472" s="54">
        <f ca="1">MIN(100,MAX(0,MCDA_Prioritisation!$G$4+(RAND()-0.5)*2*$B$7))</f>
        <v>88.827151338674895</v>
      </c>
      <c r="T472" s="54">
        <f ca="1">MIN(100,MAX(0,MCDA_Prioritisation!$G$5+(RAND()-0.5)*2*$B$7))</f>
        <v>75.027397059617101</v>
      </c>
      <c r="U472" s="54">
        <f ca="1">MIN(100,MAX(0,MCDA_Prioritisation!$H$2+(RAND()-0.5)*2*$B$7))</f>
        <v>56.795270368961496</v>
      </c>
      <c r="V472" s="54">
        <f ca="1">MIN(100,MAX(0,MCDA_Prioritisation!$H$3+(RAND()-0.5)*2*$B$7))</f>
        <v>64.450339388218453</v>
      </c>
      <c r="W472" s="54">
        <f ca="1">MIN(100,MAX(0,MCDA_Prioritisation!$H$4+(RAND()-0.5)*2*$B$7))</f>
        <v>88.486363998411207</v>
      </c>
      <c r="X472" s="54">
        <f ca="1">MIN(100,MAX(0,MCDA_Prioritisation!$H$5+(RAND()-0.5)*2*$B$7))</f>
        <v>72.31892551467719</v>
      </c>
      <c r="Y472" s="54">
        <f ca="1">H472*MCDA_Prioritisation!$D$2+I472*MCDA_Prioritisation!$E$2+J472*M472+K472*Q472+L472*U472</f>
        <v>79.280188621572648</v>
      </c>
      <c r="Z472" s="54">
        <f ca="1">H472*MCDA_Prioritisation!$D$3+I472*MCDA_Prioritisation!$E$3+J472*N472+K472*R472+L472*V472</f>
        <v>83.475311581559211</v>
      </c>
      <c r="AA472" s="54">
        <f ca="1">H472*MCDA_Prioritisation!$D$4+I472*MCDA_Prioritisation!$E$4+J472*O472+K472*S472+L472*W472</f>
        <v>82.156276098269657</v>
      </c>
      <c r="AB472" s="54">
        <f ca="1">H472*MCDA_Prioritisation!$D$5+I472*MCDA_Prioritisation!$E$5+J472*P472+K472*T472+L472*X472</f>
        <v>69.782426444101532</v>
      </c>
      <c r="AC472" s="54">
        <f t="shared" ref="AC472:AC535" ca="1" si="104">SUMPRODUCT(--($Y472:$AB472&gt;Y472))+1</f>
        <v>3</v>
      </c>
      <c r="AD472" s="54">
        <f t="shared" ref="AD472:AD535" ca="1" si="105">SUMPRODUCT(--($Y472:$AB472&gt;Z472))+1</f>
        <v>1</v>
      </c>
      <c r="AE472" s="54">
        <f t="shared" ref="AE472:AE535" ca="1" si="106">SUMPRODUCT(--($Y472:$AB472&gt;AA472))+1</f>
        <v>2</v>
      </c>
      <c r="AF472" s="54">
        <f t="shared" ref="AF472:AF535" ca="1" si="107">SUMPRODUCT(--($Y472:$AB472&gt;AB472))+1</f>
        <v>4</v>
      </c>
      <c r="AG472" s="54">
        <f t="shared" ref="AG472:AG535" ca="1" si="108">IF(AC472=1,1,0)</f>
        <v>0</v>
      </c>
      <c r="AH472" s="54">
        <f t="shared" ref="AH472:AH535" ca="1" si="109">IF(AD472=2,1,0)</f>
        <v>0</v>
      </c>
      <c r="AI472" s="54">
        <f t="shared" ref="AI472:AI535" ca="1" si="110">IF(AND(AC472=1,AD472=2,AE472=3,AF472=4),1,0)</f>
        <v>0</v>
      </c>
      <c r="AJ472" s="54">
        <f t="shared" ref="AJ472:AJ535" ca="1" si="111">IF(AND(AC472&lt;=2,AD472&lt;=2),1,0)</f>
        <v>0</v>
      </c>
    </row>
    <row r="473" spans="1:36" x14ac:dyDescent="0.2">
      <c r="A473" s="54">
        <v>450</v>
      </c>
      <c r="B473" s="54">
        <f ca="1">MAX(0.02,MCDA_Prioritisation!$B$9+(RAND()-0.5)*2*$B$6)</f>
        <v>0.24030416078208028</v>
      </c>
      <c r="C473" s="54">
        <f ca="1">MAX(0.02,MCDA_Prioritisation!$B$10+(RAND()-0.5)*2*$B$6)</f>
        <v>0.31219027127791488</v>
      </c>
      <c r="D473" s="54">
        <f ca="1">MAX(0.02,MCDA_Prioritisation!$B$11+(RAND()-0.5)*2*$B$6)</f>
        <v>0.19960745049459419</v>
      </c>
      <c r="E473" s="54">
        <f ca="1">MAX(0.02,MCDA_Prioritisation!$B$12+(RAND()-0.5)*2*$B$6)</f>
        <v>0.20210955845721065</v>
      </c>
      <c r="F473" s="54">
        <f ca="1">MAX(0.02,MCDA_Prioritisation!$B$13+(RAND()-0.5)*2*$B$6)</f>
        <v>0.17970827946098705</v>
      </c>
      <c r="G473" s="54">
        <f t="shared" ca="1" si="98"/>
        <v>1.1339197204727871</v>
      </c>
      <c r="H473" s="54">
        <f t="shared" ca="1" si="99"/>
        <v>0.21192343376997236</v>
      </c>
      <c r="I473" s="54">
        <f t="shared" ca="1" si="100"/>
        <v>0.27531955361685334</v>
      </c>
      <c r="J473" s="54">
        <f t="shared" ca="1" si="101"/>
        <v>0.17603314140384471</v>
      </c>
      <c r="K473" s="54">
        <f t="shared" ca="1" si="102"/>
        <v>0.17823974202771709</v>
      </c>
      <c r="L473" s="54">
        <f t="shared" ca="1" si="103"/>
        <v>0.15848412918161242</v>
      </c>
      <c r="M473" s="54">
        <f ca="1">MIN(100,MAX(0,MCDA_Prioritisation!$F$2+(RAND()-0.5)*2*$B$7))</f>
        <v>87.2113782297656</v>
      </c>
      <c r="N473" s="54">
        <f ca="1">MIN(100,MAX(0,MCDA_Prioritisation!$F$3+(RAND()-0.5)*2*$B$7))</f>
        <v>100</v>
      </c>
      <c r="O473" s="54">
        <f ca="1">MIN(100,MAX(0,MCDA_Prioritisation!$F$4+(RAND()-0.5)*2*$B$7))</f>
        <v>98.249298614629566</v>
      </c>
      <c r="P473" s="54">
        <f ca="1">MIN(100,MAX(0,MCDA_Prioritisation!$F$5+(RAND()-0.5)*2*$B$7))</f>
        <v>79.60628534178943</v>
      </c>
      <c r="Q473" s="54">
        <f ca="1">MIN(100,MAX(0,MCDA_Prioritisation!$G$2+(RAND()-0.5)*2*$B$7))</f>
        <v>79.685850504735299</v>
      </c>
      <c r="R473" s="54">
        <f ca="1">MIN(100,MAX(0,MCDA_Prioritisation!$G$3+(RAND()-0.5)*2*$B$7))</f>
        <v>100</v>
      </c>
      <c r="S473" s="54">
        <f ca="1">MIN(100,MAX(0,MCDA_Prioritisation!$G$4+(RAND()-0.5)*2*$B$7))</f>
        <v>94.811876221160588</v>
      </c>
      <c r="T473" s="54">
        <f ca="1">MIN(100,MAX(0,MCDA_Prioritisation!$G$5+(RAND()-0.5)*2*$B$7))</f>
        <v>66.633189638195077</v>
      </c>
      <c r="U473" s="54">
        <f ca="1">MIN(100,MAX(0,MCDA_Prioritisation!$H$2+(RAND()-0.5)*2*$B$7))</f>
        <v>61.790660824318088</v>
      </c>
      <c r="V473" s="54">
        <f ca="1">MIN(100,MAX(0,MCDA_Prioritisation!$H$3+(RAND()-0.5)*2*$B$7))</f>
        <v>56.720154257121486</v>
      </c>
      <c r="W473" s="54">
        <f ca="1">MIN(100,MAX(0,MCDA_Prioritisation!$H$4+(RAND()-0.5)*2*$B$7))</f>
        <v>70.437613220897447</v>
      </c>
      <c r="X473" s="54">
        <f ca="1">MIN(100,MAX(0,MCDA_Prioritisation!$H$5+(RAND()-0.5)*2*$B$7))</f>
        <v>71.466117637273186</v>
      </c>
      <c r="Y473" s="54">
        <f ca="1">H473*MCDA_Prioritisation!$D$2+I473*MCDA_Prioritisation!$E$2+J473*M473+K473*Q473+L473*U473</f>
        <v>88.072416124148759</v>
      </c>
      <c r="Z473" s="54">
        <f ca="1">H473*MCDA_Prioritisation!$D$3+I473*MCDA_Prioritisation!$E$3+J473*N473+K473*R473+L473*V473</f>
        <v>82.96121113729788</v>
      </c>
      <c r="AA473" s="54">
        <f ca="1">H473*MCDA_Prioritisation!$D$4+I473*MCDA_Prioritisation!$E$4+J473*O473+K473*S473+L473*W473</f>
        <v>75.132153139423721</v>
      </c>
      <c r="AB473" s="54">
        <f ca="1">H473*MCDA_Prioritisation!$D$5+I473*MCDA_Prioritisation!$E$5+J473*P473+K473*T473+L473*X473</f>
        <v>71.616168811121781</v>
      </c>
      <c r="AC473" s="54">
        <f t="shared" ca="1" si="104"/>
        <v>1</v>
      </c>
      <c r="AD473" s="54">
        <f t="shared" ca="1" si="105"/>
        <v>2</v>
      </c>
      <c r="AE473" s="54">
        <f t="shared" ca="1" si="106"/>
        <v>3</v>
      </c>
      <c r="AF473" s="54">
        <f t="shared" ca="1" si="107"/>
        <v>4</v>
      </c>
      <c r="AG473" s="54">
        <f t="shared" ca="1" si="108"/>
        <v>1</v>
      </c>
      <c r="AH473" s="54">
        <f t="shared" ca="1" si="109"/>
        <v>1</v>
      </c>
      <c r="AI473" s="54">
        <f t="shared" ca="1" si="110"/>
        <v>1</v>
      </c>
      <c r="AJ473" s="54">
        <f t="shared" ca="1" si="111"/>
        <v>1</v>
      </c>
    </row>
    <row r="474" spans="1:36" x14ac:dyDescent="0.2">
      <c r="A474" s="54">
        <v>451</v>
      </c>
      <c r="B474" s="54">
        <f ca="1">MAX(0.02,MCDA_Prioritisation!$B$9+(RAND()-0.5)*2*$B$6)</f>
        <v>0.25325469340530965</v>
      </c>
      <c r="C474" s="54">
        <f ca="1">MAX(0.02,MCDA_Prioritisation!$B$10+(RAND()-0.5)*2*$B$6)</f>
        <v>0.2486995002236852</v>
      </c>
      <c r="D474" s="54">
        <f ca="1">MAX(0.02,MCDA_Prioritisation!$B$11+(RAND()-0.5)*2*$B$6)</f>
        <v>0.17048946593145203</v>
      </c>
      <c r="E474" s="54">
        <f ca="1">MAX(0.02,MCDA_Prioritisation!$B$12+(RAND()-0.5)*2*$B$6)</f>
        <v>0.22571703529316828</v>
      </c>
      <c r="F474" s="54">
        <f ca="1">MAX(0.02,MCDA_Prioritisation!$B$13+(RAND()-0.5)*2*$B$6)</f>
        <v>0.11199564173489998</v>
      </c>
      <c r="G474" s="54">
        <f t="shared" ca="1" si="98"/>
        <v>1.0101563365885151</v>
      </c>
      <c r="H474" s="54">
        <f t="shared" ca="1" si="99"/>
        <v>0.25070841436346142</v>
      </c>
      <c r="I474" s="54">
        <f t="shared" ca="1" si="100"/>
        <v>0.24619902010770872</v>
      </c>
      <c r="J474" s="54">
        <f t="shared" ca="1" si="101"/>
        <v>0.16877532690358257</v>
      </c>
      <c r="K474" s="54">
        <f t="shared" ca="1" si="102"/>
        <v>0.22344762599367191</v>
      </c>
      <c r="L474" s="54">
        <f t="shared" ca="1" si="103"/>
        <v>0.11086961263157541</v>
      </c>
      <c r="M474" s="54">
        <f ca="1">MIN(100,MAX(0,MCDA_Prioritisation!$F$2+(RAND()-0.5)*2*$B$7))</f>
        <v>92.882346138288739</v>
      </c>
      <c r="N474" s="54">
        <f ca="1">MIN(100,MAX(0,MCDA_Prioritisation!$F$3+(RAND()-0.5)*2*$B$7))</f>
        <v>85.350985425209089</v>
      </c>
      <c r="O474" s="54">
        <f ca="1">MIN(100,MAX(0,MCDA_Prioritisation!$F$4+(RAND()-0.5)*2*$B$7))</f>
        <v>87.495459192982793</v>
      </c>
      <c r="P474" s="54">
        <f ca="1">MIN(100,MAX(0,MCDA_Prioritisation!$F$5+(RAND()-0.5)*2*$B$7))</f>
        <v>79.533127308241163</v>
      </c>
      <c r="Q474" s="54">
        <f ca="1">MIN(100,MAX(0,MCDA_Prioritisation!$G$2+(RAND()-0.5)*2*$B$7))</f>
        <v>79.716084728507766</v>
      </c>
      <c r="R474" s="54">
        <f ca="1">MIN(100,MAX(0,MCDA_Prioritisation!$G$3+(RAND()-0.5)*2*$B$7))</f>
        <v>96.179652177351244</v>
      </c>
      <c r="S474" s="54">
        <f ca="1">MIN(100,MAX(0,MCDA_Prioritisation!$G$4+(RAND()-0.5)*2*$B$7))</f>
        <v>87.487629261994897</v>
      </c>
      <c r="T474" s="54">
        <f ca="1">MIN(100,MAX(0,MCDA_Prioritisation!$G$5+(RAND()-0.5)*2*$B$7))</f>
        <v>77.514945859303495</v>
      </c>
      <c r="U474" s="54">
        <f ca="1">MIN(100,MAX(0,MCDA_Prioritisation!$H$2+(RAND()-0.5)*2*$B$7))</f>
        <v>66.856835731339032</v>
      </c>
      <c r="V474" s="54">
        <f ca="1">MIN(100,MAX(0,MCDA_Prioritisation!$H$3+(RAND()-0.5)*2*$B$7))</f>
        <v>60.711394710932943</v>
      </c>
      <c r="W474" s="54">
        <f ca="1">MIN(100,MAX(0,MCDA_Prioritisation!$H$4+(RAND()-0.5)*2*$B$7))</f>
        <v>77.464377330759746</v>
      </c>
      <c r="X474" s="54">
        <f ca="1">MIN(100,MAX(0,MCDA_Prioritisation!$H$5+(RAND()-0.5)*2*$B$7))</f>
        <v>69.170880238826783</v>
      </c>
      <c r="Y474" s="54">
        <f ca="1">H474*MCDA_Prioritisation!$D$2+I474*MCDA_Prioritisation!$E$2+J474*M474+K474*Q474+L474*U474</f>
        <v>90.591753145580299</v>
      </c>
      <c r="Z474" s="54">
        <f ca="1">H474*MCDA_Prioritisation!$D$3+I474*MCDA_Prioritisation!$E$3+J474*N474+K474*R474+L474*V474</f>
        <v>82.443810500333939</v>
      </c>
      <c r="AA474" s="54">
        <f ca="1">H474*MCDA_Prioritisation!$D$4+I474*MCDA_Prioritisation!$E$4+J474*O474+K474*S474+L474*W474</f>
        <v>73.791320919744606</v>
      </c>
      <c r="AB474" s="54">
        <f ca="1">H474*MCDA_Prioritisation!$D$5+I474*MCDA_Prioritisation!$E$5+J474*P474+K474*T474+L474*X474</f>
        <v>72.4223804861779</v>
      </c>
      <c r="AC474" s="54">
        <f t="shared" ca="1" si="104"/>
        <v>1</v>
      </c>
      <c r="AD474" s="54">
        <f t="shared" ca="1" si="105"/>
        <v>2</v>
      </c>
      <c r="AE474" s="54">
        <f t="shared" ca="1" si="106"/>
        <v>3</v>
      </c>
      <c r="AF474" s="54">
        <f t="shared" ca="1" si="107"/>
        <v>4</v>
      </c>
      <c r="AG474" s="54">
        <f t="shared" ca="1" si="108"/>
        <v>1</v>
      </c>
      <c r="AH474" s="54">
        <f t="shared" ca="1" si="109"/>
        <v>1</v>
      </c>
      <c r="AI474" s="54">
        <f t="shared" ca="1" si="110"/>
        <v>1</v>
      </c>
      <c r="AJ474" s="54">
        <f t="shared" ca="1" si="111"/>
        <v>1</v>
      </c>
    </row>
    <row r="475" spans="1:36" x14ac:dyDescent="0.2">
      <c r="A475" s="54">
        <v>452</v>
      </c>
      <c r="B475" s="54">
        <f ca="1">MAX(0.02,MCDA_Prioritisation!$B$9+(RAND()-0.5)*2*$B$6)</f>
        <v>0.27445257139083318</v>
      </c>
      <c r="C475" s="54">
        <f ca="1">MAX(0.02,MCDA_Prioritisation!$B$10+(RAND()-0.5)*2*$B$6)</f>
        <v>0.21948593447616851</v>
      </c>
      <c r="D475" s="54">
        <f ca="1">MAX(0.02,MCDA_Prioritisation!$B$11+(RAND()-0.5)*2*$B$6)</f>
        <v>0.25281332202498424</v>
      </c>
      <c r="E475" s="54">
        <f ca="1">MAX(0.02,MCDA_Prioritisation!$B$12+(RAND()-0.5)*2*$B$6)</f>
        <v>0.13944982989295873</v>
      </c>
      <c r="F475" s="54">
        <f ca="1">MAX(0.02,MCDA_Prioritisation!$B$13+(RAND()-0.5)*2*$B$6)</f>
        <v>8.4322589514476659E-2</v>
      </c>
      <c r="G475" s="54">
        <f t="shared" ca="1" si="98"/>
        <v>0.97052424729942144</v>
      </c>
      <c r="H475" s="54">
        <f t="shared" ca="1" si="99"/>
        <v>0.28278795934725409</v>
      </c>
      <c r="I475" s="54">
        <f t="shared" ca="1" si="100"/>
        <v>0.22615193292378791</v>
      </c>
      <c r="J475" s="54">
        <f t="shared" ca="1" si="101"/>
        <v>0.26049150521325154</v>
      </c>
      <c r="K475" s="54">
        <f t="shared" ca="1" si="102"/>
        <v>0.14368505504215018</v>
      </c>
      <c r="L475" s="54">
        <f t="shared" ca="1" si="103"/>
        <v>8.6883547473556172E-2</v>
      </c>
      <c r="M475" s="54">
        <f ca="1">MIN(100,MAX(0,MCDA_Prioritisation!$F$2+(RAND()-0.5)*2*$B$7))</f>
        <v>77.292896273235684</v>
      </c>
      <c r="N475" s="54">
        <f ca="1">MIN(100,MAX(0,MCDA_Prioritisation!$F$3+(RAND()-0.5)*2*$B$7))</f>
        <v>93.458066881599535</v>
      </c>
      <c r="O475" s="54">
        <f ca="1">MIN(100,MAX(0,MCDA_Prioritisation!$F$4+(RAND()-0.5)*2*$B$7))</f>
        <v>89.595004157763938</v>
      </c>
      <c r="P475" s="54">
        <f ca="1">MIN(100,MAX(0,MCDA_Prioritisation!$F$5+(RAND()-0.5)*2*$B$7))</f>
        <v>74.238911699641463</v>
      </c>
      <c r="Q475" s="54">
        <f ca="1">MIN(100,MAX(0,MCDA_Prioritisation!$G$2+(RAND()-0.5)*2*$B$7))</f>
        <v>71.794864780006066</v>
      </c>
      <c r="R475" s="54">
        <f ca="1">MIN(100,MAX(0,MCDA_Prioritisation!$G$3+(RAND()-0.5)*2*$B$7))</f>
        <v>100</v>
      </c>
      <c r="S475" s="54">
        <f ca="1">MIN(100,MAX(0,MCDA_Prioritisation!$G$4+(RAND()-0.5)*2*$B$7))</f>
        <v>85.645597245823978</v>
      </c>
      <c r="T475" s="54">
        <f ca="1">MIN(100,MAX(0,MCDA_Prioritisation!$G$5+(RAND()-0.5)*2*$B$7))</f>
        <v>77.306054786996242</v>
      </c>
      <c r="U475" s="54">
        <f ca="1">MIN(100,MAX(0,MCDA_Prioritisation!$H$2+(RAND()-0.5)*2*$B$7))</f>
        <v>58.341207343842981</v>
      </c>
      <c r="V475" s="54">
        <f ca="1">MIN(100,MAX(0,MCDA_Prioritisation!$H$3+(RAND()-0.5)*2*$B$7))</f>
        <v>55.878655159104461</v>
      </c>
      <c r="W475" s="54">
        <f ca="1">MIN(100,MAX(0,MCDA_Prioritisation!$H$4+(RAND()-0.5)*2*$B$7))</f>
        <v>82.460584709127758</v>
      </c>
      <c r="X475" s="54">
        <f ca="1">MIN(100,MAX(0,MCDA_Prioritisation!$H$5+(RAND()-0.5)*2*$B$7))</f>
        <v>82.273025920604582</v>
      </c>
      <c r="Y475" s="54">
        <f ca="1">H475*MCDA_Prioritisation!$D$2+I475*MCDA_Prioritisation!$E$2+J475*M475+K475*Q475+L475*U475</f>
        <v>86.412872275193351</v>
      </c>
      <c r="Z475" s="54">
        <f ca="1">H475*MCDA_Prioritisation!$D$3+I475*MCDA_Prioritisation!$E$3+J475*N475+K475*R475+L475*V475</f>
        <v>84.730660940067949</v>
      </c>
      <c r="AA475" s="54">
        <f ca="1">H475*MCDA_Prioritisation!$D$4+I475*MCDA_Prioritisation!$E$4+J475*O475+K475*S475+L475*W475</f>
        <v>74.83644904243468</v>
      </c>
      <c r="AB475" s="54">
        <f ca="1">H475*MCDA_Prioritisation!$D$5+I475*MCDA_Prioritisation!$E$5+J475*P475+K475*T475+L475*X475</f>
        <v>71.621047150046337</v>
      </c>
      <c r="AC475" s="54">
        <f t="shared" ca="1" si="104"/>
        <v>1</v>
      </c>
      <c r="AD475" s="54">
        <f t="shared" ca="1" si="105"/>
        <v>2</v>
      </c>
      <c r="AE475" s="54">
        <f t="shared" ca="1" si="106"/>
        <v>3</v>
      </c>
      <c r="AF475" s="54">
        <f t="shared" ca="1" si="107"/>
        <v>4</v>
      </c>
      <c r="AG475" s="54">
        <f t="shared" ca="1" si="108"/>
        <v>1</v>
      </c>
      <c r="AH475" s="54">
        <f t="shared" ca="1" si="109"/>
        <v>1</v>
      </c>
      <c r="AI475" s="54">
        <f t="shared" ca="1" si="110"/>
        <v>1</v>
      </c>
      <c r="AJ475" s="54">
        <f t="shared" ca="1" si="111"/>
        <v>1</v>
      </c>
    </row>
    <row r="476" spans="1:36" x14ac:dyDescent="0.2">
      <c r="A476" s="54">
        <v>453</v>
      </c>
      <c r="B476" s="54">
        <f ca="1">MAX(0.02,MCDA_Prioritisation!$B$9+(RAND()-0.5)*2*$B$6)</f>
        <v>0.19014744088996524</v>
      </c>
      <c r="C476" s="54">
        <f ca="1">MAX(0.02,MCDA_Prioritisation!$B$10+(RAND()-0.5)*2*$B$6)</f>
        <v>0.27983207400258686</v>
      </c>
      <c r="D476" s="54">
        <f ca="1">MAX(0.02,MCDA_Prioritisation!$B$11+(RAND()-0.5)*2*$B$6)</f>
        <v>0.24654649141291068</v>
      </c>
      <c r="E476" s="54">
        <f ca="1">MAX(0.02,MCDA_Prioritisation!$B$12+(RAND()-0.5)*2*$B$6)</f>
        <v>0.13330382796544549</v>
      </c>
      <c r="F476" s="54">
        <f ca="1">MAX(0.02,MCDA_Prioritisation!$B$13+(RAND()-0.5)*2*$B$6)</f>
        <v>7.186147699007539E-2</v>
      </c>
      <c r="G476" s="54">
        <f t="shared" ca="1" si="98"/>
        <v>0.92169131126098369</v>
      </c>
      <c r="H476" s="54">
        <f t="shared" ca="1" si="99"/>
        <v>0.20630273776783342</v>
      </c>
      <c r="I476" s="54">
        <f t="shared" ca="1" si="100"/>
        <v>0.30360715196473231</v>
      </c>
      <c r="J476" s="54">
        <f t="shared" ca="1" si="101"/>
        <v>0.26749356145671555</v>
      </c>
      <c r="K476" s="54">
        <f t="shared" ca="1" si="102"/>
        <v>0.14462958078998264</v>
      </c>
      <c r="L476" s="54">
        <f t="shared" ca="1" si="103"/>
        <v>7.7966968020736049E-2</v>
      </c>
      <c r="M476" s="54">
        <f ca="1">MIN(100,MAX(0,MCDA_Prioritisation!$F$2+(RAND()-0.5)*2*$B$7))</f>
        <v>80.894551311808513</v>
      </c>
      <c r="N476" s="54">
        <f ca="1">MIN(100,MAX(0,MCDA_Prioritisation!$F$3+(RAND()-0.5)*2*$B$7))</f>
        <v>99.134309545141136</v>
      </c>
      <c r="O476" s="54">
        <f ca="1">MIN(100,MAX(0,MCDA_Prioritisation!$F$4+(RAND()-0.5)*2*$B$7))</f>
        <v>94.186205819242204</v>
      </c>
      <c r="P476" s="54">
        <f ca="1">MIN(100,MAX(0,MCDA_Prioritisation!$F$5+(RAND()-0.5)*2*$B$7))</f>
        <v>68.128028784506697</v>
      </c>
      <c r="Q476" s="54">
        <f ca="1">MIN(100,MAX(0,MCDA_Prioritisation!$G$2+(RAND()-0.5)*2*$B$7))</f>
        <v>76.287062031745521</v>
      </c>
      <c r="R476" s="54">
        <f ca="1">MIN(100,MAX(0,MCDA_Prioritisation!$G$3+(RAND()-0.5)*2*$B$7))</f>
        <v>90.818043766648259</v>
      </c>
      <c r="S476" s="54">
        <f ca="1">MIN(100,MAX(0,MCDA_Prioritisation!$G$4+(RAND()-0.5)*2*$B$7))</f>
        <v>75.978764345754186</v>
      </c>
      <c r="T476" s="54">
        <f ca="1">MIN(100,MAX(0,MCDA_Prioritisation!$G$5+(RAND()-0.5)*2*$B$7))</f>
        <v>73.794925168558891</v>
      </c>
      <c r="U476" s="54">
        <f ca="1">MIN(100,MAX(0,MCDA_Prioritisation!$H$2+(RAND()-0.5)*2*$B$7))</f>
        <v>69.300465096295042</v>
      </c>
      <c r="V476" s="54">
        <f ca="1">MIN(100,MAX(0,MCDA_Prioritisation!$H$3+(RAND()-0.5)*2*$B$7))</f>
        <v>69.465803499498975</v>
      </c>
      <c r="W476" s="54">
        <f ca="1">MIN(100,MAX(0,MCDA_Prioritisation!$H$4+(RAND()-0.5)*2*$B$7))</f>
        <v>86.052813332206128</v>
      </c>
      <c r="X476" s="54">
        <f ca="1">MIN(100,MAX(0,MCDA_Prioritisation!$H$5+(RAND()-0.5)*2*$B$7))</f>
        <v>82.64725923351395</v>
      </c>
      <c r="Y476" s="54">
        <f ca="1">H476*MCDA_Prioritisation!$D$2+I476*MCDA_Prioritisation!$E$2+J476*M476+K476*Q476+L476*U476</f>
        <v>89.066273553430975</v>
      </c>
      <c r="Z476" s="54">
        <f ca="1">H476*MCDA_Prioritisation!$D$3+I476*MCDA_Prioritisation!$E$3+J476*N476+K476*R476+L476*V476</f>
        <v>85.179530555371898</v>
      </c>
      <c r="AA476" s="54">
        <f ca="1">H476*MCDA_Prioritisation!$D$4+I476*MCDA_Prioritisation!$E$4+J476*O476+K476*S476+L476*W476</f>
        <v>73.818357410037791</v>
      </c>
      <c r="AB476" s="54">
        <f ca="1">H476*MCDA_Prioritisation!$D$5+I476*MCDA_Prioritisation!$E$5+J476*P476+K476*T476+L476*X476</f>
        <v>71.820797158737051</v>
      </c>
      <c r="AC476" s="54">
        <f t="shared" ca="1" si="104"/>
        <v>1</v>
      </c>
      <c r="AD476" s="54">
        <f t="shared" ca="1" si="105"/>
        <v>2</v>
      </c>
      <c r="AE476" s="54">
        <f t="shared" ca="1" si="106"/>
        <v>3</v>
      </c>
      <c r="AF476" s="54">
        <f t="shared" ca="1" si="107"/>
        <v>4</v>
      </c>
      <c r="AG476" s="54">
        <f t="shared" ca="1" si="108"/>
        <v>1</v>
      </c>
      <c r="AH476" s="54">
        <f t="shared" ca="1" si="109"/>
        <v>1</v>
      </c>
      <c r="AI476" s="54">
        <f t="shared" ca="1" si="110"/>
        <v>1</v>
      </c>
      <c r="AJ476" s="54">
        <f t="shared" ca="1" si="111"/>
        <v>1</v>
      </c>
    </row>
    <row r="477" spans="1:36" x14ac:dyDescent="0.2">
      <c r="A477" s="54">
        <v>454</v>
      </c>
      <c r="B477" s="54">
        <f ca="1">MAX(0.02,MCDA_Prioritisation!$B$9+(RAND()-0.5)*2*$B$6)</f>
        <v>0.27119897388741282</v>
      </c>
      <c r="C477" s="54">
        <f ca="1">MAX(0.02,MCDA_Prioritisation!$B$10+(RAND()-0.5)*2*$B$6)</f>
        <v>0.31244154760358955</v>
      </c>
      <c r="D477" s="54">
        <f ca="1">MAX(0.02,MCDA_Prioritisation!$B$11+(RAND()-0.5)*2*$B$6)</f>
        <v>0.24687641769464846</v>
      </c>
      <c r="E477" s="54">
        <f ca="1">MAX(0.02,MCDA_Prioritisation!$B$12+(RAND()-0.5)*2*$B$6)</f>
        <v>8.3177297522816385E-2</v>
      </c>
      <c r="F477" s="54">
        <f ca="1">MAX(0.02,MCDA_Prioritisation!$B$13+(RAND()-0.5)*2*$B$6)</f>
        <v>0.16584334529391281</v>
      </c>
      <c r="G477" s="54">
        <f t="shared" ca="1" si="98"/>
        <v>1.07953758200238</v>
      </c>
      <c r="H477" s="54">
        <f t="shared" ca="1" si="99"/>
        <v>0.25121772359641198</v>
      </c>
      <c r="I477" s="54">
        <f t="shared" ca="1" si="100"/>
        <v>0.28942164942887622</v>
      </c>
      <c r="J477" s="54">
        <f t="shared" ca="1" si="101"/>
        <v>0.22868719145166749</v>
      </c>
      <c r="K477" s="54">
        <f t="shared" ca="1" si="102"/>
        <v>7.7049005898002176E-2</v>
      </c>
      <c r="L477" s="54">
        <f t="shared" ca="1" si="103"/>
        <v>0.15362442962504216</v>
      </c>
      <c r="M477" s="54">
        <f ca="1">MIN(100,MAX(0,MCDA_Prioritisation!$F$2+(RAND()-0.5)*2*$B$7))</f>
        <v>84.752944220344332</v>
      </c>
      <c r="N477" s="54">
        <f ca="1">MIN(100,MAX(0,MCDA_Prioritisation!$F$3+(RAND()-0.5)*2*$B$7))</f>
        <v>92.944210982316804</v>
      </c>
      <c r="O477" s="54">
        <f ca="1">MIN(100,MAX(0,MCDA_Prioritisation!$F$4+(RAND()-0.5)*2*$B$7))</f>
        <v>97.265840107664545</v>
      </c>
      <c r="P477" s="54">
        <f ca="1">MIN(100,MAX(0,MCDA_Prioritisation!$F$5+(RAND()-0.5)*2*$B$7))</f>
        <v>79.16503433475296</v>
      </c>
      <c r="Q477" s="54">
        <f ca="1">MIN(100,MAX(0,MCDA_Prioritisation!$G$2+(RAND()-0.5)*2*$B$7))</f>
        <v>72.743396640888463</v>
      </c>
      <c r="R477" s="54">
        <f ca="1">MIN(100,MAX(0,MCDA_Prioritisation!$G$3+(RAND()-0.5)*2*$B$7))</f>
        <v>100</v>
      </c>
      <c r="S477" s="54">
        <f ca="1">MIN(100,MAX(0,MCDA_Prioritisation!$G$4+(RAND()-0.5)*2*$B$7))</f>
        <v>88.910644474762933</v>
      </c>
      <c r="T477" s="54">
        <f ca="1">MIN(100,MAX(0,MCDA_Prioritisation!$G$5+(RAND()-0.5)*2*$B$7))</f>
        <v>67.460815813354415</v>
      </c>
      <c r="U477" s="54">
        <f ca="1">MIN(100,MAX(0,MCDA_Prioritisation!$H$2+(RAND()-0.5)*2*$B$7))</f>
        <v>60.872722036172064</v>
      </c>
      <c r="V477" s="54">
        <f ca="1">MIN(100,MAX(0,MCDA_Prioritisation!$H$3+(RAND()-0.5)*2*$B$7))</f>
        <v>57.137850041003603</v>
      </c>
      <c r="W477" s="54">
        <f ca="1">MIN(100,MAX(0,MCDA_Prioritisation!$H$4+(RAND()-0.5)*2*$B$7))</f>
        <v>74.87150582566062</v>
      </c>
      <c r="X477" s="54">
        <f ca="1">MIN(100,MAX(0,MCDA_Prioritisation!$H$5+(RAND()-0.5)*2*$B$7))</f>
        <v>81.959792432206058</v>
      </c>
      <c r="Y477" s="54">
        <f ca="1">H477*MCDA_Prioritisation!$D$2+I477*MCDA_Prioritisation!$E$2+J477*M477+K477*Q477+L477*U477</f>
        <v>88.402193682894392</v>
      </c>
      <c r="Z477" s="54">
        <f ca="1">H477*MCDA_Prioritisation!$D$3+I477*MCDA_Prioritisation!$E$3+J477*N477+K477*R477+L477*V477</f>
        <v>80.742303023185329</v>
      </c>
      <c r="AA477" s="54">
        <f ca="1">H477*MCDA_Prioritisation!$D$4+I477*MCDA_Prioritisation!$E$4+J477*O477+K477*S477+L477*W477</f>
        <v>73.875981832560043</v>
      </c>
      <c r="AB477" s="54">
        <f ca="1">H477*MCDA_Prioritisation!$D$5+I477*MCDA_Prioritisation!$E$5+J477*P477+K477*T477+L477*X477</f>
        <v>73.564178353222928</v>
      </c>
      <c r="AC477" s="54">
        <f t="shared" ca="1" si="104"/>
        <v>1</v>
      </c>
      <c r="AD477" s="54">
        <f t="shared" ca="1" si="105"/>
        <v>2</v>
      </c>
      <c r="AE477" s="54">
        <f t="shared" ca="1" si="106"/>
        <v>3</v>
      </c>
      <c r="AF477" s="54">
        <f t="shared" ca="1" si="107"/>
        <v>4</v>
      </c>
      <c r="AG477" s="54">
        <f t="shared" ca="1" si="108"/>
        <v>1</v>
      </c>
      <c r="AH477" s="54">
        <f t="shared" ca="1" si="109"/>
        <v>1</v>
      </c>
      <c r="AI477" s="54">
        <f t="shared" ca="1" si="110"/>
        <v>1</v>
      </c>
      <c r="AJ477" s="54">
        <f t="shared" ca="1" si="111"/>
        <v>1</v>
      </c>
    </row>
    <row r="478" spans="1:36" x14ac:dyDescent="0.2">
      <c r="A478" s="54">
        <v>455</v>
      </c>
      <c r="B478" s="54">
        <f ca="1">MAX(0.02,MCDA_Prioritisation!$B$9+(RAND()-0.5)*2*$B$6)</f>
        <v>0.16148691921862363</v>
      </c>
      <c r="C478" s="54">
        <f ca="1">MAX(0.02,MCDA_Prioritisation!$B$10+(RAND()-0.5)*2*$B$6)</f>
        <v>0.20402970400200734</v>
      </c>
      <c r="D478" s="54">
        <f ca="1">MAX(0.02,MCDA_Prioritisation!$B$11+(RAND()-0.5)*2*$B$6)</f>
        <v>0.29901274136987449</v>
      </c>
      <c r="E478" s="54">
        <f ca="1">MAX(0.02,MCDA_Prioritisation!$B$12+(RAND()-0.5)*2*$B$6)</f>
        <v>0.14786056417817822</v>
      </c>
      <c r="F478" s="54">
        <f ca="1">MAX(0.02,MCDA_Prioritisation!$B$13+(RAND()-0.5)*2*$B$6)</f>
        <v>9.9468520456263559E-2</v>
      </c>
      <c r="G478" s="54">
        <f t="shared" ca="1" si="98"/>
        <v>0.9118584492249473</v>
      </c>
      <c r="H478" s="54">
        <f t="shared" ca="1" si="99"/>
        <v>0.17709647737089318</v>
      </c>
      <c r="I478" s="54">
        <f t="shared" ca="1" si="100"/>
        <v>0.22375150899289967</v>
      </c>
      <c r="J478" s="54">
        <f t="shared" ca="1" si="101"/>
        <v>0.32791574352798558</v>
      </c>
      <c r="K478" s="54">
        <f t="shared" ca="1" si="102"/>
        <v>0.16215297923033484</v>
      </c>
      <c r="L478" s="54">
        <f t="shared" ca="1" si="103"/>
        <v>0.10908329087788665</v>
      </c>
      <c r="M478" s="54">
        <f ca="1">MIN(100,MAX(0,MCDA_Prioritisation!$F$2+(RAND()-0.5)*2*$B$7))</f>
        <v>93.624319649691799</v>
      </c>
      <c r="N478" s="54">
        <f ca="1">MIN(100,MAX(0,MCDA_Prioritisation!$F$3+(RAND()-0.5)*2*$B$7))</f>
        <v>88.08370111159428</v>
      </c>
      <c r="O478" s="54">
        <f ca="1">MIN(100,MAX(0,MCDA_Prioritisation!$F$4+(RAND()-0.5)*2*$B$7))</f>
        <v>91.512443142687857</v>
      </c>
      <c r="P478" s="54">
        <f ca="1">MIN(100,MAX(0,MCDA_Prioritisation!$F$5+(RAND()-0.5)*2*$B$7))</f>
        <v>79.393855656776211</v>
      </c>
      <c r="Q478" s="54">
        <f ca="1">MIN(100,MAX(0,MCDA_Prioritisation!$G$2+(RAND()-0.5)*2*$B$7))</f>
        <v>86.772466027379949</v>
      </c>
      <c r="R478" s="54">
        <f ca="1">MIN(100,MAX(0,MCDA_Prioritisation!$G$3+(RAND()-0.5)*2*$B$7))</f>
        <v>100</v>
      </c>
      <c r="S478" s="54">
        <f ca="1">MIN(100,MAX(0,MCDA_Prioritisation!$G$4+(RAND()-0.5)*2*$B$7))</f>
        <v>91.803152584114642</v>
      </c>
      <c r="T478" s="54">
        <f ca="1">MIN(100,MAX(0,MCDA_Prioritisation!$G$5+(RAND()-0.5)*2*$B$7))</f>
        <v>61.973985655393058</v>
      </c>
      <c r="U478" s="54">
        <f ca="1">MIN(100,MAX(0,MCDA_Prioritisation!$H$2+(RAND()-0.5)*2*$B$7))</f>
        <v>63.297675419416443</v>
      </c>
      <c r="V478" s="54">
        <f ca="1">MIN(100,MAX(0,MCDA_Prioritisation!$H$3+(RAND()-0.5)*2*$B$7))</f>
        <v>58.249887374534254</v>
      </c>
      <c r="W478" s="54">
        <f ca="1">MIN(100,MAX(0,MCDA_Prioritisation!$H$4+(RAND()-0.5)*2*$B$7))</f>
        <v>82.403014431976587</v>
      </c>
      <c r="X478" s="54">
        <f ca="1">MIN(100,MAX(0,MCDA_Prioritisation!$H$5+(RAND()-0.5)*2*$B$7))</f>
        <v>73.004340707758317</v>
      </c>
      <c r="Y478" s="54">
        <f ca="1">H478*MCDA_Prioritisation!$D$2+I478*MCDA_Prioritisation!$E$2+J478*M478+K478*Q478+L478*U478</f>
        <v>91.760819647782697</v>
      </c>
      <c r="Z478" s="54">
        <f ca="1">H478*MCDA_Prioritisation!$D$3+I478*MCDA_Prioritisation!$E$3+J478*N478+K478*R478+L478*V478</f>
        <v>83.2039290577722</v>
      </c>
      <c r="AA478" s="54">
        <f ca="1">H478*MCDA_Prioritisation!$D$4+I478*MCDA_Prioritisation!$E$4+J478*O478+K478*S478+L478*W478</f>
        <v>78.419902889844906</v>
      </c>
      <c r="AB478" s="54">
        <f ca="1">H478*MCDA_Prioritisation!$D$5+I478*MCDA_Prioritisation!$E$5+J478*P478+K478*T478+L478*X478</f>
        <v>72.262336273267636</v>
      </c>
      <c r="AC478" s="54">
        <f t="shared" ca="1" si="104"/>
        <v>1</v>
      </c>
      <c r="AD478" s="54">
        <f t="shared" ca="1" si="105"/>
        <v>2</v>
      </c>
      <c r="AE478" s="54">
        <f t="shared" ca="1" si="106"/>
        <v>3</v>
      </c>
      <c r="AF478" s="54">
        <f t="shared" ca="1" si="107"/>
        <v>4</v>
      </c>
      <c r="AG478" s="54">
        <f t="shared" ca="1" si="108"/>
        <v>1</v>
      </c>
      <c r="AH478" s="54">
        <f t="shared" ca="1" si="109"/>
        <v>1</v>
      </c>
      <c r="AI478" s="54">
        <f t="shared" ca="1" si="110"/>
        <v>1</v>
      </c>
      <c r="AJ478" s="54">
        <f t="shared" ca="1" si="111"/>
        <v>1</v>
      </c>
    </row>
    <row r="479" spans="1:36" x14ac:dyDescent="0.2">
      <c r="A479" s="54">
        <v>456</v>
      </c>
      <c r="B479" s="54">
        <f ca="1">MAX(0.02,MCDA_Prioritisation!$B$9+(RAND()-0.5)*2*$B$6)</f>
        <v>0.14049403990094048</v>
      </c>
      <c r="C479" s="54">
        <f ca="1">MAX(0.02,MCDA_Prioritisation!$B$10+(RAND()-0.5)*2*$B$6)</f>
        <v>0.19320960192599718</v>
      </c>
      <c r="D479" s="54">
        <f ca="1">MAX(0.02,MCDA_Prioritisation!$B$11+(RAND()-0.5)*2*$B$6)</f>
        <v>0.32767381075767144</v>
      </c>
      <c r="E479" s="54">
        <f ca="1">MAX(0.02,MCDA_Prioritisation!$B$12+(RAND()-0.5)*2*$B$6)</f>
        <v>0.11151253751138009</v>
      </c>
      <c r="F479" s="54">
        <f ca="1">MAX(0.02,MCDA_Prioritisation!$B$13+(RAND()-0.5)*2*$B$6)</f>
        <v>9.0488726013337822E-2</v>
      </c>
      <c r="G479" s="54">
        <f t="shared" ca="1" si="98"/>
        <v>0.86337871610932704</v>
      </c>
      <c r="H479" s="54">
        <f t="shared" ca="1" si="99"/>
        <v>0.16272585515433316</v>
      </c>
      <c r="I479" s="54">
        <f t="shared" ca="1" si="100"/>
        <v>0.22378314211481168</v>
      </c>
      <c r="J479" s="54">
        <f t="shared" ca="1" si="101"/>
        <v>0.37952500408427847</v>
      </c>
      <c r="K479" s="54">
        <f t="shared" ca="1" si="102"/>
        <v>0.12915831190962507</v>
      </c>
      <c r="L479" s="54">
        <f t="shared" ca="1" si="103"/>
        <v>0.10480768673695161</v>
      </c>
      <c r="M479" s="54">
        <f ca="1">MIN(100,MAX(0,MCDA_Prioritisation!$F$2+(RAND()-0.5)*2*$B$7))</f>
        <v>79.555812688308862</v>
      </c>
      <c r="N479" s="54">
        <f ca="1">MIN(100,MAX(0,MCDA_Prioritisation!$F$3+(RAND()-0.5)*2*$B$7))</f>
        <v>87.959052624979634</v>
      </c>
      <c r="O479" s="54">
        <f ca="1">MIN(100,MAX(0,MCDA_Prioritisation!$F$4+(RAND()-0.5)*2*$B$7))</f>
        <v>86.561988088254054</v>
      </c>
      <c r="P479" s="54">
        <f ca="1">MIN(100,MAX(0,MCDA_Prioritisation!$F$5+(RAND()-0.5)*2*$B$7))</f>
        <v>83.872526613918652</v>
      </c>
      <c r="Q479" s="54">
        <f ca="1">MIN(100,MAX(0,MCDA_Prioritisation!$G$2+(RAND()-0.5)*2*$B$7))</f>
        <v>70.43521129288402</v>
      </c>
      <c r="R479" s="54">
        <f ca="1">MIN(100,MAX(0,MCDA_Prioritisation!$G$3+(RAND()-0.5)*2*$B$7))</f>
        <v>88.97218703437332</v>
      </c>
      <c r="S479" s="54">
        <f ca="1">MIN(100,MAX(0,MCDA_Prioritisation!$G$4+(RAND()-0.5)*2*$B$7))</f>
        <v>92.88611806975068</v>
      </c>
      <c r="T479" s="54">
        <f ca="1">MIN(100,MAX(0,MCDA_Prioritisation!$G$5+(RAND()-0.5)*2*$B$7))</f>
        <v>79.800392739858182</v>
      </c>
      <c r="U479" s="54">
        <f ca="1">MIN(100,MAX(0,MCDA_Prioritisation!$H$2+(RAND()-0.5)*2*$B$7))</f>
        <v>57.235900971183909</v>
      </c>
      <c r="V479" s="54">
        <f ca="1">MIN(100,MAX(0,MCDA_Prioritisation!$H$3+(RAND()-0.5)*2*$B$7))</f>
        <v>66.209321685513345</v>
      </c>
      <c r="W479" s="54">
        <f ca="1">MIN(100,MAX(0,MCDA_Prioritisation!$H$4+(RAND()-0.5)*2*$B$7))</f>
        <v>72.28626469231115</v>
      </c>
      <c r="X479" s="54">
        <f ca="1">MIN(100,MAX(0,MCDA_Prioritisation!$H$5+(RAND()-0.5)*2*$B$7))</f>
        <v>69.343588610950121</v>
      </c>
      <c r="Y479" s="54">
        <f ca="1">H479*MCDA_Prioritisation!$D$2+I479*MCDA_Prioritisation!$E$2+J479*M479+K479*Q479+L479*U479</f>
        <v>83.940375231054688</v>
      </c>
      <c r="Z479" s="54">
        <f ca="1">H479*MCDA_Prioritisation!$D$3+I479*MCDA_Prioritisation!$E$3+J479*N479+K479*R479+L479*V479</f>
        <v>82.310266152004388</v>
      </c>
      <c r="AA479" s="54">
        <f ca="1">H479*MCDA_Prioritisation!$D$4+I479*MCDA_Prioritisation!$E$4+J479*O479+K479*S479+L479*W479</f>
        <v>75.963234436620453</v>
      </c>
      <c r="AB479" s="54">
        <f ca="1">H479*MCDA_Prioritisation!$D$5+I479*MCDA_Prioritisation!$E$5+J479*P479+K479*T479+L479*X479</f>
        <v>76.861293553054978</v>
      </c>
      <c r="AC479" s="54">
        <f t="shared" ca="1" si="104"/>
        <v>1</v>
      </c>
      <c r="AD479" s="54">
        <f t="shared" ca="1" si="105"/>
        <v>2</v>
      </c>
      <c r="AE479" s="54">
        <f t="shared" ca="1" si="106"/>
        <v>4</v>
      </c>
      <c r="AF479" s="54">
        <f t="shared" ca="1" si="107"/>
        <v>3</v>
      </c>
      <c r="AG479" s="54">
        <f t="shared" ca="1" si="108"/>
        <v>1</v>
      </c>
      <c r="AH479" s="54">
        <f t="shared" ca="1" si="109"/>
        <v>1</v>
      </c>
      <c r="AI479" s="54">
        <f t="shared" ca="1" si="110"/>
        <v>0</v>
      </c>
      <c r="AJ479" s="54">
        <f t="shared" ca="1" si="111"/>
        <v>1</v>
      </c>
    </row>
    <row r="480" spans="1:36" x14ac:dyDescent="0.2">
      <c r="A480" s="54">
        <v>457</v>
      </c>
      <c r="B480" s="54">
        <f ca="1">MAX(0.02,MCDA_Prioritisation!$B$9+(RAND()-0.5)*2*$B$6)</f>
        <v>0.24236339167062881</v>
      </c>
      <c r="C480" s="54">
        <f ca="1">MAX(0.02,MCDA_Prioritisation!$B$10+(RAND()-0.5)*2*$B$6)</f>
        <v>0.20575581244425428</v>
      </c>
      <c r="D480" s="54">
        <f ca="1">MAX(0.02,MCDA_Prioritisation!$B$11+(RAND()-0.5)*2*$B$6)</f>
        <v>0.26179188564711153</v>
      </c>
      <c r="E480" s="54">
        <f ca="1">MAX(0.02,MCDA_Prioritisation!$B$12+(RAND()-0.5)*2*$B$6)</f>
        <v>7.0913162840896563E-2</v>
      </c>
      <c r="F480" s="54">
        <f ca="1">MAX(0.02,MCDA_Prioritisation!$B$13+(RAND()-0.5)*2*$B$6)</f>
        <v>0.17511554609088473</v>
      </c>
      <c r="G480" s="54">
        <f t="shared" ca="1" si="98"/>
        <v>0.95593979869377599</v>
      </c>
      <c r="H480" s="54">
        <f t="shared" ca="1" si="99"/>
        <v>0.25353415769675164</v>
      </c>
      <c r="I480" s="54">
        <f t="shared" ca="1" si="100"/>
        <v>0.21523929930044239</v>
      </c>
      <c r="J480" s="54">
        <f t="shared" ca="1" si="101"/>
        <v>0.27385812998353204</v>
      </c>
      <c r="K480" s="54">
        <f t="shared" ca="1" si="102"/>
        <v>7.4181619949074587E-2</v>
      </c>
      <c r="L480" s="54">
        <f t="shared" ca="1" si="103"/>
        <v>0.18318679307019931</v>
      </c>
      <c r="M480" s="54">
        <f ca="1">MIN(100,MAX(0,MCDA_Prioritisation!$F$2+(RAND()-0.5)*2*$B$7))</f>
        <v>79.623261617445763</v>
      </c>
      <c r="N480" s="54">
        <f ca="1">MIN(100,MAX(0,MCDA_Prioritisation!$F$3+(RAND()-0.5)*2*$B$7))</f>
        <v>100</v>
      </c>
      <c r="O480" s="54">
        <f ca="1">MIN(100,MAX(0,MCDA_Prioritisation!$F$4+(RAND()-0.5)*2*$B$7))</f>
        <v>96.437424176882061</v>
      </c>
      <c r="P480" s="54">
        <f ca="1">MIN(100,MAX(0,MCDA_Prioritisation!$F$5+(RAND()-0.5)*2*$B$7))</f>
        <v>65.147643940373911</v>
      </c>
      <c r="Q480" s="54">
        <f ca="1">MIN(100,MAX(0,MCDA_Prioritisation!$G$2+(RAND()-0.5)*2*$B$7))</f>
        <v>79.519306314314406</v>
      </c>
      <c r="R480" s="54">
        <f ca="1">MIN(100,MAX(0,MCDA_Prioritisation!$G$3+(RAND()-0.5)*2*$B$7))</f>
        <v>95.073361434701155</v>
      </c>
      <c r="S480" s="54">
        <f ca="1">MIN(100,MAX(0,MCDA_Prioritisation!$G$4+(RAND()-0.5)*2*$B$7))</f>
        <v>89.533587511025758</v>
      </c>
      <c r="T480" s="54">
        <f ca="1">MIN(100,MAX(0,MCDA_Prioritisation!$G$5+(RAND()-0.5)*2*$B$7))</f>
        <v>73.422476163927897</v>
      </c>
      <c r="U480" s="54">
        <f ca="1">MIN(100,MAX(0,MCDA_Prioritisation!$H$2+(RAND()-0.5)*2*$B$7))</f>
        <v>58.658826937058954</v>
      </c>
      <c r="V480" s="54">
        <f ca="1">MIN(100,MAX(0,MCDA_Prioritisation!$H$3+(RAND()-0.5)*2*$B$7))</f>
        <v>55.043112579402717</v>
      </c>
      <c r="W480" s="54">
        <f ca="1">MIN(100,MAX(0,MCDA_Prioritisation!$H$4+(RAND()-0.5)*2*$B$7))</f>
        <v>72.655870891031185</v>
      </c>
      <c r="X480" s="54">
        <f ca="1">MIN(100,MAX(0,MCDA_Prioritisation!$H$5+(RAND()-0.5)*2*$B$7))</f>
        <v>76.946556453295401</v>
      </c>
      <c r="Y480" s="54">
        <f ca="1">H480*MCDA_Prioritisation!$D$2+I480*MCDA_Prioritisation!$E$2+J480*M480+K480*Q480+L480*U480</f>
        <v>85.327216580944807</v>
      </c>
      <c r="Z480" s="54">
        <f ca="1">H480*MCDA_Prioritisation!$D$3+I480*MCDA_Prioritisation!$E$3+J480*N480+K480*R480+L480*V480</f>
        <v>82.333531486586423</v>
      </c>
      <c r="AA480" s="54">
        <f ca="1">H480*MCDA_Prioritisation!$D$4+I480*MCDA_Prioritisation!$E$4+J480*O480+K480*S480+L480*W480</f>
        <v>75.756468925516373</v>
      </c>
      <c r="AB480" s="54">
        <f ca="1">H480*MCDA_Prioritisation!$D$5+I480*MCDA_Prioritisation!$E$5+J480*P480+K480*T480+L480*X480</f>
        <v>68.939622449581321</v>
      </c>
      <c r="AC480" s="54">
        <f t="shared" ca="1" si="104"/>
        <v>1</v>
      </c>
      <c r="AD480" s="54">
        <f t="shared" ca="1" si="105"/>
        <v>2</v>
      </c>
      <c r="AE480" s="54">
        <f t="shared" ca="1" si="106"/>
        <v>3</v>
      </c>
      <c r="AF480" s="54">
        <f t="shared" ca="1" si="107"/>
        <v>4</v>
      </c>
      <c r="AG480" s="54">
        <f t="shared" ca="1" si="108"/>
        <v>1</v>
      </c>
      <c r="AH480" s="54">
        <f t="shared" ca="1" si="109"/>
        <v>1</v>
      </c>
      <c r="AI480" s="54">
        <f t="shared" ca="1" si="110"/>
        <v>1</v>
      </c>
      <c r="AJ480" s="54">
        <f t="shared" ca="1" si="111"/>
        <v>1</v>
      </c>
    </row>
    <row r="481" spans="1:36" x14ac:dyDescent="0.2">
      <c r="A481" s="54">
        <v>458</v>
      </c>
      <c r="B481" s="54">
        <f ca="1">MAX(0.02,MCDA_Prioritisation!$B$9+(RAND()-0.5)*2*$B$6)</f>
        <v>0.23189469564398685</v>
      </c>
      <c r="C481" s="54">
        <f ca="1">MAX(0.02,MCDA_Prioritisation!$B$10+(RAND()-0.5)*2*$B$6)</f>
        <v>0.23980096013265417</v>
      </c>
      <c r="D481" s="54">
        <f ca="1">MAX(0.02,MCDA_Prioritisation!$B$11+(RAND()-0.5)*2*$B$6)</f>
        <v>0.26291708982322376</v>
      </c>
      <c r="E481" s="54">
        <f ca="1">MAX(0.02,MCDA_Prioritisation!$B$12+(RAND()-0.5)*2*$B$6)</f>
        <v>0.12631762703591465</v>
      </c>
      <c r="F481" s="54">
        <f ca="1">MAX(0.02,MCDA_Prioritisation!$B$13+(RAND()-0.5)*2*$B$6)</f>
        <v>0.18134399824597597</v>
      </c>
      <c r="G481" s="54">
        <f t="shared" ca="1" si="98"/>
        <v>1.0422743708817555</v>
      </c>
      <c r="H481" s="54">
        <f t="shared" ca="1" si="99"/>
        <v>0.22248910855191217</v>
      </c>
      <c r="I481" s="54">
        <f t="shared" ca="1" si="100"/>
        <v>0.23007469705868769</v>
      </c>
      <c r="J481" s="54">
        <f t="shared" ca="1" si="101"/>
        <v>0.25225324268579885</v>
      </c>
      <c r="K481" s="54">
        <f t="shared" ca="1" si="102"/>
        <v>0.12119421772699926</v>
      </c>
      <c r="L481" s="54">
        <f t="shared" ca="1" si="103"/>
        <v>0.173988733976602</v>
      </c>
      <c r="M481" s="54">
        <f ca="1">MIN(100,MAX(0,MCDA_Prioritisation!$F$2+(RAND()-0.5)*2*$B$7))</f>
        <v>78.155873708740316</v>
      </c>
      <c r="N481" s="54">
        <f ca="1">MIN(100,MAX(0,MCDA_Prioritisation!$F$3+(RAND()-0.5)*2*$B$7))</f>
        <v>90.677503042979325</v>
      </c>
      <c r="O481" s="54">
        <f ca="1">MIN(100,MAX(0,MCDA_Prioritisation!$F$4+(RAND()-0.5)*2*$B$7))</f>
        <v>98.140017552310141</v>
      </c>
      <c r="P481" s="54">
        <f ca="1">MIN(100,MAX(0,MCDA_Prioritisation!$F$5+(RAND()-0.5)*2*$B$7))</f>
        <v>78.203525688248803</v>
      </c>
      <c r="Q481" s="54">
        <f ca="1">MIN(100,MAX(0,MCDA_Prioritisation!$G$2+(RAND()-0.5)*2*$B$7))</f>
        <v>70.144917411755188</v>
      </c>
      <c r="R481" s="54">
        <f ca="1">MIN(100,MAX(0,MCDA_Prioritisation!$G$3+(RAND()-0.5)*2*$B$7))</f>
        <v>100</v>
      </c>
      <c r="S481" s="54">
        <f ca="1">MIN(100,MAX(0,MCDA_Prioritisation!$G$4+(RAND()-0.5)*2*$B$7))</f>
        <v>83.005865596869768</v>
      </c>
      <c r="T481" s="54">
        <f ca="1">MIN(100,MAX(0,MCDA_Prioritisation!$G$5+(RAND()-0.5)*2*$B$7))</f>
        <v>63.114233309614981</v>
      </c>
      <c r="U481" s="54">
        <f ca="1">MIN(100,MAX(0,MCDA_Prioritisation!$H$2+(RAND()-0.5)*2*$B$7))</f>
        <v>57.790778331377311</v>
      </c>
      <c r="V481" s="54">
        <f ca="1">MIN(100,MAX(0,MCDA_Prioritisation!$H$3+(RAND()-0.5)*2*$B$7))</f>
        <v>63.514528958499369</v>
      </c>
      <c r="W481" s="54">
        <f ca="1">MIN(100,MAX(0,MCDA_Prioritisation!$H$4+(RAND()-0.5)*2*$B$7))</f>
        <v>81.451334358024752</v>
      </c>
      <c r="X481" s="54">
        <f ca="1">MIN(100,MAX(0,MCDA_Prioritisation!$H$5+(RAND()-0.5)*2*$B$7))</f>
        <v>77.380832467592811</v>
      </c>
      <c r="Y481" s="54">
        <f ca="1">H481*MCDA_Prioritisation!$D$2+I481*MCDA_Prioritisation!$E$2+J481*M481+K481*Q481+L481*U481</f>
        <v>83.527555889672911</v>
      </c>
      <c r="Z481" s="54">
        <f ca="1">H481*MCDA_Prioritisation!$D$3+I481*MCDA_Prioritisation!$E$3+J481*N481+K481*R481+L481*V481</f>
        <v>82.221478534385525</v>
      </c>
      <c r="AA481" s="54">
        <f ca="1">H481*MCDA_Prioritisation!$D$4+I481*MCDA_Prioritisation!$E$4+J481*O481+K481*S481+L481*W481</f>
        <v>77.029945683654617</v>
      </c>
      <c r="AB481" s="54">
        <f ca="1">H481*MCDA_Prioritisation!$D$5+I481*MCDA_Prioritisation!$E$5+J481*P481+K481*T481+L481*X481</f>
        <v>71.995563999354772</v>
      </c>
      <c r="AC481" s="54">
        <f t="shared" ca="1" si="104"/>
        <v>1</v>
      </c>
      <c r="AD481" s="54">
        <f t="shared" ca="1" si="105"/>
        <v>2</v>
      </c>
      <c r="AE481" s="54">
        <f t="shared" ca="1" si="106"/>
        <v>3</v>
      </c>
      <c r="AF481" s="54">
        <f t="shared" ca="1" si="107"/>
        <v>4</v>
      </c>
      <c r="AG481" s="54">
        <f t="shared" ca="1" si="108"/>
        <v>1</v>
      </c>
      <c r="AH481" s="54">
        <f t="shared" ca="1" si="109"/>
        <v>1</v>
      </c>
      <c r="AI481" s="54">
        <f t="shared" ca="1" si="110"/>
        <v>1</v>
      </c>
      <c r="AJ481" s="54">
        <f t="shared" ca="1" si="111"/>
        <v>1</v>
      </c>
    </row>
    <row r="482" spans="1:36" x14ac:dyDescent="0.2">
      <c r="A482" s="54">
        <v>459</v>
      </c>
      <c r="B482" s="54">
        <f ca="1">MAX(0.02,MCDA_Prioritisation!$B$9+(RAND()-0.5)*2*$B$6)</f>
        <v>0.12660081338939613</v>
      </c>
      <c r="C482" s="54">
        <f ca="1">MAX(0.02,MCDA_Prioritisation!$B$10+(RAND()-0.5)*2*$B$6)</f>
        <v>0.25510575045713274</v>
      </c>
      <c r="D482" s="54">
        <f ca="1">MAX(0.02,MCDA_Prioritisation!$B$11+(RAND()-0.5)*2*$B$6)</f>
        <v>0.24800117846273401</v>
      </c>
      <c r="E482" s="54">
        <f ca="1">MAX(0.02,MCDA_Prioritisation!$B$12+(RAND()-0.5)*2*$B$6)</f>
        <v>0.18232680749785588</v>
      </c>
      <c r="F482" s="54">
        <f ca="1">MAX(0.02,MCDA_Prioritisation!$B$13+(RAND()-0.5)*2*$B$6)</f>
        <v>7.9160564330568742E-2</v>
      </c>
      <c r="G482" s="54">
        <f t="shared" ca="1" si="98"/>
        <v>0.89119511413768759</v>
      </c>
      <c r="H482" s="54">
        <f t="shared" ca="1" si="99"/>
        <v>0.14205734679312504</v>
      </c>
      <c r="I482" s="54">
        <f t="shared" ca="1" si="100"/>
        <v>0.28625128931947835</v>
      </c>
      <c r="J482" s="54">
        <f t="shared" ca="1" si="101"/>
        <v>0.27827932910370334</v>
      </c>
      <c r="K482" s="54">
        <f t="shared" ca="1" si="102"/>
        <v>0.20458685713764674</v>
      </c>
      <c r="L482" s="54">
        <f t="shared" ca="1" si="103"/>
        <v>8.8825177646046444E-2</v>
      </c>
      <c r="M482" s="54">
        <f ca="1">MIN(100,MAX(0,MCDA_Prioritisation!$F$2+(RAND()-0.5)*2*$B$7))</f>
        <v>94.823038895325183</v>
      </c>
      <c r="N482" s="54">
        <f ca="1">MIN(100,MAX(0,MCDA_Prioritisation!$F$3+(RAND()-0.5)*2*$B$7))</f>
        <v>85.066514472477422</v>
      </c>
      <c r="O482" s="54">
        <f ca="1">MIN(100,MAX(0,MCDA_Prioritisation!$F$4+(RAND()-0.5)*2*$B$7))</f>
        <v>82.273148405021658</v>
      </c>
      <c r="P482" s="54">
        <f ca="1">MIN(100,MAX(0,MCDA_Prioritisation!$F$5+(RAND()-0.5)*2*$B$7))</f>
        <v>67.030222800614496</v>
      </c>
      <c r="Q482" s="54">
        <f ca="1">MIN(100,MAX(0,MCDA_Prioritisation!$G$2+(RAND()-0.5)*2*$B$7))</f>
        <v>70.215767241411029</v>
      </c>
      <c r="R482" s="54">
        <f ca="1">MIN(100,MAX(0,MCDA_Prioritisation!$G$3+(RAND()-0.5)*2*$B$7))</f>
        <v>93.978525002327402</v>
      </c>
      <c r="S482" s="54">
        <f ca="1">MIN(100,MAX(0,MCDA_Prioritisation!$G$4+(RAND()-0.5)*2*$B$7))</f>
        <v>90.749067343171362</v>
      </c>
      <c r="T482" s="54">
        <f ca="1">MIN(100,MAX(0,MCDA_Prioritisation!$G$5+(RAND()-0.5)*2*$B$7))</f>
        <v>78.264807468175292</v>
      </c>
      <c r="U482" s="54">
        <f ca="1">MIN(100,MAX(0,MCDA_Prioritisation!$H$2+(RAND()-0.5)*2*$B$7))</f>
        <v>57.281154531291321</v>
      </c>
      <c r="V482" s="54">
        <f ca="1">MIN(100,MAX(0,MCDA_Prioritisation!$H$3+(RAND()-0.5)*2*$B$7))</f>
        <v>54.425082907984972</v>
      </c>
      <c r="W482" s="54">
        <f ca="1">MIN(100,MAX(0,MCDA_Prioritisation!$H$4+(RAND()-0.5)*2*$B$7))</f>
        <v>80.528111939753444</v>
      </c>
      <c r="X482" s="54">
        <f ca="1">MIN(100,MAX(0,MCDA_Prioritisation!$H$5+(RAND()-0.5)*2*$B$7))</f>
        <v>76.440413816454125</v>
      </c>
      <c r="Y482" s="54">
        <f ca="1">H482*MCDA_Prioritisation!$D$2+I482*MCDA_Prioritisation!$E$2+J482*M482+K482*Q482+L482*U482</f>
        <v>88.671387127067206</v>
      </c>
      <c r="Z482" s="54">
        <f ca="1">H482*MCDA_Prioritisation!$D$3+I482*MCDA_Prioritisation!$E$3+J482*N482+K482*R482+L482*V482</f>
        <v>80.966979993197043</v>
      </c>
      <c r="AA482" s="54">
        <f ca="1">H482*MCDA_Prioritisation!$D$4+I482*MCDA_Prioritisation!$E$4+J482*O482+K482*S482+L482*W482</f>
        <v>74.11965208828174</v>
      </c>
      <c r="AB482" s="54">
        <f ca="1">H482*MCDA_Prioritisation!$D$5+I482*MCDA_Prioritisation!$E$5+J482*P482+K482*T482+L482*X482</f>
        <v>73.0658609857025</v>
      </c>
      <c r="AC482" s="54">
        <f t="shared" ca="1" si="104"/>
        <v>1</v>
      </c>
      <c r="AD482" s="54">
        <f t="shared" ca="1" si="105"/>
        <v>2</v>
      </c>
      <c r="AE482" s="54">
        <f t="shared" ca="1" si="106"/>
        <v>3</v>
      </c>
      <c r="AF482" s="54">
        <f t="shared" ca="1" si="107"/>
        <v>4</v>
      </c>
      <c r="AG482" s="54">
        <f t="shared" ca="1" si="108"/>
        <v>1</v>
      </c>
      <c r="AH482" s="54">
        <f t="shared" ca="1" si="109"/>
        <v>1</v>
      </c>
      <c r="AI482" s="54">
        <f t="shared" ca="1" si="110"/>
        <v>1</v>
      </c>
      <c r="AJ482" s="54">
        <f t="shared" ca="1" si="111"/>
        <v>1</v>
      </c>
    </row>
    <row r="483" spans="1:36" x14ac:dyDescent="0.2">
      <c r="A483" s="54">
        <v>460</v>
      </c>
      <c r="B483" s="54">
        <f ca="1">MAX(0.02,MCDA_Prioritisation!$B$9+(RAND()-0.5)*2*$B$6)</f>
        <v>0.27151530880259894</v>
      </c>
      <c r="C483" s="54">
        <f ca="1">MAX(0.02,MCDA_Prioritisation!$B$10+(RAND()-0.5)*2*$B$6)</f>
        <v>0.28866306789883428</v>
      </c>
      <c r="D483" s="54">
        <f ca="1">MAX(0.02,MCDA_Prioritisation!$B$11+(RAND()-0.5)*2*$B$6)</f>
        <v>0.20064538083822603</v>
      </c>
      <c r="E483" s="54">
        <f ca="1">MAX(0.02,MCDA_Prioritisation!$B$12+(RAND()-0.5)*2*$B$6)</f>
        <v>0.12359323322267549</v>
      </c>
      <c r="F483" s="54">
        <f ca="1">MAX(0.02,MCDA_Prioritisation!$B$13+(RAND()-0.5)*2*$B$6)</f>
        <v>0.11691379712652078</v>
      </c>
      <c r="G483" s="54">
        <f t="shared" ca="1" si="98"/>
        <v>1.0013307878888555</v>
      </c>
      <c r="H483" s="54">
        <f t="shared" ca="1" si="99"/>
        <v>0.27115445973157898</v>
      </c>
      <c r="I483" s="54">
        <f t="shared" ca="1" si="100"/>
        <v>0.28827942912594728</v>
      </c>
      <c r="J483" s="54">
        <f t="shared" ca="1" si="101"/>
        <v>0.20037871926544318</v>
      </c>
      <c r="K483" s="54">
        <f t="shared" ca="1" si="102"/>
        <v>0.12342897543703003</v>
      </c>
      <c r="L483" s="54">
        <f t="shared" ca="1" si="103"/>
        <v>0.11675841644000047</v>
      </c>
      <c r="M483" s="54">
        <f ca="1">MIN(100,MAX(0,MCDA_Prioritisation!$F$2+(RAND()-0.5)*2*$B$7))</f>
        <v>89.091907041628758</v>
      </c>
      <c r="N483" s="54">
        <f ca="1">MIN(100,MAX(0,MCDA_Prioritisation!$F$3+(RAND()-0.5)*2*$B$7))</f>
        <v>93.335967418292725</v>
      </c>
      <c r="O483" s="54">
        <f ca="1">MIN(100,MAX(0,MCDA_Prioritisation!$F$4+(RAND()-0.5)*2*$B$7))</f>
        <v>80.430158083826825</v>
      </c>
      <c r="P483" s="54">
        <f ca="1">MIN(100,MAX(0,MCDA_Prioritisation!$F$5+(RAND()-0.5)*2*$B$7))</f>
        <v>67.110021407805831</v>
      </c>
      <c r="Q483" s="54">
        <f ca="1">MIN(100,MAX(0,MCDA_Prioritisation!$G$2+(RAND()-0.5)*2*$B$7))</f>
        <v>86.217062068976404</v>
      </c>
      <c r="R483" s="54">
        <f ca="1">MIN(100,MAX(0,MCDA_Prioritisation!$G$3+(RAND()-0.5)*2*$B$7))</f>
        <v>98.974900778243779</v>
      </c>
      <c r="S483" s="54">
        <f ca="1">MIN(100,MAX(0,MCDA_Prioritisation!$G$4+(RAND()-0.5)*2*$B$7))</f>
        <v>91.438366951888312</v>
      </c>
      <c r="T483" s="54">
        <f ca="1">MIN(100,MAX(0,MCDA_Prioritisation!$G$5+(RAND()-0.5)*2*$B$7))</f>
        <v>78.097792328919297</v>
      </c>
      <c r="U483" s="54">
        <f ca="1">MIN(100,MAX(0,MCDA_Prioritisation!$H$2+(RAND()-0.5)*2*$B$7))</f>
        <v>71.814950034801726</v>
      </c>
      <c r="V483" s="54">
        <f ca="1">MIN(100,MAX(0,MCDA_Prioritisation!$H$3+(RAND()-0.5)*2*$B$7))</f>
        <v>52.994121780518341</v>
      </c>
      <c r="W483" s="54">
        <f ca="1">MIN(100,MAX(0,MCDA_Prioritisation!$H$4+(RAND()-0.5)*2*$B$7))</f>
        <v>72.67978197022515</v>
      </c>
      <c r="X483" s="54">
        <f ca="1">MIN(100,MAX(0,MCDA_Prioritisation!$H$5+(RAND()-0.5)*2*$B$7))</f>
        <v>83.586733259262843</v>
      </c>
      <c r="Y483" s="54">
        <f ca="1">H483*MCDA_Prioritisation!$D$2+I483*MCDA_Prioritisation!$E$2+J483*M483+K483*Q483+L483*U483</f>
        <v>92.822194594815898</v>
      </c>
      <c r="Z483" s="54">
        <f ca="1">H483*MCDA_Prioritisation!$D$3+I483*MCDA_Prioritisation!$E$3+J483*N483+K483*R483+L483*V483</f>
        <v>81.770241344925822</v>
      </c>
      <c r="AA483" s="54">
        <f ca="1">H483*MCDA_Prioritisation!$D$4+I483*MCDA_Prioritisation!$E$4+J483*O483+K483*S483+L483*W483</f>
        <v>70.494547330423643</v>
      </c>
      <c r="AB483" s="54">
        <f ca="1">H483*MCDA_Prioritisation!$D$5+I483*MCDA_Prioritisation!$E$5+J483*P483+K483*T483+L483*X483</f>
        <v>71.479848738192942</v>
      </c>
      <c r="AC483" s="54">
        <f t="shared" ca="1" si="104"/>
        <v>1</v>
      </c>
      <c r="AD483" s="54">
        <f t="shared" ca="1" si="105"/>
        <v>2</v>
      </c>
      <c r="AE483" s="54">
        <f t="shared" ca="1" si="106"/>
        <v>4</v>
      </c>
      <c r="AF483" s="54">
        <f t="shared" ca="1" si="107"/>
        <v>3</v>
      </c>
      <c r="AG483" s="54">
        <f t="shared" ca="1" si="108"/>
        <v>1</v>
      </c>
      <c r="AH483" s="54">
        <f t="shared" ca="1" si="109"/>
        <v>1</v>
      </c>
      <c r="AI483" s="54">
        <f t="shared" ca="1" si="110"/>
        <v>0</v>
      </c>
      <c r="AJ483" s="54">
        <f t="shared" ca="1" si="111"/>
        <v>1</v>
      </c>
    </row>
    <row r="484" spans="1:36" x14ac:dyDescent="0.2">
      <c r="A484" s="54">
        <v>461</v>
      </c>
      <c r="B484" s="54">
        <f ca="1">MAX(0.02,MCDA_Prioritisation!$B$9+(RAND()-0.5)*2*$B$6)</f>
        <v>0.27246460697245489</v>
      </c>
      <c r="C484" s="54">
        <f ca="1">MAX(0.02,MCDA_Prioritisation!$B$10+(RAND()-0.5)*2*$B$6)</f>
        <v>0.28734470944654938</v>
      </c>
      <c r="D484" s="54">
        <f ca="1">MAX(0.02,MCDA_Prioritisation!$B$11+(RAND()-0.5)*2*$B$6)</f>
        <v>0.22380162402561513</v>
      </c>
      <c r="E484" s="54">
        <f ca="1">MAX(0.02,MCDA_Prioritisation!$B$12+(RAND()-0.5)*2*$B$6)</f>
        <v>0.138680614219786</v>
      </c>
      <c r="F484" s="54">
        <f ca="1">MAX(0.02,MCDA_Prioritisation!$B$13+(RAND()-0.5)*2*$B$6)</f>
        <v>0.19468338223112128</v>
      </c>
      <c r="G484" s="54">
        <f t="shared" ca="1" si="98"/>
        <v>1.1169749368955268</v>
      </c>
      <c r="H484" s="54">
        <f t="shared" ca="1" si="99"/>
        <v>0.24393081525153246</v>
      </c>
      <c r="I484" s="54">
        <f t="shared" ca="1" si="100"/>
        <v>0.25725260250259796</v>
      </c>
      <c r="J484" s="54">
        <f t="shared" ca="1" si="101"/>
        <v>0.20036405171958463</v>
      </c>
      <c r="K484" s="54">
        <f t="shared" ca="1" si="102"/>
        <v>0.1241573195950386</v>
      </c>
      <c r="L484" s="54">
        <f t="shared" ca="1" si="103"/>
        <v>0.1742952109312462</v>
      </c>
      <c r="M484" s="54">
        <f ca="1">MIN(100,MAX(0,MCDA_Prioritisation!$F$2+(RAND()-0.5)*2*$B$7))</f>
        <v>88.261617398350225</v>
      </c>
      <c r="N484" s="54">
        <f ca="1">MIN(100,MAX(0,MCDA_Prioritisation!$F$3+(RAND()-0.5)*2*$B$7))</f>
        <v>100</v>
      </c>
      <c r="O484" s="54">
        <f ca="1">MIN(100,MAX(0,MCDA_Prioritisation!$F$4+(RAND()-0.5)*2*$B$7))</f>
        <v>89.575469138342157</v>
      </c>
      <c r="P484" s="54">
        <f ca="1">MIN(100,MAX(0,MCDA_Prioritisation!$F$5+(RAND()-0.5)*2*$B$7))</f>
        <v>83.949106981140218</v>
      </c>
      <c r="Q484" s="54">
        <f ca="1">MIN(100,MAX(0,MCDA_Prioritisation!$G$2+(RAND()-0.5)*2*$B$7))</f>
        <v>75.449630661591996</v>
      </c>
      <c r="R484" s="54">
        <f ca="1">MIN(100,MAX(0,MCDA_Prioritisation!$G$3+(RAND()-0.5)*2*$B$7))</f>
        <v>90.52769014862335</v>
      </c>
      <c r="S484" s="54">
        <f ca="1">MIN(100,MAX(0,MCDA_Prioritisation!$G$4+(RAND()-0.5)*2*$B$7))</f>
        <v>83.745403079412768</v>
      </c>
      <c r="T484" s="54">
        <f ca="1">MIN(100,MAX(0,MCDA_Prioritisation!$G$5+(RAND()-0.5)*2*$B$7))</f>
        <v>63.448227851436378</v>
      </c>
      <c r="U484" s="54">
        <f ca="1">MIN(100,MAX(0,MCDA_Prioritisation!$H$2+(RAND()-0.5)*2*$B$7))</f>
        <v>68.803644256170827</v>
      </c>
      <c r="V484" s="54">
        <f ca="1">MIN(100,MAX(0,MCDA_Prioritisation!$H$3+(RAND()-0.5)*2*$B$7))</f>
        <v>69.146743520343719</v>
      </c>
      <c r="W484" s="54">
        <f ca="1">MIN(100,MAX(0,MCDA_Prioritisation!$H$4+(RAND()-0.5)*2*$B$7))</f>
        <v>78.188036151619556</v>
      </c>
      <c r="X484" s="54">
        <f ca="1">MIN(100,MAX(0,MCDA_Prioritisation!$H$5+(RAND()-0.5)*2*$B$7))</f>
        <v>81.108840331594209</v>
      </c>
      <c r="Y484" s="54">
        <f ca="1">H484*MCDA_Prioritisation!$D$2+I484*MCDA_Prioritisation!$E$2+J484*M484+K484*Q484+L484*U484</f>
        <v>89.162566644516886</v>
      </c>
      <c r="Z484" s="54">
        <f ca="1">H484*MCDA_Prioritisation!$D$3+I484*MCDA_Prioritisation!$E$3+J484*N484+K484*R484+L484*V484</f>
        <v>83.356089210122974</v>
      </c>
      <c r="AA484" s="54">
        <f ca="1">H484*MCDA_Prioritisation!$D$4+I484*MCDA_Prioritisation!$E$4+J484*O484+K484*S484+L484*W484</f>
        <v>72.99097709811673</v>
      </c>
      <c r="AB484" s="54">
        <f ca="1">H484*MCDA_Prioritisation!$D$5+I484*MCDA_Prioritisation!$E$5+J484*P484+K484*T484+L484*X484</f>
        <v>73.414277834943931</v>
      </c>
      <c r="AC484" s="54">
        <f t="shared" ca="1" si="104"/>
        <v>1</v>
      </c>
      <c r="AD484" s="54">
        <f t="shared" ca="1" si="105"/>
        <v>2</v>
      </c>
      <c r="AE484" s="54">
        <f t="shared" ca="1" si="106"/>
        <v>4</v>
      </c>
      <c r="AF484" s="54">
        <f t="shared" ca="1" si="107"/>
        <v>3</v>
      </c>
      <c r="AG484" s="54">
        <f t="shared" ca="1" si="108"/>
        <v>1</v>
      </c>
      <c r="AH484" s="54">
        <f t="shared" ca="1" si="109"/>
        <v>1</v>
      </c>
      <c r="AI484" s="54">
        <f t="shared" ca="1" si="110"/>
        <v>0</v>
      </c>
      <c r="AJ484" s="54">
        <f t="shared" ca="1" si="111"/>
        <v>1</v>
      </c>
    </row>
    <row r="485" spans="1:36" x14ac:dyDescent="0.2">
      <c r="A485" s="54">
        <v>462</v>
      </c>
      <c r="B485" s="54">
        <f ca="1">MAX(0.02,MCDA_Prioritisation!$B$9+(RAND()-0.5)*2*$B$6)</f>
        <v>0.13395589526665225</v>
      </c>
      <c r="C485" s="54">
        <f ca="1">MAX(0.02,MCDA_Prioritisation!$B$10+(RAND()-0.5)*2*$B$6)</f>
        <v>0.17182133081418932</v>
      </c>
      <c r="D485" s="54">
        <f ca="1">MAX(0.02,MCDA_Prioritisation!$B$11+(RAND()-0.5)*2*$B$6)</f>
        <v>0.23953745635518103</v>
      </c>
      <c r="E485" s="54">
        <f ca="1">MAX(0.02,MCDA_Prioritisation!$B$12+(RAND()-0.5)*2*$B$6)</f>
        <v>0.14615555719458889</v>
      </c>
      <c r="F485" s="54">
        <f ca="1">MAX(0.02,MCDA_Prioritisation!$B$13+(RAND()-0.5)*2*$B$6)</f>
        <v>0.11031949061336678</v>
      </c>
      <c r="G485" s="54">
        <f t="shared" ca="1" si="98"/>
        <v>0.80178973024397837</v>
      </c>
      <c r="H485" s="54">
        <f t="shared" ca="1" si="99"/>
        <v>0.16707110382405435</v>
      </c>
      <c r="I485" s="54">
        <f t="shared" ca="1" si="100"/>
        <v>0.21429724569046979</v>
      </c>
      <c r="J485" s="54">
        <f t="shared" ca="1" si="101"/>
        <v>0.29875346031470329</v>
      </c>
      <c r="K485" s="54">
        <f t="shared" ca="1" si="102"/>
        <v>0.18228664159880784</v>
      </c>
      <c r="L485" s="54">
        <f t="shared" ca="1" si="103"/>
        <v>0.13759154857196465</v>
      </c>
      <c r="M485" s="54">
        <f ca="1">MIN(100,MAX(0,MCDA_Prioritisation!$F$2+(RAND()-0.5)*2*$B$7))</f>
        <v>75.147320170834988</v>
      </c>
      <c r="N485" s="54">
        <f ca="1">MIN(100,MAX(0,MCDA_Prioritisation!$F$3+(RAND()-0.5)*2*$B$7))</f>
        <v>91.324342666472177</v>
      </c>
      <c r="O485" s="54">
        <f ca="1">MIN(100,MAX(0,MCDA_Prioritisation!$F$4+(RAND()-0.5)*2*$B$7))</f>
        <v>85.5095864564679</v>
      </c>
      <c r="P485" s="54">
        <f ca="1">MIN(100,MAX(0,MCDA_Prioritisation!$F$5+(RAND()-0.5)*2*$B$7))</f>
        <v>84.674272813511436</v>
      </c>
      <c r="Q485" s="54">
        <f ca="1">MIN(100,MAX(0,MCDA_Prioritisation!$G$2+(RAND()-0.5)*2*$B$7))</f>
        <v>83.441442926350859</v>
      </c>
      <c r="R485" s="54">
        <f ca="1">MIN(100,MAX(0,MCDA_Prioritisation!$G$3+(RAND()-0.5)*2*$B$7))</f>
        <v>100</v>
      </c>
      <c r="S485" s="54">
        <f ca="1">MIN(100,MAX(0,MCDA_Prioritisation!$G$4+(RAND()-0.5)*2*$B$7))</f>
        <v>79.553313029074857</v>
      </c>
      <c r="T485" s="54">
        <f ca="1">MIN(100,MAX(0,MCDA_Prioritisation!$G$5+(RAND()-0.5)*2*$B$7))</f>
        <v>73.55660621227176</v>
      </c>
      <c r="U485" s="54">
        <f ca="1">MIN(100,MAX(0,MCDA_Prioritisation!$H$2+(RAND()-0.5)*2*$B$7))</f>
        <v>74.234465509114969</v>
      </c>
      <c r="V485" s="54">
        <f ca="1">MIN(100,MAX(0,MCDA_Prioritisation!$H$3+(RAND()-0.5)*2*$B$7))</f>
        <v>59.81985970617599</v>
      </c>
      <c r="W485" s="54">
        <f ca="1">MIN(100,MAX(0,MCDA_Prioritisation!$H$4+(RAND()-0.5)*2*$B$7))</f>
        <v>71.471718994225043</v>
      </c>
      <c r="X485" s="54">
        <f ca="1">MIN(100,MAX(0,MCDA_Prioritisation!$H$5+(RAND()-0.5)*2*$B$7))</f>
        <v>76.935421411994696</v>
      </c>
      <c r="Y485" s="54">
        <f ca="1">H485*MCDA_Prioritisation!$D$2+I485*MCDA_Prioritisation!$E$2+J485*M485+K485*Q485+L485*U485</f>
        <v>86.011652353880606</v>
      </c>
      <c r="Z485" s="54">
        <f ca="1">H485*MCDA_Prioritisation!$D$3+I485*MCDA_Prioritisation!$E$3+J485*N485+K485*R485+L485*V485</f>
        <v>83.929575312713141</v>
      </c>
      <c r="AA485" s="54">
        <f ca="1">H485*MCDA_Prioritisation!$D$4+I485*MCDA_Prioritisation!$E$4+J485*O485+K485*S485+L485*W485</f>
        <v>73.204485799633957</v>
      </c>
      <c r="AB485" s="54">
        <f ca="1">H485*MCDA_Prioritisation!$D$5+I485*MCDA_Prioritisation!$E$5+J485*P485+K485*T485+L485*X485</f>
        <v>76.178680193390377</v>
      </c>
      <c r="AC485" s="54">
        <f t="shared" ca="1" si="104"/>
        <v>1</v>
      </c>
      <c r="AD485" s="54">
        <f t="shared" ca="1" si="105"/>
        <v>2</v>
      </c>
      <c r="AE485" s="54">
        <f t="shared" ca="1" si="106"/>
        <v>4</v>
      </c>
      <c r="AF485" s="54">
        <f t="shared" ca="1" si="107"/>
        <v>3</v>
      </c>
      <c r="AG485" s="54">
        <f t="shared" ca="1" si="108"/>
        <v>1</v>
      </c>
      <c r="AH485" s="54">
        <f t="shared" ca="1" si="109"/>
        <v>1</v>
      </c>
      <c r="AI485" s="54">
        <f t="shared" ca="1" si="110"/>
        <v>0</v>
      </c>
      <c r="AJ485" s="54">
        <f t="shared" ca="1" si="111"/>
        <v>1</v>
      </c>
    </row>
    <row r="486" spans="1:36" x14ac:dyDescent="0.2">
      <c r="A486" s="54">
        <v>463</v>
      </c>
      <c r="B486" s="54">
        <f ca="1">MAX(0.02,MCDA_Prioritisation!$B$9+(RAND()-0.5)*2*$B$6)</f>
        <v>0.25401072660613877</v>
      </c>
      <c r="C486" s="54">
        <f ca="1">MAX(0.02,MCDA_Prioritisation!$B$10+(RAND()-0.5)*2*$B$6)</f>
        <v>0.20960331754583028</v>
      </c>
      <c r="D486" s="54">
        <f ca="1">MAX(0.02,MCDA_Prioritisation!$B$11+(RAND()-0.5)*2*$B$6)</f>
        <v>0.25854906273157557</v>
      </c>
      <c r="E486" s="54">
        <f ca="1">MAX(0.02,MCDA_Prioritisation!$B$12+(RAND()-0.5)*2*$B$6)</f>
        <v>0.14598669855957289</v>
      </c>
      <c r="F486" s="54">
        <f ca="1">MAX(0.02,MCDA_Prioritisation!$B$13+(RAND()-0.5)*2*$B$6)</f>
        <v>0.16994662341532119</v>
      </c>
      <c r="G486" s="54">
        <f t="shared" ca="1" si="98"/>
        <v>1.0380964288584387</v>
      </c>
      <c r="H486" s="54">
        <f t="shared" ca="1" si="99"/>
        <v>0.24468895137753843</v>
      </c>
      <c r="I486" s="54">
        <f t="shared" ca="1" si="100"/>
        <v>0.20191122107637371</v>
      </c>
      <c r="J486" s="54">
        <f t="shared" ca="1" si="101"/>
        <v>0.24906073804327955</v>
      </c>
      <c r="K486" s="54">
        <f t="shared" ca="1" si="102"/>
        <v>0.14062922720975909</v>
      </c>
      <c r="L486" s="54">
        <f t="shared" ca="1" si="103"/>
        <v>0.16370986229304924</v>
      </c>
      <c r="M486" s="54">
        <f ca="1">MIN(100,MAX(0,MCDA_Prioritisation!$F$2+(RAND()-0.5)*2*$B$7))</f>
        <v>84.203925776231557</v>
      </c>
      <c r="N486" s="54">
        <f ca="1">MIN(100,MAX(0,MCDA_Prioritisation!$F$3+(RAND()-0.5)*2*$B$7))</f>
        <v>90.952062600909187</v>
      </c>
      <c r="O486" s="54">
        <f ca="1">MIN(100,MAX(0,MCDA_Prioritisation!$F$4+(RAND()-0.5)*2*$B$7))</f>
        <v>95.746846978696738</v>
      </c>
      <c r="P486" s="54">
        <f ca="1">MIN(100,MAX(0,MCDA_Prioritisation!$F$5+(RAND()-0.5)*2*$B$7))</f>
        <v>78.772971066922537</v>
      </c>
      <c r="Q486" s="54">
        <f ca="1">MIN(100,MAX(0,MCDA_Prioritisation!$G$2+(RAND()-0.5)*2*$B$7))</f>
        <v>80.722752974070985</v>
      </c>
      <c r="R486" s="54">
        <f ca="1">MIN(100,MAX(0,MCDA_Prioritisation!$G$3+(RAND()-0.5)*2*$B$7))</f>
        <v>100</v>
      </c>
      <c r="S486" s="54">
        <f ca="1">MIN(100,MAX(0,MCDA_Prioritisation!$G$4+(RAND()-0.5)*2*$B$7))</f>
        <v>76.898879838996152</v>
      </c>
      <c r="T486" s="54">
        <f ca="1">MIN(100,MAX(0,MCDA_Prioritisation!$G$5+(RAND()-0.5)*2*$B$7))</f>
        <v>60.898375569672218</v>
      </c>
      <c r="U486" s="54">
        <f ca="1">MIN(100,MAX(0,MCDA_Prioritisation!$H$2+(RAND()-0.5)*2*$B$7))</f>
        <v>56.220042595845356</v>
      </c>
      <c r="V486" s="54">
        <f ca="1">MIN(100,MAX(0,MCDA_Prioritisation!$H$3+(RAND()-0.5)*2*$B$7))</f>
        <v>51.848188827517099</v>
      </c>
      <c r="W486" s="54">
        <f ca="1">MIN(100,MAX(0,MCDA_Prioritisation!$H$4+(RAND()-0.5)*2*$B$7))</f>
        <v>71.011676902101343</v>
      </c>
      <c r="X486" s="54">
        <f ca="1">MIN(100,MAX(0,MCDA_Prioritisation!$H$5+(RAND()-0.5)*2*$B$7))</f>
        <v>67.907542234341634</v>
      </c>
      <c r="Y486" s="54">
        <f ca="1">H486*MCDA_Prioritisation!$D$2+I486*MCDA_Prioritisation!$E$2+J486*M486+K486*Q486+L486*U486</f>
        <v>86.187662945824073</v>
      </c>
      <c r="Z486" s="54">
        <f ca="1">H486*MCDA_Prioritisation!$D$3+I486*MCDA_Prioritisation!$E$3+J486*N486+K486*R486+L486*V486</f>
        <v>81.273063806160593</v>
      </c>
      <c r="AA486" s="54">
        <f ca="1">H486*MCDA_Prioritisation!$D$4+I486*MCDA_Prioritisation!$E$4+J486*O486+K486*S486+L486*W486</f>
        <v>74.338361742479094</v>
      </c>
      <c r="AB486" s="54">
        <f ca="1">H486*MCDA_Prioritisation!$D$5+I486*MCDA_Prioritisation!$E$5+J486*P486+K486*T486+L486*X486</f>
        <v>69.266462154229913</v>
      </c>
      <c r="AC486" s="54">
        <f t="shared" ca="1" si="104"/>
        <v>1</v>
      </c>
      <c r="AD486" s="54">
        <f t="shared" ca="1" si="105"/>
        <v>2</v>
      </c>
      <c r="AE486" s="54">
        <f t="shared" ca="1" si="106"/>
        <v>3</v>
      </c>
      <c r="AF486" s="54">
        <f t="shared" ca="1" si="107"/>
        <v>4</v>
      </c>
      <c r="AG486" s="54">
        <f t="shared" ca="1" si="108"/>
        <v>1</v>
      </c>
      <c r="AH486" s="54">
        <f t="shared" ca="1" si="109"/>
        <v>1</v>
      </c>
      <c r="AI486" s="54">
        <f t="shared" ca="1" si="110"/>
        <v>1</v>
      </c>
      <c r="AJ486" s="54">
        <f t="shared" ca="1" si="111"/>
        <v>1</v>
      </c>
    </row>
    <row r="487" spans="1:36" x14ac:dyDescent="0.2">
      <c r="A487" s="54">
        <v>464</v>
      </c>
      <c r="B487" s="54">
        <f ca="1">MAX(0.02,MCDA_Prioritisation!$B$9+(RAND()-0.5)*2*$B$6)</f>
        <v>0.18626386873909795</v>
      </c>
      <c r="C487" s="54">
        <f ca="1">MAX(0.02,MCDA_Prioritisation!$B$10+(RAND()-0.5)*2*$B$6)</f>
        <v>0.29584393725300323</v>
      </c>
      <c r="D487" s="54">
        <f ca="1">MAX(0.02,MCDA_Prioritisation!$B$11+(RAND()-0.5)*2*$B$6)</f>
        <v>0.22689209781522376</v>
      </c>
      <c r="E487" s="54">
        <f ca="1">MAX(0.02,MCDA_Prioritisation!$B$12+(RAND()-0.5)*2*$B$6)</f>
        <v>0.13198610980121067</v>
      </c>
      <c r="F487" s="54">
        <f ca="1">MAX(0.02,MCDA_Prioritisation!$B$13+(RAND()-0.5)*2*$B$6)</f>
        <v>0.13279919785931454</v>
      </c>
      <c r="G487" s="54">
        <f t="shared" ca="1" si="98"/>
        <v>0.97378521146785024</v>
      </c>
      <c r="H487" s="54">
        <f t="shared" ca="1" si="99"/>
        <v>0.19127818593417559</v>
      </c>
      <c r="I487" s="54">
        <f t="shared" ca="1" si="100"/>
        <v>0.30380820510414025</v>
      </c>
      <c r="J487" s="54">
        <f t="shared" ca="1" si="101"/>
        <v>0.23300014740747033</v>
      </c>
      <c r="K487" s="54">
        <f t="shared" ca="1" si="102"/>
        <v>0.13553924237795659</v>
      </c>
      <c r="L487" s="54">
        <f t="shared" ca="1" si="103"/>
        <v>0.13637421917625717</v>
      </c>
      <c r="M487" s="54">
        <f ca="1">MIN(100,MAX(0,MCDA_Prioritisation!$F$2+(RAND()-0.5)*2*$B$7))</f>
        <v>85.65690532934137</v>
      </c>
      <c r="N487" s="54">
        <f ca="1">MIN(100,MAX(0,MCDA_Prioritisation!$F$3+(RAND()-0.5)*2*$B$7))</f>
        <v>100</v>
      </c>
      <c r="O487" s="54">
        <f ca="1">MIN(100,MAX(0,MCDA_Prioritisation!$F$4+(RAND()-0.5)*2*$B$7))</f>
        <v>99.291756309973508</v>
      </c>
      <c r="P487" s="54">
        <f ca="1">MIN(100,MAX(0,MCDA_Prioritisation!$F$5+(RAND()-0.5)*2*$B$7))</f>
        <v>82.149432695140234</v>
      </c>
      <c r="Q487" s="54">
        <f ca="1">MIN(100,MAX(0,MCDA_Prioritisation!$G$2+(RAND()-0.5)*2*$B$7))</f>
        <v>70.408644114166819</v>
      </c>
      <c r="R487" s="54">
        <f ca="1">MIN(100,MAX(0,MCDA_Prioritisation!$G$3+(RAND()-0.5)*2*$B$7))</f>
        <v>100</v>
      </c>
      <c r="S487" s="54">
        <f ca="1">MIN(100,MAX(0,MCDA_Prioritisation!$G$4+(RAND()-0.5)*2*$B$7))</f>
        <v>82.357260555245063</v>
      </c>
      <c r="T487" s="54">
        <f ca="1">MIN(100,MAX(0,MCDA_Prioritisation!$G$5+(RAND()-0.5)*2*$B$7))</f>
        <v>73.128628835698862</v>
      </c>
      <c r="U487" s="54">
        <f ca="1">MIN(100,MAX(0,MCDA_Prioritisation!$H$2+(RAND()-0.5)*2*$B$7))</f>
        <v>73.349938006730568</v>
      </c>
      <c r="V487" s="54">
        <f ca="1">MIN(100,MAX(0,MCDA_Prioritisation!$H$3+(RAND()-0.5)*2*$B$7))</f>
        <v>61.31043649025284</v>
      </c>
      <c r="W487" s="54">
        <f ca="1">MIN(100,MAX(0,MCDA_Prioritisation!$H$4+(RAND()-0.5)*2*$B$7))</f>
        <v>83.462373232868174</v>
      </c>
      <c r="X487" s="54">
        <f ca="1">MIN(100,MAX(0,MCDA_Prioritisation!$H$5+(RAND()-0.5)*2*$B$7))</f>
        <v>77.235531736860281</v>
      </c>
      <c r="Y487" s="54">
        <f ca="1">H487*MCDA_Prioritisation!$D$2+I487*MCDA_Prioritisation!$E$2+J487*M487+K487*Q487+L487*U487</f>
        <v>89.012885474423953</v>
      </c>
      <c r="Z487" s="54">
        <f ca="1">H487*MCDA_Prioritisation!$D$3+I487*MCDA_Prioritisation!$E$3+J487*N487+K487*R487+L487*V487</f>
        <v>84.027352941672646</v>
      </c>
      <c r="AA487" s="54">
        <f ca="1">H487*MCDA_Prioritisation!$D$4+I487*MCDA_Prioritisation!$E$4+J487*O487+K487*S487+L487*W487</f>
        <v>75.570595599222145</v>
      </c>
      <c r="AB487" s="54">
        <f ca="1">H487*MCDA_Prioritisation!$D$5+I487*MCDA_Prioritisation!$E$5+J487*P487+K487*T487+L487*X487</f>
        <v>75.285332287663167</v>
      </c>
      <c r="AC487" s="54">
        <f t="shared" ca="1" si="104"/>
        <v>1</v>
      </c>
      <c r="AD487" s="54">
        <f t="shared" ca="1" si="105"/>
        <v>2</v>
      </c>
      <c r="AE487" s="54">
        <f t="shared" ca="1" si="106"/>
        <v>3</v>
      </c>
      <c r="AF487" s="54">
        <f t="shared" ca="1" si="107"/>
        <v>4</v>
      </c>
      <c r="AG487" s="54">
        <f t="shared" ca="1" si="108"/>
        <v>1</v>
      </c>
      <c r="AH487" s="54">
        <f t="shared" ca="1" si="109"/>
        <v>1</v>
      </c>
      <c r="AI487" s="54">
        <f t="shared" ca="1" si="110"/>
        <v>1</v>
      </c>
      <c r="AJ487" s="54">
        <f t="shared" ca="1" si="111"/>
        <v>1</v>
      </c>
    </row>
    <row r="488" spans="1:36" x14ac:dyDescent="0.2">
      <c r="A488" s="54">
        <v>465</v>
      </c>
      <c r="B488" s="54">
        <f ca="1">MAX(0.02,MCDA_Prioritisation!$B$9+(RAND()-0.5)*2*$B$6)</f>
        <v>0.23407600471881063</v>
      </c>
      <c r="C488" s="54">
        <f ca="1">MAX(0.02,MCDA_Prioritisation!$B$10+(RAND()-0.5)*2*$B$6)</f>
        <v>0.23556702077643105</v>
      </c>
      <c r="D488" s="54">
        <f ca="1">MAX(0.02,MCDA_Prioritisation!$B$11+(RAND()-0.5)*2*$B$6)</f>
        <v>0.21595629420770518</v>
      </c>
      <c r="E488" s="54">
        <f ca="1">MAX(0.02,MCDA_Prioritisation!$B$12+(RAND()-0.5)*2*$B$6)</f>
        <v>0.17465952259958617</v>
      </c>
      <c r="F488" s="54">
        <f ca="1">MAX(0.02,MCDA_Prioritisation!$B$13+(RAND()-0.5)*2*$B$6)</f>
        <v>9.4025613848758058E-2</v>
      </c>
      <c r="G488" s="54">
        <f t="shared" ca="1" si="98"/>
        <v>0.95428445615129109</v>
      </c>
      <c r="H488" s="54">
        <f t="shared" ca="1" si="99"/>
        <v>0.24528954989255375</v>
      </c>
      <c r="I488" s="54">
        <f t="shared" ca="1" si="100"/>
        <v>0.24685199392903506</v>
      </c>
      <c r="J488" s="54">
        <f t="shared" ca="1" si="101"/>
        <v>0.22630180426355781</v>
      </c>
      <c r="K488" s="54">
        <f t="shared" ca="1" si="102"/>
        <v>0.18302668714106757</v>
      </c>
      <c r="L488" s="54">
        <f t="shared" ca="1" si="103"/>
        <v>9.8529964773785811E-2</v>
      </c>
      <c r="M488" s="54">
        <f ca="1">MIN(100,MAX(0,MCDA_Prioritisation!$F$2+(RAND()-0.5)*2*$B$7))</f>
        <v>81.493670151838671</v>
      </c>
      <c r="N488" s="54">
        <f ca="1">MIN(100,MAX(0,MCDA_Prioritisation!$F$3+(RAND()-0.5)*2*$B$7))</f>
        <v>87.414716316504638</v>
      </c>
      <c r="O488" s="54">
        <f ca="1">MIN(100,MAX(0,MCDA_Prioritisation!$F$4+(RAND()-0.5)*2*$B$7))</f>
        <v>93.690493384883922</v>
      </c>
      <c r="P488" s="54">
        <f ca="1">MIN(100,MAX(0,MCDA_Prioritisation!$F$5+(RAND()-0.5)*2*$B$7))</f>
        <v>83.597050081438582</v>
      </c>
      <c r="Q488" s="54">
        <f ca="1">MIN(100,MAX(0,MCDA_Prioritisation!$G$2+(RAND()-0.5)*2*$B$7))</f>
        <v>83.237501418738049</v>
      </c>
      <c r="R488" s="54">
        <f ca="1">MIN(100,MAX(0,MCDA_Prioritisation!$G$3+(RAND()-0.5)*2*$B$7))</f>
        <v>87.701601803870233</v>
      </c>
      <c r="S488" s="54">
        <f ca="1">MIN(100,MAX(0,MCDA_Prioritisation!$G$4+(RAND()-0.5)*2*$B$7))</f>
        <v>75.528104102497267</v>
      </c>
      <c r="T488" s="54">
        <f ca="1">MIN(100,MAX(0,MCDA_Prioritisation!$G$5+(RAND()-0.5)*2*$B$7))</f>
        <v>71.426077015209287</v>
      </c>
      <c r="U488" s="54">
        <f ca="1">MIN(100,MAX(0,MCDA_Prioritisation!$H$2+(RAND()-0.5)*2*$B$7))</f>
        <v>73.022352371665761</v>
      </c>
      <c r="V488" s="54">
        <f ca="1">MIN(100,MAX(0,MCDA_Prioritisation!$H$3+(RAND()-0.5)*2*$B$7))</f>
        <v>56.001206724592898</v>
      </c>
      <c r="W488" s="54">
        <f ca="1">MIN(100,MAX(0,MCDA_Prioritisation!$H$4+(RAND()-0.5)*2*$B$7))</f>
        <v>79.457235343633897</v>
      </c>
      <c r="X488" s="54">
        <f ca="1">MIN(100,MAX(0,MCDA_Prioritisation!$H$5+(RAND()-0.5)*2*$B$7))</f>
        <v>77.235676538411767</v>
      </c>
      <c r="Y488" s="54">
        <f ca="1">H488*MCDA_Prioritisation!$D$2+I488*MCDA_Prioritisation!$E$2+J488*M488+K488*Q488+L488*U488</f>
        <v>90.085892911029958</v>
      </c>
      <c r="Z488" s="54">
        <f ca="1">H488*MCDA_Prioritisation!$D$3+I488*MCDA_Prioritisation!$E$3+J488*N488+K488*R488+L488*V488</f>
        <v>80.742042232456456</v>
      </c>
      <c r="AA488" s="54">
        <f ca="1">H488*MCDA_Prioritisation!$D$4+I488*MCDA_Prioritisation!$E$4+J488*O488+K488*S488+L488*W488</f>
        <v>73.400081484230142</v>
      </c>
      <c r="AB488" s="54">
        <f ca="1">H488*MCDA_Prioritisation!$D$5+I488*MCDA_Prioritisation!$E$5+J488*P488+K488*T488+L488*X488</f>
        <v>73.378039709668855</v>
      </c>
      <c r="AC488" s="54">
        <f t="shared" ca="1" si="104"/>
        <v>1</v>
      </c>
      <c r="AD488" s="54">
        <f t="shared" ca="1" si="105"/>
        <v>2</v>
      </c>
      <c r="AE488" s="54">
        <f t="shared" ca="1" si="106"/>
        <v>3</v>
      </c>
      <c r="AF488" s="54">
        <f t="shared" ca="1" si="107"/>
        <v>4</v>
      </c>
      <c r="AG488" s="54">
        <f t="shared" ca="1" si="108"/>
        <v>1</v>
      </c>
      <c r="AH488" s="54">
        <f t="shared" ca="1" si="109"/>
        <v>1</v>
      </c>
      <c r="AI488" s="54">
        <f t="shared" ca="1" si="110"/>
        <v>1</v>
      </c>
      <c r="AJ488" s="54">
        <f t="shared" ca="1" si="111"/>
        <v>1</v>
      </c>
    </row>
    <row r="489" spans="1:36" x14ac:dyDescent="0.2">
      <c r="A489" s="54">
        <v>466</v>
      </c>
      <c r="B489" s="54">
        <f ca="1">MAX(0.02,MCDA_Prioritisation!$B$9+(RAND()-0.5)*2*$B$6)</f>
        <v>0.21085543429489365</v>
      </c>
      <c r="C489" s="54">
        <f ca="1">MAX(0.02,MCDA_Prioritisation!$B$10+(RAND()-0.5)*2*$B$6)</f>
        <v>0.30367547162581193</v>
      </c>
      <c r="D489" s="54">
        <f ca="1">MAX(0.02,MCDA_Prioritisation!$B$11+(RAND()-0.5)*2*$B$6)</f>
        <v>0.24331670977158829</v>
      </c>
      <c r="E489" s="54">
        <f ca="1">MAX(0.02,MCDA_Prioritisation!$B$12+(RAND()-0.5)*2*$B$6)</f>
        <v>8.5208368569749379E-2</v>
      </c>
      <c r="F489" s="54">
        <f ca="1">MAX(0.02,MCDA_Prioritisation!$B$13+(RAND()-0.5)*2*$B$6)</f>
        <v>0.22121081003958065</v>
      </c>
      <c r="G489" s="54">
        <f t="shared" ca="1" si="98"/>
        <v>1.064266794301624</v>
      </c>
      <c r="H489" s="54">
        <f t="shared" ca="1" si="99"/>
        <v>0.19812272206919487</v>
      </c>
      <c r="I489" s="54">
        <f t="shared" ca="1" si="100"/>
        <v>0.28533773039972082</v>
      </c>
      <c r="J489" s="54">
        <f t="shared" ca="1" si="101"/>
        <v>0.22862379158531734</v>
      </c>
      <c r="K489" s="54">
        <f t="shared" ca="1" si="102"/>
        <v>8.0062977653703307E-2</v>
      </c>
      <c r="L489" s="54">
        <f t="shared" ca="1" si="103"/>
        <v>0.20785277829206356</v>
      </c>
      <c r="M489" s="54">
        <f ca="1">MIN(100,MAX(0,MCDA_Prioritisation!$F$2+(RAND()-0.5)*2*$B$7))</f>
        <v>94.525751767258143</v>
      </c>
      <c r="N489" s="54">
        <f ca="1">MIN(100,MAX(0,MCDA_Prioritisation!$F$3+(RAND()-0.5)*2*$B$7))</f>
        <v>89.255062169246429</v>
      </c>
      <c r="O489" s="54">
        <f ca="1">MIN(100,MAX(0,MCDA_Prioritisation!$F$4+(RAND()-0.5)*2*$B$7))</f>
        <v>88.342074721234042</v>
      </c>
      <c r="P489" s="54">
        <f ca="1">MIN(100,MAX(0,MCDA_Prioritisation!$F$5+(RAND()-0.5)*2*$B$7))</f>
        <v>75.508300614118653</v>
      </c>
      <c r="Q489" s="54">
        <f ca="1">MIN(100,MAX(0,MCDA_Prioritisation!$G$2+(RAND()-0.5)*2*$B$7))</f>
        <v>72.419044786986291</v>
      </c>
      <c r="R489" s="54">
        <f ca="1">MIN(100,MAX(0,MCDA_Prioritisation!$G$3+(RAND()-0.5)*2*$B$7))</f>
        <v>100</v>
      </c>
      <c r="S489" s="54">
        <f ca="1">MIN(100,MAX(0,MCDA_Prioritisation!$G$4+(RAND()-0.5)*2*$B$7))</f>
        <v>88.18947552378134</v>
      </c>
      <c r="T489" s="54">
        <f ca="1">MIN(100,MAX(0,MCDA_Prioritisation!$G$5+(RAND()-0.5)*2*$B$7))</f>
        <v>70.945324590435149</v>
      </c>
      <c r="U489" s="54">
        <f ca="1">MIN(100,MAX(0,MCDA_Prioritisation!$H$2+(RAND()-0.5)*2*$B$7))</f>
        <v>64.775266229631598</v>
      </c>
      <c r="V489" s="54">
        <f ca="1">MIN(100,MAX(0,MCDA_Prioritisation!$H$3+(RAND()-0.5)*2*$B$7))</f>
        <v>67.059230465548907</v>
      </c>
      <c r="W489" s="54">
        <f ca="1">MIN(100,MAX(0,MCDA_Prioritisation!$H$4+(RAND()-0.5)*2*$B$7))</f>
        <v>85.431368507434826</v>
      </c>
      <c r="X489" s="54">
        <f ca="1">MIN(100,MAX(0,MCDA_Prioritisation!$H$5+(RAND()-0.5)*2*$B$7))</f>
        <v>70.525984634390682</v>
      </c>
      <c r="Y489" s="54">
        <f ca="1">H489*MCDA_Prioritisation!$D$2+I489*MCDA_Prioritisation!$E$2+J489*M489+K489*Q489+L489*U489</f>
        <v>89.218684433294669</v>
      </c>
      <c r="Z489" s="54">
        <f ca="1">H489*MCDA_Prioritisation!$D$3+I489*MCDA_Prioritisation!$E$3+J489*N489+K489*R489+L489*V489</f>
        <v>80.41771049166573</v>
      </c>
      <c r="AA489" s="54">
        <f ca="1">H489*MCDA_Prioritisation!$D$4+I489*MCDA_Prioritisation!$E$4+J489*O489+K489*S489+L489*W489</f>
        <v>74.374937269163354</v>
      </c>
      <c r="AB489" s="54">
        <f ca="1">H489*MCDA_Prioritisation!$D$5+I489*MCDA_Prioritisation!$E$5+J489*P489+K489*T489+L489*X489</f>
        <v>72.111958682921269</v>
      </c>
      <c r="AC489" s="54">
        <f t="shared" ca="1" si="104"/>
        <v>1</v>
      </c>
      <c r="AD489" s="54">
        <f t="shared" ca="1" si="105"/>
        <v>2</v>
      </c>
      <c r="AE489" s="54">
        <f t="shared" ca="1" si="106"/>
        <v>3</v>
      </c>
      <c r="AF489" s="54">
        <f t="shared" ca="1" si="107"/>
        <v>4</v>
      </c>
      <c r="AG489" s="54">
        <f t="shared" ca="1" si="108"/>
        <v>1</v>
      </c>
      <c r="AH489" s="54">
        <f t="shared" ca="1" si="109"/>
        <v>1</v>
      </c>
      <c r="AI489" s="54">
        <f t="shared" ca="1" si="110"/>
        <v>1</v>
      </c>
      <c r="AJ489" s="54">
        <f t="shared" ca="1" si="111"/>
        <v>1</v>
      </c>
    </row>
    <row r="490" spans="1:36" x14ac:dyDescent="0.2">
      <c r="A490" s="54">
        <v>467</v>
      </c>
      <c r="B490" s="54">
        <f ca="1">MAX(0.02,MCDA_Prioritisation!$B$9+(RAND()-0.5)*2*$B$6)</f>
        <v>0.22085057299129002</v>
      </c>
      <c r="C490" s="54">
        <f ca="1">MAX(0.02,MCDA_Prioritisation!$B$10+(RAND()-0.5)*2*$B$6)</f>
        <v>0.28723897269676851</v>
      </c>
      <c r="D490" s="54">
        <f ca="1">MAX(0.02,MCDA_Prioritisation!$B$11+(RAND()-0.5)*2*$B$6)</f>
        <v>0.29428149952721988</v>
      </c>
      <c r="E490" s="54">
        <f ca="1">MAX(0.02,MCDA_Prioritisation!$B$12+(RAND()-0.5)*2*$B$6)</f>
        <v>0.12296493182889952</v>
      </c>
      <c r="F490" s="54">
        <f ca="1">MAX(0.02,MCDA_Prioritisation!$B$13+(RAND()-0.5)*2*$B$6)</f>
        <v>0.22765987149118483</v>
      </c>
      <c r="G490" s="54">
        <f t="shared" ca="1" si="98"/>
        <v>1.1529958485353626</v>
      </c>
      <c r="H490" s="54">
        <f t="shared" ca="1" si="99"/>
        <v>0.19154498541502465</v>
      </c>
      <c r="I490" s="54">
        <f t="shared" ca="1" si="100"/>
        <v>0.2491240302917351</v>
      </c>
      <c r="J490" s="54">
        <f t="shared" ca="1" si="101"/>
        <v>0.25523205473900212</v>
      </c>
      <c r="K490" s="54">
        <f t="shared" ca="1" si="102"/>
        <v>0.1066481999784305</v>
      </c>
      <c r="L490" s="54">
        <f t="shared" ca="1" si="103"/>
        <v>0.1974507295758077</v>
      </c>
      <c r="M490" s="54">
        <f ca="1">MIN(100,MAX(0,MCDA_Prioritisation!$F$2+(RAND()-0.5)*2*$B$7))</f>
        <v>76.016682736150074</v>
      </c>
      <c r="N490" s="54">
        <f ca="1">MIN(100,MAX(0,MCDA_Prioritisation!$F$3+(RAND()-0.5)*2*$B$7))</f>
        <v>100</v>
      </c>
      <c r="O490" s="54">
        <f ca="1">MIN(100,MAX(0,MCDA_Prioritisation!$F$4+(RAND()-0.5)*2*$B$7))</f>
        <v>80.314538998809454</v>
      </c>
      <c r="P490" s="54">
        <f ca="1">MIN(100,MAX(0,MCDA_Prioritisation!$F$5+(RAND()-0.5)*2*$B$7))</f>
        <v>78.881871893774544</v>
      </c>
      <c r="Q490" s="54">
        <f ca="1">MIN(100,MAX(0,MCDA_Prioritisation!$G$2+(RAND()-0.5)*2*$B$7))</f>
        <v>70.922788082429889</v>
      </c>
      <c r="R490" s="54">
        <f ca="1">MIN(100,MAX(0,MCDA_Prioritisation!$G$3+(RAND()-0.5)*2*$B$7))</f>
        <v>98.242329165683628</v>
      </c>
      <c r="S490" s="54">
        <f ca="1">MIN(100,MAX(0,MCDA_Prioritisation!$G$4+(RAND()-0.5)*2*$B$7))</f>
        <v>89.90219237317244</v>
      </c>
      <c r="T490" s="54">
        <f ca="1">MIN(100,MAX(0,MCDA_Prioritisation!$G$5+(RAND()-0.5)*2*$B$7))</f>
        <v>77.804552633850349</v>
      </c>
      <c r="U490" s="54">
        <f ca="1">MIN(100,MAX(0,MCDA_Prioritisation!$H$2+(RAND()-0.5)*2*$B$7))</f>
        <v>63.129341025875412</v>
      </c>
      <c r="V490" s="54">
        <f ca="1">MIN(100,MAX(0,MCDA_Prioritisation!$H$3+(RAND()-0.5)*2*$B$7))</f>
        <v>63.178779510414543</v>
      </c>
      <c r="W490" s="54">
        <f ca="1">MIN(100,MAX(0,MCDA_Prioritisation!$H$4+(RAND()-0.5)*2*$B$7))</f>
        <v>72.70606384961269</v>
      </c>
      <c r="X490" s="54">
        <f ca="1">MIN(100,MAX(0,MCDA_Prioritisation!$H$5+(RAND()-0.5)*2*$B$7))</f>
        <v>68.41722266249009</v>
      </c>
      <c r="Y490" s="54">
        <f ca="1">H490*MCDA_Prioritisation!$D$2+I490*MCDA_Prioritisation!$E$2+J490*M490+K490*Q490+L490*U490</f>
        <v>83.497517829508297</v>
      </c>
      <c r="Z490" s="54">
        <f ca="1">H490*MCDA_Prioritisation!$D$3+I490*MCDA_Prioritisation!$E$3+J490*N490+K490*R490+L490*V490</f>
        <v>83.333806744460276</v>
      </c>
      <c r="AA490" s="54">
        <f ca="1">H490*MCDA_Prioritisation!$D$4+I490*MCDA_Prioritisation!$E$4+J490*O490+K490*S490+L490*W490</f>
        <v>71.369267394779627</v>
      </c>
      <c r="AB490" s="54">
        <f ca="1">H490*MCDA_Prioritisation!$D$5+I490*MCDA_Prioritisation!$E$5+J490*P490+K490*T490+L490*X490</f>
        <v>73.055414989330558</v>
      </c>
      <c r="AC490" s="54">
        <f t="shared" ca="1" si="104"/>
        <v>1</v>
      </c>
      <c r="AD490" s="54">
        <f t="shared" ca="1" si="105"/>
        <v>2</v>
      </c>
      <c r="AE490" s="54">
        <f t="shared" ca="1" si="106"/>
        <v>4</v>
      </c>
      <c r="AF490" s="54">
        <f t="shared" ca="1" si="107"/>
        <v>3</v>
      </c>
      <c r="AG490" s="54">
        <f t="shared" ca="1" si="108"/>
        <v>1</v>
      </c>
      <c r="AH490" s="54">
        <f t="shared" ca="1" si="109"/>
        <v>1</v>
      </c>
      <c r="AI490" s="54">
        <f t="shared" ca="1" si="110"/>
        <v>0</v>
      </c>
      <c r="AJ490" s="54">
        <f t="shared" ca="1" si="111"/>
        <v>1</v>
      </c>
    </row>
    <row r="491" spans="1:36" x14ac:dyDescent="0.2">
      <c r="A491" s="54">
        <v>468</v>
      </c>
      <c r="B491" s="54">
        <f ca="1">MAX(0.02,MCDA_Prioritisation!$B$9+(RAND()-0.5)*2*$B$6)</f>
        <v>0.2548826719018018</v>
      </c>
      <c r="C491" s="54">
        <f ca="1">MAX(0.02,MCDA_Prioritisation!$B$10+(RAND()-0.5)*2*$B$6)</f>
        <v>0.21401056530217208</v>
      </c>
      <c r="D491" s="54">
        <f ca="1">MAX(0.02,MCDA_Prioritisation!$B$11+(RAND()-0.5)*2*$B$6)</f>
        <v>0.24502179228241039</v>
      </c>
      <c r="E491" s="54">
        <f ca="1">MAX(0.02,MCDA_Prioritisation!$B$12+(RAND()-0.5)*2*$B$6)</f>
        <v>0.10759795766576548</v>
      </c>
      <c r="F491" s="54">
        <f ca="1">MAX(0.02,MCDA_Prioritisation!$B$13+(RAND()-0.5)*2*$B$6)</f>
        <v>8.7522072542282933E-2</v>
      </c>
      <c r="G491" s="54">
        <f t="shared" ca="1" si="98"/>
        <v>0.90903505969443277</v>
      </c>
      <c r="H491" s="54">
        <f t="shared" ca="1" si="99"/>
        <v>0.2803881645527283</v>
      </c>
      <c r="I491" s="54">
        <f t="shared" ca="1" si="100"/>
        <v>0.2354260850776323</v>
      </c>
      <c r="J491" s="54">
        <f t="shared" ca="1" si="101"/>
        <v>0.26954053055420452</v>
      </c>
      <c r="K491" s="54">
        <f t="shared" ca="1" si="102"/>
        <v>0.1183650251090799</v>
      </c>
      <c r="L491" s="54">
        <f t="shared" ca="1" si="103"/>
        <v>9.6280194706354891E-2</v>
      </c>
      <c r="M491" s="54">
        <f ca="1">MIN(100,MAX(0,MCDA_Prioritisation!$F$2+(RAND()-0.5)*2*$B$7))</f>
        <v>82.840023718619122</v>
      </c>
      <c r="N491" s="54">
        <f ca="1">MIN(100,MAX(0,MCDA_Prioritisation!$F$3+(RAND()-0.5)*2*$B$7))</f>
        <v>88.627608337354729</v>
      </c>
      <c r="O491" s="54">
        <f ca="1">MIN(100,MAX(0,MCDA_Prioritisation!$F$4+(RAND()-0.5)*2*$B$7))</f>
        <v>87.295296251066645</v>
      </c>
      <c r="P491" s="54">
        <f ca="1">MIN(100,MAX(0,MCDA_Prioritisation!$F$5+(RAND()-0.5)*2*$B$7))</f>
        <v>79.005683180530824</v>
      </c>
      <c r="Q491" s="54">
        <f ca="1">MIN(100,MAX(0,MCDA_Prioritisation!$G$2+(RAND()-0.5)*2*$B$7))</f>
        <v>71.817500293750172</v>
      </c>
      <c r="R491" s="54">
        <f ca="1">MIN(100,MAX(0,MCDA_Prioritisation!$G$3+(RAND()-0.5)*2*$B$7))</f>
        <v>93.960160485064279</v>
      </c>
      <c r="S491" s="54">
        <f ca="1">MIN(100,MAX(0,MCDA_Prioritisation!$G$4+(RAND()-0.5)*2*$B$7))</f>
        <v>81.751532439386892</v>
      </c>
      <c r="T491" s="54">
        <f ca="1">MIN(100,MAX(0,MCDA_Prioritisation!$G$5+(RAND()-0.5)*2*$B$7))</f>
        <v>61.243117063001151</v>
      </c>
      <c r="U491" s="54">
        <f ca="1">MIN(100,MAX(0,MCDA_Prioritisation!$H$2+(RAND()-0.5)*2*$B$7))</f>
        <v>58.335920380824383</v>
      </c>
      <c r="V491" s="54">
        <f ca="1">MIN(100,MAX(0,MCDA_Prioritisation!$H$3+(RAND()-0.5)*2*$B$7))</f>
        <v>69.974324472351938</v>
      </c>
      <c r="W491" s="54">
        <f ca="1">MIN(100,MAX(0,MCDA_Prioritisation!$H$4+(RAND()-0.5)*2*$B$7))</f>
        <v>78.302534488042255</v>
      </c>
      <c r="X491" s="54">
        <f ca="1">MIN(100,MAX(0,MCDA_Prioritisation!$H$5+(RAND()-0.5)*2*$B$7))</f>
        <v>69.328092381172027</v>
      </c>
      <c r="Y491" s="54">
        <f ca="1">H491*MCDA_Prioritisation!$D$2+I491*MCDA_Prioritisation!$E$2+J491*M491+K491*Q491+L491*U491</f>
        <v>88.027442905456809</v>
      </c>
      <c r="Z491" s="54">
        <f ca="1">H491*MCDA_Prioritisation!$D$3+I491*MCDA_Prioritisation!$E$3+J491*N491+K491*R491+L491*V491</f>
        <v>83.374407357074972</v>
      </c>
      <c r="AA491" s="54">
        <f ca="1">H491*MCDA_Prioritisation!$D$4+I491*MCDA_Prioritisation!$E$4+J491*O491+K491*S491+L491*W491</f>
        <v>73.111132234636514</v>
      </c>
      <c r="AB491" s="54">
        <f ca="1">H491*MCDA_Prioritisation!$D$5+I491*MCDA_Prioritisation!$E$5+J491*P491+K491*T491+L491*X491</f>
        <v>69.898243930318486</v>
      </c>
      <c r="AC491" s="54">
        <f t="shared" ca="1" si="104"/>
        <v>1</v>
      </c>
      <c r="AD491" s="54">
        <f t="shared" ca="1" si="105"/>
        <v>2</v>
      </c>
      <c r="AE491" s="54">
        <f t="shared" ca="1" si="106"/>
        <v>3</v>
      </c>
      <c r="AF491" s="54">
        <f t="shared" ca="1" si="107"/>
        <v>4</v>
      </c>
      <c r="AG491" s="54">
        <f t="shared" ca="1" si="108"/>
        <v>1</v>
      </c>
      <c r="AH491" s="54">
        <f t="shared" ca="1" si="109"/>
        <v>1</v>
      </c>
      <c r="AI491" s="54">
        <f t="shared" ca="1" si="110"/>
        <v>1</v>
      </c>
      <c r="AJ491" s="54">
        <f t="shared" ca="1" si="111"/>
        <v>1</v>
      </c>
    </row>
    <row r="492" spans="1:36" x14ac:dyDescent="0.2">
      <c r="A492" s="54">
        <v>469</v>
      </c>
      <c r="B492" s="54">
        <f ca="1">MAX(0.02,MCDA_Prioritisation!$B$9+(RAND()-0.5)*2*$B$6)</f>
        <v>0.27661900722019583</v>
      </c>
      <c r="C492" s="54">
        <f ca="1">MAX(0.02,MCDA_Prioritisation!$B$10+(RAND()-0.5)*2*$B$6)</f>
        <v>0.1917314319097887</v>
      </c>
      <c r="D492" s="54">
        <f ca="1">MAX(0.02,MCDA_Prioritisation!$B$11+(RAND()-0.5)*2*$B$6)</f>
        <v>0.17304459677850442</v>
      </c>
      <c r="E492" s="54">
        <f ca="1">MAX(0.02,MCDA_Prioritisation!$B$12+(RAND()-0.5)*2*$B$6)</f>
        <v>0.19147464583488527</v>
      </c>
      <c r="F492" s="54">
        <f ca="1">MAX(0.02,MCDA_Prioritisation!$B$13+(RAND()-0.5)*2*$B$6)</f>
        <v>0.149863629166019</v>
      </c>
      <c r="G492" s="54">
        <f t="shared" ca="1" si="98"/>
        <v>0.98273331090939331</v>
      </c>
      <c r="H492" s="54">
        <f t="shared" ca="1" si="99"/>
        <v>0.28147922142195475</v>
      </c>
      <c r="I492" s="54">
        <f t="shared" ca="1" si="100"/>
        <v>0.19510016581443232</v>
      </c>
      <c r="J492" s="54">
        <f t="shared" ca="1" si="101"/>
        <v>0.17608500175736783</v>
      </c>
      <c r="K492" s="54">
        <f t="shared" ca="1" si="102"/>
        <v>0.19483886799125605</v>
      </c>
      <c r="L492" s="54">
        <f t="shared" ca="1" si="103"/>
        <v>0.15249674301498897</v>
      </c>
      <c r="M492" s="54">
        <f ca="1">MIN(100,MAX(0,MCDA_Prioritisation!$F$2+(RAND()-0.5)*2*$B$7))</f>
        <v>88.927093404504433</v>
      </c>
      <c r="N492" s="54">
        <f ca="1">MIN(100,MAX(0,MCDA_Prioritisation!$F$3+(RAND()-0.5)*2*$B$7))</f>
        <v>96.338030527747506</v>
      </c>
      <c r="O492" s="54">
        <f ca="1">MIN(100,MAX(0,MCDA_Prioritisation!$F$4+(RAND()-0.5)*2*$B$7))</f>
        <v>92.699932674865437</v>
      </c>
      <c r="P492" s="54">
        <f ca="1">MIN(100,MAX(0,MCDA_Prioritisation!$F$5+(RAND()-0.5)*2*$B$7))</f>
        <v>69.715312914143311</v>
      </c>
      <c r="Q492" s="54">
        <f ca="1">MIN(100,MAX(0,MCDA_Prioritisation!$G$2+(RAND()-0.5)*2*$B$7))</f>
        <v>84.307414585046146</v>
      </c>
      <c r="R492" s="54">
        <f ca="1">MIN(100,MAX(0,MCDA_Prioritisation!$G$3+(RAND()-0.5)*2*$B$7))</f>
        <v>88.996460338373794</v>
      </c>
      <c r="S492" s="54">
        <f ca="1">MIN(100,MAX(0,MCDA_Prioritisation!$G$4+(RAND()-0.5)*2*$B$7))</f>
        <v>83.236229751861359</v>
      </c>
      <c r="T492" s="54">
        <f ca="1">MIN(100,MAX(0,MCDA_Prioritisation!$G$5+(RAND()-0.5)*2*$B$7))</f>
        <v>63.099411741864316</v>
      </c>
      <c r="U492" s="54">
        <f ca="1">MIN(100,MAX(0,MCDA_Prioritisation!$H$2+(RAND()-0.5)*2*$B$7))</f>
        <v>74.533222678646794</v>
      </c>
      <c r="V492" s="54">
        <f ca="1">MIN(100,MAX(0,MCDA_Prioritisation!$H$3+(RAND()-0.5)*2*$B$7))</f>
        <v>69.369229440174749</v>
      </c>
      <c r="W492" s="54">
        <f ca="1">MIN(100,MAX(0,MCDA_Prioritisation!$H$4+(RAND()-0.5)*2*$B$7))</f>
        <v>73.249034856172386</v>
      </c>
      <c r="X492" s="54">
        <f ca="1">MIN(100,MAX(0,MCDA_Prioritisation!$H$5+(RAND()-0.5)*2*$B$7))</f>
        <v>67.43045518041572</v>
      </c>
      <c r="Y492" s="54">
        <f ca="1">H492*MCDA_Prioritisation!$D$2+I492*MCDA_Prioritisation!$E$2+J492*M492+K492*Q492+L492*U492</f>
        <v>91.109101047972928</v>
      </c>
      <c r="Z492" s="54">
        <f ca="1">H492*MCDA_Prioritisation!$D$3+I492*MCDA_Prioritisation!$E$3+J492*N492+K492*R492+L492*V492</f>
        <v>83.671730655376521</v>
      </c>
      <c r="AA492" s="54">
        <f ca="1">H492*MCDA_Prioritisation!$D$4+I492*MCDA_Prioritisation!$E$4+J492*O492+K492*S492+L492*W492</f>
        <v>73.953345335376824</v>
      </c>
      <c r="AB492" s="54">
        <f ca="1">H492*MCDA_Prioritisation!$D$5+I492*MCDA_Prioritisation!$E$5+J492*P492+K492*T492+L492*X492</f>
        <v>66.198874197185276</v>
      </c>
      <c r="AC492" s="54">
        <f t="shared" ca="1" si="104"/>
        <v>1</v>
      </c>
      <c r="AD492" s="54">
        <f t="shared" ca="1" si="105"/>
        <v>2</v>
      </c>
      <c r="AE492" s="54">
        <f t="shared" ca="1" si="106"/>
        <v>3</v>
      </c>
      <c r="AF492" s="54">
        <f t="shared" ca="1" si="107"/>
        <v>4</v>
      </c>
      <c r="AG492" s="54">
        <f t="shared" ca="1" si="108"/>
        <v>1</v>
      </c>
      <c r="AH492" s="54">
        <f t="shared" ca="1" si="109"/>
        <v>1</v>
      </c>
      <c r="AI492" s="54">
        <f t="shared" ca="1" si="110"/>
        <v>1</v>
      </c>
      <c r="AJ492" s="54">
        <f t="shared" ca="1" si="111"/>
        <v>1</v>
      </c>
    </row>
    <row r="493" spans="1:36" x14ac:dyDescent="0.2">
      <c r="A493" s="54">
        <v>470</v>
      </c>
      <c r="B493" s="54">
        <f ca="1">MAX(0.02,MCDA_Prioritisation!$B$9+(RAND()-0.5)*2*$B$6)</f>
        <v>0.16254106291684459</v>
      </c>
      <c r="C493" s="54">
        <f ca="1">MAX(0.02,MCDA_Prioritisation!$B$10+(RAND()-0.5)*2*$B$6)</f>
        <v>0.24937187302102451</v>
      </c>
      <c r="D493" s="54">
        <f ca="1">MAX(0.02,MCDA_Prioritisation!$B$11+(RAND()-0.5)*2*$B$6)</f>
        <v>0.22450516617073271</v>
      </c>
      <c r="E493" s="54">
        <f ca="1">MAX(0.02,MCDA_Prioritisation!$B$12+(RAND()-0.5)*2*$B$6)</f>
        <v>0.10837194316053284</v>
      </c>
      <c r="F493" s="54">
        <f ca="1">MAX(0.02,MCDA_Prioritisation!$B$13+(RAND()-0.5)*2*$B$6)</f>
        <v>0.19184652670550573</v>
      </c>
      <c r="G493" s="54">
        <f t="shared" ca="1" si="98"/>
        <v>0.93663657197464045</v>
      </c>
      <c r="H493" s="54">
        <f t="shared" ca="1" si="99"/>
        <v>0.17353695956391227</v>
      </c>
      <c r="I493" s="54">
        <f t="shared" ca="1" si="100"/>
        <v>0.26624187062789201</v>
      </c>
      <c r="J493" s="54">
        <f t="shared" ca="1" si="101"/>
        <v>0.23969293201676437</v>
      </c>
      <c r="K493" s="54">
        <f t="shared" ca="1" si="102"/>
        <v>0.11570330094207235</v>
      </c>
      <c r="L493" s="54">
        <f t="shared" ca="1" si="103"/>
        <v>0.2048249368493589</v>
      </c>
      <c r="M493" s="54">
        <f ca="1">MIN(100,MAX(0,MCDA_Prioritisation!$F$2+(RAND()-0.5)*2*$B$7))</f>
        <v>77.923739629891699</v>
      </c>
      <c r="N493" s="54">
        <f ca="1">MIN(100,MAX(0,MCDA_Prioritisation!$F$3+(RAND()-0.5)*2*$B$7))</f>
        <v>98.241639853924795</v>
      </c>
      <c r="O493" s="54">
        <f ca="1">MIN(100,MAX(0,MCDA_Prioritisation!$F$4+(RAND()-0.5)*2*$B$7))</f>
        <v>82.952900837977978</v>
      </c>
      <c r="P493" s="54">
        <f ca="1">MIN(100,MAX(0,MCDA_Prioritisation!$F$5+(RAND()-0.5)*2*$B$7))</f>
        <v>77.058503775643814</v>
      </c>
      <c r="Q493" s="54">
        <f ca="1">MIN(100,MAX(0,MCDA_Prioritisation!$G$2+(RAND()-0.5)*2*$B$7))</f>
        <v>77.124859870133903</v>
      </c>
      <c r="R493" s="54">
        <f ca="1">MIN(100,MAX(0,MCDA_Prioritisation!$G$3+(RAND()-0.5)*2*$B$7))</f>
        <v>92.019323210966363</v>
      </c>
      <c r="S493" s="54">
        <f ca="1">MIN(100,MAX(0,MCDA_Prioritisation!$G$4+(RAND()-0.5)*2*$B$7))</f>
        <v>78.75752392810854</v>
      </c>
      <c r="T493" s="54">
        <f ca="1">MIN(100,MAX(0,MCDA_Prioritisation!$G$5+(RAND()-0.5)*2*$B$7))</f>
        <v>66.852333355539201</v>
      </c>
      <c r="U493" s="54">
        <f ca="1">MIN(100,MAX(0,MCDA_Prioritisation!$H$2+(RAND()-0.5)*2*$B$7))</f>
        <v>57.201375513877956</v>
      </c>
      <c r="V493" s="54">
        <f ca="1">MIN(100,MAX(0,MCDA_Prioritisation!$H$3+(RAND()-0.5)*2*$B$7))</f>
        <v>51.47081171236708</v>
      </c>
      <c r="W493" s="54">
        <f ca="1">MIN(100,MAX(0,MCDA_Prioritisation!$H$4+(RAND()-0.5)*2*$B$7))</f>
        <v>79.531193075947186</v>
      </c>
      <c r="X493" s="54">
        <f ca="1">MIN(100,MAX(0,MCDA_Prioritisation!$H$5+(RAND()-0.5)*2*$B$7))</f>
        <v>69.169176238914716</v>
      </c>
      <c r="Y493" s="54">
        <f ca="1">H493*MCDA_Prioritisation!$D$2+I493*MCDA_Prioritisation!$E$2+J493*M493+K493*Q493+L493*U493</f>
        <v>83.295521643775885</v>
      </c>
      <c r="Z493" s="54">
        <f ca="1">H493*MCDA_Prioritisation!$D$3+I493*MCDA_Prioritisation!$E$3+J493*N493+K493*R493+L493*V493</f>
        <v>79.266898804499192</v>
      </c>
      <c r="AA493" s="54">
        <f ca="1">H493*MCDA_Prioritisation!$D$4+I493*MCDA_Prioritisation!$E$4+J493*O493+K493*S493+L493*W493</f>
        <v>71.892078674977824</v>
      </c>
      <c r="AB493" s="54">
        <f ca="1">H493*MCDA_Prioritisation!$D$5+I493*MCDA_Prioritisation!$E$5+J493*P493+K493*T493+L493*X493</f>
        <v>71.97213599177789</v>
      </c>
      <c r="AC493" s="54">
        <f t="shared" ca="1" si="104"/>
        <v>1</v>
      </c>
      <c r="AD493" s="54">
        <f t="shared" ca="1" si="105"/>
        <v>2</v>
      </c>
      <c r="AE493" s="54">
        <f t="shared" ca="1" si="106"/>
        <v>4</v>
      </c>
      <c r="AF493" s="54">
        <f t="shared" ca="1" si="107"/>
        <v>3</v>
      </c>
      <c r="AG493" s="54">
        <f t="shared" ca="1" si="108"/>
        <v>1</v>
      </c>
      <c r="AH493" s="54">
        <f t="shared" ca="1" si="109"/>
        <v>1</v>
      </c>
      <c r="AI493" s="54">
        <f t="shared" ca="1" si="110"/>
        <v>0</v>
      </c>
      <c r="AJ493" s="54">
        <f t="shared" ca="1" si="111"/>
        <v>1</v>
      </c>
    </row>
    <row r="494" spans="1:36" x14ac:dyDescent="0.2">
      <c r="A494" s="54">
        <v>471</v>
      </c>
      <c r="B494" s="54">
        <f ca="1">MAX(0.02,MCDA_Prioritisation!$B$9+(RAND()-0.5)*2*$B$6)</f>
        <v>0.12935635095419612</v>
      </c>
      <c r="C494" s="54">
        <f ca="1">MAX(0.02,MCDA_Prioritisation!$B$10+(RAND()-0.5)*2*$B$6)</f>
        <v>0.20471194871489354</v>
      </c>
      <c r="D494" s="54">
        <f ca="1">MAX(0.02,MCDA_Prioritisation!$B$11+(RAND()-0.5)*2*$B$6)</f>
        <v>0.30783069384372352</v>
      </c>
      <c r="E494" s="54">
        <f ca="1">MAX(0.02,MCDA_Prioritisation!$B$12+(RAND()-0.5)*2*$B$6)</f>
        <v>0.21170549650870607</v>
      </c>
      <c r="F494" s="54">
        <f ca="1">MAX(0.02,MCDA_Prioritisation!$B$13+(RAND()-0.5)*2*$B$6)</f>
        <v>8.6739709691833367E-2</v>
      </c>
      <c r="G494" s="54">
        <f t="shared" ca="1" si="98"/>
        <v>0.94034419971335259</v>
      </c>
      <c r="H494" s="54">
        <f t="shared" ca="1" si="99"/>
        <v>0.13756276796690842</v>
      </c>
      <c r="I494" s="54">
        <f t="shared" ca="1" si="100"/>
        <v>0.21769895403969777</v>
      </c>
      <c r="J494" s="54">
        <f t="shared" ca="1" si="101"/>
        <v>0.32735959230413747</v>
      </c>
      <c r="K494" s="54">
        <f t="shared" ca="1" si="102"/>
        <v>0.22513617521460841</v>
      </c>
      <c r="L494" s="54">
        <f t="shared" ca="1" si="103"/>
        <v>9.2242510474647946E-2</v>
      </c>
      <c r="M494" s="54">
        <f ca="1">MIN(100,MAX(0,MCDA_Prioritisation!$F$2+(RAND()-0.5)*2*$B$7))</f>
        <v>84.603706535794217</v>
      </c>
      <c r="N494" s="54">
        <f ca="1">MIN(100,MAX(0,MCDA_Prioritisation!$F$3+(RAND()-0.5)*2*$B$7))</f>
        <v>100</v>
      </c>
      <c r="O494" s="54">
        <f ca="1">MIN(100,MAX(0,MCDA_Prioritisation!$F$4+(RAND()-0.5)*2*$B$7))</f>
        <v>91.911207374268812</v>
      </c>
      <c r="P494" s="54">
        <f ca="1">MIN(100,MAX(0,MCDA_Prioritisation!$F$5+(RAND()-0.5)*2*$B$7))</f>
        <v>78.37769891227687</v>
      </c>
      <c r="Q494" s="54">
        <f ca="1">MIN(100,MAX(0,MCDA_Prioritisation!$G$2+(RAND()-0.5)*2*$B$7))</f>
        <v>82.182625011652377</v>
      </c>
      <c r="R494" s="54">
        <f ca="1">MIN(100,MAX(0,MCDA_Prioritisation!$G$3+(RAND()-0.5)*2*$B$7))</f>
        <v>89.742770300362565</v>
      </c>
      <c r="S494" s="54">
        <f ca="1">MIN(100,MAX(0,MCDA_Prioritisation!$G$4+(RAND()-0.5)*2*$B$7))</f>
        <v>92.206380850677078</v>
      </c>
      <c r="T494" s="54">
        <f ca="1">MIN(100,MAX(0,MCDA_Prioritisation!$G$5+(RAND()-0.5)*2*$B$7))</f>
        <v>69.411403539089164</v>
      </c>
      <c r="U494" s="54">
        <f ca="1">MIN(100,MAX(0,MCDA_Prioritisation!$H$2+(RAND()-0.5)*2*$B$7))</f>
        <v>63.046827399478985</v>
      </c>
      <c r="V494" s="54">
        <f ca="1">MIN(100,MAX(0,MCDA_Prioritisation!$H$3+(RAND()-0.5)*2*$B$7))</f>
        <v>65.24237278666439</v>
      </c>
      <c r="W494" s="54">
        <f ca="1">MIN(100,MAX(0,MCDA_Prioritisation!$H$4+(RAND()-0.5)*2*$B$7))</f>
        <v>84.497546509820921</v>
      </c>
      <c r="X494" s="54">
        <f ca="1">MIN(100,MAX(0,MCDA_Prioritisation!$H$5+(RAND()-0.5)*2*$B$7))</f>
        <v>68.750108536784921</v>
      </c>
      <c r="Y494" s="54">
        <f ca="1">H494*MCDA_Prioritisation!$D$2+I494*MCDA_Prioritisation!$E$2+J494*M494+K494*Q494+L494*U494</f>
        <v>87.539886580646694</v>
      </c>
      <c r="Z494" s="54">
        <f ca="1">H494*MCDA_Prioritisation!$D$3+I494*MCDA_Prioritisation!$E$3+J494*N494+K494*R494+L494*V494</f>
        <v>86.813625867210277</v>
      </c>
      <c r="AA494" s="54">
        <f ca="1">H494*MCDA_Prioritisation!$D$4+I494*MCDA_Prioritisation!$E$4+J494*O494+K494*S494+L494*W494</f>
        <v>80.094823995148403</v>
      </c>
      <c r="AB494" s="54">
        <f ca="1">H494*MCDA_Prioritisation!$D$5+I494*MCDA_Prioritisation!$E$5+J494*P494+K494*T494+L494*X494</f>
        <v>73.234161347102727</v>
      </c>
      <c r="AC494" s="54">
        <f t="shared" ca="1" si="104"/>
        <v>1</v>
      </c>
      <c r="AD494" s="54">
        <f t="shared" ca="1" si="105"/>
        <v>2</v>
      </c>
      <c r="AE494" s="54">
        <f t="shared" ca="1" si="106"/>
        <v>3</v>
      </c>
      <c r="AF494" s="54">
        <f t="shared" ca="1" si="107"/>
        <v>4</v>
      </c>
      <c r="AG494" s="54">
        <f t="shared" ca="1" si="108"/>
        <v>1</v>
      </c>
      <c r="AH494" s="54">
        <f t="shared" ca="1" si="109"/>
        <v>1</v>
      </c>
      <c r="AI494" s="54">
        <f t="shared" ca="1" si="110"/>
        <v>1</v>
      </c>
      <c r="AJ494" s="54">
        <f t="shared" ca="1" si="111"/>
        <v>1</v>
      </c>
    </row>
    <row r="495" spans="1:36" x14ac:dyDescent="0.2">
      <c r="A495" s="54">
        <v>472</v>
      </c>
      <c r="B495" s="54">
        <f ca="1">MAX(0.02,MCDA_Prioritisation!$B$9+(RAND()-0.5)*2*$B$6)</f>
        <v>0.20566803725263885</v>
      </c>
      <c r="C495" s="54">
        <f ca="1">MAX(0.02,MCDA_Prioritisation!$B$10+(RAND()-0.5)*2*$B$6)</f>
        <v>0.26131486560638373</v>
      </c>
      <c r="D495" s="54">
        <f ca="1">MAX(0.02,MCDA_Prioritisation!$B$11+(RAND()-0.5)*2*$B$6)</f>
        <v>0.29103938933059426</v>
      </c>
      <c r="E495" s="54">
        <f ca="1">MAX(0.02,MCDA_Prioritisation!$B$12+(RAND()-0.5)*2*$B$6)</f>
        <v>0.10972138656518951</v>
      </c>
      <c r="F495" s="54">
        <f ca="1">MAX(0.02,MCDA_Prioritisation!$B$13+(RAND()-0.5)*2*$B$6)</f>
        <v>0.17510342744112872</v>
      </c>
      <c r="G495" s="54">
        <f t="shared" ca="1" si="98"/>
        <v>1.042847106195935</v>
      </c>
      <c r="H495" s="54">
        <f t="shared" ca="1" si="99"/>
        <v>0.1972178241955988</v>
      </c>
      <c r="I495" s="54">
        <f t="shared" ca="1" si="100"/>
        <v>0.25057831014135901</v>
      </c>
      <c r="J495" s="54">
        <f t="shared" ca="1" si="101"/>
        <v>0.27908155241686255</v>
      </c>
      <c r="K495" s="54">
        <f t="shared" ca="1" si="102"/>
        <v>0.10521330108056563</v>
      </c>
      <c r="L495" s="54">
        <f t="shared" ca="1" si="103"/>
        <v>0.1679090121656141</v>
      </c>
      <c r="M495" s="54">
        <f ca="1">MIN(100,MAX(0,MCDA_Prioritisation!$F$2+(RAND()-0.5)*2*$B$7))</f>
        <v>91.700266915905914</v>
      </c>
      <c r="N495" s="54">
        <f ca="1">MIN(100,MAX(0,MCDA_Prioritisation!$F$3+(RAND()-0.5)*2*$B$7))</f>
        <v>99.805405097148025</v>
      </c>
      <c r="O495" s="54">
        <f ca="1">MIN(100,MAX(0,MCDA_Prioritisation!$F$4+(RAND()-0.5)*2*$B$7))</f>
        <v>91.015949973085597</v>
      </c>
      <c r="P495" s="54">
        <f ca="1">MIN(100,MAX(0,MCDA_Prioritisation!$F$5+(RAND()-0.5)*2*$B$7))</f>
        <v>66.053178587551898</v>
      </c>
      <c r="Q495" s="54">
        <f ca="1">MIN(100,MAX(0,MCDA_Prioritisation!$G$2+(RAND()-0.5)*2*$B$7))</f>
        <v>78.103724232310441</v>
      </c>
      <c r="R495" s="54">
        <f ca="1">MIN(100,MAX(0,MCDA_Prioritisation!$G$3+(RAND()-0.5)*2*$B$7))</f>
        <v>93.369116438769467</v>
      </c>
      <c r="S495" s="54">
        <f ca="1">MIN(100,MAX(0,MCDA_Prioritisation!$G$4+(RAND()-0.5)*2*$B$7))</f>
        <v>94.782549470782214</v>
      </c>
      <c r="T495" s="54">
        <f ca="1">MIN(100,MAX(0,MCDA_Prioritisation!$G$5+(RAND()-0.5)*2*$B$7))</f>
        <v>75.030682903215521</v>
      </c>
      <c r="U495" s="54">
        <f ca="1">MIN(100,MAX(0,MCDA_Prioritisation!$H$2+(RAND()-0.5)*2*$B$7))</f>
        <v>73.467548485036474</v>
      </c>
      <c r="V495" s="54">
        <f ca="1">MIN(100,MAX(0,MCDA_Prioritisation!$H$3+(RAND()-0.5)*2*$B$7))</f>
        <v>68.505676623593786</v>
      </c>
      <c r="W495" s="54">
        <f ca="1">MIN(100,MAX(0,MCDA_Prioritisation!$H$4+(RAND()-0.5)*2*$B$7))</f>
        <v>70.753879268821251</v>
      </c>
      <c r="X495" s="54">
        <f ca="1">MIN(100,MAX(0,MCDA_Prioritisation!$H$5+(RAND()-0.5)*2*$B$7))</f>
        <v>71.384658011805499</v>
      </c>
      <c r="Y495" s="54">
        <f ca="1">H495*MCDA_Prioritisation!$D$2+I495*MCDA_Prioritisation!$E$2+J495*M495+K495*Q495+L495*U495</f>
        <v>90.924880427146846</v>
      </c>
      <c r="Z495" s="54">
        <f ca="1">H495*MCDA_Prioritisation!$D$3+I495*MCDA_Prioritisation!$E$3+J495*N495+K495*R495+L495*V495</f>
        <v>84.640332424819007</v>
      </c>
      <c r="AA495" s="54">
        <f ca="1">H495*MCDA_Prioritisation!$D$4+I495*MCDA_Prioritisation!$E$4+J495*O495+K495*S495+L495*W495</f>
        <v>74.654469240802939</v>
      </c>
      <c r="AB495" s="54">
        <f ca="1">H495*MCDA_Prioritisation!$D$5+I495*MCDA_Prioritisation!$E$5+J495*P495+K495*T495+L495*X495</f>
        <v>69.853446269560848</v>
      </c>
      <c r="AC495" s="54">
        <f t="shared" ca="1" si="104"/>
        <v>1</v>
      </c>
      <c r="AD495" s="54">
        <f t="shared" ca="1" si="105"/>
        <v>2</v>
      </c>
      <c r="AE495" s="54">
        <f t="shared" ca="1" si="106"/>
        <v>3</v>
      </c>
      <c r="AF495" s="54">
        <f t="shared" ca="1" si="107"/>
        <v>4</v>
      </c>
      <c r="AG495" s="54">
        <f t="shared" ca="1" si="108"/>
        <v>1</v>
      </c>
      <c r="AH495" s="54">
        <f t="shared" ca="1" si="109"/>
        <v>1</v>
      </c>
      <c r="AI495" s="54">
        <f t="shared" ca="1" si="110"/>
        <v>1</v>
      </c>
      <c r="AJ495" s="54">
        <f t="shared" ca="1" si="111"/>
        <v>1</v>
      </c>
    </row>
    <row r="496" spans="1:36" x14ac:dyDescent="0.2">
      <c r="A496" s="54">
        <v>473</v>
      </c>
      <c r="B496" s="54">
        <f ca="1">MAX(0.02,MCDA_Prioritisation!$B$9+(RAND()-0.5)*2*$B$6)</f>
        <v>0.23076946869038145</v>
      </c>
      <c r="C496" s="54">
        <f ca="1">MAX(0.02,MCDA_Prioritisation!$B$10+(RAND()-0.5)*2*$B$6)</f>
        <v>0.25465275229036705</v>
      </c>
      <c r="D496" s="54">
        <f ca="1">MAX(0.02,MCDA_Prioritisation!$B$11+(RAND()-0.5)*2*$B$6)</f>
        <v>0.24325703574967719</v>
      </c>
      <c r="E496" s="54">
        <f ca="1">MAX(0.02,MCDA_Prioritisation!$B$12+(RAND()-0.5)*2*$B$6)</f>
        <v>0.11442519180236776</v>
      </c>
      <c r="F496" s="54">
        <f ca="1">MAX(0.02,MCDA_Prioritisation!$B$13+(RAND()-0.5)*2*$B$6)</f>
        <v>0.13955146816373576</v>
      </c>
      <c r="G496" s="54">
        <f t="shared" ca="1" si="98"/>
        <v>0.98265591669652919</v>
      </c>
      <c r="H496" s="54">
        <f t="shared" ca="1" si="99"/>
        <v>0.23484259827812071</v>
      </c>
      <c r="I496" s="54">
        <f t="shared" ca="1" si="100"/>
        <v>0.2591474268495253</v>
      </c>
      <c r="J496" s="54">
        <f t="shared" ca="1" si="101"/>
        <v>0.24755057351860588</v>
      </c>
      <c r="K496" s="54">
        <f t="shared" ca="1" si="102"/>
        <v>0.11644482046883697</v>
      </c>
      <c r="L496" s="54">
        <f t="shared" ca="1" si="103"/>
        <v>0.14201458088491115</v>
      </c>
      <c r="M496" s="54">
        <f ca="1">MIN(100,MAX(0,MCDA_Prioritisation!$F$2+(RAND()-0.5)*2*$B$7))</f>
        <v>75.830926494293806</v>
      </c>
      <c r="N496" s="54">
        <f ca="1">MIN(100,MAX(0,MCDA_Prioritisation!$F$3+(RAND()-0.5)*2*$B$7))</f>
        <v>92.611151841599153</v>
      </c>
      <c r="O496" s="54">
        <f ca="1">MIN(100,MAX(0,MCDA_Prioritisation!$F$4+(RAND()-0.5)*2*$B$7))</f>
        <v>92.14966048207728</v>
      </c>
      <c r="P496" s="54">
        <f ca="1">MIN(100,MAX(0,MCDA_Prioritisation!$F$5+(RAND()-0.5)*2*$B$7))</f>
        <v>70.589542932894815</v>
      </c>
      <c r="Q496" s="54">
        <f ca="1">MIN(100,MAX(0,MCDA_Prioritisation!$G$2+(RAND()-0.5)*2*$B$7))</f>
        <v>81.98198592058111</v>
      </c>
      <c r="R496" s="54">
        <f ca="1">MIN(100,MAX(0,MCDA_Prioritisation!$G$3+(RAND()-0.5)*2*$B$7))</f>
        <v>96.459156130429491</v>
      </c>
      <c r="S496" s="54">
        <f ca="1">MIN(100,MAX(0,MCDA_Prioritisation!$G$4+(RAND()-0.5)*2*$B$7))</f>
        <v>93.081294551542115</v>
      </c>
      <c r="T496" s="54">
        <f ca="1">MIN(100,MAX(0,MCDA_Prioritisation!$G$5+(RAND()-0.5)*2*$B$7))</f>
        <v>64.244396468621488</v>
      </c>
      <c r="U496" s="54">
        <f ca="1">MIN(100,MAX(0,MCDA_Prioritisation!$H$2+(RAND()-0.5)*2*$B$7))</f>
        <v>55.453263407744423</v>
      </c>
      <c r="V496" s="54">
        <f ca="1">MIN(100,MAX(0,MCDA_Prioritisation!$H$3+(RAND()-0.5)*2*$B$7))</f>
        <v>51.235603256613558</v>
      </c>
      <c r="W496" s="54">
        <f ca="1">MIN(100,MAX(0,MCDA_Prioritisation!$H$4+(RAND()-0.5)*2*$B$7))</f>
        <v>70.570269154582249</v>
      </c>
      <c r="X496" s="54">
        <f ca="1">MIN(100,MAX(0,MCDA_Prioritisation!$H$5+(RAND()-0.5)*2*$B$7))</f>
        <v>72.81989034113316</v>
      </c>
      <c r="Y496" s="54">
        <f ca="1">H496*MCDA_Prioritisation!$D$2+I496*MCDA_Prioritisation!$E$2+J496*M496+K496*Q496+L496*U496</f>
        <v>85.59254145062647</v>
      </c>
      <c r="Z496" s="54">
        <f ca="1">H496*MCDA_Prioritisation!$D$3+I496*MCDA_Prioritisation!$E$3+J496*N496+K496*R496+L496*V496</f>
        <v>80.805901995822097</v>
      </c>
      <c r="AA496" s="54">
        <f ca="1">H496*MCDA_Prioritisation!$D$4+I496*MCDA_Prioritisation!$E$4+J496*O496+K496*S496+L496*W496</f>
        <v>74.16091532190751</v>
      </c>
      <c r="AB496" s="54">
        <f ca="1">H496*MCDA_Prioritisation!$D$5+I496*MCDA_Prioritisation!$E$5+J496*P496+K496*T496+L496*X496</f>
        <v>69.553317841284112</v>
      </c>
      <c r="AC496" s="54">
        <f t="shared" ca="1" si="104"/>
        <v>1</v>
      </c>
      <c r="AD496" s="54">
        <f t="shared" ca="1" si="105"/>
        <v>2</v>
      </c>
      <c r="AE496" s="54">
        <f t="shared" ca="1" si="106"/>
        <v>3</v>
      </c>
      <c r="AF496" s="54">
        <f t="shared" ca="1" si="107"/>
        <v>4</v>
      </c>
      <c r="AG496" s="54">
        <f t="shared" ca="1" si="108"/>
        <v>1</v>
      </c>
      <c r="AH496" s="54">
        <f t="shared" ca="1" si="109"/>
        <v>1</v>
      </c>
      <c r="AI496" s="54">
        <f t="shared" ca="1" si="110"/>
        <v>1</v>
      </c>
      <c r="AJ496" s="54">
        <f t="shared" ca="1" si="111"/>
        <v>1</v>
      </c>
    </row>
    <row r="497" spans="1:36" x14ac:dyDescent="0.2">
      <c r="A497" s="54">
        <v>474</v>
      </c>
      <c r="B497" s="54">
        <f ca="1">MAX(0.02,MCDA_Prioritisation!$B$9+(RAND()-0.5)*2*$B$6)</f>
        <v>0.17366322863869188</v>
      </c>
      <c r="C497" s="54">
        <f ca="1">MAX(0.02,MCDA_Prioritisation!$B$10+(RAND()-0.5)*2*$B$6)</f>
        <v>0.2274170200244956</v>
      </c>
      <c r="D497" s="54">
        <f ca="1">MAX(0.02,MCDA_Prioritisation!$B$11+(RAND()-0.5)*2*$B$6)</f>
        <v>0.22068938530507565</v>
      </c>
      <c r="E497" s="54">
        <f ca="1">MAX(0.02,MCDA_Prioritisation!$B$12+(RAND()-0.5)*2*$B$6)</f>
        <v>7.9358660489104949E-2</v>
      </c>
      <c r="F497" s="54">
        <f ca="1">MAX(0.02,MCDA_Prioritisation!$B$13+(RAND()-0.5)*2*$B$6)</f>
        <v>0.15268042235330676</v>
      </c>
      <c r="G497" s="54">
        <f t="shared" ca="1" si="98"/>
        <v>0.85380871681067472</v>
      </c>
      <c r="H497" s="54">
        <f t="shared" ca="1" si="99"/>
        <v>0.20339828490788331</v>
      </c>
      <c r="I497" s="54">
        <f t="shared" ca="1" si="100"/>
        <v>0.26635593610942659</v>
      </c>
      <c r="J497" s="54">
        <f t="shared" ca="1" si="101"/>
        <v>0.25847637879528906</v>
      </c>
      <c r="K497" s="54">
        <f t="shared" ca="1" si="102"/>
        <v>9.2946650609918871E-2</v>
      </c>
      <c r="L497" s="54">
        <f t="shared" ca="1" si="103"/>
        <v>0.17882274957748226</v>
      </c>
      <c r="M497" s="54">
        <f ca="1">MIN(100,MAX(0,MCDA_Prioritisation!$F$2+(RAND()-0.5)*2*$B$7))</f>
        <v>88.578647431585722</v>
      </c>
      <c r="N497" s="54">
        <f ca="1">MIN(100,MAX(0,MCDA_Prioritisation!$F$3+(RAND()-0.5)*2*$B$7))</f>
        <v>92.494487693019011</v>
      </c>
      <c r="O497" s="54">
        <f ca="1">MIN(100,MAX(0,MCDA_Prioritisation!$F$4+(RAND()-0.5)*2*$B$7))</f>
        <v>90.194261782006947</v>
      </c>
      <c r="P497" s="54">
        <f ca="1">MIN(100,MAX(0,MCDA_Prioritisation!$F$5+(RAND()-0.5)*2*$B$7))</f>
        <v>75.004399655589125</v>
      </c>
      <c r="Q497" s="54">
        <f ca="1">MIN(100,MAX(0,MCDA_Prioritisation!$G$2+(RAND()-0.5)*2*$B$7))</f>
        <v>81.247075214957746</v>
      </c>
      <c r="R497" s="54">
        <f ca="1">MIN(100,MAX(0,MCDA_Prioritisation!$G$3+(RAND()-0.5)*2*$B$7))</f>
        <v>94.550414794402741</v>
      </c>
      <c r="S497" s="54">
        <f ca="1">MIN(100,MAX(0,MCDA_Prioritisation!$G$4+(RAND()-0.5)*2*$B$7))</f>
        <v>76.070417443636671</v>
      </c>
      <c r="T497" s="54">
        <f ca="1">MIN(100,MAX(0,MCDA_Prioritisation!$G$5+(RAND()-0.5)*2*$B$7))</f>
        <v>78.664153613340872</v>
      </c>
      <c r="U497" s="54">
        <f ca="1">MIN(100,MAX(0,MCDA_Prioritisation!$H$2+(RAND()-0.5)*2*$B$7))</f>
        <v>67.202572456986616</v>
      </c>
      <c r="V497" s="54">
        <f ca="1">MIN(100,MAX(0,MCDA_Prioritisation!$H$3+(RAND()-0.5)*2*$B$7))</f>
        <v>61.461535764020567</v>
      </c>
      <c r="W497" s="54">
        <f ca="1">MIN(100,MAX(0,MCDA_Prioritisation!$H$4+(RAND()-0.5)*2*$B$7))</f>
        <v>86.271951261497748</v>
      </c>
      <c r="X497" s="54">
        <f ca="1">MIN(100,MAX(0,MCDA_Prioritisation!$H$5+(RAND()-0.5)*2*$B$7))</f>
        <v>71.156674072846116</v>
      </c>
      <c r="Y497" s="54">
        <f ca="1">H497*MCDA_Prioritisation!$D$2+I497*MCDA_Prioritisation!$E$2+J497*M497+K497*Q497+L497*U497</f>
        <v>89.439902426952713</v>
      </c>
      <c r="Z497" s="54">
        <f ca="1">H497*MCDA_Prioritisation!$D$3+I497*MCDA_Prioritisation!$E$3+J497*N497+K497*R497+L497*V497</f>
        <v>80.834213444714507</v>
      </c>
      <c r="AA497" s="54">
        <f ca="1">H497*MCDA_Prioritisation!$D$4+I497*MCDA_Prioritisation!$E$4+J497*O497+K497*S497+L497*W497</f>
        <v>74.502930691080039</v>
      </c>
      <c r="AB497" s="54">
        <f ca="1">H497*MCDA_Prioritisation!$D$5+I497*MCDA_Prioritisation!$E$5+J497*P497+K497*T497+L497*X497</f>
        <v>72.616525095534826</v>
      </c>
      <c r="AC497" s="54">
        <f t="shared" ca="1" si="104"/>
        <v>1</v>
      </c>
      <c r="AD497" s="54">
        <f t="shared" ca="1" si="105"/>
        <v>2</v>
      </c>
      <c r="AE497" s="54">
        <f t="shared" ca="1" si="106"/>
        <v>3</v>
      </c>
      <c r="AF497" s="54">
        <f t="shared" ca="1" si="107"/>
        <v>4</v>
      </c>
      <c r="AG497" s="54">
        <f t="shared" ca="1" si="108"/>
        <v>1</v>
      </c>
      <c r="AH497" s="54">
        <f t="shared" ca="1" si="109"/>
        <v>1</v>
      </c>
      <c r="AI497" s="54">
        <f t="shared" ca="1" si="110"/>
        <v>1</v>
      </c>
      <c r="AJ497" s="54">
        <f t="shared" ca="1" si="111"/>
        <v>1</v>
      </c>
    </row>
    <row r="498" spans="1:36" x14ac:dyDescent="0.2">
      <c r="A498" s="54">
        <v>475</v>
      </c>
      <c r="B498" s="54">
        <f ca="1">MAX(0.02,MCDA_Prioritisation!$B$9+(RAND()-0.5)*2*$B$6)</f>
        <v>0.20087570648339928</v>
      </c>
      <c r="C498" s="54">
        <f ca="1">MAX(0.02,MCDA_Prioritisation!$B$10+(RAND()-0.5)*2*$B$6)</f>
        <v>0.29827913048873816</v>
      </c>
      <c r="D498" s="54">
        <f ca="1">MAX(0.02,MCDA_Prioritisation!$B$11+(RAND()-0.5)*2*$B$6)</f>
        <v>0.29375668854330889</v>
      </c>
      <c r="E498" s="54">
        <f ca="1">MAX(0.02,MCDA_Prioritisation!$B$12+(RAND()-0.5)*2*$B$6)</f>
        <v>0.15177043407498156</v>
      </c>
      <c r="F498" s="54">
        <f ca="1">MAX(0.02,MCDA_Prioritisation!$B$13+(RAND()-0.5)*2*$B$6)</f>
        <v>0.13235628393797585</v>
      </c>
      <c r="G498" s="54">
        <f t="shared" ca="1" si="98"/>
        <v>1.0770382435284038</v>
      </c>
      <c r="H498" s="54">
        <f t="shared" ca="1" si="99"/>
        <v>0.18650749654471463</v>
      </c>
      <c r="I498" s="54">
        <f t="shared" ca="1" si="100"/>
        <v>0.27694386181828456</v>
      </c>
      <c r="J498" s="54">
        <f t="shared" ca="1" si="101"/>
        <v>0.27274490047907191</v>
      </c>
      <c r="K498" s="54">
        <f t="shared" ca="1" si="102"/>
        <v>0.14091461931544591</v>
      </c>
      <c r="L498" s="54">
        <f t="shared" ca="1" si="103"/>
        <v>0.12288912184248296</v>
      </c>
      <c r="M498" s="54">
        <f ca="1">MIN(100,MAX(0,MCDA_Prioritisation!$F$2+(RAND()-0.5)*2*$B$7))</f>
        <v>94.987042027122257</v>
      </c>
      <c r="N498" s="54">
        <f ca="1">MIN(100,MAX(0,MCDA_Prioritisation!$F$3+(RAND()-0.5)*2*$B$7))</f>
        <v>90.327151694292965</v>
      </c>
      <c r="O498" s="54">
        <f ca="1">MIN(100,MAX(0,MCDA_Prioritisation!$F$4+(RAND()-0.5)*2*$B$7))</f>
        <v>99.263351548773855</v>
      </c>
      <c r="P498" s="54">
        <f ca="1">MIN(100,MAX(0,MCDA_Prioritisation!$F$5+(RAND()-0.5)*2*$B$7))</f>
        <v>70.096492501994078</v>
      </c>
      <c r="Q498" s="54">
        <f ca="1">MIN(100,MAX(0,MCDA_Prioritisation!$G$2+(RAND()-0.5)*2*$B$7))</f>
        <v>75.07433682480638</v>
      </c>
      <c r="R498" s="54">
        <f ca="1">MIN(100,MAX(0,MCDA_Prioritisation!$G$3+(RAND()-0.5)*2*$B$7))</f>
        <v>97.289382173831456</v>
      </c>
      <c r="S498" s="54">
        <f ca="1">MIN(100,MAX(0,MCDA_Prioritisation!$G$4+(RAND()-0.5)*2*$B$7))</f>
        <v>90.771239966107316</v>
      </c>
      <c r="T498" s="54">
        <f ca="1">MIN(100,MAX(0,MCDA_Prioritisation!$G$5+(RAND()-0.5)*2*$B$7))</f>
        <v>64.33717267324144</v>
      </c>
      <c r="U498" s="54">
        <f ca="1">MIN(100,MAX(0,MCDA_Prioritisation!$H$2+(RAND()-0.5)*2*$B$7))</f>
        <v>72.393306931603277</v>
      </c>
      <c r="V498" s="54">
        <f ca="1">MIN(100,MAX(0,MCDA_Prioritisation!$H$3+(RAND()-0.5)*2*$B$7))</f>
        <v>61.345889181346102</v>
      </c>
      <c r="W498" s="54">
        <f ca="1">MIN(100,MAX(0,MCDA_Prioritisation!$H$4+(RAND()-0.5)*2*$B$7))</f>
        <v>70.370328372582975</v>
      </c>
      <c r="X498" s="54">
        <f ca="1">MIN(100,MAX(0,MCDA_Prioritisation!$H$5+(RAND()-0.5)*2*$B$7))</f>
        <v>66.715238265848967</v>
      </c>
      <c r="Y498" s="54">
        <f ca="1">H498*MCDA_Prioritisation!$D$2+I498*MCDA_Prioritisation!$E$2+J498*M498+K498*Q498+L498*U498</f>
        <v>91.727788670914009</v>
      </c>
      <c r="Z498" s="54">
        <f ca="1">H498*MCDA_Prioritisation!$D$3+I498*MCDA_Prioritisation!$E$3+J498*N498+K498*R498+L498*V498</f>
        <v>82.326046166917095</v>
      </c>
      <c r="AA498" s="54">
        <f ca="1">H498*MCDA_Prioritisation!$D$4+I498*MCDA_Prioritisation!$E$4+J498*O498+K498*S498+L498*W498</f>
        <v>76.605630004221766</v>
      </c>
      <c r="AB498" s="54">
        <f ca="1">H498*MCDA_Prioritisation!$D$5+I498*MCDA_Prioritisation!$E$5+J498*P498+K498*T498+L498*X498</f>
        <v>69.570598555474049</v>
      </c>
      <c r="AC498" s="54">
        <f t="shared" ca="1" si="104"/>
        <v>1</v>
      </c>
      <c r="AD498" s="54">
        <f t="shared" ca="1" si="105"/>
        <v>2</v>
      </c>
      <c r="AE498" s="54">
        <f t="shared" ca="1" si="106"/>
        <v>3</v>
      </c>
      <c r="AF498" s="54">
        <f t="shared" ca="1" si="107"/>
        <v>4</v>
      </c>
      <c r="AG498" s="54">
        <f t="shared" ca="1" si="108"/>
        <v>1</v>
      </c>
      <c r="AH498" s="54">
        <f t="shared" ca="1" si="109"/>
        <v>1</v>
      </c>
      <c r="AI498" s="54">
        <f t="shared" ca="1" si="110"/>
        <v>1</v>
      </c>
      <c r="AJ498" s="54">
        <f t="shared" ca="1" si="111"/>
        <v>1</v>
      </c>
    </row>
    <row r="499" spans="1:36" x14ac:dyDescent="0.2">
      <c r="A499" s="54">
        <v>476</v>
      </c>
      <c r="B499" s="54">
        <f ca="1">MAX(0.02,MCDA_Prioritisation!$B$9+(RAND()-0.5)*2*$B$6)</f>
        <v>0.15819366691835218</v>
      </c>
      <c r="C499" s="54">
        <f ca="1">MAX(0.02,MCDA_Prioritisation!$B$10+(RAND()-0.5)*2*$B$6)</f>
        <v>0.30128377677689522</v>
      </c>
      <c r="D499" s="54">
        <f ca="1">MAX(0.02,MCDA_Prioritisation!$B$11+(RAND()-0.5)*2*$B$6)</f>
        <v>0.17875393868131445</v>
      </c>
      <c r="E499" s="54">
        <f ca="1">MAX(0.02,MCDA_Prioritisation!$B$12+(RAND()-0.5)*2*$B$6)</f>
        <v>0.20513467732238058</v>
      </c>
      <c r="F499" s="54">
        <f ca="1">MAX(0.02,MCDA_Prioritisation!$B$13+(RAND()-0.5)*2*$B$6)</f>
        <v>0.11961868990721006</v>
      </c>
      <c r="G499" s="54">
        <f t="shared" ca="1" si="98"/>
        <v>0.96298474960615243</v>
      </c>
      <c r="H499" s="54">
        <f t="shared" ca="1" si="99"/>
        <v>0.16427432208355452</v>
      </c>
      <c r="I499" s="54">
        <f t="shared" ca="1" si="100"/>
        <v>0.31286453591307251</v>
      </c>
      <c r="J499" s="54">
        <f t="shared" ca="1" si="101"/>
        <v>0.18562489048182992</v>
      </c>
      <c r="K499" s="54">
        <f t="shared" ca="1" si="102"/>
        <v>0.21301965312148283</v>
      </c>
      <c r="L499" s="54">
        <f t="shared" ca="1" si="103"/>
        <v>0.12421659840006029</v>
      </c>
      <c r="M499" s="54">
        <f ca="1">MIN(100,MAX(0,MCDA_Prioritisation!$F$2+(RAND()-0.5)*2*$B$7))</f>
        <v>89.870178721501148</v>
      </c>
      <c r="N499" s="54">
        <f ca="1">MIN(100,MAX(0,MCDA_Prioritisation!$F$3+(RAND()-0.5)*2*$B$7))</f>
        <v>92.280639533268072</v>
      </c>
      <c r="O499" s="54">
        <f ca="1">MIN(100,MAX(0,MCDA_Prioritisation!$F$4+(RAND()-0.5)*2*$B$7))</f>
        <v>92.901014638531393</v>
      </c>
      <c r="P499" s="54">
        <f ca="1">MIN(100,MAX(0,MCDA_Prioritisation!$F$5+(RAND()-0.5)*2*$B$7))</f>
        <v>77.992799564291133</v>
      </c>
      <c r="Q499" s="54">
        <f ca="1">MIN(100,MAX(0,MCDA_Prioritisation!$G$2+(RAND()-0.5)*2*$B$7))</f>
        <v>79.214866128922154</v>
      </c>
      <c r="R499" s="54">
        <f ca="1">MIN(100,MAX(0,MCDA_Prioritisation!$G$3+(RAND()-0.5)*2*$B$7))</f>
        <v>87.38633883120032</v>
      </c>
      <c r="S499" s="54">
        <f ca="1">MIN(100,MAX(0,MCDA_Prioritisation!$G$4+(RAND()-0.5)*2*$B$7))</f>
        <v>76.839974440260647</v>
      </c>
      <c r="T499" s="54">
        <f ca="1">MIN(100,MAX(0,MCDA_Prioritisation!$G$5+(RAND()-0.5)*2*$B$7))</f>
        <v>77.745315958423078</v>
      </c>
      <c r="U499" s="54">
        <f ca="1">MIN(100,MAX(0,MCDA_Prioritisation!$H$2+(RAND()-0.5)*2*$B$7))</f>
        <v>73.739728972017176</v>
      </c>
      <c r="V499" s="54">
        <f ca="1">MIN(100,MAX(0,MCDA_Prioritisation!$H$3+(RAND()-0.5)*2*$B$7))</f>
        <v>69.814666403167664</v>
      </c>
      <c r="W499" s="54">
        <f ca="1">MIN(100,MAX(0,MCDA_Prioritisation!$H$4+(RAND()-0.5)*2*$B$7))</f>
        <v>89.188222587317711</v>
      </c>
      <c r="X499" s="54">
        <f ca="1">MIN(100,MAX(0,MCDA_Prioritisation!$H$5+(RAND()-0.5)*2*$B$7))</f>
        <v>74.025385567967689</v>
      </c>
      <c r="Y499" s="54">
        <f ca="1">H499*MCDA_Prioritisation!$D$2+I499*MCDA_Prioritisation!$E$2+J499*M499+K499*Q499+L499*U499</f>
        <v>90.430049487117884</v>
      </c>
      <c r="Z499" s="54">
        <f ca="1">H499*MCDA_Prioritisation!$D$3+I499*MCDA_Prioritisation!$E$3+J499*N499+K499*R499+L499*V499</f>
        <v>81.527572523086732</v>
      </c>
      <c r="AA499" s="54">
        <f ca="1">H499*MCDA_Prioritisation!$D$4+I499*MCDA_Prioritisation!$E$4+J499*O499+K499*S499+L499*W499</f>
        <v>73.196259405500683</v>
      </c>
      <c r="AB499" s="54">
        <f ca="1">H499*MCDA_Prioritisation!$D$5+I499*MCDA_Prioritisation!$E$5+J499*P499+K499*T499+L499*X499</f>
        <v>75.26193577198228</v>
      </c>
      <c r="AC499" s="54">
        <f t="shared" ca="1" si="104"/>
        <v>1</v>
      </c>
      <c r="AD499" s="54">
        <f t="shared" ca="1" si="105"/>
        <v>2</v>
      </c>
      <c r="AE499" s="54">
        <f t="shared" ca="1" si="106"/>
        <v>4</v>
      </c>
      <c r="AF499" s="54">
        <f t="shared" ca="1" si="107"/>
        <v>3</v>
      </c>
      <c r="AG499" s="54">
        <f t="shared" ca="1" si="108"/>
        <v>1</v>
      </c>
      <c r="AH499" s="54">
        <f t="shared" ca="1" si="109"/>
        <v>1</v>
      </c>
      <c r="AI499" s="54">
        <f t="shared" ca="1" si="110"/>
        <v>0</v>
      </c>
      <c r="AJ499" s="54">
        <f t="shared" ca="1" si="111"/>
        <v>1</v>
      </c>
    </row>
    <row r="500" spans="1:36" x14ac:dyDescent="0.2">
      <c r="A500" s="54">
        <v>477</v>
      </c>
      <c r="B500" s="54">
        <f ca="1">MAX(0.02,MCDA_Prioritisation!$B$9+(RAND()-0.5)*2*$B$6)</f>
        <v>0.24979856412423665</v>
      </c>
      <c r="C500" s="54">
        <f ca="1">MAX(0.02,MCDA_Prioritisation!$B$10+(RAND()-0.5)*2*$B$6)</f>
        <v>0.21809473385214159</v>
      </c>
      <c r="D500" s="54">
        <f ca="1">MAX(0.02,MCDA_Prioritisation!$B$11+(RAND()-0.5)*2*$B$6)</f>
        <v>0.27828622067890163</v>
      </c>
      <c r="E500" s="54">
        <f ca="1">MAX(0.02,MCDA_Prioritisation!$B$12+(RAND()-0.5)*2*$B$6)</f>
        <v>0.15455149719084801</v>
      </c>
      <c r="F500" s="54">
        <f ca="1">MAX(0.02,MCDA_Prioritisation!$B$13+(RAND()-0.5)*2*$B$6)</f>
        <v>0.12236203074391068</v>
      </c>
      <c r="G500" s="54">
        <f t="shared" ca="1" si="98"/>
        <v>1.0230930465900385</v>
      </c>
      <c r="H500" s="54">
        <f t="shared" ca="1" si="99"/>
        <v>0.244160162124856</v>
      </c>
      <c r="I500" s="54">
        <f t="shared" ca="1" si="100"/>
        <v>0.21317194421274752</v>
      </c>
      <c r="J500" s="54">
        <f t="shared" ca="1" si="101"/>
        <v>0.27200480113360903</v>
      </c>
      <c r="K500" s="54">
        <f t="shared" ca="1" si="102"/>
        <v>0.15106299246775939</v>
      </c>
      <c r="L500" s="54">
        <f t="shared" ca="1" si="103"/>
        <v>0.11960010006102809</v>
      </c>
      <c r="M500" s="54">
        <f ca="1">MIN(100,MAX(0,MCDA_Prioritisation!$F$2+(RAND()-0.5)*2*$B$7))</f>
        <v>84.50212874626132</v>
      </c>
      <c r="N500" s="54">
        <f ca="1">MIN(100,MAX(0,MCDA_Prioritisation!$F$3+(RAND()-0.5)*2*$B$7))</f>
        <v>92.207952546707375</v>
      </c>
      <c r="O500" s="54">
        <f ca="1">MIN(100,MAX(0,MCDA_Prioritisation!$F$4+(RAND()-0.5)*2*$B$7))</f>
        <v>90.017543478615949</v>
      </c>
      <c r="P500" s="54">
        <f ca="1">MIN(100,MAX(0,MCDA_Prioritisation!$F$5+(RAND()-0.5)*2*$B$7))</f>
        <v>83.221711257488906</v>
      </c>
      <c r="Q500" s="54">
        <f ca="1">MIN(100,MAX(0,MCDA_Prioritisation!$G$2+(RAND()-0.5)*2*$B$7))</f>
        <v>86.731419950634034</v>
      </c>
      <c r="R500" s="54">
        <f ca="1">MIN(100,MAX(0,MCDA_Prioritisation!$G$3+(RAND()-0.5)*2*$B$7))</f>
        <v>100</v>
      </c>
      <c r="S500" s="54">
        <f ca="1">MIN(100,MAX(0,MCDA_Prioritisation!$G$4+(RAND()-0.5)*2*$B$7))</f>
        <v>91.513655502647339</v>
      </c>
      <c r="T500" s="54">
        <f ca="1">MIN(100,MAX(0,MCDA_Prioritisation!$G$5+(RAND()-0.5)*2*$B$7))</f>
        <v>66.110428890234715</v>
      </c>
      <c r="U500" s="54">
        <f ca="1">MIN(100,MAX(0,MCDA_Prioritisation!$H$2+(RAND()-0.5)*2*$B$7))</f>
        <v>56.97136114660654</v>
      </c>
      <c r="V500" s="54">
        <f ca="1">MIN(100,MAX(0,MCDA_Prioritisation!$H$3+(RAND()-0.5)*2*$B$7))</f>
        <v>52.558910687360502</v>
      </c>
      <c r="W500" s="54">
        <f ca="1">MIN(100,MAX(0,MCDA_Prioritisation!$H$4+(RAND()-0.5)*2*$B$7))</f>
        <v>73.674934127584152</v>
      </c>
      <c r="X500" s="54">
        <f ca="1">MIN(100,MAX(0,MCDA_Prioritisation!$H$5+(RAND()-0.5)*2*$B$7))</f>
        <v>79.696627407111677</v>
      </c>
      <c r="Y500" s="54">
        <f ca="1">H500*MCDA_Prioritisation!$D$2+I500*MCDA_Prioritisation!$E$2+J500*M500+K500*Q500+L500*U500</f>
        <v>88.633883691221598</v>
      </c>
      <c r="Z500" s="54">
        <f ca="1">H500*MCDA_Prioritisation!$D$3+I500*MCDA_Prioritisation!$E$3+J500*N500+K500*R500+L500*V500</f>
        <v>83.315596586960424</v>
      </c>
      <c r="AA500" s="54">
        <f ca="1">H500*MCDA_Prioritisation!$D$4+I500*MCDA_Prioritisation!$E$4+J500*O500+K500*S500+L500*W500</f>
        <v>75.750499121699505</v>
      </c>
      <c r="AB500" s="54">
        <f ca="1">H500*MCDA_Prioritisation!$D$5+I500*MCDA_Prioritisation!$E$5+J500*P500+K500*T500+L500*X500</f>
        <v>73.040109299843266</v>
      </c>
      <c r="AC500" s="54">
        <f t="shared" ca="1" si="104"/>
        <v>1</v>
      </c>
      <c r="AD500" s="54">
        <f t="shared" ca="1" si="105"/>
        <v>2</v>
      </c>
      <c r="AE500" s="54">
        <f t="shared" ca="1" si="106"/>
        <v>3</v>
      </c>
      <c r="AF500" s="54">
        <f t="shared" ca="1" si="107"/>
        <v>4</v>
      </c>
      <c r="AG500" s="54">
        <f t="shared" ca="1" si="108"/>
        <v>1</v>
      </c>
      <c r="AH500" s="54">
        <f t="shared" ca="1" si="109"/>
        <v>1</v>
      </c>
      <c r="AI500" s="54">
        <f t="shared" ca="1" si="110"/>
        <v>1</v>
      </c>
      <c r="AJ500" s="54">
        <f t="shared" ca="1" si="111"/>
        <v>1</v>
      </c>
    </row>
    <row r="501" spans="1:36" x14ac:dyDescent="0.2">
      <c r="A501" s="54">
        <v>478</v>
      </c>
      <c r="B501" s="54">
        <f ca="1">MAX(0.02,MCDA_Prioritisation!$B$9+(RAND()-0.5)*2*$B$6)</f>
        <v>0.19450474835957215</v>
      </c>
      <c r="C501" s="54">
        <f ca="1">MAX(0.02,MCDA_Prioritisation!$B$10+(RAND()-0.5)*2*$B$6)</f>
        <v>0.24777444014829439</v>
      </c>
      <c r="D501" s="54">
        <f ca="1">MAX(0.02,MCDA_Prioritisation!$B$11+(RAND()-0.5)*2*$B$6)</f>
        <v>0.17170433154232961</v>
      </c>
      <c r="E501" s="54">
        <f ca="1">MAX(0.02,MCDA_Prioritisation!$B$12+(RAND()-0.5)*2*$B$6)</f>
        <v>0.12374980865946682</v>
      </c>
      <c r="F501" s="54">
        <f ca="1">MAX(0.02,MCDA_Prioritisation!$B$13+(RAND()-0.5)*2*$B$6)</f>
        <v>0.21902120152693524</v>
      </c>
      <c r="G501" s="54">
        <f t="shared" ca="1" si="98"/>
        <v>0.95675453023659829</v>
      </c>
      <c r="H501" s="54">
        <f t="shared" ca="1" si="99"/>
        <v>0.20329639652866088</v>
      </c>
      <c r="I501" s="54">
        <f t="shared" ca="1" si="100"/>
        <v>0.25897388757283607</v>
      </c>
      <c r="J501" s="54">
        <f t="shared" ca="1" si="101"/>
        <v>0.17946539693924252</v>
      </c>
      <c r="K501" s="54">
        <f t="shared" ca="1" si="102"/>
        <v>0.12934332135209686</v>
      </c>
      <c r="L501" s="54">
        <f t="shared" ca="1" si="103"/>
        <v>0.22892099760716358</v>
      </c>
      <c r="M501" s="54">
        <f ca="1">MIN(100,MAX(0,MCDA_Prioritisation!$F$2+(RAND()-0.5)*2*$B$7))</f>
        <v>90.752588490165707</v>
      </c>
      <c r="N501" s="54">
        <f ca="1">MIN(100,MAX(0,MCDA_Prioritisation!$F$3+(RAND()-0.5)*2*$B$7))</f>
        <v>86.077625383412311</v>
      </c>
      <c r="O501" s="54">
        <f ca="1">MIN(100,MAX(0,MCDA_Prioritisation!$F$4+(RAND()-0.5)*2*$B$7))</f>
        <v>91.432934145582365</v>
      </c>
      <c r="P501" s="54">
        <f ca="1">MIN(100,MAX(0,MCDA_Prioritisation!$F$5+(RAND()-0.5)*2*$B$7))</f>
        <v>72.682894743628182</v>
      </c>
      <c r="Q501" s="54">
        <f ca="1">MIN(100,MAX(0,MCDA_Prioritisation!$G$2+(RAND()-0.5)*2*$B$7))</f>
        <v>71.408566065618913</v>
      </c>
      <c r="R501" s="54">
        <f ca="1">MIN(100,MAX(0,MCDA_Prioritisation!$G$3+(RAND()-0.5)*2*$B$7))</f>
        <v>100</v>
      </c>
      <c r="S501" s="54">
        <f ca="1">MIN(100,MAX(0,MCDA_Prioritisation!$G$4+(RAND()-0.5)*2*$B$7))</f>
        <v>92.023682342191393</v>
      </c>
      <c r="T501" s="54">
        <f ca="1">MIN(100,MAX(0,MCDA_Prioritisation!$G$5+(RAND()-0.5)*2*$B$7))</f>
        <v>66.965631874910528</v>
      </c>
      <c r="U501" s="54">
        <f ca="1">MIN(100,MAX(0,MCDA_Prioritisation!$H$2+(RAND()-0.5)*2*$B$7))</f>
        <v>64.552591535274132</v>
      </c>
      <c r="V501" s="54">
        <f ca="1">MIN(100,MAX(0,MCDA_Prioritisation!$H$3+(RAND()-0.5)*2*$B$7))</f>
        <v>53.735912154048783</v>
      </c>
      <c r="W501" s="54">
        <f ca="1">MIN(100,MAX(0,MCDA_Prioritisation!$H$4+(RAND()-0.5)*2*$B$7))</f>
        <v>72.133994780331946</v>
      </c>
      <c r="X501" s="54">
        <f ca="1">MIN(100,MAX(0,MCDA_Prioritisation!$H$5+(RAND()-0.5)*2*$B$7))</f>
        <v>76.92442036120319</v>
      </c>
      <c r="Y501" s="54">
        <f ca="1">H501*MCDA_Prioritisation!$D$2+I501*MCDA_Prioritisation!$E$2+J501*M501+K501*Q501+L501*U501</f>
        <v>86.527642487101502</v>
      </c>
      <c r="Z501" s="54">
        <f ca="1">H501*MCDA_Prioritisation!$D$3+I501*MCDA_Prioritisation!$E$3+J501*N501+K501*R501+L501*V501</f>
        <v>77.285493000161352</v>
      </c>
      <c r="AA501" s="54">
        <f ca="1">H501*MCDA_Prioritisation!$D$4+I501*MCDA_Prioritisation!$E$4+J501*O501+K501*S501+L501*W501</f>
        <v>73.106896952449119</v>
      </c>
      <c r="AB501" s="54">
        <f ca="1">H501*MCDA_Prioritisation!$D$5+I501*MCDA_Prioritisation!$E$5+J501*P501+K501*T501+L501*X501</f>
        <v>71.882723628580038</v>
      </c>
      <c r="AC501" s="54">
        <f t="shared" ca="1" si="104"/>
        <v>1</v>
      </c>
      <c r="AD501" s="54">
        <f t="shared" ca="1" si="105"/>
        <v>2</v>
      </c>
      <c r="AE501" s="54">
        <f t="shared" ca="1" si="106"/>
        <v>3</v>
      </c>
      <c r="AF501" s="54">
        <f t="shared" ca="1" si="107"/>
        <v>4</v>
      </c>
      <c r="AG501" s="54">
        <f t="shared" ca="1" si="108"/>
        <v>1</v>
      </c>
      <c r="AH501" s="54">
        <f t="shared" ca="1" si="109"/>
        <v>1</v>
      </c>
      <c r="AI501" s="54">
        <f t="shared" ca="1" si="110"/>
        <v>1</v>
      </c>
      <c r="AJ501" s="54">
        <f t="shared" ca="1" si="111"/>
        <v>1</v>
      </c>
    </row>
    <row r="502" spans="1:36" x14ac:dyDescent="0.2">
      <c r="A502" s="54">
        <v>479</v>
      </c>
      <c r="B502" s="54">
        <f ca="1">MAX(0.02,MCDA_Prioritisation!$B$9+(RAND()-0.5)*2*$B$6)</f>
        <v>0.2548995595842371</v>
      </c>
      <c r="C502" s="54">
        <f ca="1">MAX(0.02,MCDA_Prioritisation!$B$10+(RAND()-0.5)*2*$B$6)</f>
        <v>0.3221235653805628</v>
      </c>
      <c r="D502" s="54">
        <f ca="1">MAX(0.02,MCDA_Prioritisation!$B$11+(RAND()-0.5)*2*$B$6)</f>
        <v>0.17142641820875154</v>
      </c>
      <c r="E502" s="54">
        <f ca="1">MAX(0.02,MCDA_Prioritisation!$B$12+(RAND()-0.5)*2*$B$6)</f>
        <v>0.16792400389735399</v>
      </c>
      <c r="F502" s="54">
        <f ca="1">MAX(0.02,MCDA_Prioritisation!$B$13+(RAND()-0.5)*2*$B$6)</f>
        <v>0.19808588049322653</v>
      </c>
      <c r="G502" s="54">
        <f t="shared" ca="1" si="98"/>
        <v>1.114459427564132</v>
      </c>
      <c r="H502" s="54">
        <f t="shared" ca="1" si="99"/>
        <v>0.22872035830085777</v>
      </c>
      <c r="I502" s="54">
        <f t="shared" ca="1" si="100"/>
        <v>0.28904019061925529</v>
      </c>
      <c r="J502" s="54">
        <f t="shared" ca="1" si="101"/>
        <v>0.15382024142721584</v>
      </c>
      <c r="K502" s="54">
        <f t="shared" ca="1" si="102"/>
        <v>0.15067753903287856</v>
      </c>
      <c r="L502" s="54">
        <f t="shared" ca="1" si="103"/>
        <v>0.1777416706197926</v>
      </c>
      <c r="M502" s="54">
        <f ca="1">MIN(100,MAX(0,MCDA_Prioritisation!$F$2+(RAND()-0.5)*2*$B$7))</f>
        <v>91.465994082415051</v>
      </c>
      <c r="N502" s="54">
        <f ca="1">MIN(100,MAX(0,MCDA_Prioritisation!$F$3+(RAND()-0.5)*2*$B$7))</f>
        <v>91.890522349566737</v>
      </c>
      <c r="O502" s="54">
        <f ca="1">MIN(100,MAX(0,MCDA_Prioritisation!$F$4+(RAND()-0.5)*2*$B$7))</f>
        <v>94.13423141533049</v>
      </c>
      <c r="P502" s="54">
        <f ca="1">MIN(100,MAX(0,MCDA_Prioritisation!$F$5+(RAND()-0.5)*2*$B$7))</f>
        <v>66.881007783732343</v>
      </c>
      <c r="Q502" s="54">
        <f ca="1">MIN(100,MAX(0,MCDA_Prioritisation!$G$2+(RAND()-0.5)*2*$B$7))</f>
        <v>74.225291019434579</v>
      </c>
      <c r="R502" s="54">
        <f ca="1">MIN(100,MAX(0,MCDA_Prioritisation!$G$3+(RAND()-0.5)*2*$B$7))</f>
        <v>91.665753959227729</v>
      </c>
      <c r="S502" s="54">
        <f ca="1">MIN(100,MAX(0,MCDA_Prioritisation!$G$4+(RAND()-0.5)*2*$B$7))</f>
        <v>94.611490796758318</v>
      </c>
      <c r="T502" s="54">
        <f ca="1">MIN(100,MAX(0,MCDA_Prioritisation!$G$5+(RAND()-0.5)*2*$B$7))</f>
        <v>69.130070563993073</v>
      </c>
      <c r="U502" s="54">
        <f ca="1">MIN(100,MAX(0,MCDA_Prioritisation!$H$2+(RAND()-0.5)*2*$B$7))</f>
        <v>74.35576747796911</v>
      </c>
      <c r="V502" s="54">
        <f ca="1">MIN(100,MAX(0,MCDA_Prioritisation!$H$3+(RAND()-0.5)*2*$B$7))</f>
        <v>54.920663582947093</v>
      </c>
      <c r="W502" s="54">
        <f ca="1">MIN(100,MAX(0,MCDA_Prioritisation!$H$4+(RAND()-0.5)*2*$B$7))</f>
        <v>87.875254455506578</v>
      </c>
      <c r="X502" s="54">
        <f ca="1">MIN(100,MAX(0,MCDA_Prioritisation!$H$5+(RAND()-0.5)*2*$B$7))</f>
        <v>76.607580676018159</v>
      </c>
      <c r="Y502" s="54">
        <f ca="1">H502*MCDA_Prioritisation!$D$2+I502*MCDA_Prioritisation!$E$2+J502*M502+K502*Q502+L502*U502</f>
        <v>90.245578700707384</v>
      </c>
      <c r="Z502" s="54">
        <f ca="1">H502*MCDA_Prioritisation!$D$3+I502*MCDA_Prioritisation!$E$3+J502*N502+K502*R502+L502*V502</f>
        <v>78.718824211841721</v>
      </c>
      <c r="AA502" s="54">
        <f ca="1">H502*MCDA_Prioritisation!$D$4+I502*MCDA_Prioritisation!$E$4+J502*O502+K502*S502+L502*W502</f>
        <v>76.047241109086755</v>
      </c>
      <c r="AB502" s="54">
        <f ca="1">H502*MCDA_Prioritisation!$D$5+I502*MCDA_Prioritisation!$E$5+J502*P502+K502*T502+L502*X502</f>
        <v>70.765549971608351</v>
      </c>
      <c r="AC502" s="54">
        <f t="shared" ca="1" si="104"/>
        <v>1</v>
      </c>
      <c r="AD502" s="54">
        <f t="shared" ca="1" si="105"/>
        <v>2</v>
      </c>
      <c r="AE502" s="54">
        <f t="shared" ca="1" si="106"/>
        <v>3</v>
      </c>
      <c r="AF502" s="54">
        <f t="shared" ca="1" si="107"/>
        <v>4</v>
      </c>
      <c r="AG502" s="54">
        <f t="shared" ca="1" si="108"/>
        <v>1</v>
      </c>
      <c r="AH502" s="54">
        <f t="shared" ca="1" si="109"/>
        <v>1</v>
      </c>
      <c r="AI502" s="54">
        <f t="shared" ca="1" si="110"/>
        <v>1</v>
      </c>
      <c r="AJ502" s="54">
        <f t="shared" ca="1" si="111"/>
        <v>1</v>
      </c>
    </row>
    <row r="503" spans="1:36" x14ac:dyDescent="0.2">
      <c r="A503" s="54">
        <v>480</v>
      </c>
      <c r="B503" s="54">
        <f ca="1">MAX(0.02,MCDA_Prioritisation!$B$9+(RAND()-0.5)*2*$B$6)</f>
        <v>0.20260830241826247</v>
      </c>
      <c r="C503" s="54">
        <f ca="1">MAX(0.02,MCDA_Prioritisation!$B$10+(RAND()-0.5)*2*$B$6)</f>
        <v>0.208123144002162</v>
      </c>
      <c r="D503" s="54">
        <f ca="1">MAX(0.02,MCDA_Prioritisation!$B$11+(RAND()-0.5)*2*$B$6)</f>
        <v>0.22687644350388383</v>
      </c>
      <c r="E503" s="54">
        <f ca="1">MAX(0.02,MCDA_Prioritisation!$B$12+(RAND()-0.5)*2*$B$6)</f>
        <v>0.1712605102070662</v>
      </c>
      <c r="F503" s="54">
        <f ca="1">MAX(0.02,MCDA_Prioritisation!$B$13+(RAND()-0.5)*2*$B$6)</f>
        <v>0.14415329774782654</v>
      </c>
      <c r="G503" s="54">
        <f t="shared" ca="1" si="98"/>
        <v>0.95302169787920099</v>
      </c>
      <c r="H503" s="54">
        <f t="shared" ca="1" si="99"/>
        <v>0.21259568682343244</v>
      </c>
      <c r="I503" s="54">
        <f t="shared" ca="1" si="100"/>
        <v>0.21838237730086013</v>
      </c>
      <c r="J503" s="54">
        <f t="shared" ca="1" si="101"/>
        <v>0.23806010294284113</v>
      </c>
      <c r="K503" s="54">
        <f t="shared" ca="1" si="102"/>
        <v>0.17970263488038035</v>
      </c>
      <c r="L503" s="54">
        <f t="shared" ca="1" si="103"/>
        <v>0.151259198052486</v>
      </c>
      <c r="M503" s="54">
        <f ca="1">MIN(100,MAX(0,MCDA_Prioritisation!$F$2+(RAND()-0.5)*2*$B$7))</f>
        <v>93.903680589046147</v>
      </c>
      <c r="N503" s="54">
        <f ca="1">MIN(100,MAX(0,MCDA_Prioritisation!$F$3+(RAND()-0.5)*2*$B$7))</f>
        <v>96.938473872541195</v>
      </c>
      <c r="O503" s="54">
        <f ca="1">MIN(100,MAX(0,MCDA_Prioritisation!$F$4+(RAND()-0.5)*2*$B$7))</f>
        <v>85.930209079673816</v>
      </c>
      <c r="P503" s="54">
        <f ca="1">MIN(100,MAX(0,MCDA_Prioritisation!$F$5+(RAND()-0.5)*2*$B$7))</f>
        <v>79.850072651438552</v>
      </c>
      <c r="Q503" s="54">
        <f ca="1">MIN(100,MAX(0,MCDA_Prioritisation!$G$2+(RAND()-0.5)*2*$B$7))</f>
        <v>74.390465177607027</v>
      </c>
      <c r="R503" s="54">
        <f ca="1">MIN(100,MAX(0,MCDA_Prioritisation!$G$3+(RAND()-0.5)*2*$B$7))</f>
        <v>85.251552654600971</v>
      </c>
      <c r="S503" s="54">
        <f ca="1">MIN(100,MAX(0,MCDA_Prioritisation!$G$4+(RAND()-0.5)*2*$B$7))</f>
        <v>77.129414680275673</v>
      </c>
      <c r="T503" s="54">
        <f ca="1">MIN(100,MAX(0,MCDA_Prioritisation!$G$5+(RAND()-0.5)*2*$B$7))</f>
        <v>72.792571719771189</v>
      </c>
      <c r="U503" s="54">
        <f ca="1">MIN(100,MAX(0,MCDA_Prioritisation!$H$2+(RAND()-0.5)*2*$B$7))</f>
        <v>71.635272076702137</v>
      </c>
      <c r="V503" s="54">
        <f ca="1">MIN(100,MAX(0,MCDA_Prioritisation!$H$3+(RAND()-0.5)*2*$B$7))</f>
        <v>67.526017051549118</v>
      </c>
      <c r="W503" s="54">
        <f ca="1">MIN(100,MAX(0,MCDA_Prioritisation!$H$4+(RAND()-0.5)*2*$B$7))</f>
        <v>73.030557832176413</v>
      </c>
      <c r="X503" s="54">
        <f ca="1">MIN(100,MAX(0,MCDA_Prioritisation!$H$5+(RAND()-0.5)*2*$B$7))</f>
        <v>67.444229804972608</v>
      </c>
      <c r="Y503" s="54">
        <f ca="1">H503*MCDA_Prioritisation!$D$2+I503*MCDA_Prioritisation!$E$2+J503*M503+K503*Q503+L503*U503</f>
        <v>89.656182689156026</v>
      </c>
      <c r="Z503" s="54">
        <f ca="1">H503*MCDA_Prioritisation!$D$3+I503*MCDA_Prioritisation!$E$3+J503*N503+K503*R503+L503*V503</f>
        <v>83.073588677246462</v>
      </c>
      <c r="AA503" s="54">
        <f ca="1">H503*MCDA_Prioritisation!$D$4+I503*MCDA_Prioritisation!$E$4+J503*O503+K503*S503+L503*W503</f>
        <v>72.079136975097356</v>
      </c>
      <c r="AB503" s="54">
        <f ca="1">H503*MCDA_Prioritisation!$D$5+I503*MCDA_Prioritisation!$E$5+J503*P503+K503*T503+L503*X503</f>
        <v>71.939371453827079</v>
      </c>
      <c r="AC503" s="54">
        <f t="shared" ca="1" si="104"/>
        <v>1</v>
      </c>
      <c r="AD503" s="54">
        <f t="shared" ca="1" si="105"/>
        <v>2</v>
      </c>
      <c r="AE503" s="54">
        <f t="shared" ca="1" si="106"/>
        <v>3</v>
      </c>
      <c r="AF503" s="54">
        <f t="shared" ca="1" si="107"/>
        <v>4</v>
      </c>
      <c r="AG503" s="54">
        <f t="shared" ca="1" si="108"/>
        <v>1</v>
      </c>
      <c r="AH503" s="54">
        <f t="shared" ca="1" si="109"/>
        <v>1</v>
      </c>
      <c r="AI503" s="54">
        <f t="shared" ca="1" si="110"/>
        <v>1</v>
      </c>
      <c r="AJ503" s="54">
        <f t="shared" ca="1" si="111"/>
        <v>1</v>
      </c>
    </row>
    <row r="504" spans="1:36" x14ac:dyDescent="0.2">
      <c r="A504" s="54">
        <v>481</v>
      </c>
      <c r="B504" s="54">
        <f ca="1">MAX(0.02,MCDA_Prioritisation!$B$9+(RAND()-0.5)*2*$B$6)</f>
        <v>0.1897764199619501</v>
      </c>
      <c r="C504" s="54">
        <f ca="1">MAX(0.02,MCDA_Prioritisation!$B$10+(RAND()-0.5)*2*$B$6)</f>
        <v>0.19653809871899747</v>
      </c>
      <c r="D504" s="54">
        <f ca="1">MAX(0.02,MCDA_Prioritisation!$B$11+(RAND()-0.5)*2*$B$6)</f>
        <v>0.1995460543854668</v>
      </c>
      <c r="E504" s="54">
        <f ca="1">MAX(0.02,MCDA_Prioritisation!$B$12+(RAND()-0.5)*2*$B$6)</f>
        <v>0.22869043903977221</v>
      </c>
      <c r="F504" s="54">
        <f ca="1">MAX(0.02,MCDA_Prioritisation!$B$13+(RAND()-0.5)*2*$B$6)</f>
        <v>9.7460969116822574E-2</v>
      </c>
      <c r="G504" s="54">
        <f t="shared" ca="1" si="98"/>
        <v>0.91201198122300908</v>
      </c>
      <c r="H504" s="54">
        <f t="shared" ca="1" si="99"/>
        <v>0.20808544610067481</v>
      </c>
      <c r="I504" s="54">
        <f t="shared" ca="1" si="100"/>
        <v>0.21549947014450366</v>
      </c>
      <c r="J504" s="54">
        <f t="shared" ca="1" si="101"/>
        <v>0.21879762381835743</v>
      </c>
      <c r="K504" s="54">
        <f t="shared" ca="1" si="102"/>
        <v>0.25075376612168854</v>
      </c>
      <c r="L504" s="54">
        <f t="shared" ca="1" si="103"/>
        <v>0.10686369381477566</v>
      </c>
      <c r="M504" s="54">
        <f ca="1">MIN(100,MAX(0,MCDA_Prioritisation!$F$2+(RAND()-0.5)*2*$B$7))</f>
        <v>78.692117969257268</v>
      </c>
      <c r="N504" s="54">
        <f ca="1">MIN(100,MAX(0,MCDA_Prioritisation!$F$3+(RAND()-0.5)*2*$B$7))</f>
        <v>90.389027809743183</v>
      </c>
      <c r="O504" s="54">
        <f ca="1">MIN(100,MAX(0,MCDA_Prioritisation!$F$4+(RAND()-0.5)*2*$B$7))</f>
        <v>95.114888182689057</v>
      </c>
      <c r="P504" s="54">
        <f ca="1">MIN(100,MAX(0,MCDA_Prioritisation!$F$5+(RAND()-0.5)*2*$B$7))</f>
        <v>65.822544603768691</v>
      </c>
      <c r="Q504" s="54">
        <f ca="1">MIN(100,MAX(0,MCDA_Prioritisation!$G$2+(RAND()-0.5)*2*$B$7))</f>
        <v>87.68426137372343</v>
      </c>
      <c r="R504" s="54">
        <f ca="1">MIN(100,MAX(0,MCDA_Prioritisation!$G$3+(RAND()-0.5)*2*$B$7))</f>
        <v>85.366748663173226</v>
      </c>
      <c r="S504" s="54">
        <f ca="1">MIN(100,MAX(0,MCDA_Prioritisation!$G$4+(RAND()-0.5)*2*$B$7))</f>
        <v>86.447626346687642</v>
      </c>
      <c r="T504" s="54">
        <f ca="1">MIN(100,MAX(0,MCDA_Prioritisation!$G$5+(RAND()-0.5)*2*$B$7))</f>
        <v>60.889513848941498</v>
      </c>
      <c r="U504" s="54">
        <f ca="1">MIN(100,MAX(0,MCDA_Prioritisation!$H$2+(RAND()-0.5)*2*$B$7))</f>
        <v>57.072572681727678</v>
      </c>
      <c r="V504" s="54">
        <f ca="1">MIN(100,MAX(0,MCDA_Prioritisation!$H$3+(RAND()-0.5)*2*$B$7))</f>
        <v>69.884215575123307</v>
      </c>
      <c r="W504" s="54">
        <f ca="1">MIN(100,MAX(0,MCDA_Prioritisation!$H$4+(RAND()-0.5)*2*$B$7))</f>
        <v>86.453310386121601</v>
      </c>
      <c r="X504" s="54">
        <f ca="1">MIN(100,MAX(0,MCDA_Prioritisation!$H$5+(RAND()-0.5)*2*$B$7))</f>
        <v>82.964327267390132</v>
      </c>
      <c r="Y504" s="54">
        <f ca="1">H504*MCDA_Prioritisation!$D$2+I504*MCDA_Prioritisation!$E$2+J504*M504+K504*Q504+L504*U504</f>
        <v>87.662284750766545</v>
      </c>
      <c r="Z504" s="54">
        <f ca="1">H504*MCDA_Prioritisation!$D$3+I504*MCDA_Prioritisation!$E$3+J504*N504+K504*R504+L504*V504</f>
        <v>82.50972267156132</v>
      </c>
      <c r="AA504" s="54">
        <f ca="1">H504*MCDA_Prioritisation!$D$4+I504*MCDA_Prioritisation!$E$4+J504*O504+K504*S504+L504*W504</f>
        <v>77.97106326176764</v>
      </c>
      <c r="AB504" s="54">
        <f ca="1">H504*MCDA_Prioritisation!$D$5+I504*MCDA_Prioritisation!$E$5+J504*P504+K504*T504+L504*X504</f>
        <v>67.701832298403275</v>
      </c>
      <c r="AC504" s="54">
        <f t="shared" ca="1" si="104"/>
        <v>1</v>
      </c>
      <c r="AD504" s="54">
        <f t="shared" ca="1" si="105"/>
        <v>2</v>
      </c>
      <c r="AE504" s="54">
        <f t="shared" ca="1" si="106"/>
        <v>3</v>
      </c>
      <c r="AF504" s="54">
        <f t="shared" ca="1" si="107"/>
        <v>4</v>
      </c>
      <c r="AG504" s="54">
        <f t="shared" ca="1" si="108"/>
        <v>1</v>
      </c>
      <c r="AH504" s="54">
        <f t="shared" ca="1" si="109"/>
        <v>1</v>
      </c>
      <c r="AI504" s="54">
        <f t="shared" ca="1" si="110"/>
        <v>1</v>
      </c>
      <c r="AJ504" s="54">
        <f t="shared" ca="1" si="111"/>
        <v>1</v>
      </c>
    </row>
    <row r="505" spans="1:36" x14ac:dyDescent="0.2">
      <c r="A505" s="54">
        <v>482</v>
      </c>
      <c r="B505" s="54">
        <f ca="1">MAX(0.02,MCDA_Prioritisation!$B$9+(RAND()-0.5)*2*$B$6)</f>
        <v>0.21648161491413234</v>
      </c>
      <c r="C505" s="54">
        <f ca="1">MAX(0.02,MCDA_Prioritisation!$B$10+(RAND()-0.5)*2*$B$6)</f>
        <v>0.26319673584645764</v>
      </c>
      <c r="D505" s="54">
        <f ca="1">MAX(0.02,MCDA_Prioritisation!$B$11+(RAND()-0.5)*2*$B$6)</f>
        <v>0.28951658682969056</v>
      </c>
      <c r="E505" s="54">
        <f ca="1">MAX(0.02,MCDA_Prioritisation!$B$12+(RAND()-0.5)*2*$B$6)</f>
        <v>0.19622045820947331</v>
      </c>
      <c r="F505" s="54">
        <f ca="1">MAX(0.02,MCDA_Prioritisation!$B$13+(RAND()-0.5)*2*$B$6)</f>
        <v>0.16604551523948813</v>
      </c>
      <c r="G505" s="54">
        <f t="shared" ca="1" si="98"/>
        <v>1.131460911039242</v>
      </c>
      <c r="H505" s="54">
        <f t="shared" ca="1" si="99"/>
        <v>0.19132929189334072</v>
      </c>
      <c r="I505" s="54">
        <f t="shared" ca="1" si="100"/>
        <v>0.23261672876061851</v>
      </c>
      <c r="J505" s="54">
        <f t="shared" ca="1" si="101"/>
        <v>0.25587855842387947</v>
      </c>
      <c r="K505" s="54">
        <f t="shared" ca="1" si="102"/>
        <v>0.17342221573456362</v>
      </c>
      <c r="L505" s="54">
        <f t="shared" ca="1" si="103"/>
        <v>0.14675320518759771</v>
      </c>
      <c r="M505" s="54">
        <f ca="1">MIN(100,MAX(0,MCDA_Prioritisation!$F$2+(RAND()-0.5)*2*$B$7))</f>
        <v>87.216435489253541</v>
      </c>
      <c r="N505" s="54">
        <f ca="1">MIN(100,MAX(0,MCDA_Prioritisation!$F$3+(RAND()-0.5)*2*$B$7))</f>
        <v>88.504087424232793</v>
      </c>
      <c r="O505" s="54">
        <f ca="1">MIN(100,MAX(0,MCDA_Prioritisation!$F$4+(RAND()-0.5)*2*$B$7))</f>
        <v>84.893803050248835</v>
      </c>
      <c r="P505" s="54">
        <f ca="1">MIN(100,MAX(0,MCDA_Prioritisation!$F$5+(RAND()-0.5)*2*$B$7))</f>
        <v>68.481250574542571</v>
      </c>
      <c r="Q505" s="54">
        <f ca="1">MIN(100,MAX(0,MCDA_Prioritisation!$G$2+(RAND()-0.5)*2*$B$7))</f>
        <v>79.33743746181807</v>
      </c>
      <c r="R505" s="54">
        <f ca="1">MIN(100,MAX(0,MCDA_Prioritisation!$G$3+(RAND()-0.5)*2*$B$7))</f>
        <v>100</v>
      </c>
      <c r="S505" s="54">
        <f ca="1">MIN(100,MAX(0,MCDA_Prioritisation!$G$4+(RAND()-0.5)*2*$B$7))</f>
        <v>89.442512073649524</v>
      </c>
      <c r="T505" s="54">
        <f ca="1">MIN(100,MAX(0,MCDA_Prioritisation!$G$5+(RAND()-0.5)*2*$B$7))</f>
        <v>70.933394148809128</v>
      </c>
      <c r="U505" s="54">
        <f ca="1">MIN(100,MAX(0,MCDA_Prioritisation!$H$2+(RAND()-0.5)*2*$B$7))</f>
        <v>73.180744034664798</v>
      </c>
      <c r="V505" s="54">
        <f ca="1">MIN(100,MAX(0,MCDA_Prioritisation!$H$3+(RAND()-0.5)*2*$B$7))</f>
        <v>51.934219525510258</v>
      </c>
      <c r="W505" s="54">
        <f ca="1">MIN(100,MAX(0,MCDA_Prioritisation!$H$4+(RAND()-0.5)*2*$B$7))</f>
        <v>75.966228942380241</v>
      </c>
      <c r="X505" s="54">
        <f ca="1">MIN(100,MAX(0,MCDA_Prioritisation!$H$5+(RAND()-0.5)*2*$B$7))</f>
        <v>67.994887828441875</v>
      </c>
      <c r="Y505" s="54">
        <f ca="1">H505*MCDA_Prioritisation!$D$2+I505*MCDA_Prioritisation!$E$2+J505*M505+K505*Q505+L505*U505</f>
        <v>89.209800789686483</v>
      </c>
      <c r="Z505" s="54">
        <f ca="1">H505*MCDA_Prioritisation!$D$3+I505*MCDA_Prioritisation!$E$3+J505*N505+K505*R505+L505*V505</f>
        <v>81.249188695297136</v>
      </c>
      <c r="AA505" s="54">
        <f ca="1">H505*MCDA_Prioritisation!$D$4+I505*MCDA_Prioritisation!$E$4+J505*O505+K505*S505+L505*W505</f>
        <v>74.393342495690774</v>
      </c>
      <c r="AB505" s="54">
        <f ca="1">H505*MCDA_Prioritisation!$D$5+I505*MCDA_Prioritisation!$E$5+J505*P505+K505*T505+L505*X505</f>
        <v>69.518702391588917</v>
      </c>
      <c r="AC505" s="54">
        <f t="shared" ca="1" si="104"/>
        <v>1</v>
      </c>
      <c r="AD505" s="54">
        <f t="shared" ca="1" si="105"/>
        <v>2</v>
      </c>
      <c r="AE505" s="54">
        <f t="shared" ca="1" si="106"/>
        <v>3</v>
      </c>
      <c r="AF505" s="54">
        <f t="shared" ca="1" si="107"/>
        <v>4</v>
      </c>
      <c r="AG505" s="54">
        <f t="shared" ca="1" si="108"/>
        <v>1</v>
      </c>
      <c r="AH505" s="54">
        <f t="shared" ca="1" si="109"/>
        <v>1</v>
      </c>
      <c r="AI505" s="54">
        <f t="shared" ca="1" si="110"/>
        <v>1</v>
      </c>
      <c r="AJ505" s="54">
        <f t="shared" ca="1" si="111"/>
        <v>1</v>
      </c>
    </row>
    <row r="506" spans="1:36" x14ac:dyDescent="0.2">
      <c r="A506" s="54">
        <v>483</v>
      </c>
      <c r="B506" s="54">
        <f ca="1">MAX(0.02,MCDA_Prioritisation!$B$9+(RAND()-0.5)*2*$B$6)</f>
        <v>0.22533102628106116</v>
      </c>
      <c r="C506" s="54">
        <f ca="1">MAX(0.02,MCDA_Prioritisation!$B$10+(RAND()-0.5)*2*$B$6)</f>
        <v>0.19227786329973631</v>
      </c>
      <c r="D506" s="54">
        <f ca="1">MAX(0.02,MCDA_Prioritisation!$B$11+(RAND()-0.5)*2*$B$6)</f>
        <v>0.23448435220589231</v>
      </c>
      <c r="E506" s="54">
        <f ca="1">MAX(0.02,MCDA_Prioritisation!$B$12+(RAND()-0.5)*2*$B$6)</f>
        <v>0.1740987326149197</v>
      </c>
      <c r="F506" s="54">
        <f ca="1">MAX(0.02,MCDA_Prioritisation!$B$13+(RAND()-0.5)*2*$B$6)</f>
        <v>0.12854017635414564</v>
      </c>
      <c r="G506" s="54">
        <f t="shared" ca="1" si="98"/>
        <v>0.95473215075575513</v>
      </c>
      <c r="H506" s="54">
        <f t="shared" ca="1" si="99"/>
        <v>0.23601491381922321</v>
      </c>
      <c r="I506" s="54">
        <f t="shared" ca="1" si="100"/>
        <v>0.20139456196958627</v>
      </c>
      <c r="J506" s="54">
        <f t="shared" ca="1" si="101"/>
        <v>0.24560223725604838</v>
      </c>
      <c r="K506" s="54">
        <f t="shared" ca="1" si="102"/>
        <v>0.18235348257320666</v>
      </c>
      <c r="L506" s="54">
        <f t="shared" ca="1" si="103"/>
        <v>0.13463480438193548</v>
      </c>
      <c r="M506" s="54">
        <f ca="1">MIN(100,MAX(0,MCDA_Prioritisation!$F$2+(RAND()-0.5)*2*$B$7))</f>
        <v>92.840501066384576</v>
      </c>
      <c r="N506" s="54">
        <f ca="1">MIN(100,MAX(0,MCDA_Prioritisation!$F$3+(RAND()-0.5)*2*$B$7))</f>
        <v>86.384234047251681</v>
      </c>
      <c r="O506" s="54">
        <f ca="1">MIN(100,MAX(0,MCDA_Prioritisation!$F$4+(RAND()-0.5)*2*$B$7))</f>
        <v>95.693292293899674</v>
      </c>
      <c r="P506" s="54">
        <f ca="1">MIN(100,MAX(0,MCDA_Prioritisation!$F$5+(RAND()-0.5)*2*$B$7))</f>
        <v>77.518016456814749</v>
      </c>
      <c r="Q506" s="54">
        <f ca="1">MIN(100,MAX(0,MCDA_Prioritisation!$G$2+(RAND()-0.5)*2*$B$7))</f>
        <v>88.173981052192175</v>
      </c>
      <c r="R506" s="54">
        <f ca="1">MIN(100,MAX(0,MCDA_Prioritisation!$G$3+(RAND()-0.5)*2*$B$7))</f>
        <v>92.440005239076271</v>
      </c>
      <c r="S506" s="54">
        <f ca="1">MIN(100,MAX(0,MCDA_Prioritisation!$G$4+(RAND()-0.5)*2*$B$7))</f>
        <v>93.918764930068562</v>
      </c>
      <c r="T506" s="54">
        <f ca="1">MIN(100,MAX(0,MCDA_Prioritisation!$G$5+(RAND()-0.5)*2*$B$7))</f>
        <v>71.866109255673393</v>
      </c>
      <c r="U506" s="54">
        <f ca="1">MIN(100,MAX(0,MCDA_Prioritisation!$H$2+(RAND()-0.5)*2*$B$7))</f>
        <v>61.008341599253704</v>
      </c>
      <c r="V506" s="54">
        <f ca="1">MIN(100,MAX(0,MCDA_Prioritisation!$H$3+(RAND()-0.5)*2*$B$7))</f>
        <v>66.114961883352507</v>
      </c>
      <c r="W506" s="54">
        <f ca="1">MIN(100,MAX(0,MCDA_Prioritisation!$H$4+(RAND()-0.5)*2*$B$7))</f>
        <v>72.049497856843985</v>
      </c>
      <c r="X506" s="54">
        <f ca="1">MIN(100,MAX(0,MCDA_Prioritisation!$H$5+(RAND()-0.5)*2*$B$7))</f>
        <v>81.002470381802269</v>
      </c>
      <c r="Y506" s="54">
        <f ca="1">H506*MCDA_Prioritisation!$D$2+I506*MCDA_Prioritisation!$E$2+J506*M506+K506*Q506+L506*U506</f>
        <v>90.835461002850536</v>
      </c>
      <c r="Z506" s="54">
        <f ca="1">H506*MCDA_Prioritisation!$D$3+I506*MCDA_Prioritisation!$E$3+J506*N506+K506*R506+L506*V506</f>
        <v>82.248127710132039</v>
      </c>
      <c r="AA506" s="54">
        <f ca="1">H506*MCDA_Prioritisation!$D$4+I506*MCDA_Prioritisation!$E$4+J506*O506+K506*S506+L506*W506</f>
        <v>77.749119678092825</v>
      </c>
      <c r="AB506" s="54">
        <f ca="1">H506*MCDA_Prioritisation!$D$5+I506*MCDA_Prioritisation!$E$5+J506*P506+K506*T506+L506*X506</f>
        <v>72.511538689679554</v>
      </c>
      <c r="AC506" s="54">
        <f t="shared" ca="1" si="104"/>
        <v>1</v>
      </c>
      <c r="AD506" s="54">
        <f t="shared" ca="1" si="105"/>
        <v>2</v>
      </c>
      <c r="AE506" s="54">
        <f t="shared" ca="1" si="106"/>
        <v>3</v>
      </c>
      <c r="AF506" s="54">
        <f t="shared" ca="1" si="107"/>
        <v>4</v>
      </c>
      <c r="AG506" s="54">
        <f t="shared" ca="1" si="108"/>
        <v>1</v>
      </c>
      <c r="AH506" s="54">
        <f t="shared" ca="1" si="109"/>
        <v>1</v>
      </c>
      <c r="AI506" s="54">
        <f t="shared" ca="1" si="110"/>
        <v>1</v>
      </c>
      <c r="AJ506" s="54">
        <f t="shared" ca="1" si="111"/>
        <v>1</v>
      </c>
    </row>
    <row r="507" spans="1:36" x14ac:dyDescent="0.2">
      <c r="A507" s="54">
        <v>484</v>
      </c>
      <c r="B507" s="54">
        <f ca="1">MAX(0.02,MCDA_Prioritisation!$B$9+(RAND()-0.5)*2*$B$6)</f>
        <v>0.16987201029919005</v>
      </c>
      <c r="C507" s="54">
        <f ca="1">MAX(0.02,MCDA_Prioritisation!$B$10+(RAND()-0.5)*2*$B$6)</f>
        <v>0.2393035229149848</v>
      </c>
      <c r="D507" s="54">
        <f ca="1">MAX(0.02,MCDA_Prioritisation!$B$11+(RAND()-0.5)*2*$B$6)</f>
        <v>0.20608235164477257</v>
      </c>
      <c r="E507" s="54">
        <f ca="1">MAX(0.02,MCDA_Prioritisation!$B$12+(RAND()-0.5)*2*$B$6)</f>
        <v>0.19741135105831001</v>
      </c>
      <c r="F507" s="54">
        <f ca="1">MAX(0.02,MCDA_Prioritisation!$B$13+(RAND()-0.5)*2*$B$6)</f>
        <v>0.16401101569626292</v>
      </c>
      <c r="G507" s="54">
        <f t="shared" ca="1" si="98"/>
        <v>0.97668025161352023</v>
      </c>
      <c r="H507" s="54">
        <f t="shared" ca="1" si="99"/>
        <v>0.17392796672048375</v>
      </c>
      <c r="I507" s="54">
        <f t="shared" ca="1" si="100"/>
        <v>0.24501726385850894</v>
      </c>
      <c r="J507" s="54">
        <f t="shared" ca="1" si="101"/>
        <v>0.21100288585165425</v>
      </c>
      <c r="K507" s="54">
        <f t="shared" ca="1" si="102"/>
        <v>0.20212485174362588</v>
      </c>
      <c r="L507" s="54">
        <f t="shared" ca="1" si="103"/>
        <v>0.16792703182572727</v>
      </c>
      <c r="M507" s="54">
        <f ca="1">MIN(100,MAX(0,MCDA_Prioritisation!$F$2+(RAND()-0.5)*2*$B$7))</f>
        <v>87.465568939385406</v>
      </c>
      <c r="N507" s="54">
        <f ca="1">MIN(100,MAX(0,MCDA_Prioritisation!$F$3+(RAND()-0.5)*2*$B$7))</f>
        <v>96.905687352415782</v>
      </c>
      <c r="O507" s="54">
        <f ca="1">MIN(100,MAX(0,MCDA_Prioritisation!$F$4+(RAND()-0.5)*2*$B$7))</f>
        <v>92.733634617452807</v>
      </c>
      <c r="P507" s="54">
        <f ca="1">MIN(100,MAX(0,MCDA_Prioritisation!$F$5+(RAND()-0.5)*2*$B$7))</f>
        <v>80.617847866936799</v>
      </c>
      <c r="Q507" s="54">
        <f ca="1">MIN(100,MAX(0,MCDA_Prioritisation!$G$2+(RAND()-0.5)*2*$B$7))</f>
        <v>70.051934613301995</v>
      </c>
      <c r="R507" s="54">
        <f ca="1">MIN(100,MAX(0,MCDA_Prioritisation!$G$3+(RAND()-0.5)*2*$B$7))</f>
        <v>99.288450105453023</v>
      </c>
      <c r="S507" s="54">
        <f ca="1">MIN(100,MAX(0,MCDA_Prioritisation!$G$4+(RAND()-0.5)*2*$B$7))</f>
        <v>78.629600234005792</v>
      </c>
      <c r="T507" s="54">
        <f ca="1">MIN(100,MAX(0,MCDA_Prioritisation!$G$5+(RAND()-0.5)*2*$B$7))</f>
        <v>62.246784344785659</v>
      </c>
      <c r="U507" s="54">
        <f ca="1">MIN(100,MAX(0,MCDA_Prioritisation!$H$2+(RAND()-0.5)*2*$B$7))</f>
        <v>55.158436182604461</v>
      </c>
      <c r="V507" s="54">
        <f ca="1">MIN(100,MAX(0,MCDA_Prioritisation!$H$3+(RAND()-0.5)*2*$B$7))</f>
        <v>53.689756452496141</v>
      </c>
      <c r="W507" s="54">
        <f ca="1">MIN(100,MAX(0,MCDA_Prioritisation!$H$4+(RAND()-0.5)*2*$B$7))</f>
        <v>87.091353252650734</v>
      </c>
      <c r="X507" s="54">
        <f ca="1">MIN(100,MAX(0,MCDA_Prioritisation!$H$5+(RAND()-0.5)*2*$B$7))</f>
        <v>72.689045355455448</v>
      </c>
      <c r="Y507" s="54">
        <f ca="1">H507*MCDA_Prioritisation!$D$2+I507*MCDA_Prioritisation!$E$2+J507*M507+K507*Q507+L507*U507</f>
        <v>83.771839883127797</v>
      </c>
      <c r="Z507" s="54">
        <f ca="1">H507*MCDA_Prioritisation!$D$3+I507*MCDA_Prioritisation!$E$3+J507*N507+K507*R507+L507*V507</f>
        <v>82.552196306539017</v>
      </c>
      <c r="AA507" s="54">
        <f ca="1">H507*MCDA_Prioritisation!$D$4+I507*MCDA_Prioritisation!$E$4+J507*O507+K507*S507+L507*W507</f>
        <v>75.560952437167629</v>
      </c>
      <c r="AB507" s="54">
        <f ca="1">H507*MCDA_Prioritisation!$D$5+I507*MCDA_Prioritisation!$E$5+J507*P507+K507*T507+L507*X507</f>
        <v>71.633782300490438</v>
      </c>
      <c r="AC507" s="54">
        <f t="shared" ca="1" si="104"/>
        <v>1</v>
      </c>
      <c r="AD507" s="54">
        <f t="shared" ca="1" si="105"/>
        <v>2</v>
      </c>
      <c r="AE507" s="54">
        <f t="shared" ca="1" si="106"/>
        <v>3</v>
      </c>
      <c r="AF507" s="54">
        <f t="shared" ca="1" si="107"/>
        <v>4</v>
      </c>
      <c r="AG507" s="54">
        <f t="shared" ca="1" si="108"/>
        <v>1</v>
      </c>
      <c r="AH507" s="54">
        <f t="shared" ca="1" si="109"/>
        <v>1</v>
      </c>
      <c r="AI507" s="54">
        <f t="shared" ca="1" si="110"/>
        <v>1</v>
      </c>
      <c r="AJ507" s="54">
        <f t="shared" ca="1" si="111"/>
        <v>1</v>
      </c>
    </row>
    <row r="508" spans="1:36" x14ac:dyDescent="0.2">
      <c r="A508" s="54">
        <v>485</v>
      </c>
      <c r="B508" s="54">
        <f ca="1">MAX(0.02,MCDA_Prioritisation!$B$9+(RAND()-0.5)*2*$B$6)</f>
        <v>0.18310270051750258</v>
      </c>
      <c r="C508" s="54">
        <f ca="1">MAX(0.02,MCDA_Prioritisation!$B$10+(RAND()-0.5)*2*$B$6)</f>
        <v>0.21131341773249593</v>
      </c>
      <c r="D508" s="54">
        <f ca="1">MAX(0.02,MCDA_Prioritisation!$B$11+(RAND()-0.5)*2*$B$6)</f>
        <v>0.32899889861274106</v>
      </c>
      <c r="E508" s="54">
        <f ca="1">MAX(0.02,MCDA_Prioritisation!$B$12+(RAND()-0.5)*2*$B$6)</f>
        <v>0.22240965474765478</v>
      </c>
      <c r="F508" s="54">
        <f ca="1">MAX(0.02,MCDA_Prioritisation!$B$13+(RAND()-0.5)*2*$B$6)</f>
        <v>0.10316181966876511</v>
      </c>
      <c r="G508" s="54">
        <f t="shared" ca="1" si="98"/>
        <v>1.0489864912791595</v>
      </c>
      <c r="H508" s="54">
        <f t="shared" ca="1" si="99"/>
        <v>0.1745520100017901</v>
      </c>
      <c r="I508" s="54">
        <f t="shared" ca="1" si="100"/>
        <v>0.2014453183994917</v>
      </c>
      <c r="J508" s="54">
        <f t="shared" ca="1" si="101"/>
        <v>0.31363501946679201</v>
      </c>
      <c r="K508" s="54">
        <f t="shared" ca="1" si="102"/>
        <v>0.2120233736055486</v>
      </c>
      <c r="L508" s="54">
        <f t="shared" ca="1" si="103"/>
        <v>9.834427852637749E-2</v>
      </c>
      <c r="M508" s="54">
        <f ca="1">MIN(100,MAX(0,MCDA_Prioritisation!$F$2+(RAND()-0.5)*2*$B$7))</f>
        <v>77.422399851741872</v>
      </c>
      <c r="N508" s="54">
        <f ca="1">MIN(100,MAX(0,MCDA_Prioritisation!$F$3+(RAND()-0.5)*2*$B$7))</f>
        <v>100</v>
      </c>
      <c r="O508" s="54">
        <f ca="1">MIN(100,MAX(0,MCDA_Prioritisation!$F$4+(RAND()-0.5)*2*$B$7))</f>
        <v>85.909751331941692</v>
      </c>
      <c r="P508" s="54">
        <f ca="1">MIN(100,MAX(0,MCDA_Prioritisation!$F$5+(RAND()-0.5)*2*$B$7))</f>
        <v>81.713171870389829</v>
      </c>
      <c r="Q508" s="54">
        <f ca="1">MIN(100,MAX(0,MCDA_Prioritisation!$G$2+(RAND()-0.5)*2*$B$7))</f>
        <v>84.554837801731878</v>
      </c>
      <c r="R508" s="54">
        <f ca="1">MIN(100,MAX(0,MCDA_Prioritisation!$G$3+(RAND()-0.5)*2*$B$7))</f>
        <v>99.124471407596829</v>
      </c>
      <c r="S508" s="54">
        <f ca="1">MIN(100,MAX(0,MCDA_Prioritisation!$G$4+(RAND()-0.5)*2*$B$7))</f>
        <v>88.528923822410988</v>
      </c>
      <c r="T508" s="54">
        <f ca="1">MIN(100,MAX(0,MCDA_Prioritisation!$G$5+(RAND()-0.5)*2*$B$7))</f>
        <v>68.872037031543016</v>
      </c>
      <c r="U508" s="54">
        <f ca="1">MIN(100,MAX(0,MCDA_Prioritisation!$H$2+(RAND()-0.5)*2*$B$7))</f>
        <v>61.924775864181953</v>
      </c>
      <c r="V508" s="54">
        <f ca="1">MIN(100,MAX(0,MCDA_Prioritisation!$H$3+(RAND()-0.5)*2*$B$7))</f>
        <v>53.172152261587634</v>
      </c>
      <c r="W508" s="54">
        <f ca="1">MIN(100,MAX(0,MCDA_Prioritisation!$H$4+(RAND()-0.5)*2*$B$7))</f>
        <v>87.843110336152023</v>
      </c>
      <c r="X508" s="54">
        <f ca="1">MIN(100,MAX(0,MCDA_Prioritisation!$H$5+(RAND()-0.5)*2*$B$7))</f>
        <v>69.599091294025257</v>
      </c>
      <c r="Y508" s="54">
        <f ca="1">H508*MCDA_Prioritisation!$D$2+I508*MCDA_Prioritisation!$E$2+J508*M508+K508*Q508+L508*U508</f>
        <v>85.899658095458776</v>
      </c>
      <c r="Z508" s="54">
        <f ca="1">H508*MCDA_Prioritisation!$D$3+I508*MCDA_Prioritisation!$E$3+J508*N508+K508*R508+L508*V508</f>
        <v>87.515246304745119</v>
      </c>
      <c r="AA508" s="54">
        <f ca="1">H508*MCDA_Prioritisation!$D$4+I508*MCDA_Prioritisation!$E$4+J508*O508+K508*S508+L508*W508</f>
        <v>77.496077244525651</v>
      </c>
      <c r="AB508" s="54">
        <f ca="1">H508*MCDA_Prioritisation!$D$5+I508*MCDA_Prioritisation!$E$5+J508*P508+K508*T508+L508*X508</f>
        <v>73.279489515536454</v>
      </c>
      <c r="AC508" s="54">
        <f t="shared" ca="1" si="104"/>
        <v>2</v>
      </c>
      <c r="AD508" s="54">
        <f t="shared" ca="1" si="105"/>
        <v>1</v>
      </c>
      <c r="AE508" s="54">
        <f t="shared" ca="1" si="106"/>
        <v>3</v>
      </c>
      <c r="AF508" s="54">
        <f t="shared" ca="1" si="107"/>
        <v>4</v>
      </c>
      <c r="AG508" s="54">
        <f t="shared" ca="1" si="108"/>
        <v>0</v>
      </c>
      <c r="AH508" s="54">
        <f t="shared" ca="1" si="109"/>
        <v>0</v>
      </c>
      <c r="AI508" s="54">
        <f t="shared" ca="1" si="110"/>
        <v>0</v>
      </c>
      <c r="AJ508" s="54">
        <f t="shared" ca="1" si="111"/>
        <v>1</v>
      </c>
    </row>
    <row r="509" spans="1:36" x14ac:dyDescent="0.2">
      <c r="A509" s="54">
        <v>486</v>
      </c>
      <c r="B509" s="54">
        <f ca="1">MAX(0.02,MCDA_Prioritisation!$B$9+(RAND()-0.5)*2*$B$6)</f>
        <v>0.12029617574639158</v>
      </c>
      <c r="C509" s="54">
        <f ca="1">MAX(0.02,MCDA_Prioritisation!$B$10+(RAND()-0.5)*2*$B$6)</f>
        <v>0.2097190863203755</v>
      </c>
      <c r="D509" s="54">
        <f ca="1">MAX(0.02,MCDA_Prioritisation!$B$11+(RAND()-0.5)*2*$B$6)</f>
        <v>0.31931098934797386</v>
      </c>
      <c r="E509" s="54">
        <f ca="1">MAX(0.02,MCDA_Prioritisation!$B$12+(RAND()-0.5)*2*$B$6)</f>
        <v>0.17468174446711329</v>
      </c>
      <c r="F509" s="54">
        <f ca="1">MAX(0.02,MCDA_Prioritisation!$B$13+(RAND()-0.5)*2*$B$6)</f>
        <v>0.2127194424790457</v>
      </c>
      <c r="G509" s="54">
        <f t="shared" ca="1" si="98"/>
        <v>1.0367274383608998</v>
      </c>
      <c r="H509" s="54">
        <f t="shared" ca="1" si="99"/>
        <v>0.1160345248859081</v>
      </c>
      <c r="I509" s="54">
        <f t="shared" ca="1" si="100"/>
        <v>0.20228951078207044</v>
      </c>
      <c r="J509" s="54">
        <f t="shared" ca="1" si="101"/>
        <v>0.30799897594377851</v>
      </c>
      <c r="K509" s="54">
        <f t="shared" ca="1" si="102"/>
        <v>0.16849341302598383</v>
      </c>
      <c r="L509" s="54">
        <f t="shared" ca="1" si="103"/>
        <v>0.20518357536225929</v>
      </c>
      <c r="M509" s="54">
        <f ca="1">MIN(100,MAX(0,MCDA_Prioritisation!$F$2+(RAND()-0.5)*2*$B$7))</f>
        <v>91.75013861269295</v>
      </c>
      <c r="N509" s="54">
        <f ca="1">MIN(100,MAX(0,MCDA_Prioritisation!$F$3+(RAND()-0.5)*2*$B$7))</f>
        <v>94.895406227237601</v>
      </c>
      <c r="O509" s="54">
        <f ca="1">MIN(100,MAX(0,MCDA_Prioritisation!$F$4+(RAND()-0.5)*2*$B$7))</f>
        <v>96.361955705621384</v>
      </c>
      <c r="P509" s="54">
        <f ca="1">MIN(100,MAX(0,MCDA_Prioritisation!$F$5+(RAND()-0.5)*2*$B$7))</f>
        <v>74.427807125476519</v>
      </c>
      <c r="Q509" s="54">
        <f ca="1">MIN(100,MAX(0,MCDA_Prioritisation!$G$2+(RAND()-0.5)*2*$B$7))</f>
        <v>74.398086410665741</v>
      </c>
      <c r="R509" s="54">
        <f ca="1">MIN(100,MAX(0,MCDA_Prioritisation!$G$3+(RAND()-0.5)*2*$B$7))</f>
        <v>87.027723333208044</v>
      </c>
      <c r="S509" s="54">
        <f ca="1">MIN(100,MAX(0,MCDA_Prioritisation!$G$4+(RAND()-0.5)*2*$B$7))</f>
        <v>80.119728421914616</v>
      </c>
      <c r="T509" s="54">
        <f ca="1">MIN(100,MAX(0,MCDA_Prioritisation!$G$5+(RAND()-0.5)*2*$B$7))</f>
        <v>69.997290068314413</v>
      </c>
      <c r="U509" s="54">
        <f ca="1">MIN(100,MAX(0,MCDA_Prioritisation!$H$2+(RAND()-0.5)*2*$B$7))</f>
        <v>65.246521389433497</v>
      </c>
      <c r="V509" s="54">
        <f ca="1">MIN(100,MAX(0,MCDA_Prioritisation!$H$3+(RAND()-0.5)*2*$B$7))</f>
        <v>59.418589921252511</v>
      </c>
      <c r="W509" s="54">
        <f ca="1">MIN(100,MAX(0,MCDA_Prioritisation!$H$4+(RAND()-0.5)*2*$B$7))</f>
        <v>81.99722359154454</v>
      </c>
      <c r="X509" s="54">
        <f ca="1">MIN(100,MAX(0,MCDA_Prioritisation!$H$5+(RAND()-0.5)*2*$B$7))</f>
        <v>76.33515403000014</v>
      </c>
      <c r="Y509" s="54">
        <f ca="1">H509*MCDA_Prioritisation!$D$2+I509*MCDA_Prioritisation!$E$2+J509*M509+K509*Q509+L509*U509</f>
        <v>86.014454342776247</v>
      </c>
      <c r="Z509" s="54">
        <f ca="1">H509*MCDA_Prioritisation!$D$3+I509*MCDA_Prioritisation!$E$3+J509*N509+K509*R509+L509*V509</f>
        <v>80.936019935650549</v>
      </c>
      <c r="AA509" s="54">
        <f ca="1">H509*MCDA_Prioritisation!$D$4+I509*MCDA_Prioritisation!$E$4+J509*O509+K509*S509+L509*W509</f>
        <v>79.117449183898017</v>
      </c>
      <c r="AB509" s="54">
        <f ca="1">H509*MCDA_Prioritisation!$D$5+I509*MCDA_Prioritisation!$E$5+J509*P509+K509*T509+L509*X509</f>
        <v>73.549835031865953</v>
      </c>
      <c r="AC509" s="54">
        <f t="shared" ca="1" si="104"/>
        <v>1</v>
      </c>
      <c r="AD509" s="54">
        <f t="shared" ca="1" si="105"/>
        <v>2</v>
      </c>
      <c r="AE509" s="54">
        <f t="shared" ca="1" si="106"/>
        <v>3</v>
      </c>
      <c r="AF509" s="54">
        <f t="shared" ca="1" si="107"/>
        <v>4</v>
      </c>
      <c r="AG509" s="54">
        <f t="shared" ca="1" si="108"/>
        <v>1</v>
      </c>
      <c r="AH509" s="54">
        <f t="shared" ca="1" si="109"/>
        <v>1</v>
      </c>
      <c r="AI509" s="54">
        <f t="shared" ca="1" si="110"/>
        <v>1</v>
      </c>
      <c r="AJ509" s="54">
        <f t="shared" ca="1" si="111"/>
        <v>1</v>
      </c>
    </row>
    <row r="510" spans="1:36" x14ac:dyDescent="0.2">
      <c r="A510" s="54">
        <v>487</v>
      </c>
      <c r="B510" s="54">
        <f ca="1">MAX(0.02,MCDA_Prioritisation!$B$9+(RAND()-0.5)*2*$B$6)</f>
        <v>0.26704360024759866</v>
      </c>
      <c r="C510" s="54">
        <f ca="1">MAX(0.02,MCDA_Prioritisation!$B$10+(RAND()-0.5)*2*$B$6)</f>
        <v>0.29204261738986637</v>
      </c>
      <c r="D510" s="54">
        <f ca="1">MAX(0.02,MCDA_Prioritisation!$B$11+(RAND()-0.5)*2*$B$6)</f>
        <v>0.29184415485334653</v>
      </c>
      <c r="E510" s="54">
        <f ca="1">MAX(0.02,MCDA_Prioritisation!$B$12+(RAND()-0.5)*2*$B$6)</f>
        <v>0.1417771238392842</v>
      </c>
      <c r="F510" s="54">
        <f ca="1">MAX(0.02,MCDA_Prioritisation!$B$13+(RAND()-0.5)*2*$B$6)</f>
        <v>0.22812393312885498</v>
      </c>
      <c r="G510" s="54">
        <f t="shared" ca="1" si="98"/>
        <v>1.2208314294589506</v>
      </c>
      <c r="H510" s="54">
        <f t="shared" ca="1" si="99"/>
        <v>0.21873912630669029</v>
      </c>
      <c r="I510" s="54">
        <f t="shared" ca="1" si="100"/>
        <v>0.23921616886886188</v>
      </c>
      <c r="J510" s="54">
        <f t="shared" ca="1" si="101"/>
        <v>0.23905360544550064</v>
      </c>
      <c r="K510" s="54">
        <f t="shared" ca="1" si="102"/>
        <v>0.11613161360214747</v>
      </c>
      <c r="L510" s="54">
        <f t="shared" ca="1" si="103"/>
        <v>0.18685948577679984</v>
      </c>
      <c r="M510" s="54">
        <f ca="1">MIN(100,MAX(0,MCDA_Prioritisation!$F$2+(RAND()-0.5)*2*$B$7))</f>
        <v>79.789555913426256</v>
      </c>
      <c r="N510" s="54">
        <f ca="1">MIN(100,MAX(0,MCDA_Prioritisation!$F$3+(RAND()-0.5)*2*$B$7))</f>
        <v>86.821942744873922</v>
      </c>
      <c r="O510" s="54">
        <f ca="1">MIN(100,MAX(0,MCDA_Prioritisation!$F$4+(RAND()-0.5)*2*$B$7))</f>
        <v>88.156918283775184</v>
      </c>
      <c r="P510" s="54">
        <f ca="1">MIN(100,MAX(0,MCDA_Prioritisation!$F$5+(RAND()-0.5)*2*$B$7))</f>
        <v>82.496390086191312</v>
      </c>
      <c r="Q510" s="54">
        <f ca="1">MIN(100,MAX(0,MCDA_Prioritisation!$G$2+(RAND()-0.5)*2*$B$7))</f>
        <v>77.835192243983713</v>
      </c>
      <c r="R510" s="54">
        <f ca="1">MIN(100,MAX(0,MCDA_Prioritisation!$G$3+(RAND()-0.5)*2*$B$7))</f>
        <v>89.959386790588425</v>
      </c>
      <c r="S510" s="54">
        <f ca="1">MIN(100,MAX(0,MCDA_Prioritisation!$G$4+(RAND()-0.5)*2*$B$7))</f>
        <v>91.449731962450613</v>
      </c>
      <c r="T510" s="54">
        <f ca="1">MIN(100,MAX(0,MCDA_Prioritisation!$G$5+(RAND()-0.5)*2*$B$7))</f>
        <v>64.030818789142643</v>
      </c>
      <c r="U510" s="54">
        <f ca="1">MIN(100,MAX(0,MCDA_Prioritisation!$H$2+(RAND()-0.5)*2*$B$7))</f>
        <v>58.70657811219737</v>
      </c>
      <c r="V510" s="54">
        <f ca="1">MIN(100,MAX(0,MCDA_Prioritisation!$H$3+(RAND()-0.5)*2*$B$7))</f>
        <v>60.365653190075342</v>
      </c>
      <c r="W510" s="54">
        <f ca="1">MIN(100,MAX(0,MCDA_Prioritisation!$H$4+(RAND()-0.5)*2*$B$7))</f>
        <v>88.634145098831709</v>
      </c>
      <c r="X510" s="54">
        <f ca="1">MIN(100,MAX(0,MCDA_Prioritisation!$H$5+(RAND()-0.5)*2*$B$7))</f>
        <v>72.004737307192315</v>
      </c>
      <c r="Y510" s="54">
        <f ca="1">H510*MCDA_Prioritisation!$D$2+I510*MCDA_Prioritisation!$E$2+J510*M510+K510*Q510+L510*U510</f>
        <v>84.878518003643023</v>
      </c>
      <c r="Z510" s="54">
        <f ca="1">H510*MCDA_Prioritisation!$D$3+I510*MCDA_Prioritisation!$E$3+J510*N510+K510*R510+L510*V510</f>
        <v>78.996769921060832</v>
      </c>
      <c r="AA510" s="54">
        <f ca="1">H510*MCDA_Prioritisation!$D$4+I510*MCDA_Prioritisation!$E$4+J510*O510+K510*S510+L510*W510</f>
        <v>76.536426414029592</v>
      </c>
      <c r="AB510" s="54">
        <f ca="1">H510*MCDA_Prioritisation!$D$5+I510*MCDA_Prioritisation!$E$5+J510*P510+K510*T510+L510*X510</f>
        <v>72.33750885631477</v>
      </c>
      <c r="AC510" s="54">
        <f t="shared" ca="1" si="104"/>
        <v>1</v>
      </c>
      <c r="AD510" s="54">
        <f t="shared" ca="1" si="105"/>
        <v>2</v>
      </c>
      <c r="AE510" s="54">
        <f t="shared" ca="1" si="106"/>
        <v>3</v>
      </c>
      <c r="AF510" s="54">
        <f t="shared" ca="1" si="107"/>
        <v>4</v>
      </c>
      <c r="AG510" s="54">
        <f t="shared" ca="1" si="108"/>
        <v>1</v>
      </c>
      <c r="AH510" s="54">
        <f t="shared" ca="1" si="109"/>
        <v>1</v>
      </c>
      <c r="AI510" s="54">
        <f t="shared" ca="1" si="110"/>
        <v>1</v>
      </c>
      <c r="AJ510" s="54">
        <f t="shared" ca="1" si="111"/>
        <v>1</v>
      </c>
    </row>
    <row r="511" spans="1:36" x14ac:dyDescent="0.2">
      <c r="A511" s="54">
        <v>488</v>
      </c>
      <c r="B511" s="54">
        <f ca="1">MAX(0.02,MCDA_Prioritisation!$B$9+(RAND()-0.5)*2*$B$6)</f>
        <v>0.24641251115302082</v>
      </c>
      <c r="C511" s="54">
        <f ca="1">MAX(0.02,MCDA_Prioritisation!$B$10+(RAND()-0.5)*2*$B$6)</f>
        <v>0.22436252856638458</v>
      </c>
      <c r="D511" s="54">
        <f ca="1">MAX(0.02,MCDA_Prioritisation!$B$11+(RAND()-0.5)*2*$B$6)</f>
        <v>0.32972227750780403</v>
      </c>
      <c r="E511" s="54">
        <f ca="1">MAX(0.02,MCDA_Prioritisation!$B$12+(RAND()-0.5)*2*$B$6)</f>
        <v>0.21222734467955853</v>
      </c>
      <c r="F511" s="54">
        <f ca="1">MAX(0.02,MCDA_Prioritisation!$B$13+(RAND()-0.5)*2*$B$6)</f>
        <v>0.10440389646505163</v>
      </c>
      <c r="G511" s="54">
        <f t="shared" ca="1" si="98"/>
        <v>1.1171285583718196</v>
      </c>
      <c r="H511" s="54">
        <f t="shared" ca="1" si="99"/>
        <v>0.22057668234008757</v>
      </c>
      <c r="I511" s="54">
        <f t="shared" ca="1" si="100"/>
        <v>0.20083859362917555</v>
      </c>
      <c r="J511" s="54">
        <f t="shared" ca="1" si="101"/>
        <v>0.29515159650771444</v>
      </c>
      <c r="K511" s="54">
        <f t="shared" ca="1" si="102"/>
        <v>0.1899757580173882</v>
      </c>
      <c r="L511" s="54">
        <f t="shared" ca="1" si="103"/>
        <v>9.3457369505634241E-2</v>
      </c>
      <c r="M511" s="54">
        <f ca="1">MIN(100,MAX(0,MCDA_Prioritisation!$F$2+(RAND()-0.5)*2*$B$7))</f>
        <v>84.495831512246411</v>
      </c>
      <c r="N511" s="54">
        <f ca="1">MIN(100,MAX(0,MCDA_Prioritisation!$F$3+(RAND()-0.5)*2*$B$7))</f>
        <v>90.361224868446016</v>
      </c>
      <c r="O511" s="54">
        <f ca="1">MIN(100,MAX(0,MCDA_Prioritisation!$F$4+(RAND()-0.5)*2*$B$7))</f>
        <v>82.530752226992334</v>
      </c>
      <c r="P511" s="54">
        <f ca="1">MIN(100,MAX(0,MCDA_Prioritisation!$F$5+(RAND()-0.5)*2*$B$7))</f>
        <v>74.309534678048962</v>
      </c>
      <c r="Q511" s="54">
        <f ca="1">MIN(100,MAX(0,MCDA_Prioritisation!$G$2+(RAND()-0.5)*2*$B$7))</f>
        <v>79.45936147110757</v>
      </c>
      <c r="R511" s="54">
        <f ca="1">MIN(100,MAX(0,MCDA_Prioritisation!$G$3+(RAND()-0.5)*2*$B$7))</f>
        <v>100</v>
      </c>
      <c r="S511" s="54">
        <f ca="1">MIN(100,MAX(0,MCDA_Prioritisation!$G$4+(RAND()-0.5)*2*$B$7))</f>
        <v>78.720335197330215</v>
      </c>
      <c r="T511" s="54">
        <f ca="1">MIN(100,MAX(0,MCDA_Prioritisation!$G$5+(RAND()-0.5)*2*$B$7))</f>
        <v>70.766166767389777</v>
      </c>
      <c r="U511" s="54">
        <f ca="1">MIN(100,MAX(0,MCDA_Prioritisation!$H$2+(RAND()-0.5)*2*$B$7))</f>
        <v>69.395130177957185</v>
      </c>
      <c r="V511" s="54">
        <f ca="1">MIN(100,MAX(0,MCDA_Prioritisation!$H$3+(RAND()-0.5)*2*$B$7))</f>
        <v>68.980878546187469</v>
      </c>
      <c r="W511" s="54">
        <f ca="1">MIN(100,MAX(0,MCDA_Prioritisation!$H$4+(RAND()-0.5)*2*$B$7))</f>
        <v>88.519456487059685</v>
      </c>
      <c r="X511" s="54">
        <f ca="1">MIN(100,MAX(0,MCDA_Prioritisation!$H$5+(RAND()-0.5)*2*$B$7))</f>
        <v>79.587965113805367</v>
      </c>
      <c r="Y511" s="54">
        <f ca="1">H511*MCDA_Prioritisation!$D$2+I511*MCDA_Prioritisation!$E$2+J511*M511+K511*Q511+L511*U511</f>
        <v>88.661445915996921</v>
      </c>
      <c r="Z511" s="54">
        <f ca="1">H511*MCDA_Prioritisation!$D$3+I511*MCDA_Prioritisation!$E$3+J511*N511+K511*R511+L511*V511</f>
        <v>85.998755063168474</v>
      </c>
      <c r="AA511" s="54">
        <f ca="1">H511*MCDA_Prioritisation!$D$4+I511*MCDA_Prioritisation!$E$4+J511*O511+K511*S511+L511*W511</f>
        <v>73.901330040342373</v>
      </c>
      <c r="AB511" s="54">
        <f ca="1">H511*MCDA_Prioritisation!$D$5+I511*MCDA_Prioritisation!$E$5+J511*P511+K511*T511+L511*X511</f>
        <v>71.410519441400737</v>
      </c>
      <c r="AC511" s="54">
        <f t="shared" ca="1" si="104"/>
        <v>1</v>
      </c>
      <c r="AD511" s="54">
        <f t="shared" ca="1" si="105"/>
        <v>2</v>
      </c>
      <c r="AE511" s="54">
        <f t="shared" ca="1" si="106"/>
        <v>3</v>
      </c>
      <c r="AF511" s="54">
        <f t="shared" ca="1" si="107"/>
        <v>4</v>
      </c>
      <c r="AG511" s="54">
        <f t="shared" ca="1" si="108"/>
        <v>1</v>
      </c>
      <c r="AH511" s="54">
        <f t="shared" ca="1" si="109"/>
        <v>1</v>
      </c>
      <c r="AI511" s="54">
        <f t="shared" ca="1" si="110"/>
        <v>1</v>
      </c>
      <c r="AJ511" s="54">
        <f t="shared" ca="1" si="111"/>
        <v>1</v>
      </c>
    </row>
    <row r="512" spans="1:36" x14ac:dyDescent="0.2">
      <c r="A512" s="54">
        <v>489</v>
      </c>
      <c r="B512" s="54">
        <f ca="1">MAX(0.02,MCDA_Prioritisation!$B$9+(RAND()-0.5)*2*$B$6)</f>
        <v>0.19112566783705368</v>
      </c>
      <c r="C512" s="54">
        <f ca="1">MAX(0.02,MCDA_Prioritisation!$B$10+(RAND()-0.5)*2*$B$6)</f>
        <v>0.21546402927283953</v>
      </c>
      <c r="D512" s="54">
        <f ca="1">MAX(0.02,MCDA_Prioritisation!$B$11+(RAND()-0.5)*2*$B$6)</f>
        <v>0.24269930234510931</v>
      </c>
      <c r="E512" s="54">
        <f ca="1">MAX(0.02,MCDA_Prioritisation!$B$12+(RAND()-0.5)*2*$B$6)</f>
        <v>7.2432758799081565E-2</v>
      </c>
      <c r="F512" s="54">
        <f ca="1">MAX(0.02,MCDA_Prioritisation!$B$13+(RAND()-0.5)*2*$B$6)</f>
        <v>0.1185913591149589</v>
      </c>
      <c r="G512" s="54">
        <f t="shared" ca="1" si="98"/>
        <v>0.84031311736904291</v>
      </c>
      <c r="H512" s="54">
        <f t="shared" ca="1" si="99"/>
        <v>0.22744577454110648</v>
      </c>
      <c r="I512" s="54">
        <f t="shared" ca="1" si="100"/>
        <v>0.25640921796798932</v>
      </c>
      <c r="J512" s="54">
        <f t="shared" ca="1" si="101"/>
        <v>0.2888200806682425</v>
      </c>
      <c r="K512" s="54">
        <f t="shared" ca="1" si="102"/>
        <v>8.6197343944675139E-2</v>
      </c>
      <c r="L512" s="54">
        <f t="shared" ca="1" si="103"/>
        <v>0.14112758287798663</v>
      </c>
      <c r="M512" s="54">
        <f ca="1">MIN(100,MAX(0,MCDA_Prioritisation!$F$2+(RAND()-0.5)*2*$B$7))</f>
        <v>91.633612773110315</v>
      </c>
      <c r="N512" s="54">
        <f ca="1">MIN(100,MAX(0,MCDA_Prioritisation!$F$3+(RAND()-0.5)*2*$B$7))</f>
        <v>99.254478408977775</v>
      </c>
      <c r="O512" s="54">
        <f ca="1">MIN(100,MAX(0,MCDA_Prioritisation!$F$4+(RAND()-0.5)*2*$B$7))</f>
        <v>90.447176570158106</v>
      </c>
      <c r="P512" s="54">
        <f ca="1">MIN(100,MAX(0,MCDA_Prioritisation!$F$5+(RAND()-0.5)*2*$B$7))</f>
        <v>68.351026094886222</v>
      </c>
      <c r="Q512" s="54">
        <f ca="1">MIN(100,MAX(0,MCDA_Prioritisation!$G$2+(RAND()-0.5)*2*$B$7))</f>
        <v>71.058027061986493</v>
      </c>
      <c r="R512" s="54">
        <f ca="1">MIN(100,MAX(0,MCDA_Prioritisation!$G$3+(RAND()-0.5)*2*$B$7))</f>
        <v>100</v>
      </c>
      <c r="S512" s="54">
        <f ca="1">MIN(100,MAX(0,MCDA_Prioritisation!$G$4+(RAND()-0.5)*2*$B$7))</f>
        <v>86.550624875440647</v>
      </c>
      <c r="T512" s="54">
        <f ca="1">MIN(100,MAX(0,MCDA_Prioritisation!$G$5+(RAND()-0.5)*2*$B$7))</f>
        <v>60.500911963457959</v>
      </c>
      <c r="U512" s="54">
        <f ca="1">MIN(100,MAX(0,MCDA_Prioritisation!$H$2+(RAND()-0.5)*2*$B$7))</f>
        <v>68.105889342547897</v>
      </c>
      <c r="V512" s="54">
        <f ca="1">MIN(100,MAX(0,MCDA_Prioritisation!$H$3+(RAND()-0.5)*2*$B$7))</f>
        <v>55.204411830627038</v>
      </c>
      <c r="W512" s="54">
        <f ca="1">MIN(100,MAX(0,MCDA_Prioritisation!$H$4+(RAND()-0.5)*2*$B$7))</f>
        <v>72.535381245412282</v>
      </c>
      <c r="X512" s="54">
        <f ca="1">MIN(100,MAX(0,MCDA_Prioritisation!$H$5+(RAND()-0.5)*2*$B$7))</f>
        <v>71.777193145215975</v>
      </c>
      <c r="Y512" s="54">
        <f ca="1">H512*MCDA_Prioritisation!$D$2+I512*MCDA_Prioritisation!$E$2+J512*M512+K512*Q512+L512*U512</f>
        <v>90.587759425323299</v>
      </c>
      <c r="Z512" s="54">
        <f ca="1">H512*MCDA_Prioritisation!$D$3+I512*MCDA_Prioritisation!$E$3+J512*N512+K512*R512+L512*V512</f>
        <v>83.603270983958993</v>
      </c>
      <c r="AA512" s="54">
        <f ca="1">H512*MCDA_Prioritisation!$D$4+I512*MCDA_Prioritisation!$E$4+J512*O512+K512*S512+L512*W512</f>
        <v>73.644081862403937</v>
      </c>
      <c r="AB512" s="54">
        <f ca="1">H512*MCDA_Prioritisation!$D$5+I512*MCDA_Prioritisation!$E$5+J512*P512+K512*T512+L512*X512</f>
        <v>68.719479670518211</v>
      </c>
      <c r="AC512" s="54">
        <f t="shared" ca="1" si="104"/>
        <v>1</v>
      </c>
      <c r="AD512" s="54">
        <f t="shared" ca="1" si="105"/>
        <v>2</v>
      </c>
      <c r="AE512" s="54">
        <f t="shared" ca="1" si="106"/>
        <v>3</v>
      </c>
      <c r="AF512" s="54">
        <f t="shared" ca="1" si="107"/>
        <v>4</v>
      </c>
      <c r="AG512" s="54">
        <f t="shared" ca="1" si="108"/>
        <v>1</v>
      </c>
      <c r="AH512" s="54">
        <f t="shared" ca="1" si="109"/>
        <v>1</v>
      </c>
      <c r="AI512" s="54">
        <f t="shared" ca="1" si="110"/>
        <v>1</v>
      </c>
      <c r="AJ512" s="54">
        <f t="shared" ca="1" si="111"/>
        <v>1</v>
      </c>
    </row>
    <row r="513" spans="1:36" x14ac:dyDescent="0.2">
      <c r="A513" s="54">
        <v>490</v>
      </c>
      <c r="B513" s="54">
        <f ca="1">MAX(0.02,MCDA_Prioritisation!$B$9+(RAND()-0.5)*2*$B$6)</f>
        <v>0.2506654388707496</v>
      </c>
      <c r="C513" s="54">
        <f ca="1">MAX(0.02,MCDA_Prioritisation!$B$10+(RAND()-0.5)*2*$B$6)</f>
        <v>0.27480882105635668</v>
      </c>
      <c r="D513" s="54">
        <f ca="1">MAX(0.02,MCDA_Prioritisation!$B$11+(RAND()-0.5)*2*$B$6)</f>
        <v>0.20246805555699535</v>
      </c>
      <c r="E513" s="54">
        <f ca="1">MAX(0.02,MCDA_Prioritisation!$B$12+(RAND()-0.5)*2*$B$6)</f>
        <v>8.9510097763988522E-2</v>
      </c>
      <c r="F513" s="54">
        <f ca="1">MAX(0.02,MCDA_Prioritisation!$B$13+(RAND()-0.5)*2*$B$6)</f>
        <v>0.22670767994326205</v>
      </c>
      <c r="G513" s="54">
        <f t="shared" ca="1" si="98"/>
        <v>1.0441600931913522</v>
      </c>
      <c r="H513" s="54">
        <f t="shared" ca="1" si="99"/>
        <v>0.24006418221234663</v>
      </c>
      <c r="I513" s="54">
        <f t="shared" ca="1" si="100"/>
        <v>0.26318648150633295</v>
      </c>
      <c r="J513" s="54">
        <f t="shared" ca="1" si="101"/>
        <v>0.19390518453753161</v>
      </c>
      <c r="K513" s="54">
        <f t="shared" ca="1" si="102"/>
        <v>8.5724496030499947E-2</v>
      </c>
      <c r="L513" s="54">
        <f t="shared" ca="1" si="103"/>
        <v>0.21711965571328892</v>
      </c>
      <c r="M513" s="54">
        <f ca="1">MIN(100,MAX(0,MCDA_Prioritisation!$F$2+(RAND()-0.5)*2*$B$7))</f>
        <v>83.56010858999781</v>
      </c>
      <c r="N513" s="54">
        <f ca="1">MIN(100,MAX(0,MCDA_Prioritisation!$F$3+(RAND()-0.5)*2*$B$7))</f>
        <v>90.655566898922544</v>
      </c>
      <c r="O513" s="54">
        <f ca="1">MIN(100,MAX(0,MCDA_Prioritisation!$F$4+(RAND()-0.5)*2*$B$7))</f>
        <v>82.916142159951704</v>
      </c>
      <c r="P513" s="54">
        <f ca="1">MIN(100,MAX(0,MCDA_Prioritisation!$F$5+(RAND()-0.5)*2*$B$7))</f>
        <v>76.134302541849095</v>
      </c>
      <c r="Q513" s="54">
        <f ca="1">MIN(100,MAX(0,MCDA_Prioritisation!$G$2+(RAND()-0.5)*2*$B$7))</f>
        <v>71.346185262800532</v>
      </c>
      <c r="R513" s="54">
        <f ca="1">MIN(100,MAX(0,MCDA_Prioritisation!$G$3+(RAND()-0.5)*2*$B$7))</f>
        <v>100</v>
      </c>
      <c r="S513" s="54">
        <f ca="1">MIN(100,MAX(0,MCDA_Prioritisation!$G$4+(RAND()-0.5)*2*$B$7))</f>
        <v>82.236376062900717</v>
      </c>
      <c r="T513" s="54">
        <f ca="1">MIN(100,MAX(0,MCDA_Prioritisation!$G$5+(RAND()-0.5)*2*$B$7))</f>
        <v>66.852141283160165</v>
      </c>
      <c r="U513" s="54">
        <f ca="1">MIN(100,MAX(0,MCDA_Prioritisation!$H$2+(RAND()-0.5)*2*$B$7))</f>
        <v>68.051618697798517</v>
      </c>
      <c r="V513" s="54">
        <f ca="1">MIN(100,MAX(0,MCDA_Prioritisation!$H$3+(RAND()-0.5)*2*$B$7))</f>
        <v>66.137530312828247</v>
      </c>
      <c r="W513" s="54">
        <f ca="1">MIN(100,MAX(0,MCDA_Prioritisation!$H$4+(RAND()-0.5)*2*$B$7))</f>
        <v>78.295518317368405</v>
      </c>
      <c r="X513" s="54">
        <f ca="1">MIN(100,MAX(0,MCDA_Prioritisation!$H$5+(RAND()-0.5)*2*$B$7))</f>
        <v>66.88288483877794</v>
      </c>
      <c r="Y513" s="54">
        <f ca="1">H513*MCDA_Prioritisation!$D$2+I513*MCDA_Prioritisation!$E$2+J513*M513+K513*Q513+L513*U513</f>
        <v>87.419264445737952</v>
      </c>
      <c r="Z513" s="54">
        <f ca="1">H513*MCDA_Prioritisation!$D$3+I513*MCDA_Prioritisation!$E$3+J513*N513+K513*R513+L513*V513</f>
        <v>80.632477606715099</v>
      </c>
      <c r="AA513" s="54">
        <f ca="1">H513*MCDA_Prioritisation!$D$4+I513*MCDA_Prioritisation!$E$4+J513*O513+K513*S513+L513*W513</f>
        <v>71.199322392795366</v>
      </c>
      <c r="AB513" s="54">
        <f ca="1">H513*MCDA_Prioritisation!$D$5+I513*MCDA_Prioritisation!$E$5+J513*P513+K513*T513+L513*X513</f>
        <v>69.88850160895764</v>
      </c>
      <c r="AC513" s="54">
        <f t="shared" ca="1" si="104"/>
        <v>1</v>
      </c>
      <c r="AD513" s="54">
        <f t="shared" ca="1" si="105"/>
        <v>2</v>
      </c>
      <c r="AE513" s="54">
        <f t="shared" ca="1" si="106"/>
        <v>3</v>
      </c>
      <c r="AF513" s="54">
        <f t="shared" ca="1" si="107"/>
        <v>4</v>
      </c>
      <c r="AG513" s="54">
        <f t="shared" ca="1" si="108"/>
        <v>1</v>
      </c>
      <c r="AH513" s="54">
        <f t="shared" ca="1" si="109"/>
        <v>1</v>
      </c>
      <c r="AI513" s="54">
        <f t="shared" ca="1" si="110"/>
        <v>1</v>
      </c>
      <c r="AJ513" s="54">
        <f t="shared" ca="1" si="111"/>
        <v>1</v>
      </c>
    </row>
    <row r="514" spans="1:36" x14ac:dyDescent="0.2">
      <c r="A514" s="54">
        <v>491</v>
      </c>
      <c r="B514" s="54">
        <f ca="1">MAX(0.02,MCDA_Prioritisation!$B$9+(RAND()-0.5)*2*$B$6)</f>
        <v>0.14308166555165136</v>
      </c>
      <c r="C514" s="54">
        <f ca="1">MAX(0.02,MCDA_Prioritisation!$B$10+(RAND()-0.5)*2*$B$6)</f>
        <v>0.22264203011257069</v>
      </c>
      <c r="D514" s="54">
        <f ca="1">MAX(0.02,MCDA_Prioritisation!$B$11+(RAND()-0.5)*2*$B$6)</f>
        <v>0.19407726362393499</v>
      </c>
      <c r="E514" s="54">
        <f ca="1">MAX(0.02,MCDA_Prioritisation!$B$12+(RAND()-0.5)*2*$B$6)</f>
        <v>0.14303564984035433</v>
      </c>
      <c r="F514" s="54">
        <f ca="1">MAX(0.02,MCDA_Prioritisation!$B$13+(RAND()-0.5)*2*$B$6)</f>
        <v>0.10135972928555273</v>
      </c>
      <c r="G514" s="54">
        <f t="shared" ca="1" si="98"/>
        <v>0.80419633841406402</v>
      </c>
      <c r="H514" s="54">
        <f t="shared" ca="1" si="99"/>
        <v>0.17791882245300847</v>
      </c>
      <c r="I514" s="54">
        <f t="shared" ca="1" si="100"/>
        <v>0.27685034049227036</v>
      </c>
      <c r="J514" s="54">
        <f t="shared" ca="1" si="101"/>
        <v>0.24133069793213685</v>
      </c>
      <c r="K514" s="54">
        <f t="shared" ca="1" si="102"/>
        <v>0.17786160295436243</v>
      </c>
      <c r="L514" s="54">
        <f t="shared" ca="1" si="103"/>
        <v>0.12603853616822203</v>
      </c>
      <c r="M514" s="54">
        <f ca="1">MIN(100,MAX(0,MCDA_Prioritisation!$F$2+(RAND()-0.5)*2*$B$7))</f>
        <v>87.507305058493387</v>
      </c>
      <c r="N514" s="54">
        <f ca="1">MIN(100,MAX(0,MCDA_Prioritisation!$F$3+(RAND()-0.5)*2*$B$7))</f>
        <v>100</v>
      </c>
      <c r="O514" s="54">
        <f ca="1">MIN(100,MAX(0,MCDA_Prioritisation!$F$4+(RAND()-0.5)*2*$B$7))</f>
        <v>88.525710526357315</v>
      </c>
      <c r="P514" s="54">
        <f ca="1">MIN(100,MAX(0,MCDA_Prioritisation!$F$5+(RAND()-0.5)*2*$B$7))</f>
        <v>69.955093607917661</v>
      </c>
      <c r="Q514" s="54">
        <f ca="1">MIN(100,MAX(0,MCDA_Prioritisation!$G$2+(RAND()-0.5)*2*$B$7))</f>
        <v>86.974310966717454</v>
      </c>
      <c r="R514" s="54">
        <f ca="1">MIN(100,MAX(0,MCDA_Prioritisation!$G$3+(RAND()-0.5)*2*$B$7))</f>
        <v>100</v>
      </c>
      <c r="S514" s="54">
        <f ca="1">MIN(100,MAX(0,MCDA_Prioritisation!$G$4+(RAND()-0.5)*2*$B$7))</f>
        <v>81.326638050565521</v>
      </c>
      <c r="T514" s="54">
        <f ca="1">MIN(100,MAX(0,MCDA_Prioritisation!$G$5+(RAND()-0.5)*2*$B$7))</f>
        <v>70.933468226837945</v>
      </c>
      <c r="U514" s="54">
        <f ca="1">MIN(100,MAX(0,MCDA_Prioritisation!$H$2+(RAND()-0.5)*2*$B$7))</f>
        <v>59.462620903539275</v>
      </c>
      <c r="V514" s="54">
        <f ca="1">MIN(100,MAX(0,MCDA_Prioritisation!$H$3+(RAND()-0.5)*2*$B$7))</f>
        <v>69.854934532489054</v>
      </c>
      <c r="W514" s="54">
        <f ca="1">MIN(100,MAX(0,MCDA_Prioritisation!$H$4+(RAND()-0.5)*2*$B$7))</f>
        <v>78.989814419516023</v>
      </c>
      <c r="X514" s="54">
        <f ca="1">MIN(100,MAX(0,MCDA_Prioritisation!$H$5+(RAND()-0.5)*2*$B$7))</f>
        <v>82.254820345508932</v>
      </c>
      <c r="Y514" s="54">
        <f ca="1">H514*MCDA_Prioritisation!$D$2+I514*MCDA_Prioritisation!$E$2+J514*M514+K514*Q514+L514*U514</f>
        <v>89.559087358254061</v>
      </c>
      <c r="Z514" s="54">
        <f ca="1">H514*MCDA_Prioritisation!$D$3+I514*MCDA_Prioritisation!$E$3+J514*N514+K514*R514+L514*V514</f>
        <v>86.407756726116872</v>
      </c>
      <c r="AA514" s="54">
        <f ca="1">H514*MCDA_Prioritisation!$D$4+I514*MCDA_Prioritisation!$E$4+J514*O514+K514*S514+L514*W514</f>
        <v>73.274766839606869</v>
      </c>
      <c r="AB514" s="54">
        <f ca="1">H514*MCDA_Prioritisation!$D$5+I514*MCDA_Prioritisation!$E$5+J514*P514+K514*T514+L514*X514</f>
        <v>72.589725707243005</v>
      </c>
      <c r="AC514" s="54">
        <f t="shared" ca="1" si="104"/>
        <v>1</v>
      </c>
      <c r="AD514" s="54">
        <f t="shared" ca="1" si="105"/>
        <v>2</v>
      </c>
      <c r="AE514" s="54">
        <f t="shared" ca="1" si="106"/>
        <v>3</v>
      </c>
      <c r="AF514" s="54">
        <f t="shared" ca="1" si="107"/>
        <v>4</v>
      </c>
      <c r="AG514" s="54">
        <f t="shared" ca="1" si="108"/>
        <v>1</v>
      </c>
      <c r="AH514" s="54">
        <f t="shared" ca="1" si="109"/>
        <v>1</v>
      </c>
      <c r="AI514" s="54">
        <f t="shared" ca="1" si="110"/>
        <v>1</v>
      </c>
      <c r="AJ514" s="54">
        <f t="shared" ca="1" si="111"/>
        <v>1</v>
      </c>
    </row>
    <row r="515" spans="1:36" x14ac:dyDescent="0.2">
      <c r="A515" s="54">
        <v>492</v>
      </c>
      <c r="B515" s="54">
        <f ca="1">MAX(0.02,MCDA_Prioritisation!$B$9+(RAND()-0.5)*2*$B$6)</f>
        <v>0.21846037247165162</v>
      </c>
      <c r="C515" s="54">
        <f ca="1">MAX(0.02,MCDA_Prioritisation!$B$10+(RAND()-0.5)*2*$B$6)</f>
        <v>0.29435793850757608</v>
      </c>
      <c r="D515" s="54">
        <f ca="1">MAX(0.02,MCDA_Prioritisation!$B$11+(RAND()-0.5)*2*$B$6)</f>
        <v>0.28306337335011661</v>
      </c>
      <c r="E515" s="54">
        <f ca="1">MAX(0.02,MCDA_Prioritisation!$B$12+(RAND()-0.5)*2*$B$6)</f>
        <v>0.21717337420533395</v>
      </c>
      <c r="F515" s="54">
        <f ca="1">MAX(0.02,MCDA_Prioritisation!$B$13+(RAND()-0.5)*2*$B$6)</f>
        <v>0.16308184384831551</v>
      </c>
      <c r="G515" s="54">
        <f t="shared" ca="1" si="98"/>
        <v>1.1761369023829937</v>
      </c>
      <c r="H515" s="54">
        <f t="shared" ca="1" si="99"/>
        <v>0.18574399972403283</v>
      </c>
      <c r="I515" s="54">
        <f t="shared" ca="1" si="100"/>
        <v>0.25027523404050306</v>
      </c>
      <c r="J515" s="54">
        <f t="shared" ca="1" si="101"/>
        <v>0.24067212989967107</v>
      </c>
      <c r="K515" s="54">
        <f t="shared" ca="1" si="102"/>
        <v>0.1846497408297578</v>
      </c>
      <c r="L515" s="54">
        <f t="shared" ca="1" si="103"/>
        <v>0.13865889550603525</v>
      </c>
      <c r="M515" s="54">
        <f ca="1">MIN(100,MAX(0,MCDA_Prioritisation!$F$2+(RAND()-0.5)*2*$B$7))</f>
        <v>76.872834342544721</v>
      </c>
      <c r="N515" s="54">
        <f ca="1">MIN(100,MAX(0,MCDA_Prioritisation!$F$3+(RAND()-0.5)*2*$B$7))</f>
        <v>92.830101182243951</v>
      </c>
      <c r="O515" s="54">
        <f ca="1">MIN(100,MAX(0,MCDA_Prioritisation!$F$4+(RAND()-0.5)*2*$B$7))</f>
        <v>82.555465832520937</v>
      </c>
      <c r="P515" s="54">
        <f ca="1">MIN(100,MAX(0,MCDA_Prioritisation!$F$5+(RAND()-0.5)*2*$B$7))</f>
        <v>80.800540435650362</v>
      </c>
      <c r="Q515" s="54">
        <f ca="1">MIN(100,MAX(0,MCDA_Prioritisation!$G$2+(RAND()-0.5)*2*$B$7))</f>
        <v>72.89806407568733</v>
      </c>
      <c r="R515" s="54">
        <f ca="1">MIN(100,MAX(0,MCDA_Prioritisation!$G$3+(RAND()-0.5)*2*$B$7))</f>
        <v>94.058575795849222</v>
      </c>
      <c r="S515" s="54">
        <f ca="1">MIN(100,MAX(0,MCDA_Prioritisation!$G$4+(RAND()-0.5)*2*$B$7))</f>
        <v>92.680400897803423</v>
      </c>
      <c r="T515" s="54">
        <f ca="1">MIN(100,MAX(0,MCDA_Prioritisation!$G$5+(RAND()-0.5)*2*$B$7))</f>
        <v>60.368784918710972</v>
      </c>
      <c r="U515" s="54">
        <f ca="1">MIN(100,MAX(0,MCDA_Prioritisation!$H$2+(RAND()-0.5)*2*$B$7))</f>
        <v>56.750863033176586</v>
      </c>
      <c r="V515" s="54">
        <f ca="1">MIN(100,MAX(0,MCDA_Prioritisation!$H$3+(RAND()-0.5)*2*$B$7))</f>
        <v>59.140682479948765</v>
      </c>
      <c r="W515" s="54">
        <f ca="1">MIN(100,MAX(0,MCDA_Prioritisation!$H$4+(RAND()-0.5)*2*$B$7))</f>
        <v>77.461664444571383</v>
      </c>
      <c r="X515" s="54">
        <f ca="1">MIN(100,MAX(0,MCDA_Prioritisation!$H$5+(RAND()-0.5)*2*$B$7))</f>
        <v>79.018400974858565</v>
      </c>
      <c r="Y515" s="54">
        <f ca="1">H515*MCDA_Prioritisation!$D$2+I515*MCDA_Prioritisation!$E$2+J515*M515+K515*Q515+L515*U515</f>
        <v>83.432692774859703</v>
      </c>
      <c r="Z515" s="54">
        <f ca="1">H515*MCDA_Prioritisation!$D$3+I515*MCDA_Prioritisation!$E$3+J515*N515+K515*R515+L515*V515</f>
        <v>82.345165216322542</v>
      </c>
      <c r="AA515" s="54">
        <f ca="1">H515*MCDA_Prioritisation!$D$4+I515*MCDA_Prioritisation!$E$4+J515*O515+K515*S515+L515*W515</f>
        <v>74.308457266694575</v>
      </c>
      <c r="AB515" s="54">
        <f ca="1">H515*MCDA_Prioritisation!$D$5+I515*MCDA_Prioritisation!$E$5+J515*P515+K515*T515+L515*X515</f>
        <v>72.454522874793739</v>
      </c>
      <c r="AC515" s="54">
        <f t="shared" ca="1" si="104"/>
        <v>1</v>
      </c>
      <c r="AD515" s="54">
        <f t="shared" ca="1" si="105"/>
        <v>2</v>
      </c>
      <c r="AE515" s="54">
        <f t="shared" ca="1" si="106"/>
        <v>3</v>
      </c>
      <c r="AF515" s="54">
        <f t="shared" ca="1" si="107"/>
        <v>4</v>
      </c>
      <c r="AG515" s="54">
        <f t="shared" ca="1" si="108"/>
        <v>1</v>
      </c>
      <c r="AH515" s="54">
        <f t="shared" ca="1" si="109"/>
        <v>1</v>
      </c>
      <c r="AI515" s="54">
        <f t="shared" ca="1" si="110"/>
        <v>1</v>
      </c>
      <c r="AJ515" s="54">
        <f t="shared" ca="1" si="111"/>
        <v>1</v>
      </c>
    </row>
    <row r="516" spans="1:36" x14ac:dyDescent="0.2">
      <c r="A516" s="54">
        <v>493</v>
      </c>
      <c r="B516" s="54">
        <f ca="1">MAX(0.02,MCDA_Prioritisation!$B$9+(RAND()-0.5)*2*$B$6)</f>
        <v>0.21831958914138513</v>
      </c>
      <c r="C516" s="54">
        <f ca="1">MAX(0.02,MCDA_Prioritisation!$B$10+(RAND()-0.5)*2*$B$6)</f>
        <v>0.29327386793637561</v>
      </c>
      <c r="D516" s="54">
        <f ca="1">MAX(0.02,MCDA_Prioritisation!$B$11+(RAND()-0.5)*2*$B$6)</f>
        <v>0.24364858254505414</v>
      </c>
      <c r="E516" s="54">
        <f ca="1">MAX(0.02,MCDA_Prioritisation!$B$12+(RAND()-0.5)*2*$B$6)</f>
        <v>0.12008464950890513</v>
      </c>
      <c r="F516" s="54">
        <f ca="1">MAX(0.02,MCDA_Prioritisation!$B$13+(RAND()-0.5)*2*$B$6)</f>
        <v>0.10049998244900681</v>
      </c>
      <c r="G516" s="54">
        <f t="shared" ca="1" si="98"/>
        <v>0.97582667158072678</v>
      </c>
      <c r="H516" s="54">
        <f t="shared" ca="1" si="99"/>
        <v>0.22372783558757678</v>
      </c>
      <c r="I516" s="54">
        <f t="shared" ca="1" si="100"/>
        <v>0.30053889330705191</v>
      </c>
      <c r="J516" s="54">
        <f t="shared" ca="1" si="101"/>
        <v>0.24968428271218648</v>
      </c>
      <c r="K516" s="54">
        <f t="shared" ca="1" si="102"/>
        <v>0.12305940491909473</v>
      </c>
      <c r="L516" s="54">
        <f t="shared" ca="1" si="103"/>
        <v>0.10298958347409014</v>
      </c>
      <c r="M516" s="54">
        <f ca="1">MIN(100,MAX(0,MCDA_Prioritisation!$F$2+(RAND()-0.5)*2*$B$7))</f>
        <v>81.623323711002087</v>
      </c>
      <c r="N516" s="54">
        <f ca="1">MIN(100,MAX(0,MCDA_Prioritisation!$F$3+(RAND()-0.5)*2*$B$7))</f>
        <v>85.555443854027686</v>
      </c>
      <c r="O516" s="54">
        <f ca="1">MIN(100,MAX(0,MCDA_Prioritisation!$F$4+(RAND()-0.5)*2*$B$7))</f>
        <v>93.829610330942643</v>
      </c>
      <c r="P516" s="54">
        <f ca="1">MIN(100,MAX(0,MCDA_Prioritisation!$F$5+(RAND()-0.5)*2*$B$7))</f>
        <v>69.394077690105235</v>
      </c>
      <c r="Q516" s="54">
        <f ca="1">MIN(100,MAX(0,MCDA_Prioritisation!$G$2+(RAND()-0.5)*2*$B$7))</f>
        <v>89.4757329092253</v>
      </c>
      <c r="R516" s="54">
        <f ca="1">MIN(100,MAX(0,MCDA_Prioritisation!$G$3+(RAND()-0.5)*2*$B$7))</f>
        <v>91.242823085278189</v>
      </c>
      <c r="S516" s="54">
        <f ca="1">MIN(100,MAX(0,MCDA_Prioritisation!$G$4+(RAND()-0.5)*2*$B$7))</f>
        <v>80.212952127008478</v>
      </c>
      <c r="T516" s="54">
        <f ca="1">MIN(100,MAX(0,MCDA_Prioritisation!$G$5+(RAND()-0.5)*2*$B$7))</f>
        <v>65.903352080601664</v>
      </c>
      <c r="U516" s="54">
        <f ca="1">MIN(100,MAX(0,MCDA_Prioritisation!$H$2+(RAND()-0.5)*2*$B$7))</f>
        <v>72.703572299351748</v>
      </c>
      <c r="V516" s="54">
        <f ca="1">MIN(100,MAX(0,MCDA_Prioritisation!$H$3+(RAND()-0.5)*2*$B$7))</f>
        <v>53.461753658939315</v>
      </c>
      <c r="W516" s="54">
        <f ca="1">MIN(100,MAX(0,MCDA_Prioritisation!$H$4+(RAND()-0.5)*2*$B$7))</f>
        <v>70.06717617134953</v>
      </c>
      <c r="X516" s="54">
        <f ca="1">MIN(100,MAX(0,MCDA_Prioritisation!$H$5+(RAND()-0.5)*2*$B$7))</f>
        <v>81.389438386771957</v>
      </c>
      <c r="Y516" s="54">
        <f ca="1">H516*MCDA_Prioritisation!$D$2+I516*MCDA_Prioritisation!$E$2+J516*M516+K516*Q516+L516*U516</f>
        <v>91.305274997526794</v>
      </c>
      <c r="Z516" s="54">
        <f ca="1">H516*MCDA_Prioritisation!$D$3+I516*MCDA_Prioritisation!$E$3+J516*N516+K516*R516+L516*V516</f>
        <v>79.506620627475741</v>
      </c>
      <c r="AA516" s="54">
        <f ca="1">H516*MCDA_Prioritisation!$D$4+I516*MCDA_Prioritisation!$E$4+J516*O516+K516*S516+L516*W516</f>
        <v>72.487048205041631</v>
      </c>
      <c r="AB516" s="54">
        <f ca="1">H516*MCDA_Prioritisation!$D$5+I516*MCDA_Prioritisation!$E$5+J516*P516+K516*T516+L516*X516</f>
        <v>70.966044867475034</v>
      </c>
      <c r="AC516" s="54">
        <f t="shared" ca="1" si="104"/>
        <v>1</v>
      </c>
      <c r="AD516" s="54">
        <f t="shared" ca="1" si="105"/>
        <v>2</v>
      </c>
      <c r="AE516" s="54">
        <f t="shared" ca="1" si="106"/>
        <v>3</v>
      </c>
      <c r="AF516" s="54">
        <f t="shared" ca="1" si="107"/>
        <v>4</v>
      </c>
      <c r="AG516" s="54">
        <f t="shared" ca="1" si="108"/>
        <v>1</v>
      </c>
      <c r="AH516" s="54">
        <f t="shared" ca="1" si="109"/>
        <v>1</v>
      </c>
      <c r="AI516" s="54">
        <f t="shared" ca="1" si="110"/>
        <v>1</v>
      </c>
      <c r="AJ516" s="54">
        <f t="shared" ca="1" si="111"/>
        <v>1</v>
      </c>
    </row>
    <row r="517" spans="1:36" x14ac:dyDescent="0.2">
      <c r="A517" s="54">
        <v>494</v>
      </c>
      <c r="B517" s="54">
        <f ca="1">MAX(0.02,MCDA_Prioritisation!$B$9+(RAND()-0.5)*2*$B$6)</f>
        <v>0.23991820902244984</v>
      </c>
      <c r="C517" s="54">
        <f ca="1">MAX(0.02,MCDA_Prioritisation!$B$10+(RAND()-0.5)*2*$B$6)</f>
        <v>0.27521756772175215</v>
      </c>
      <c r="D517" s="54">
        <f ca="1">MAX(0.02,MCDA_Prioritisation!$B$11+(RAND()-0.5)*2*$B$6)</f>
        <v>0.24399376742180978</v>
      </c>
      <c r="E517" s="54">
        <f ca="1">MAX(0.02,MCDA_Prioritisation!$B$12+(RAND()-0.5)*2*$B$6)</f>
        <v>0.11444684220482296</v>
      </c>
      <c r="F517" s="54">
        <f ca="1">MAX(0.02,MCDA_Prioritisation!$B$13+(RAND()-0.5)*2*$B$6)</f>
        <v>8.43504570107525E-2</v>
      </c>
      <c r="G517" s="54">
        <f t="shared" ca="1" si="98"/>
        <v>0.95792684338158718</v>
      </c>
      <c r="H517" s="54">
        <f t="shared" ca="1" si="99"/>
        <v>0.25045566963705929</v>
      </c>
      <c r="I517" s="54">
        <f t="shared" ca="1" si="100"/>
        <v>0.28730541337604015</v>
      </c>
      <c r="J517" s="54">
        <f t="shared" ca="1" si="101"/>
        <v>0.25471023085696703</v>
      </c>
      <c r="K517" s="54">
        <f t="shared" ca="1" si="102"/>
        <v>0.11947346814169338</v>
      </c>
      <c r="L517" s="54">
        <f t="shared" ca="1" si="103"/>
        <v>8.8055217988240217E-2</v>
      </c>
      <c r="M517" s="54">
        <f ca="1">MIN(100,MAX(0,MCDA_Prioritisation!$F$2+(RAND()-0.5)*2*$B$7))</f>
        <v>86.582801842190037</v>
      </c>
      <c r="N517" s="54">
        <f ca="1">MIN(100,MAX(0,MCDA_Prioritisation!$F$3+(RAND()-0.5)*2*$B$7))</f>
        <v>97.126125406987157</v>
      </c>
      <c r="O517" s="54">
        <f ca="1">MIN(100,MAX(0,MCDA_Prioritisation!$F$4+(RAND()-0.5)*2*$B$7))</f>
        <v>90.690888832019866</v>
      </c>
      <c r="P517" s="54">
        <f ca="1">MIN(100,MAX(0,MCDA_Prioritisation!$F$5+(RAND()-0.5)*2*$B$7))</f>
        <v>84.886977042812148</v>
      </c>
      <c r="Q517" s="54">
        <f ca="1">MIN(100,MAX(0,MCDA_Prioritisation!$G$2+(RAND()-0.5)*2*$B$7))</f>
        <v>89.45437418322642</v>
      </c>
      <c r="R517" s="54">
        <f ca="1">MIN(100,MAX(0,MCDA_Prioritisation!$G$3+(RAND()-0.5)*2*$B$7))</f>
        <v>100</v>
      </c>
      <c r="S517" s="54">
        <f ca="1">MIN(100,MAX(0,MCDA_Prioritisation!$G$4+(RAND()-0.5)*2*$B$7))</f>
        <v>80.585800224972445</v>
      </c>
      <c r="T517" s="54">
        <f ca="1">MIN(100,MAX(0,MCDA_Prioritisation!$G$5+(RAND()-0.5)*2*$B$7))</f>
        <v>68.538162892610018</v>
      </c>
      <c r="U517" s="54">
        <f ca="1">MIN(100,MAX(0,MCDA_Prioritisation!$H$2+(RAND()-0.5)*2*$B$7))</f>
        <v>59.396348006293294</v>
      </c>
      <c r="V517" s="54">
        <f ca="1">MIN(100,MAX(0,MCDA_Prioritisation!$H$3+(RAND()-0.5)*2*$B$7))</f>
        <v>55.773284497034894</v>
      </c>
      <c r="W517" s="54">
        <f ca="1">MIN(100,MAX(0,MCDA_Prioritisation!$H$4+(RAND()-0.5)*2*$B$7))</f>
        <v>89.501579848561562</v>
      </c>
      <c r="X517" s="54">
        <f ca="1">MIN(100,MAX(0,MCDA_Prioritisation!$H$5+(RAND()-0.5)*2*$B$7))</f>
        <v>84.055645530887787</v>
      </c>
      <c r="Y517" s="54">
        <f ca="1">H517*MCDA_Prioritisation!$D$2+I517*MCDA_Prioritisation!$E$2+J517*M517+K517*Q517+L517*U517</f>
        <v>91.74721644229156</v>
      </c>
      <c r="Z517" s="54">
        <f ca="1">H517*MCDA_Prioritisation!$D$3+I517*MCDA_Prioritisation!$E$3+J517*N517+K517*R517+L517*V517</f>
        <v>84.381466418766934</v>
      </c>
      <c r="AA517" s="54">
        <f ca="1">H517*MCDA_Prioritisation!$D$4+I517*MCDA_Prioritisation!$E$4+J517*O517+K517*S517+L517*W517</f>
        <v>73.720308261374484</v>
      </c>
      <c r="AB517" s="54">
        <f ca="1">H517*MCDA_Prioritisation!$D$5+I517*MCDA_Prioritisation!$E$5+J517*P517+K517*T517+L517*X517</f>
        <v>74.664542654972664</v>
      </c>
      <c r="AC517" s="54">
        <f t="shared" ca="1" si="104"/>
        <v>1</v>
      </c>
      <c r="AD517" s="54">
        <f t="shared" ca="1" si="105"/>
        <v>2</v>
      </c>
      <c r="AE517" s="54">
        <f t="shared" ca="1" si="106"/>
        <v>4</v>
      </c>
      <c r="AF517" s="54">
        <f t="shared" ca="1" si="107"/>
        <v>3</v>
      </c>
      <c r="AG517" s="54">
        <f t="shared" ca="1" si="108"/>
        <v>1</v>
      </c>
      <c r="AH517" s="54">
        <f t="shared" ca="1" si="109"/>
        <v>1</v>
      </c>
      <c r="AI517" s="54">
        <f t="shared" ca="1" si="110"/>
        <v>0</v>
      </c>
      <c r="AJ517" s="54">
        <f t="shared" ca="1" si="111"/>
        <v>1</v>
      </c>
    </row>
    <row r="518" spans="1:36" x14ac:dyDescent="0.2">
      <c r="A518" s="54">
        <v>495</v>
      </c>
      <c r="B518" s="54">
        <f ca="1">MAX(0.02,MCDA_Prioritisation!$B$9+(RAND()-0.5)*2*$B$6)</f>
        <v>0.18165900965424739</v>
      </c>
      <c r="C518" s="54">
        <f ca="1">MAX(0.02,MCDA_Prioritisation!$B$10+(RAND()-0.5)*2*$B$6)</f>
        <v>0.19279417503064331</v>
      </c>
      <c r="D518" s="54">
        <f ca="1">MAX(0.02,MCDA_Prioritisation!$B$11+(RAND()-0.5)*2*$B$6)</f>
        <v>0.32389601157571857</v>
      </c>
      <c r="E518" s="54">
        <f ca="1">MAX(0.02,MCDA_Prioritisation!$B$12+(RAND()-0.5)*2*$B$6)</f>
        <v>0.14508954836688961</v>
      </c>
      <c r="F518" s="54">
        <f ca="1">MAX(0.02,MCDA_Prioritisation!$B$13+(RAND()-0.5)*2*$B$6)</f>
        <v>0.14816473226339755</v>
      </c>
      <c r="G518" s="54">
        <f t="shared" ca="1" si="98"/>
        <v>0.99160347689089634</v>
      </c>
      <c r="H518" s="54">
        <f t="shared" ca="1" si="99"/>
        <v>0.18319722942463509</v>
      </c>
      <c r="I518" s="54">
        <f t="shared" ca="1" si="100"/>
        <v>0.19442668316889733</v>
      </c>
      <c r="J518" s="54">
        <f t="shared" ca="1" si="101"/>
        <v>0.32663864046874053</v>
      </c>
      <c r="K518" s="54">
        <f t="shared" ca="1" si="102"/>
        <v>0.14631811177367771</v>
      </c>
      <c r="L518" s="54">
        <f t="shared" ca="1" si="103"/>
        <v>0.1494193351640494</v>
      </c>
      <c r="M518" s="54">
        <f ca="1">MIN(100,MAX(0,MCDA_Prioritisation!$F$2+(RAND()-0.5)*2*$B$7))</f>
        <v>82.88272548672164</v>
      </c>
      <c r="N518" s="54">
        <f ca="1">MIN(100,MAX(0,MCDA_Prioritisation!$F$3+(RAND()-0.5)*2*$B$7))</f>
        <v>100</v>
      </c>
      <c r="O518" s="54">
        <f ca="1">MIN(100,MAX(0,MCDA_Prioritisation!$F$4+(RAND()-0.5)*2*$B$7))</f>
        <v>84.573660337677808</v>
      </c>
      <c r="P518" s="54">
        <f ca="1">MIN(100,MAX(0,MCDA_Prioritisation!$F$5+(RAND()-0.5)*2*$B$7))</f>
        <v>66.664457473077775</v>
      </c>
      <c r="Q518" s="54">
        <f ca="1">MIN(100,MAX(0,MCDA_Prioritisation!$G$2+(RAND()-0.5)*2*$B$7))</f>
        <v>77.604151643539993</v>
      </c>
      <c r="R518" s="54">
        <f ca="1">MIN(100,MAX(0,MCDA_Prioritisation!$G$3+(RAND()-0.5)*2*$B$7))</f>
        <v>85.680427065760185</v>
      </c>
      <c r="S518" s="54">
        <f ca="1">MIN(100,MAX(0,MCDA_Prioritisation!$G$4+(RAND()-0.5)*2*$B$7))</f>
        <v>79.248401199943999</v>
      </c>
      <c r="T518" s="54">
        <f ca="1">MIN(100,MAX(0,MCDA_Prioritisation!$G$5+(RAND()-0.5)*2*$B$7))</f>
        <v>79.034524256327174</v>
      </c>
      <c r="U518" s="54">
        <f ca="1">MIN(100,MAX(0,MCDA_Prioritisation!$H$2+(RAND()-0.5)*2*$B$7))</f>
        <v>69.105402936651046</v>
      </c>
      <c r="V518" s="54">
        <f ca="1">MIN(100,MAX(0,MCDA_Prioritisation!$H$3+(RAND()-0.5)*2*$B$7))</f>
        <v>65.770470857600358</v>
      </c>
      <c r="W518" s="54">
        <f ca="1">MIN(100,MAX(0,MCDA_Prioritisation!$H$4+(RAND()-0.5)*2*$B$7))</f>
        <v>75.357977836415614</v>
      </c>
      <c r="X518" s="54">
        <f ca="1">MIN(100,MAX(0,MCDA_Prioritisation!$H$5+(RAND()-0.5)*2*$B$7))</f>
        <v>81.386444517004875</v>
      </c>
      <c r="Y518" s="54">
        <f ca="1">H518*MCDA_Prioritisation!$D$2+I518*MCDA_Prioritisation!$E$2+J518*M518+K518*Q518+L518*U518</f>
        <v>86.51566832799891</v>
      </c>
      <c r="Z518" s="54">
        <f ca="1">H518*MCDA_Prioritisation!$D$3+I518*MCDA_Prioritisation!$E$3+J518*N518+K518*R518+L518*V518</f>
        <v>85.178823605244204</v>
      </c>
      <c r="AA518" s="54">
        <f ca="1">H518*MCDA_Prioritisation!$D$4+I518*MCDA_Prioritisation!$E$4+J518*O518+K518*S518+L518*W518</f>
        <v>73.842310727447256</v>
      </c>
      <c r="AB518" s="54">
        <f ca="1">H518*MCDA_Prioritisation!$D$5+I518*MCDA_Prioritisation!$E$5+J518*P518+K518*T518+L518*X518</f>
        <v>71.572951045617089</v>
      </c>
      <c r="AC518" s="54">
        <f t="shared" ca="1" si="104"/>
        <v>1</v>
      </c>
      <c r="AD518" s="54">
        <f t="shared" ca="1" si="105"/>
        <v>2</v>
      </c>
      <c r="AE518" s="54">
        <f t="shared" ca="1" si="106"/>
        <v>3</v>
      </c>
      <c r="AF518" s="54">
        <f t="shared" ca="1" si="107"/>
        <v>4</v>
      </c>
      <c r="AG518" s="54">
        <f t="shared" ca="1" si="108"/>
        <v>1</v>
      </c>
      <c r="AH518" s="54">
        <f t="shared" ca="1" si="109"/>
        <v>1</v>
      </c>
      <c r="AI518" s="54">
        <f t="shared" ca="1" si="110"/>
        <v>1</v>
      </c>
      <c r="AJ518" s="54">
        <f t="shared" ca="1" si="111"/>
        <v>1</v>
      </c>
    </row>
    <row r="519" spans="1:36" x14ac:dyDescent="0.2">
      <c r="A519" s="54">
        <v>496</v>
      </c>
      <c r="B519" s="54">
        <f ca="1">MAX(0.02,MCDA_Prioritisation!$B$9+(RAND()-0.5)*2*$B$6)</f>
        <v>0.12145483028888333</v>
      </c>
      <c r="C519" s="54">
        <f ca="1">MAX(0.02,MCDA_Prioritisation!$B$10+(RAND()-0.5)*2*$B$6)</f>
        <v>0.20161395984959687</v>
      </c>
      <c r="D519" s="54">
        <f ca="1">MAX(0.02,MCDA_Prioritisation!$B$11+(RAND()-0.5)*2*$B$6)</f>
        <v>0.27922904260771647</v>
      </c>
      <c r="E519" s="54">
        <f ca="1">MAX(0.02,MCDA_Prioritisation!$B$12+(RAND()-0.5)*2*$B$6)</f>
        <v>0.12696798106434565</v>
      </c>
      <c r="F519" s="54">
        <f ca="1">MAX(0.02,MCDA_Prioritisation!$B$13+(RAND()-0.5)*2*$B$6)</f>
        <v>0.11611209656195697</v>
      </c>
      <c r="G519" s="54">
        <f t="shared" ca="1" si="98"/>
        <v>0.84537791037249932</v>
      </c>
      <c r="H519" s="54">
        <f t="shared" ca="1" si="99"/>
        <v>0.14366927358601861</v>
      </c>
      <c r="I519" s="54">
        <f t="shared" ca="1" si="100"/>
        <v>0.23848974213291144</v>
      </c>
      <c r="J519" s="54">
        <f t="shared" ca="1" si="101"/>
        <v>0.33030085028443623</v>
      </c>
      <c r="K519" s="54">
        <f t="shared" ca="1" si="102"/>
        <v>0.15019079574530128</v>
      </c>
      <c r="L519" s="54">
        <f t="shared" ca="1" si="103"/>
        <v>0.13734933825133239</v>
      </c>
      <c r="M519" s="54">
        <f ca="1">MIN(100,MAX(0,MCDA_Prioritisation!$F$2+(RAND()-0.5)*2*$B$7))</f>
        <v>85.006199761154463</v>
      </c>
      <c r="N519" s="54">
        <f ca="1">MIN(100,MAX(0,MCDA_Prioritisation!$F$3+(RAND()-0.5)*2*$B$7))</f>
        <v>88.726473194732222</v>
      </c>
      <c r="O519" s="54">
        <f ca="1">MIN(100,MAX(0,MCDA_Prioritisation!$F$4+(RAND()-0.5)*2*$B$7))</f>
        <v>98.561898317729003</v>
      </c>
      <c r="P519" s="54">
        <f ca="1">MIN(100,MAX(0,MCDA_Prioritisation!$F$5+(RAND()-0.5)*2*$B$7))</f>
        <v>69.503936667743716</v>
      </c>
      <c r="Q519" s="54">
        <f ca="1">MIN(100,MAX(0,MCDA_Prioritisation!$G$2+(RAND()-0.5)*2*$B$7))</f>
        <v>76.507086161999567</v>
      </c>
      <c r="R519" s="54">
        <f ca="1">MIN(100,MAX(0,MCDA_Prioritisation!$G$3+(RAND()-0.5)*2*$B$7))</f>
        <v>99.246109899612463</v>
      </c>
      <c r="S519" s="54">
        <f ca="1">MIN(100,MAX(0,MCDA_Prioritisation!$G$4+(RAND()-0.5)*2*$B$7))</f>
        <v>77.12248913880363</v>
      </c>
      <c r="T519" s="54">
        <f ca="1">MIN(100,MAX(0,MCDA_Prioritisation!$G$5+(RAND()-0.5)*2*$B$7))</f>
        <v>74.077927044902452</v>
      </c>
      <c r="U519" s="54">
        <f ca="1">MIN(100,MAX(0,MCDA_Prioritisation!$H$2+(RAND()-0.5)*2*$B$7))</f>
        <v>74.55279427365258</v>
      </c>
      <c r="V519" s="54">
        <f ca="1">MIN(100,MAX(0,MCDA_Prioritisation!$H$3+(RAND()-0.5)*2*$B$7))</f>
        <v>66.45444621353333</v>
      </c>
      <c r="W519" s="54">
        <f ca="1">MIN(100,MAX(0,MCDA_Prioritisation!$H$4+(RAND()-0.5)*2*$B$7))</f>
        <v>79.150706850620992</v>
      </c>
      <c r="X519" s="54">
        <f ca="1">MIN(100,MAX(0,MCDA_Prioritisation!$H$5+(RAND()-0.5)*2*$B$7))</f>
        <v>77.568512512510949</v>
      </c>
      <c r="Y519" s="54">
        <f ca="1">H519*MCDA_Prioritisation!$D$2+I519*MCDA_Prioritisation!$E$2+J519*M519+K519*Q519+L519*U519</f>
        <v>88.023958741549919</v>
      </c>
      <c r="Z519" s="54">
        <f ca="1">H519*MCDA_Prioritisation!$D$3+I519*MCDA_Prioritisation!$E$3+J519*N519+K519*R519+L519*V519</f>
        <v>83.240704899643703</v>
      </c>
      <c r="AA519" s="54">
        <f ca="1">H519*MCDA_Prioritisation!$D$4+I519*MCDA_Prioritisation!$E$4+J519*O519+K519*S519+L519*W519</f>
        <v>78.022279068986634</v>
      </c>
      <c r="AB519" s="54">
        <f ca="1">H519*MCDA_Prioritisation!$D$5+I519*MCDA_Prioritisation!$E$5+J519*P519+K519*T519+L519*X519</f>
        <v>72.417209812689833</v>
      </c>
      <c r="AC519" s="54">
        <f t="shared" ca="1" si="104"/>
        <v>1</v>
      </c>
      <c r="AD519" s="54">
        <f t="shared" ca="1" si="105"/>
        <v>2</v>
      </c>
      <c r="AE519" s="54">
        <f t="shared" ca="1" si="106"/>
        <v>3</v>
      </c>
      <c r="AF519" s="54">
        <f t="shared" ca="1" si="107"/>
        <v>4</v>
      </c>
      <c r="AG519" s="54">
        <f t="shared" ca="1" si="108"/>
        <v>1</v>
      </c>
      <c r="AH519" s="54">
        <f t="shared" ca="1" si="109"/>
        <v>1</v>
      </c>
      <c r="AI519" s="54">
        <f t="shared" ca="1" si="110"/>
        <v>1</v>
      </c>
      <c r="AJ519" s="54">
        <f t="shared" ca="1" si="111"/>
        <v>1</v>
      </c>
    </row>
    <row r="520" spans="1:36" x14ac:dyDescent="0.2">
      <c r="A520" s="54">
        <v>497</v>
      </c>
      <c r="B520" s="54">
        <f ca="1">MAX(0.02,MCDA_Prioritisation!$B$9+(RAND()-0.5)*2*$B$6)</f>
        <v>0.1946102696565031</v>
      </c>
      <c r="C520" s="54">
        <f ca="1">MAX(0.02,MCDA_Prioritisation!$B$10+(RAND()-0.5)*2*$B$6)</f>
        <v>0.21448935644710762</v>
      </c>
      <c r="D520" s="54">
        <f ca="1">MAX(0.02,MCDA_Prioritisation!$B$11+(RAND()-0.5)*2*$B$6)</f>
        <v>0.27462744156949692</v>
      </c>
      <c r="E520" s="54">
        <f ca="1">MAX(0.02,MCDA_Prioritisation!$B$12+(RAND()-0.5)*2*$B$6)</f>
        <v>0.15425460879161021</v>
      </c>
      <c r="F520" s="54">
        <f ca="1">MAX(0.02,MCDA_Prioritisation!$B$13+(RAND()-0.5)*2*$B$6)</f>
        <v>8.0042557712240503E-2</v>
      </c>
      <c r="G520" s="54">
        <f t="shared" ca="1" si="98"/>
        <v>0.91802423417695844</v>
      </c>
      <c r="H520" s="54">
        <f t="shared" ca="1" si="99"/>
        <v>0.21198816154453501</v>
      </c>
      <c r="I520" s="54">
        <f t="shared" ca="1" si="100"/>
        <v>0.23364236853660514</v>
      </c>
      <c r="J520" s="54">
        <f t="shared" ca="1" si="101"/>
        <v>0.29915053584147511</v>
      </c>
      <c r="K520" s="54">
        <f t="shared" ca="1" si="102"/>
        <v>0.16802890713435792</v>
      </c>
      <c r="L520" s="54">
        <f t="shared" ca="1" si="103"/>
        <v>8.7190026943026744E-2</v>
      </c>
      <c r="M520" s="54">
        <f ca="1">MIN(100,MAX(0,MCDA_Prioritisation!$F$2+(RAND()-0.5)*2*$B$7))</f>
        <v>83.264390479517601</v>
      </c>
      <c r="N520" s="54">
        <f ca="1">MIN(100,MAX(0,MCDA_Prioritisation!$F$3+(RAND()-0.5)*2*$B$7))</f>
        <v>93.372496672392373</v>
      </c>
      <c r="O520" s="54">
        <f ca="1">MIN(100,MAX(0,MCDA_Prioritisation!$F$4+(RAND()-0.5)*2*$B$7))</f>
        <v>82.477191228887577</v>
      </c>
      <c r="P520" s="54">
        <f ca="1">MIN(100,MAX(0,MCDA_Prioritisation!$F$5+(RAND()-0.5)*2*$B$7))</f>
        <v>80.05916618349049</v>
      </c>
      <c r="Q520" s="54">
        <f ca="1">MIN(100,MAX(0,MCDA_Prioritisation!$G$2+(RAND()-0.5)*2*$B$7))</f>
        <v>70.650750731789088</v>
      </c>
      <c r="R520" s="54">
        <f ca="1">MIN(100,MAX(0,MCDA_Prioritisation!$G$3+(RAND()-0.5)*2*$B$7))</f>
        <v>94.59431915715011</v>
      </c>
      <c r="S520" s="54">
        <f ca="1">MIN(100,MAX(0,MCDA_Prioritisation!$G$4+(RAND()-0.5)*2*$B$7))</f>
        <v>77.182846299162321</v>
      </c>
      <c r="T520" s="54">
        <f ca="1">MIN(100,MAX(0,MCDA_Prioritisation!$G$5+(RAND()-0.5)*2*$B$7))</f>
        <v>77.428321391113656</v>
      </c>
      <c r="U520" s="54">
        <f ca="1">MIN(100,MAX(0,MCDA_Prioritisation!$H$2+(RAND()-0.5)*2*$B$7))</f>
        <v>71.508719580925103</v>
      </c>
      <c r="V520" s="54">
        <f ca="1">MIN(100,MAX(0,MCDA_Prioritisation!$H$3+(RAND()-0.5)*2*$B$7))</f>
        <v>59.717811688133125</v>
      </c>
      <c r="W520" s="54">
        <f ca="1">MIN(100,MAX(0,MCDA_Prioritisation!$H$4+(RAND()-0.5)*2*$B$7))</f>
        <v>79.621122553097848</v>
      </c>
      <c r="X520" s="54">
        <f ca="1">MIN(100,MAX(0,MCDA_Prioritisation!$H$5+(RAND()-0.5)*2*$B$7))</f>
        <v>74.444306242381884</v>
      </c>
      <c r="Y520" s="54">
        <f ca="1">H520*MCDA_Prioritisation!$D$2+I520*MCDA_Prioritisation!$E$2+J520*M520+K520*Q520+L520*U520</f>
        <v>87.577855657182184</v>
      </c>
      <c r="Z520" s="54">
        <f ca="1">H520*MCDA_Prioritisation!$D$3+I520*MCDA_Prioritisation!$E$3+J520*N520+K520*R520+L520*V520</f>
        <v>84.553077628292002</v>
      </c>
      <c r="AA520" s="54">
        <f ca="1">H520*MCDA_Prioritisation!$D$4+I520*MCDA_Prioritisation!$E$4+J520*O520+K520*S520+L520*W520</f>
        <v>72.089951653759556</v>
      </c>
      <c r="AB520" s="54">
        <f ca="1">H520*MCDA_Prioritisation!$D$5+I520*MCDA_Prioritisation!$E$5+J520*P520+K520*T520+L520*X520</f>
        <v>74.349399232506713</v>
      </c>
      <c r="AC520" s="54">
        <f t="shared" ca="1" si="104"/>
        <v>1</v>
      </c>
      <c r="AD520" s="54">
        <f t="shared" ca="1" si="105"/>
        <v>2</v>
      </c>
      <c r="AE520" s="54">
        <f t="shared" ca="1" si="106"/>
        <v>4</v>
      </c>
      <c r="AF520" s="54">
        <f t="shared" ca="1" si="107"/>
        <v>3</v>
      </c>
      <c r="AG520" s="54">
        <f t="shared" ca="1" si="108"/>
        <v>1</v>
      </c>
      <c r="AH520" s="54">
        <f t="shared" ca="1" si="109"/>
        <v>1</v>
      </c>
      <c r="AI520" s="54">
        <f t="shared" ca="1" si="110"/>
        <v>0</v>
      </c>
      <c r="AJ520" s="54">
        <f t="shared" ca="1" si="111"/>
        <v>1</v>
      </c>
    </row>
    <row r="521" spans="1:36" x14ac:dyDescent="0.2">
      <c r="A521" s="54">
        <v>498</v>
      </c>
      <c r="B521" s="54">
        <f ca="1">MAX(0.02,MCDA_Prioritisation!$B$9+(RAND()-0.5)*2*$B$6)</f>
        <v>0.19138341024702346</v>
      </c>
      <c r="C521" s="54">
        <f ca="1">MAX(0.02,MCDA_Prioritisation!$B$10+(RAND()-0.5)*2*$B$6)</f>
        <v>0.29028773006405084</v>
      </c>
      <c r="D521" s="54">
        <f ca="1">MAX(0.02,MCDA_Prioritisation!$B$11+(RAND()-0.5)*2*$B$6)</f>
        <v>0.25443483716213294</v>
      </c>
      <c r="E521" s="54">
        <f ca="1">MAX(0.02,MCDA_Prioritisation!$B$12+(RAND()-0.5)*2*$B$6)</f>
        <v>9.4367907176041294E-2</v>
      </c>
      <c r="F521" s="54">
        <f ca="1">MAX(0.02,MCDA_Prioritisation!$B$13+(RAND()-0.5)*2*$B$6)</f>
        <v>0.15723657586770795</v>
      </c>
      <c r="G521" s="54">
        <f t="shared" ca="1" si="98"/>
        <v>0.98771046051695643</v>
      </c>
      <c r="H521" s="54">
        <f t="shared" ca="1" si="99"/>
        <v>0.19376468904344252</v>
      </c>
      <c r="I521" s="54">
        <f t="shared" ca="1" si="100"/>
        <v>0.29389962106113315</v>
      </c>
      <c r="J521" s="54">
        <f t="shared" ca="1" si="101"/>
        <v>0.2576006302788012</v>
      </c>
      <c r="K521" s="54">
        <f t="shared" ca="1" si="102"/>
        <v>9.5542075282517722E-2</v>
      </c>
      <c r="L521" s="54">
        <f t="shared" ca="1" si="103"/>
        <v>0.15919298433410548</v>
      </c>
      <c r="M521" s="54">
        <f ca="1">MIN(100,MAX(0,MCDA_Prioritisation!$F$2+(RAND()-0.5)*2*$B$7))</f>
        <v>91.671435741083627</v>
      </c>
      <c r="N521" s="54">
        <f ca="1">MIN(100,MAX(0,MCDA_Prioritisation!$F$3+(RAND()-0.5)*2*$B$7))</f>
        <v>85.025037279411123</v>
      </c>
      <c r="O521" s="54">
        <f ca="1">MIN(100,MAX(0,MCDA_Prioritisation!$F$4+(RAND()-0.5)*2*$B$7))</f>
        <v>84.631756707253402</v>
      </c>
      <c r="P521" s="54">
        <f ca="1">MIN(100,MAX(0,MCDA_Prioritisation!$F$5+(RAND()-0.5)*2*$B$7))</f>
        <v>77.897585425249304</v>
      </c>
      <c r="Q521" s="54">
        <f ca="1">MIN(100,MAX(0,MCDA_Prioritisation!$G$2+(RAND()-0.5)*2*$B$7))</f>
        <v>74.276668824165469</v>
      </c>
      <c r="R521" s="54">
        <f ca="1">MIN(100,MAX(0,MCDA_Prioritisation!$G$3+(RAND()-0.5)*2*$B$7))</f>
        <v>89.777711411422146</v>
      </c>
      <c r="S521" s="54">
        <f ca="1">MIN(100,MAX(0,MCDA_Prioritisation!$G$4+(RAND()-0.5)*2*$B$7))</f>
        <v>91.486093850056946</v>
      </c>
      <c r="T521" s="54">
        <f ca="1">MIN(100,MAX(0,MCDA_Prioritisation!$G$5+(RAND()-0.5)*2*$B$7))</f>
        <v>61.670576256081603</v>
      </c>
      <c r="U521" s="54">
        <f ca="1">MIN(100,MAX(0,MCDA_Prioritisation!$H$2+(RAND()-0.5)*2*$B$7))</f>
        <v>69.785742049188329</v>
      </c>
      <c r="V521" s="54">
        <f ca="1">MIN(100,MAX(0,MCDA_Prioritisation!$H$3+(RAND()-0.5)*2*$B$7))</f>
        <v>53.868579935370192</v>
      </c>
      <c r="W521" s="54">
        <f ca="1">MIN(100,MAX(0,MCDA_Prioritisation!$H$4+(RAND()-0.5)*2*$B$7))</f>
        <v>80.559982550118505</v>
      </c>
      <c r="X521" s="54">
        <f ca="1">MIN(100,MAX(0,MCDA_Prioritisation!$H$5+(RAND()-0.5)*2*$B$7))</f>
        <v>76.142063862584649</v>
      </c>
      <c r="Y521" s="54">
        <f ca="1">H521*MCDA_Prioritisation!$D$2+I521*MCDA_Prioritisation!$E$2+J521*M521+K521*Q521+L521*U521</f>
        <v>90.586998261236744</v>
      </c>
      <c r="Z521" s="54">
        <f ca="1">H521*MCDA_Prioritisation!$D$3+I521*MCDA_Prioritisation!$E$3+J521*N521+K521*R521+L521*V521</f>
        <v>77.364491334708333</v>
      </c>
      <c r="AA521" s="54">
        <f ca="1">H521*MCDA_Prioritisation!$D$4+I521*MCDA_Prioritisation!$E$4+J521*O521+K521*S521+L521*W521</f>
        <v>72.890071476656161</v>
      </c>
      <c r="AB521" s="54">
        <f ca="1">H521*MCDA_Prioritisation!$D$5+I521*MCDA_Prioritisation!$E$5+J521*P521+K521*T521+L521*X521</f>
        <v>73.078403925296314</v>
      </c>
      <c r="AC521" s="54">
        <f t="shared" ca="1" si="104"/>
        <v>1</v>
      </c>
      <c r="AD521" s="54">
        <f t="shared" ca="1" si="105"/>
        <v>2</v>
      </c>
      <c r="AE521" s="54">
        <f t="shared" ca="1" si="106"/>
        <v>4</v>
      </c>
      <c r="AF521" s="54">
        <f t="shared" ca="1" si="107"/>
        <v>3</v>
      </c>
      <c r="AG521" s="54">
        <f t="shared" ca="1" si="108"/>
        <v>1</v>
      </c>
      <c r="AH521" s="54">
        <f t="shared" ca="1" si="109"/>
        <v>1</v>
      </c>
      <c r="AI521" s="54">
        <f t="shared" ca="1" si="110"/>
        <v>0</v>
      </c>
      <c r="AJ521" s="54">
        <f t="shared" ca="1" si="111"/>
        <v>1</v>
      </c>
    </row>
    <row r="522" spans="1:36" x14ac:dyDescent="0.2">
      <c r="A522" s="54">
        <v>499</v>
      </c>
      <c r="B522" s="54">
        <f ca="1">MAX(0.02,MCDA_Prioritisation!$B$9+(RAND()-0.5)*2*$B$6)</f>
        <v>0.20122053374058871</v>
      </c>
      <c r="C522" s="54">
        <f ca="1">MAX(0.02,MCDA_Prioritisation!$B$10+(RAND()-0.5)*2*$B$6)</f>
        <v>0.18736976984556908</v>
      </c>
      <c r="D522" s="54">
        <f ca="1">MAX(0.02,MCDA_Prioritisation!$B$11+(RAND()-0.5)*2*$B$6)</f>
        <v>0.24020028864991891</v>
      </c>
      <c r="E522" s="54">
        <f ca="1">MAX(0.02,MCDA_Prioritisation!$B$12+(RAND()-0.5)*2*$B$6)</f>
        <v>0.13902066729327786</v>
      </c>
      <c r="F522" s="54">
        <f ca="1">MAX(0.02,MCDA_Prioritisation!$B$13+(RAND()-0.5)*2*$B$6)</f>
        <v>0.16782216033240094</v>
      </c>
      <c r="G522" s="54">
        <f t="shared" ca="1" si="98"/>
        <v>0.93563341986175552</v>
      </c>
      <c r="H522" s="54">
        <f t="shared" ca="1" si="99"/>
        <v>0.21506343132796607</v>
      </c>
      <c r="I522" s="54">
        <f t="shared" ca="1" si="100"/>
        <v>0.20025980888247225</v>
      </c>
      <c r="J522" s="54">
        <f t="shared" ca="1" si="101"/>
        <v>0.25672478510377461</v>
      </c>
      <c r="K522" s="54">
        <f t="shared" ca="1" si="102"/>
        <v>0.14858454640688107</v>
      </c>
      <c r="L522" s="54">
        <f t="shared" ca="1" si="103"/>
        <v>0.17936742827890595</v>
      </c>
      <c r="M522" s="54">
        <f ca="1">MIN(100,MAX(0,MCDA_Prioritisation!$F$2+(RAND()-0.5)*2*$B$7))</f>
        <v>87.687603384833125</v>
      </c>
      <c r="N522" s="54">
        <f ca="1">MIN(100,MAX(0,MCDA_Prioritisation!$F$3+(RAND()-0.5)*2*$B$7))</f>
        <v>99.661389743586511</v>
      </c>
      <c r="O522" s="54">
        <f ca="1">MIN(100,MAX(0,MCDA_Prioritisation!$F$4+(RAND()-0.5)*2*$B$7))</f>
        <v>88.544565636250084</v>
      </c>
      <c r="P522" s="54">
        <f ca="1">MIN(100,MAX(0,MCDA_Prioritisation!$F$5+(RAND()-0.5)*2*$B$7))</f>
        <v>66.846431116524784</v>
      </c>
      <c r="Q522" s="54">
        <f ca="1">MIN(100,MAX(0,MCDA_Prioritisation!$G$2+(RAND()-0.5)*2*$B$7))</f>
        <v>81.56561044557553</v>
      </c>
      <c r="R522" s="54">
        <f ca="1">MIN(100,MAX(0,MCDA_Prioritisation!$G$3+(RAND()-0.5)*2*$B$7))</f>
        <v>99.760392178272511</v>
      </c>
      <c r="S522" s="54">
        <f ca="1">MIN(100,MAX(0,MCDA_Prioritisation!$G$4+(RAND()-0.5)*2*$B$7))</f>
        <v>80.330101338062775</v>
      </c>
      <c r="T522" s="54">
        <f ca="1">MIN(100,MAX(0,MCDA_Prioritisation!$G$5+(RAND()-0.5)*2*$B$7))</f>
        <v>76.035258625703534</v>
      </c>
      <c r="U522" s="54">
        <f ca="1">MIN(100,MAX(0,MCDA_Prioritisation!$H$2+(RAND()-0.5)*2*$B$7))</f>
        <v>67.10542048431634</v>
      </c>
      <c r="V522" s="54">
        <f ca="1">MIN(100,MAX(0,MCDA_Prioritisation!$H$3+(RAND()-0.5)*2*$B$7))</f>
        <v>56.844269011750136</v>
      </c>
      <c r="W522" s="54">
        <f ca="1">MIN(100,MAX(0,MCDA_Prioritisation!$H$4+(RAND()-0.5)*2*$B$7))</f>
        <v>77.128522058330219</v>
      </c>
      <c r="X522" s="54">
        <f ca="1">MIN(100,MAX(0,MCDA_Prioritisation!$H$5+(RAND()-0.5)*2*$B$7))</f>
        <v>65.794729859143331</v>
      </c>
      <c r="Y522" s="54">
        <f ca="1">H522*MCDA_Prioritisation!$D$2+I522*MCDA_Prioritisation!$E$2+J522*M522+K522*Q522+L522*U522</f>
        <v>88.199821082582773</v>
      </c>
      <c r="Z522" s="54">
        <f ca="1">H522*MCDA_Prioritisation!$D$3+I522*MCDA_Prioritisation!$E$3+J522*N522+K522*R522+L522*V522</f>
        <v>83.96462570664977</v>
      </c>
      <c r="AA522" s="54">
        <f ca="1">H522*MCDA_Prioritisation!$D$4+I522*MCDA_Prioritisation!$E$4+J522*O522+K522*S522+L522*W522</f>
        <v>74.400756292105697</v>
      </c>
      <c r="AB522" s="54">
        <f ca="1">H522*MCDA_Prioritisation!$D$5+I522*MCDA_Prioritisation!$E$5+J522*P522+K522*T522+L522*X522</f>
        <v>68.514943935483274</v>
      </c>
      <c r="AC522" s="54">
        <f t="shared" ca="1" si="104"/>
        <v>1</v>
      </c>
      <c r="AD522" s="54">
        <f t="shared" ca="1" si="105"/>
        <v>2</v>
      </c>
      <c r="AE522" s="54">
        <f t="shared" ca="1" si="106"/>
        <v>3</v>
      </c>
      <c r="AF522" s="54">
        <f t="shared" ca="1" si="107"/>
        <v>4</v>
      </c>
      <c r="AG522" s="54">
        <f t="shared" ca="1" si="108"/>
        <v>1</v>
      </c>
      <c r="AH522" s="54">
        <f t="shared" ca="1" si="109"/>
        <v>1</v>
      </c>
      <c r="AI522" s="54">
        <f t="shared" ca="1" si="110"/>
        <v>1</v>
      </c>
      <c r="AJ522" s="54">
        <f t="shared" ca="1" si="111"/>
        <v>1</v>
      </c>
    </row>
    <row r="523" spans="1:36" x14ac:dyDescent="0.2">
      <c r="A523" s="54">
        <v>500</v>
      </c>
      <c r="B523" s="54">
        <f ca="1">MAX(0.02,MCDA_Prioritisation!$B$9+(RAND()-0.5)*2*$B$6)</f>
        <v>0.14702174240230501</v>
      </c>
      <c r="C523" s="54">
        <f ca="1">MAX(0.02,MCDA_Prioritisation!$B$10+(RAND()-0.5)*2*$B$6)</f>
        <v>0.22979962254822145</v>
      </c>
      <c r="D523" s="54">
        <f ca="1">MAX(0.02,MCDA_Prioritisation!$B$11+(RAND()-0.5)*2*$B$6)</f>
        <v>0.28928205003038393</v>
      </c>
      <c r="E523" s="54">
        <f ca="1">MAX(0.02,MCDA_Prioritisation!$B$12+(RAND()-0.5)*2*$B$6)</f>
        <v>0.21837212589218058</v>
      </c>
      <c r="F523" s="54">
        <f ca="1">MAX(0.02,MCDA_Prioritisation!$B$13+(RAND()-0.5)*2*$B$6)</f>
        <v>0.18505678556674163</v>
      </c>
      <c r="G523" s="54">
        <f t="shared" ca="1" si="98"/>
        <v>1.0695323264398326</v>
      </c>
      <c r="H523" s="54">
        <f t="shared" ca="1" si="99"/>
        <v>0.13746357989168814</v>
      </c>
      <c r="I523" s="54">
        <f t="shared" ca="1" si="100"/>
        <v>0.21485991294265849</v>
      </c>
      <c r="J523" s="54">
        <f t="shared" ca="1" si="101"/>
        <v>0.27047527492069473</v>
      </c>
      <c r="K523" s="54">
        <f t="shared" ca="1" si="102"/>
        <v>0.20417533953282083</v>
      </c>
      <c r="L523" s="54">
        <f t="shared" ca="1" si="103"/>
        <v>0.17302589271213781</v>
      </c>
      <c r="M523" s="54">
        <f ca="1">MIN(100,MAX(0,MCDA_Prioritisation!$F$2+(RAND()-0.5)*2*$B$7))</f>
        <v>94.821466145495236</v>
      </c>
      <c r="N523" s="54">
        <f ca="1">MIN(100,MAX(0,MCDA_Prioritisation!$F$3+(RAND()-0.5)*2*$B$7))</f>
        <v>100</v>
      </c>
      <c r="O523" s="54">
        <f ca="1">MIN(100,MAX(0,MCDA_Prioritisation!$F$4+(RAND()-0.5)*2*$B$7))</f>
        <v>82.97901542945786</v>
      </c>
      <c r="P523" s="54">
        <f ca="1">MIN(100,MAX(0,MCDA_Prioritisation!$F$5+(RAND()-0.5)*2*$B$7))</f>
        <v>68.280980413770791</v>
      </c>
      <c r="Q523" s="54">
        <f ca="1">MIN(100,MAX(0,MCDA_Prioritisation!$G$2+(RAND()-0.5)*2*$B$7))</f>
        <v>87.789045678610321</v>
      </c>
      <c r="R523" s="54">
        <f ca="1">MIN(100,MAX(0,MCDA_Prioritisation!$G$3+(RAND()-0.5)*2*$B$7))</f>
        <v>85.85971660585777</v>
      </c>
      <c r="S523" s="54">
        <f ca="1">MIN(100,MAX(0,MCDA_Prioritisation!$G$4+(RAND()-0.5)*2*$B$7))</f>
        <v>88.686647886485332</v>
      </c>
      <c r="T523" s="54">
        <f ca="1">MIN(100,MAX(0,MCDA_Prioritisation!$G$5+(RAND()-0.5)*2*$B$7))</f>
        <v>73.154399542175511</v>
      </c>
      <c r="U523" s="54">
        <f ca="1">MIN(100,MAX(0,MCDA_Prioritisation!$H$2+(RAND()-0.5)*2*$B$7))</f>
        <v>66.044911904252871</v>
      </c>
      <c r="V523" s="54">
        <f ca="1">MIN(100,MAX(0,MCDA_Prioritisation!$H$3+(RAND()-0.5)*2*$B$7))</f>
        <v>60.567613736903645</v>
      </c>
      <c r="W523" s="54">
        <f ca="1">MIN(100,MAX(0,MCDA_Prioritisation!$H$4+(RAND()-0.5)*2*$B$7))</f>
        <v>89.59470632724495</v>
      </c>
      <c r="X523" s="54">
        <f ca="1">MIN(100,MAX(0,MCDA_Prioritisation!$H$5+(RAND()-0.5)*2*$B$7))</f>
        <v>71.060824655140024</v>
      </c>
      <c r="Y523" s="54">
        <f ca="1">H523*MCDA_Prioritisation!$D$2+I523*MCDA_Prioritisation!$E$2+J523*M523+K523*Q523+L523*U523</f>
        <v>90.231049457541275</v>
      </c>
      <c r="Z523" s="54">
        <f ca="1">H523*MCDA_Prioritisation!$D$3+I523*MCDA_Prioritisation!$E$3+J523*N523+K523*R523+L523*V523</f>
        <v>82.69778760116408</v>
      </c>
      <c r="AA523" s="54">
        <f ca="1">H523*MCDA_Prioritisation!$D$4+I523*MCDA_Prioritisation!$E$4+J523*O523+K523*S523+L523*W523</f>
        <v>77.345389724962502</v>
      </c>
      <c r="AB523" s="54">
        <f ca="1">H523*MCDA_Prioritisation!$D$5+I523*MCDA_Prioritisation!$E$5+J523*P523+K523*T523+L523*X523</f>
        <v>71.063771164317814</v>
      </c>
      <c r="AC523" s="54">
        <f t="shared" ca="1" si="104"/>
        <v>1</v>
      </c>
      <c r="AD523" s="54">
        <f t="shared" ca="1" si="105"/>
        <v>2</v>
      </c>
      <c r="AE523" s="54">
        <f t="shared" ca="1" si="106"/>
        <v>3</v>
      </c>
      <c r="AF523" s="54">
        <f t="shared" ca="1" si="107"/>
        <v>4</v>
      </c>
      <c r="AG523" s="54">
        <f t="shared" ca="1" si="108"/>
        <v>1</v>
      </c>
      <c r="AH523" s="54">
        <f t="shared" ca="1" si="109"/>
        <v>1</v>
      </c>
      <c r="AI523" s="54">
        <f t="shared" ca="1" si="110"/>
        <v>1</v>
      </c>
      <c r="AJ523" s="54">
        <f t="shared" ca="1" si="111"/>
        <v>1</v>
      </c>
    </row>
    <row r="524" spans="1:36" x14ac:dyDescent="0.2">
      <c r="A524" s="54">
        <v>501</v>
      </c>
      <c r="B524" s="54">
        <f ca="1">MAX(0.02,MCDA_Prioritisation!$B$9+(RAND()-0.5)*2*$B$6)</f>
        <v>0.23837911477245394</v>
      </c>
      <c r="C524" s="54">
        <f ca="1">MAX(0.02,MCDA_Prioritisation!$B$10+(RAND()-0.5)*2*$B$6)</f>
        <v>0.26153031414225286</v>
      </c>
      <c r="D524" s="54">
        <f ca="1">MAX(0.02,MCDA_Prioritisation!$B$11+(RAND()-0.5)*2*$B$6)</f>
        <v>0.29538623395159092</v>
      </c>
      <c r="E524" s="54">
        <f ca="1">MAX(0.02,MCDA_Prioritisation!$B$12+(RAND()-0.5)*2*$B$6)</f>
        <v>9.224545297352317E-2</v>
      </c>
      <c r="F524" s="54">
        <f ca="1">MAX(0.02,MCDA_Prioritisation!$B$13+(RAND()-0.5)*2*$B$6)</f>
        <v>0.13067609091151847</v>
      </c>
      <c r="G524" s="54">
        <f t="shared" ca="1" si="98"/>
        <v>1.0182172067513393</v>
      </c>
      <c r="H524" s="54">
        <f t="shared" ca="1" si="99"/>
        <v>0.23411420784472065</v>
      </c>
      <c r="I524" s="54">
        <f t="shared" ca="1" si="100"/>
        <v>0.25685120267872436</v>
      </c>
      <c r="J524" s="54">
        <f t="shared" ca="1" si="101"/>
        <v>0.29010139682674574</v>
      </c>
      <c r="K524" s="54">
        <f t="shared" ca="1" si="102"/>
        <v>9.0595063962664507E-2</v>
      </c>
      <c r="L524" s="54">
        <f t="shared" ca="1" si="103"/>
        <v>0.12833812868714475</v>
      </c>
      <c r="M524" s="54">
        <f ca="1">MIN(100,MAX(0,MCDA_Prioritisation!$F$2+(RAND()-0.5)*2*$B$7))</f>
        <v>94.617686291407239</v>
      </c>
      <c r="N524" s="54">
        <f ca="1">MIN(100,MAX(0,MCDA_Prioritisation!$F$3+(RAND()-0.5)*2*$B$7))</f>
        <v>100</v>
      </c>
      <c r="O524" s="54">
        <f ca="1">MIN(100,MAX(0,MCDA_Prioritisation!$F$4+(RAND()-0.5)*2*$B$7))</f>
        <v>94.477793541553865</v>
      </c>
      <c r="P524" s="54">
        <f ca="1">MIN(100,MAX(0,MCDA_Prioritisation!$F$5+(RAND()-0.5)*2*$B$7))</f>
        <v>82.178534156489761</v>
      </c>
      <c r="Q524" s="54">
        <f ca="1">MIN(100,MAX(0,MCDA_Prioritisation!$G$2+(RAND()-0.5)*2*$B$7))</f>
        <v>87.412347284865689</v>
      </c>
      <c r="R524" s="54">
        <f ca="1">MIN(100,MAX(0,MCDA_Prioritisation!$G$3+(RAND()-0.5)*2*$B$7))</f>
        <v>92.944243828809036</v>
      </c>
      <c r="S524" s="54">
        <f ca="1">MIN(100,MAX(0,MCDA_Prioritisation!$G$4+(RAND()-0.5)*2*$B$7))</f>
        <v>87.060771149988483</v>
      </c>
      <c r="T524" s="54">
        <f ca="1">MIN(100,MAX(0,MCDA_Prioritisation!$G$5+(RAND()-0.5)*2*$B$7))</f>
        <v>76.52560476265954</v>
      </c>
      <c r="U524" s="54">
        <f ca="1">MIN(100,MAX(0,MCDA_Prioritisation!$H$2+(RAND()-0.5)*2*$B$7))</f>
        <v>70.884132332479268</v>
      </c>
      <c r="V524" s="54">
        <f ca="1">MIN(100,MAX(0,MCDA_Prioritisation!$H$3+(RAND()-0.5)*2*$B$7))</f>
        <v>69.811563352739697</v>
      </c>
      <c r="W524" s="54">
        <f ca="1">MIN(100,MAX(0,MCDA_Prioritisation!$H$4+(RAND()-0.5)*2*$B$7))</f>
        <v>82.388236245979542</v>
      </c>
      <c r="X524" s="54">
        <f ca="1">MIN(100,MAX(0,MCDA_Prioritisation!$H$5+(RAND()-0.5)*2*$B$7))</f>
        <v>84.648011553489894</v>
      </c>
      <c r="Y524" s="54">
        <f ca="1">H524*MCDA_Prioritisation!$D$2+I524*MCDA_Prioritisation!$E$2+J524*M524+K524*Q524+L524*U524</f>
        <v>93.56152810055795</v>
      </c>
      <c r="Z524" s="54">
        <f ca="1">H524*MCDA_Prioritisation!$D$3+I524*MCDA_Prioritisation!$E$3+J524*N524+K524*R524+L524*V524</f>
        <v>85.530844057741149</v>
      </c>
      <c r="AA524" s="54">
        <f ca="1">H524*MCDA_Prioritisation!$D$4+I524*MCDA_Prioritisation!$E$4+J524*O524+K524*S524+L524*W524</f>
        <v>76.181370843168892</v>
      </c>
      <c r="AB524" s="54">
        <f ca="1">H524*MCDA_Prioritisation!$D$5+I524*MCDA_Prioritisation!$E$5+J524*P524+K524*T524+L524*X524</f>
        <v>75.661188041731066</v>
      </c>
      <c r="AC524" s="54">
        <f t="shared" ca="1" si="104"/>
        <v>1</v>
      </c>
      <c r="AD524" s="54">
        <f t="shared" ca="1" si="105"/>
        <v>2</v>
      </c>
      <c r="AE524" s="54">
        <f t="shared" ca="1" si="106"/>
        <v>3</v>
      </c>
      <c r="AF524" s="54">
        <f t="shared" ca="1" si="107"/>
        <v>4</v>
      </c>
      <c r="AG524" s="54">
        <f t="shared" ca="1" si="108"/>
        <v>1</v>
      </c>
      <c r="AH524" s="54">
        <f t="shared" ca="1" si="109"/>
        <v>1</v>
      </c>
      <c r="AI524" s="54">
        <f t="shared" ca="1" si="110"/>
        <v>1</v>
      </c>
      <c r="AJ524" s="54">
        <f t="shared" ca="1" si="111"/>
        <v>1</v>
      </c>
    </row>
    <row r="525" spans="1:36" x14ac:dyDescent="0.2">
      <c r="A525" s="54">
        <v>502</v>
      </c>
      <c r="B525" s="54">
        <f ca="1">MAX(0.02,MCDA_Prioritisation!$B$9+(RAND()-0.5)*2*$B$6)</f>
        <v>0.20190432610122505</v>
      </c>
      <c r="C525" s="54">
        <f ca="1">MAX(0.02,MCDA_Prioritisation!$B$10+(RAND()-0.5)*2*$B$6)</f>
        <v>0.26655720780919834</v>
      </c>
      <c r="D525" s="54">
        <f ca="1">MAX(0.02,MCDA_Prioritisation!$B$11+(RAND()-0.5)*2*$B$6)</f>
        <v>0.32802870418223073</v>
      </c>
      <c r="E525" s="54">
        <f ca="1">MAX(0.02,MCDA_Prioritisation!$B$12+(RAND()-0.5)*2*$B$6)</f>
        <v>7.3952173246060376E-2</v>
      </c>
      <c r="F525" s="54">
        <f ca="1">MAX(0.02,MCDA_Prioritisation!$B$13+(RAND()-0.5)*2*$B$6)</f>
        <v>0.16982336080831198</v>
      </c>
      <c r="G525" s="54">
        <f t="shared" ca="1" si="98"/>
        <v>1.0402657721470265</v>
      </c>
      <c r="H525" s="54">
        <f t="shared" ca="1" si="99"/>
        <v>0.19408917558107333</v>
      </c>
      <c r="I525" s="54">
        <f t="shared" ca="1" si="100"/>
        <v>0.25623952546188777</v>
      </c>
      <c r="J525" s="54">
        <f t="shared" ca="1" si="101"/>
        <v>0.31533163251656865</v>
      </c>
      <c r="K525" s="54">
        <f t="shared" ca="1" si="102"/>
        <v>7.1089691909625094E-2</v>
      </c>
      <c r="L525" s="54">
        <f t="shared" ca="1" si="103"/>
        <v>0.16324997453084508</v>
      </c>
      <c r="M525" s="54">
        <f ca="1">MIN(100,MAX(0,MCDA_Prioritisation!$F$2+(RAND()-0.5)*2*$B$7))</f>
        <v>90.210281767835312</v>
      </c>
      <c r="N525" s="54">
        <f ca="1">MIN(100,MAX(0,MCDA_Prioritisation!$F$3+(RAND()-0.5)*2*$B$7))</f>
        <v>100</v>
      </c>
      <c r="O525" s="54">
        <f ca="1">MIN(100,MAX(0,MCDA_Prioritisation!$F$4+(RAND()-0.5)*2*$B$7))</f>
        <v>92.937762733614207</v>
      </c>
      <c r="P525" s="54">
        <f ca="1">MIN(100,MAX(0,MCDA_Prioritisation!$F$5+(RAND()-0.5)*2*$B$7))</f>
        <v>69.31616311994668</v>
      </c>
      <c r="Q525" s="54">
        <f ca="1">MIN(100,MAX(0,MCDA_Prioritisation!$G$2+(RAND()-0.5)*2*$B$7))</f>
        <v>87.159898955761946</v>
      </c>
      <c r="R525" s="54">
        <f ca="1">MIN(100,MAX(0,MCDA_Prioritisation!$G$3+(RAND()-0.5)*2*$B$7))</f>
        <v>97.780919151465739</v>
      </c>
      <c r="S525" s="54">
        <f ca="1">MIN(100,MAX(0,MCDA_Prioritisation!$G$4+(RAND()-0.5)*2*$B$7))</f>
        <v>82.668462917125808</v>
      </c>
      <c r="T525" s="54">
        <f ca="1">MIN(100,MAX(0,MCDA_Prioritisation!$G$5+(RAND()-0.5)*2*$B$7))</f>
        <v>66.793286281500116</v>
      </c>
      <c r="U525" s="54">
        <f ca="1">MIN(100,MAX(0,MCDA_Prioritisation!$H$2+(RAND()-0.5)*2*$B$7))</f>
        <v>69.914676956580706</v>
      </c>
      <c r="V525" s="54">
        <f ca="1">MIN(100,MAX(0,MCDA_Prioritisation!$H$3+(RAND()-0.5)*2*$B$7))</f>
        <v>51.811984059219839</v>
      </c>
      <c r="W525" s="54">
        <f ca="1">MIN(100,MAX(0,MCDA_Prioritisation!$H$4+(RAND()-0.5)*2*$B$7))</f>
        <v>82.290103515843342</v>
      </c>
      <c r="X525" s="54">
        <f ca="1">MIN(100,MAX(0,MCDA_Prioritisation!$H$5+(RAND()-0.5)*2*$B$7))</f>
        <v>83.760539302921444</v>
      </c>
      <c r="Y525" s="54">
        <f ca="1">H525*MCDA_Prioritisation!$D$2+I525*MCDA_Prioritisation!$E$2+J525*M525+K525*Q525+L525*U525</f>
        <v>91.088765120060486</v>
      </c>
      <c r="Z525" s="54">
        <f ca="1">H525*MCDA_Prioritisation!$D$3+I525*MCDA_Prioritisation!$E$3+J525*N525+K525*R525+L525*V525</f>
        <v>82.541066078963894</v>
      </c>
      <c r="AA525" s="54">
        <f ca="1">H525*MCDA_Prioritisation!$D$4+I525*MCDA_Prioritisation!$E$4+J525*O525+K525*S525+L525*W525</f>
        <v>76.108879911301671</v>
      </c>
      <c r="AB525" s="54">
        <f ca="1">H525*MCDA_Prioritisation!$D$5+I525*MCDA_Prioritisation!$E$5+J525*P525+K525*T525+L525*X525</f>
        <v>72.128669267539081</v>
      </c>
      <c r="AC525" s="54">
        <f t="shared" ca="1" si="104"/>
        <v>1</v>
      </c>
      <c r="AD525" s="54">
        <f t="shared" ca="1" si="105"/>
        <v>2</v>
      </c>
      <c r="AE525" s="54">
        <f t="shared" ca="1" si="106"/>
        <v>3</v>
      </c>
      <c r="AF525" s="54">
        <f t="shared" ca="1" si="107"/>
        <v>4</v>
      </c>
      <c r="AG525" s="54">
        <f t="shared" ca="1" si="108"/>
        <v>1</v>
      </c>
      <c r="AH525" s="54">
        <f t="shared" ca="1" si="109"/>
        <v>1</v>
      </c>
      <c r="AI525" s="54">
        <f t="shared" ca="1" si="110"/>
        <v>1</v>
      </c>
      <c r="AJ525" s="54">
        <f t="shared" ca="1" si="111"/>
        <v>1</v>
      </c>
    </row>
    <row r="526" spans="1:36" x14ac:dyDescent="0.2">
      <c r="A526" s="54">
        <v>503</v>
      </c>
      <c r="B526" s="54">
        <f ca="1">MAX(0.02,MCDA_Prioritisation!$B$9+(RAND()-0.5)*2*$B$6)</f>
        <v>0.18631731226091622</v>
      </c>
      <c r="C526" s="54">
        <f ca="1">MAX(0.02,MCDA_Prioritisation!$B$10+(RAND()-0.5)*2*$B$6)</f>
        <v>0.31914933507061066</v>
      </c>
      <c r="D526" s="54">
        <f ca="1">MAX(0.02,MCDA_Prioritisation!$B$11+(RAND()-0.5)*2*$B$6)</f>
        <v>0.28430502702514787</v>
      </c>
      <c r="E526" s="54">
        <f ca="1">MAX(0.02,MCDA_Prioritisation!$B$12+(RAND()-0.5)*2*$B$6)</f>
        <v>0.20689132100242036</v>
      </c>
      <c r="F526" s="54">
        <f ca="1">MAX(0.02,MCDA_Prioritisation!$B$13+(RAND()-0.5)*2*$B$6)</f>
        <v>0.11794711367048269</v>
      </c>
      <c r="G526" s="54">
        <f t="shared" ca="1" si="98"/>
        <v>1.1146101090295777</v>
      </c>
      <c r="H526" s="54">
        <f t="shared" ca="1" si="99"/>
        <v>0.16715918037306446</v>
      </c>
      <c r="I526" s="54">
        <f t="shared" ca="1" si="100"/>
        <v>0.28633271175736447</v>
      </c>
      <c r="J526" s="54">
        <f t="shared" ca="1" si="101"/>
        <v>0.25507127983315597</v>
      </c>
      <c r="K526" s="54">
        <f t="shared" ca="1" si="102"/>
        <v>0.18561766067468011</v>
      </c>
      <c r="L526" s="54">
        <f t="shared" ca="1" si="103"/>
        <v>0.10581916736173511</v>
      </c>
      <c r="M526" s="54">
        <f ca="1">MIN(100,MAX(0,MCDA_Prioritisation!$F$2+(RAND()-0.5)*2*$B$7))</f>
        <v>86.5282576173949</v>
      </c>
      <c r="N526" s="54">
        <f ca="1">MIN(100,MAX(0,MCDA_Prioritisation!$F$3+(RAND()-0.5)*2*$B$7))</f>
        <v>99.523380049552202</v>
      </c>
      <c r="O526" s="54">
        <f ca="1">MIN(100,MAX(0,MCDA_Prioritisation!$F$4+(RAND()-0.5)*2*$B$7))</f>
        <v>83.551892868137614</v>
      </c>
      <c r="P526" s="54">
        <f ca="1">MIN(100,MAX(0,MCDA_Prioritisation!$F$5+(RAND()-0.5)*2*$B$7))</f>
        <v>74.816876392299065</v>
      </c>
      <c r="Q526" s="54">
        <f ca="1">MIN(100,MAX(0,MCDA_Prioritisation!$G$2+(RAND()-0.5)*2*$B$7))</f>
        <v>70.702723637360322</v>
      </c>
      <c r="R526" s="54">
        <f ca="1">MIN(100,MAX(0,MCDA_Prioritisation!$G$3+(RAND()-0.5)*2*$B$7))</f>
        <v>93.674742996712737</v>
      </c>
      <c r="S526" s="54">
        <f ca="1">MIN(100,MAX(0,MCDA_Prioritisation!$G$4+(RAND()-0.5)*2*$B$7))</f>
        <v>82.966257495213995</v>
      </c>
      <c r="T526" s="54">
        <f ca="1">MIN(100,MAX(0,MCDA_Prioritisation!$G$5+(RAND()-0.5)*2*$B$7))</f>
        <v>65.674476925848325</v>
      </c>
      <c r="U526" s="54">
        <f ca="1">MIN(100,MAX(0,MCDA_Prioritisation!$H$2+(RAND()-0.5)*2*$B$7))</f>
        <v>60.990175467459039</v>
      </c>
      <c r="V526" s="54">
        <f ca="1">MIN(100,MAX(0,MCDA_Prioritisation!$H$3+(RAND()-0.5)*2*$B$7))</f>
        <v>55.65577458812183</v>
      </c>
      <c r="W526" s="54">
        <f ca="1">MIN(100,MAX(0,MCDA_Prioritisation!$H$4+(RAND()-0.5)*2*$B$7))</f>
        <v>79.07994030715588</v>
      </c>
      <c r="X526" s="54">
        <f ca="1">MIN(100,MAX(0,MCDA_Prioritisation!$H$5+(RAND()-0.5)*2*$B$7))</f>
        <v>70.270823320984789</v>
      </c>
      <c r="Y526" s="54">
        <f ca="1">H526*MCDA_Prioritisation!$D$2+I526*MCDA_Prioritisation!$E$2+J526*M526+K526*Q526+L526*U526</f>
        <v>86.997666375352708</v>
      </c>
      <c r="Z526" s="54">
        <f ca="1">H526*MCDA_Prioritisation!$D$3+I526*MCDA_Prioritisation!$E$3+J526*N526+K526*R526+L526*V526</f>
        <v>84.09607154430735</v>
      </c>
      <c r="AA526" s="54">
        <f ca="1">H526*MCDA_Prioritisation!$D$4+I526*MCDA_Prioritisation!$E$4+J526*O526+K526*S526+L526*W526</f>
        <v>72.337994889031393</v>
      </c>
      <c r="AB526" s="54">
        <f ca="1">H526*MCDA_Prioritisation!$D$5+I526*MCDA_Prioritisation!$E$5+J526*P526+K526*T526+L526*X526</f>
        <v>71.660079475494399</v>
      </c>
      <c r="AC526" s="54">
        <f t="shared" ca="1" si="104"/>
        <v>1</v>
      </c>
      <c r="AD526" s="54">
        <f t="shared" ca="1" si="105"/>
        <v>2</v>
      </c>
      <c r="AE526" s="54">
        <f t="shared" ca="1" si="106"/>
        <v>3</v>
      </c>
      <c r="AF526" s="54">
        <f t="shared" ca="1" si="107"/>
        <v>4</v>
      </c>
      <c r="AG526" s="54">
        <f t="shared" ca="1" si="108"/>
        <v>1</v>
      </c>
      <c r="AH526" s="54">
        <f t="shared" ca="1" si="109"/>
        <v>1</v>
      </c>
      <c r="AI526" s="54">
        <f t="shared" ca="1" si="110"/>
        <v>1</v>
      </c>
      <c r="AJ526" s="54">
        <f t="shared" ca="1" si="111"/>
        <v>1</v>
      </c>
    </row>
    <row r="527" spans="1:36" x14ac:dyDescent="0.2">
      <c r="A527" s="54">
        <v>504</v>
      </c>
      <c r="B527" s="54">
        <f ca="1">MAX(0.02,MCDA_Prioritisation!$B$9+(RAND()-0.5)*2*$B$6)</f>
        <v>0.19159548889551134</v>
      </c>
      <c r="C527" s="54">
        <f ca="1">MAX(0.02,MCDA_Prioritisation!$B$10+(RAND()-0.5)*2*$B$6)</f>
        <v>0.26853552304784845</v>
      </c>
      <c r="D527" s="54">
        <f ca="1">MAX(0.02,MCDA_Prioritisation!$B$11+(RAND()-0.5)*2*$B$6)</f>
        <v>0.2178810310382511</v>
      </c>
      <c r="E527" s="54">
        <f ca="1">MAX(0.02,MCDA_Prioritisation!$B$12+(RAND()-0.5)*2*$B$6)</f>
        <v>0.22376954805270555</v>
      </c>
      <c r="F527" s="54">
        <f ca="1">MAX(0.02,MCDA_Prioritisation!$B$13+(RAND()-0.5)*2*$B$6)</f>
        <v>9.5505801649700378E-2</v>
      </c>
      <c r="G527" s="54">
        <f t="shared" ca="1" si="98"/>
        <v>0.99728739268401678</v>
      </c>
      <c r="H527" s="54">
        <f t="shared" ca="1" si="99"/>
        <v>0.19211662586034212</v>
      </c>
      <c r="I527" s="54">
        <f t="shared" ca="1" si="100"/>
        <v>0.26926593579523167</v>
      </c>
      <c r="J527" s="54">
        <f t="shared" ca="1" si="101"/>
        <v>0.21847366429837653</v>
      </c>
      <c r="K527" s="54">
        <f t="shared" ca="1" si="102"/>
        <v>0.22437819799413156</v>
      </c>
      <c r="L527" s="54">
        <f t="shared" ca="1" si="103"/>
        <v>9.5765576051918155E-2</v>
      </c>
      <c r="M527" s="54">
        <f ca="1">MIN(100,MAX(0,MCDA_Prioritisation!$F$2+(RAND()-0.5)*2*$B$7))</f>
        <v>91.588553881716678</v>
      </c>
      <c r="N527" s="54">
        <f ca="1">MIN(100,MAX(0,MCDA_Prioritisation!$F$3+(RAND()-0.5)*2*$B$7))</f>
        <v>99.611235296191097</v>
      </c>
      <c r="O527" s="54">
        <f ca="1">MIN(100,MAX(0,MCDA_Prioritisation!$F$4+(RAND()-0.5)*2*$B$7))</f>
        <v>82.575496313174057</v>
      </c>
      <c r="P527" s="54">
        <f ca="1">MIN(100,MAX(0,MCDA_Prioritisation!$F$5+(RAND()-0.5)*2*$B$7))</f>
        <v>73.415642300160641</v>
      </c>
      <c r="Q527" s="54">
        <f ca="1">MIN(100,MAX(0,MCDA_Prioritisation!$G$2+(RAND()-0.5)*2*$B$7))</f>
        <v>79.748209834001742</v>
      </c>
      <c r="R527" s="54">
        <f ca="1">MIN(100,MAX(0,MCDA_Prioritisation!$G$3+(RAND()-0.5)*2*$B$7))</f>
        <v>88.593443379593666</v>
      </c>
      <c r="S527" s="54">
        <f ca="1">MIN(100,MAX(0,MCDA_Prioritisation!$G$4+(RAND()-0.5)*2*$B$7))</f>
        <v>80.422433801208626</v>
      </c>
      <c r="T527" s="54">
        <f ca="1">MIN(100,MAX(0,MCDA_Prioritisation!$G$5+(RAND()-0.5)*2*$B$7))</f>
        <v>74.202085459773627</v>
      </c>
      <c r="U527" s="54">
        <f ca="1">MIN(100,MAX(0,MCDA_Prioritisation!$H$2+(RAND()-0.5)*2*$B$7))</f>
        <v>57.452076290485707</v>
      </c>
      <c r="V527" s="54">
        <f ca="1">MIN(100,MAX(0,MCDA_Prioritisation!$H$3+(RAND()-0.5)*2*$B$7))</f>
        <v>68.87690821318796</v>
      </c>
      <c r="W527" s="54">
        <f ca="1">MIN(100,MAX(0,MCDA_Prioritisation!$H$4+(RAND()-0.5)*2*$B$7))</f>
        <v>88.219447608041563</v>
      </c>
      <c r="X527" s="54">
        <f ca="1">MIN(100,MAX(0,MCDA_Prioritisation!$H$5+(RAND()-0.5)*2*$B$7))</f>
        <v>68.32444573213823</v>
      </c>
      <c r="Y527" s="54">
        <f ca="1">H527*MCDA_Prioritisation!$D$2+I527*MCDA_Prioritisation!$E$2+J527*M527+K527*Q527+L527*U527</f>
        <v>89.543633937033619</v>
      </c>
      <c r="Z527" s="54">
        <f ca="1">H527*MCDA_Prioritisation!$D$3+I527*MCDA_Prioritisation!$E$3+J527*N527+K527*R527+L527*V527</f>
        <v>84.61026856999068</v>
      </c>
      <c r="AA527" s="54">
        <f ca="1">H527*MCDA_Prioritisation!$D$4+I527*MCDA_Prioritisation!$E$4+J527*O527+K527*S527+L527*W527</f>
        <v>72.599103564138773</v>
      </c>
      <c r="AB527" s="54">
        <f ca="1">H527*MCDA_Prioritisation!$D$5+I527*MCDA_Prioritisation!$E$5+J527*P527+K527*T527+L527*X527</f>
        <v>72.071422712314757</v>
      </c>
      <c r="AC527" s="54">
        <f t="shared" ca="1" si="104"/>
        <v>1</v>
      </c>
      <c r="AD527" s="54">
        <f t="shared" ca="1" si="105"/>
        <v>2</v>
      </c>
      <c r="AE527" s="54">
        <f t="shared" ca="1" si="106"/>
        <v>3</v>
      </c>
      <c r="AF527" s="54">
        <f t="shared" ca="1" si="107"/>
        <v>4</v>
      </c>
      <c r="AG527" s="54">
        <f t="shared" ca="1" si="108"/>
        <v>1</v>
      </c>
      <c r="AH527" s="54">
        <f t="shared" ca="1" si="109"/>
        <v>1</v>
      </c>
      <c r="AI527" s="54">
        <f t="shared" ca="1" si="110"/>
        <v>1</v>
      </c>
      <c r="AJ527" s="54">
        <f t="shared" ca="1" si="111"/>
        <v>1</v>
      </c>
    </row>
    <row r="528" spans="1:36" x14ac:dyDescent="0.2">
      <c r="A528" s="54">
        <v>505</v>
      </c>
      <c r="B528" s="54">
        <f ca="1">MAX(0.02,MCDA_Prioritisation!$B$9+(RAND()-0.5)*2*$B$6)</f>
        <v>0.23671371120482865</v>
      </c>
      <c r="C528" s="54">
        <f ca="1">MAX(0.02,MCDA_Prioritisation!$B$10+(RAND()-0.5)*2*$B$6)</f>
        <v>0.21275137346035339</v>
      </c>
      <c r="D528" s="54">
        <f ca="1">MAX(0.02,MCDA_Prioritisation!$B$11+(RAND()-0.5)*2*$B$6)</f>
        <v>0.28804554172776847</v>
      </c>
      <c r="E528" s="54">
        <f ca="1">MAX(0.02,MCDA_Prioritisation!$B$12+(RAND()-0.5)*2*$B$6)</f>
        <v>0.11685566318616339</v>
      </c>
      <c r="F528" s="54">
        <f ca="1">MAX(0.02,MCDA_Prioritisation!$B$13+(RAND()-0.5)*2*$B$6)</f>
        <v>7.2243091345295482E-2</v>
      </c>
      <c r="G528" s="54">
        <f t="shared" ca="1" si="98"/>
        <v>0.92660938092440936</v>
      </c>
      <c r="H528" s="54">
        <f t="shared" ca="1" si="99"/>
        <v>0.25546224339826668</v>
      </c>
      <c r="I528" s="54">
        <f t="shared" ca="1" si="100"/>
        <v>0.22960200688677157</v>
      </c>
      <c r="J528" s="54">
        <f t="shared" ca="1" si="101"/>
        <v>0.31085972973898324</v>
      </c>
      <c r="K528" s="54">
        <f t="shared" ca="1" si="102"/>
        <v>0.12611102973033272</v>
      </c>
      <c r="L528" s="54">
        <f t="shared" ca="1" si="103"/>
        <v>7.7964990245645807E-2</v>
      </c>
      <c r="M528" s="54">
        <f ca="1">MIN(100,MAX(0,MCDA_Prioritisation!$F$2+(RAND()-0.5)*2*$B$7))</f>
        <v>93.36342245003091</v>
      </c>
      <c r="N528" s="54">
        <f ca="1">MIN(100,MAX(0,MCDA_Prioritisation!$F$3+(RAND()-0.5)*2*$B$7))</f>
        <v>93.782057695618704</v>
      </c>
      <c r="O528" s="54">
        <f ca="1">MIN(100,MAX(0,MCDA_Prioritisation!$F$4+(RAND()-0.5)*2*$B$7))</f>
        <v>84.497735380514527</v>
      </c>
      <c r="P528" s="54">
        <f ca="1">MIN(100,MAX(0,MCDA_Prioritisation!$F$5+(RAND()-0.5)*2*$B$7))</f>
        <v>75.59559256348841</v>
      </c>
      <c r="Q528" s="54">
        <f ca="1">MIN(100,MAX(0,MCDA_Prioritisation!$G$2+(RAND()-0.5)*2*$B$7))</f>
        <v>75.908487217565323</v>
      </c>
      <c r="R528" s="54">
        <f ca="1">MIN(100,MAX(0,MCDA_Prioritisation!$G$3+(RAND()-0.5)*2*$B$7))</f>
        <v>90.270932437541859</v>
      </c>
      <c r="S528" s="54">
        <f ca="1">MIN(100,MAX(0,MCDA_Prioritisation!$G$4+(RAND()-0.5)*2*$B$7))</f>
        <v>93.472083353700583</v>
      </c>
      <c r="T528" s="54">
        <f ca="1">MIN(100,MAX(0,MCDA_Prioritisation!$G$5+(RAND()-0.5)*2*$B$7))</f>
        <v>61.110860203772148</v>
      </c>
      <c r="U528" s="54">
        <f ca="1">MIN(100,MAX(0,MCDA_Prioritisation!$H$2+(RAND()-0.5)*2*$B$7))</f>
        <v>63.395648258265467</v>
      </c>
      <c r="V528" s="54">
        <f ca="1">MIN(100,MAX(0,MCDA_Prioritisation!$H$3+(RAND()-0.5)*2*$B$7))</f>
        <v>55.993816692329283</v>
      </c>
      <c r="W528" s="54">
        <f ca="1">MIN(100,MAX(0,MCDA_Prioritisation!$H$4+(RAND()-0.5)*2*$B$7))</f>
        <v>86.873985409192017</v>
      </c>
      <c r="X528" s="54">
        <f ca="1">MIN(100,MAX(0,MCDA_Prioritisation!$H$5+(RAND()-0.5)*2*$B$7))</f>
        <v>72.925896685161689</v>
      </c>
      <c r="Y528" s="54">
        <f ca="1">H528*MCDA_Prioritisation!$D$2+I528*MCDA_Prioritisation!$E$2+J528*M528+K528*Q528+L528*U528</f>
        <v>92.044891885177961</v>
      </c>
      <c r="Z528" s="54">
        <f ca="1">H528*MCDA_Prioritisation!$D$3+I528*MCDA_Prioritisation!$E$3+J528*N528+K528*R528+L528*V528</f>
        <v>83.927703123123649</v>
      </c>
      <c r="AA528" s="54">
        <f ca="1">H528*MCDA_Prioritisation!$D$4+I528*MCDA_Prioritisation!$E$4+J528*O528+K528*S528+L528*W528</f>
        <v>75.140567991689309</v>
      </c>
      <c r="AB528" s="54">
        <f ca="1">H528*MCDA_Prioritisation!$D$5+I528*MCDA_Prioritisation!$E$5+J528*P528+K528*T528+L528*X528</f>
        <v>69.758373177914834</v>
      </c>
      <c r="AC528" s="54">
        <f t="shared" ca="1" si="104"/>
        <v>1</v>
      </c>
      <c r="AD528" s="54">
        <f t="shared" ca="1" si="105"/>
        <v>2</v>
      </c>
      <c r="AE528" s="54">
        <f t="shared" ca="1" si="106"/>
        <v>3</v>
      </c>
      <c r="AF528" s="54">
        <f t="shared" ca="1" si="107"/>
        <v>4</v>
      </c>
      <c r="AG528" s="54">
        <f t="shared" ca="1" si="108"/>
        <v>1</v>
      </c>
      <c r="AH528" s="54">
        <f t="shared" ca="1" si="109"/>
        <v>1</v>
      </c>
      <c r="AI528" s="54">
        <f t="shared" ca="1" si="110"/>
        <v>1</v>
      </c>
      <c r="AJ528" s="54">
        <f t="shared" ca="1" si="111"/>
        <v>1</v>
      </c>
    </row>
    <row r="529" spans="1:36" x14ac:dyDescent="0.2">
      <c r="A529" s="54">
        <v>506</v>
      </c>
      <c r="B529" s="54">
        <f ca="1">MAX(0.02,MCDA_Prioritisation!$B$9+(RAND()-0.5)*2*$B$6)</f>
        <v>0.19916977027235352</v>
      </c>
      <c r="C529" s="54">
        <f ca="1">MAX(0.02,MCDA_Prioritisation!$B$10+(RAND()-0.5)*2*$B$6)</f>
        <v>0.17257091672110797</v>
      </c>
      <c r="D529" s="54">
        <f ca="1">MAX(0.02,MCDA_Prioritisation!$B$11+(RAND()-0.5)*2*$B$6)</f>
        <v>0.29769475988693395</v>
      </c>
      <c r="E529" s="54">
        <f ca="1">MAX(0.02,MCDA_Prioritisation!$B$12+(RAND()-0.5)*2*$B$6)</f>
        <v>0.18439813258989615</v>
      </c>
      <c r="F529" s="54">
        <f ca="1">MAX(0.02,MCDA_Prioritisation!$B$13+(RAND()-0.5)*2*$B$6)</f>
        <v>0.22536099654083067</v>
      </c>
      <c r="G529" s="54">
        <f t="shared" ca="1" si="98"/>
        <v>1.0791945760111223</v>
      </c>
      <c r="H529" s="54">
        <f t="shared" ca="1" si="99"/>
        <v>0.18455408755714581</v>
      </c>
      <c r="I529" s="54">
        <f t="shared" ca="1" si="100"/>
        <v>0.15990713867276649</v>
      </c>
      <c r="J529" s="54">
        <f t="shared" ca="1" si="101"/>
        <v>0.27584901416690022</v>
      </c>
      <c r="K529" s="54">
        <f t="shared" ca="1" si="102"/>
        <v>0.17086643751626465</v>
      </c>
      <c r="L529" s="54">
        <f t="shared" ca="1" si="103"/>
        <v>0.20882332208692278</v>
      </c>
      <c r="M529" s="54">
        <f ca="1">MIN(100,MAX(0,MCDA_Prioritisation!$F$2+(RAND()-0.5)*2*$B$7))</f>
        <v>87.198644630773643</v>
      </c>
      <c r="N529" s="54">
        <f ca="1">MIN(100,MAX(0,MCDA_Prioritisation!$F$3+(RAND()-0.5)*2*$B$7))</f>
        <v>100</v>
      </c>
      <c r="O529" s="54">
        <f ca="1">MIN(100,MAX(0,MCDA_Prioritisation!$F$4+(RAND()-0.5)*2*$B$7))</f>
        <v>83.190527667324275</v>
      </c>
      <c r="P529" s="54">
        <f ca="1">MIN(100,MAX(0,MCDA_Prioritisation!$F$5+(RAND()-0.5)*2*$B$7))</f>
        <v>81.768632982255397</v>
      </c>
      <c r="Q529" s="54">
        <f ca="1">MIN(100,MAX(0,MCDA_Prioritisation!$G$2+(RAND()-0.5)*2*$B$7))</f>
        <v>86.61962176569341</v>
      </c>
      <c r="R529" s="54">
        <f ca="1">MIN(100,MAX(0,MCDA_Prioritisation!$G$3+(RAND()-0.5)*2*$B$7))</f>
        <v>99.056429503098983</v>
      </c>
      <c r="S529" s="54">
        <f ca="1">MIN(100,MAX(0,MCDA_Prioritisation!$G$4+(RAND()-0.5)*2*$B$7))</f>
        <v>85.507371383431689</v>
      </c>
      <c r="T529" s="54">
        <f ca="1">MIN(100,MAX(0,MCDA_Prioritisation!$G$5+(RAND()-0.5)*2*$B$7))</f>
        <v>78.477649219434483</v>
      </c>
      <c r="U529" s="54">
        <f ca="1">MIN(100,MAX(0,MCDA_Prioritisation!$H$2+(RAND()-0.5)*2*$B$7))</f>
        <v>64.957060645763846</v>
      </c>
      <c r="V529" s="54">
        <f ca="1">MIN(100,MAX(0,MCDA_Prioritisation!$H$3+(RAND()-0.5)*2*$B$7))</f>
        <v>51.080250035303578</v>
      </c>
      <c r="W529" s="54">
        <f ca="1">MIN(100,MAX(0,MCDA_Prioritisation!$H$4+(RAND()-0.5)*2*$B$7))</f>
        <v>84.716749133984905</v>
      </c>
      <c r="X529" s="54">
        <f ca="1">MIN(100,MAX(0,MCDA_Prioritisation!$H$5+(RAND()-0.5)*2*$B$7))</f>
        <v>73.353003214543918</v>
      </c>
      <c r="Y529" s="54">
        <f ca="1">H529*MCDA_Prioritisation!$D$2+I529*MCDA_Prioritisation!$E$2+J529*M529+K529*Q529+L529*U529</f>
        <v>86.864718168240444</v>
      </c>
      <c r="Z529" s="54">
        <f ca="1">H529*MCDA_Prioritisation!$D$3+I529*MCDA_Prioritisation!$E$3+J529*N529+K529*R529+L529*V529</f>
        <v>82.936122154659259</v>
      </c>
      <c r="AA529" s="54">
        <f ca="1">H529*MCDA_Prioritisation!$D$4+I529*MCDA_Prioritisation!$E$4+J529*O529+K529*S529+L529*W529</f>
        <v>76.822667266963563</v>
      </c>
      <c r="AB529" s="54">
        <f ca="1">H529*MCDA_Prioritisation!$D$5+I529*MCDA_Prioritisation!$E$5+J529*P529+K529*T529+L529*X529</f>
        <v>74.524920039492542</v>
      </c>
      <c r="AC529" s="54">
        <f t="shared" ca="1" si="104"/>
        <v>1</v>
      </c>
      <c r="AD529" s="54">
        <f t="shared" ca="1" si="105"/>
        <v>2</v>
      </c>
      <c r="AE529" s="54">
        <f t="shared" ca="1" si="106"/>
        <v>3</v>
      </c>
      <c r="AF529" s="54">
        <f t="shared" ca="1" si="107"/>
        <v>4</v>
      </c>
      <c r="AG529" s="54">
        <f t="shared" ca="1" si="108"/>
        <v>1</v>
      </c>
      <c r="AH529" s="54">
        <f t="shared" ca="1" si="109"/>
        <v>1</v>
      </c>
      <c r="AI529" s="54">
        <f t="shared" ca="1" si="110"/>
        <v>1</v>
      </c>
      <c r="AJ529" s="54">
        <f t="shared" ca="1" si="111"/>
        <v>1</v>
      </c>
    </row>
    <row r="530" spans="1:36" x14ac:dyDescent="0.2">
      <c r="A530" s="54">
        <v>507</v>
      </c>
      <c r="B530" s="54">
        <f ca="1">MAX(0.02,MCDA_Prioritisation!$B$9+(RAND()-0.5)*2*$B$6)</f>
        <v>0.17507221291650554</v>
      </c>
      <c r="C530" s="54">
        <f ca="1">MAX(0.02,MCDA_Prioritisation!$B$10+(RAND()-0.5)*2*$B$6)</f>
        <v>0.21472910351615712</v>
      </c>
      <c r="D530" s="54">
        <f ca="1">MAX(0.02,MCDA_Prioritisation!$B$11+(RAND()-0.5)*2*$B$6)</f>
        <v>0.20267701536721883</v>
      </c>
      <c r="E530" s="54">
        <f ca="1">MAX(0.02,MCDA_Prioritisation!$B$12+(RAND()-0.5)*2*$B$6)</f>
        <v>0.22207183757763196</v>
      </c>
      <c r="F530" s="54">
        <f ca="1">MAX(0.02,MCDA_Prioritisation!$B$13+(RAND()-0.5)*2*$B$6)</f>
        <v>0.16308395000451459</v>
      </c>
      <c r="G530" s="54">
        <f t="shared" ca="1" si="98"/>
        <v>0.97763411938202804</v>
      </c>
      <c r="H530" s="54">
        <f t="shared" ca="1" si="99"/>
        <v>0.17907743750511734</v>
      </c>
      <c r="I530" s="54">
        <f t="shared" ca="1" si="100"/>
        <v>0.21964158089315608</v>
      </c>
      <c r="J530" s="54">
        <f t="shared" ca="1" si="101"/>
        <v>0.20731377040659438</v>
      </c>
      <c r="K530" s="54">
        <f t="shared" ca="1" si="102"/>
        <v>0.22715229877411164</v>
      </c>
      <c r="L530" s="54">
        <f t="shared" ca="1" si="103"/>
        <v>0.16681491242102059</v>
      </c>
      <c r="M530" s="54">
        <f ca="1">MIN(100,MAX(0,MCDA_Prioritisation!$F$2+(RAND()-0.5)*2*$B$7))</f>
        <v>88.046285798087311</v>
      </c>
      <c r="N530" s="54">
        <f ca="1">MIN(100,MAX(0,MCDA_Prioritisation!$F$3+(RAND()-0.5)*2*$B$7))</f>
        <v>96.355129230992631</v>
      </c>
      <c r="O530" s="54">
        <f ca="1">MIN(100,MAX(0,MCDA_Prioritisation!$F$4+(RAND()-0.5)*2*$B$7))</f>
        <v>81.531232204932479</v>
      </c>
      <c r="P530" s="54">
        <f ca="1">MIN(100,MAX(0,MCDA_Prioritisation!$F$5+(RAND()-0.5)*2*$B$7))</f>
        <v>70.088634771552208</v>
      </c>
      <c r="Q530" s="54">
        <f ca="1">MIN(100,MAX(0,MCDA_Prioritisation!$G$2+(RAND()-0.5)*2*$B$7))</f>
        <v>75.750878223364225</v>
      </c>
      <c r="R530" s="54">
        <f ca="1">MIN(100,MAX(0,MCDA_Prioritisation!$G$3+(RAND()-0.5)*2*$B$7))</f>
        <v>95.088828930942356</v>
      </c>
      <c r="S530" s="54">
        <f ca="1">MIN(100,MAX(0,MCDA_Prioritisation!$G$4+(RAND()-0.5)*2*$B$7))</f>
        <v>93.047319908948523</v>
      </c>
      <c r="T530" s="54">
        <f ca="1">MIN(100,MAX(0,MCDA_Prioritisation!$G$5+(RAND()-0.5)*2*$B$7))</f>
        <v>77.875022957395871</v>
      </c>
      <c r="U530" s="54">
        <f ca="1">MIN(100,MAX(0,MCDA_Prioritisation!$H$2+(RAND()-0.5)*2*$B$7))</f>
        <v>63.13984543429622</v>
      </c>
      <c r="V530" s="54">
        <f ca="1">MIN(100,MAX(0,MCDA_Prioritisation!$H$3+(RAND()-0.5)*2*$B$7))</f>
        <v>56.335269132560413</v>
      </c>
      <c r="W530" s="54">
        <f ca="1">MIN(100,MAX(0,MCDA_Prioritisation!$H$4+(RAND()-0.5)*2*$B$7))</f>
        <v>88.592944478403368</v>
      </c>
      <c r="X530" s="54">
        <f ca="1">MIN(100,MAX(0,MCDA_Prioritisation!$H$5+(RAND()-0.5)*2*$B$7))</f>
        <v>84.628583602057716</v>
      </c>
      <c r="Y530" s="54">
        <f ca="1">H530*MCDA_Prioritisation!$D$2+I530*MCDA_Prioritisation!$E$2+J530*M530+K530*Q530+L530*U530</f>
        <v>85.864763227919283</v>
      </c>
      <c r="Z530" s="54">
        <f ca="1">H530*MCDA_Prioritisation!$D$3+I530*MCDA_Prioritisation!$E$3+J530*N530+K530*R530+L530*V530</f>
        <v>82.59768938144083</v>
      </c>
      <c r="AA530" s="54">
        <f ca="1">H530*MCDA_Prioritisation!$D$4+I530*MCDA_Prioritisation!$E$4+J530*O530+K530*S530+L530*W530</f>
        <v>77.2674339306961</v>
      </c>
      <c r="AB530" s="54">
        <f ca="1">H530*MCDA_Prioritisation!$D$5+I530*MCDA_Prioritisation!$E$5+J530*P530+K530*T530+L530*X530</f>
        <v>74.311693934962065</v>
      </c>
      <c r="AC530" s="54">
        <f t="shared" ca="1" si="104"/>
        <v>1</v>
      </c>
      <c r="AD530" s="54">
        <f t="shared" ca="1" si="105"/>
        <v>2</v>
      </c>
      <c r="AE530" s="54">
        <f t="shared" ca="1" si="106"/>
        <v>3</v>
      </c>
      <c r="AF530" s="54">
        <f t="shared" ca="1" si="107"/>
        <v>4</v>
      </c>
      <c r="AG530" s="54">
        <f t="shared" ca="1" si="108"/>
        <v>1</v>
      </c>
      <c r="AH530" s="54">
        <f t="shared" ca="1" si="109"/>
        <v>1</v>
      </c>
      <c r="AI530" s="54">
        <f t="shared" ca="1" si="110"/>
        <v>1</v>
      </c>
      <c r="AJ530" s="54">
        <f t="shared" ca="1" si="111"/>
        <v>1</v>
      </c>
    </row>
    <row r="531" spans="1:36" x14ac:dyDescent="0.2">
      <c r="A531" s="54">
        <v>508</v>
      </c>
      <c r="B531" s="54">
        <f ca="1">MAX(0.02,MCDA_Prioritisation!$B$9+(RAND()-0.5)*2*$B$6)</f>
        <v>0.15447503073296842</v>
      </c>
      <c r="C531" s="54">
        <f ca="1">MAX(0.02,MCDA_Prioritisation!$B$10+(RAND()-0.5)*2*$B$6)</f>
        <v>0.27967227835853864</v>
      </c>
      <c r="D531" s="54">
        <f ca="1">MAX(0.02,MCDA_Prioritisation!$B$11+(RAND()-0.5)*2*$B$6)</f>
        <v>0.18553110414698798</v>
      </c>
      <c r="E531" s="54">
        <f ca="1">MAX(0.02,MCDA_Prioritisation!$B$12+(RAND()-0.5)*2*$B$6)</f>
        <v>8.4611628491401941E-2</v>
      </c>
      <c r="F531" s="54">
        <f ca="1">MAX(0.02,MCDA_Prioritisation!$B$13+(RAND()-0.5)*2*$B$6)</f>
        <v>0.21231838704060058</v>
      </c>
      <c r="G531" s="54">
        <f t="shared" ca="1" si="98"/>
        <v>0.91660842877049753</v>
      </c>
      <c r="H531" s="54">
        <f t="shared" ca="1" si="99"/>
        <v>0.16852892236674624</v>
      </c>
      <c r="I531" s="54">
        <f t="shared" ca="1" si="100"/>
        <v>0.30511641566909875</v>
      </c>
      <c r="J531" s="54">
        <f t="shared" ca="1" si="101"/>
        <v>0.20241042775032311</v>
      </c>
      <c r="K531" s="54">
        <f t="shared" ca="1" si="102"/>
        <v>9.2309459345575356E-2</v>
      </c>
      <c r="L531" s="54">
        <f t="shared" ca="1" si="103"/>
        <v>0.23163477486825657</v>
      </c>
      <c r="M531" s="54">
        <f ca="1">MIN(100,MAX(0,MCDA_Prioritisation!$F$2+(RAND()-0.5)*2*$B$7))</f>
        <v>83.262413181741096</v>
      </c>
      <c r="N531" s="54">
        <f ca="1">MIN(100,MAX(0,MCDA_Prioritisation!$F$3+(RAND()-0.5)*2*$B$7))</f>
        <v>100</v>
      </c>
      <c r="O531" s="54">
        <f ca="1">MIN(100,MAX(0,MCDA_Prioritisation!$F$4+(RAND()-0.5)*2*$B$7))</f>
        <v>81.099815057594455</v>
      </c>
      <c r="P531" s="54">
        <f ca="1">MIN(100,MAX(0,MCDA_Prioritisation!$F$5+(RAND()-0.5)*2*$B$7))</f>
        <v>68.583156891429851</v>
      </c>
      <c r="Q531" s="54">
        <f ca="1">MIN(100,MAX(0,MCDA_Prioritisation!$G$2+(RAND()-0.5)*2*$B$7))</f>
        <v>82.812954813492794</v>
      </c>
      <c r="R531" s="54">
        <f ca="1">MIN(100,MAX(0,MCDA_Prioritisation!$G$3+(RAND()-0.5)*2*$B$7))</f>
        <v>89.621410560831833</v>
      </c>
      <c r="S531" s="54">
        <f ca="1">MIN(100,MAX(0,MCDA_Prioritisation!$G$4+(RAND()-0.5)*2*$B$7))</f>
        <v>87.750600801239841</v>
      </c>
      <c r="T531" s="54">
        <f ca="1">MIN(100,MAX(0,MCDA_Prioritisation!$G$5+(RAND()-0.5)*2*$B$7))</f>
        <v>74.623354085934409</v>
      </c>
      <c r="U531" s="54">
        <f ca="1">MIN(100,MAX(0,MCDA_Prioritisation!$H$2+(RAND()-0.5)*2*$B$7))</f>
        <v>64.904696093816412</v>
      </c>
      <c r="V531" s="54">
        <f ca="1">MIN(100,MAX(0,MCDA_Prioritisation!$H$3+(RAND()-0.5)*2*$B$7))</f>
        <v>51.395782611037482</v>
      </c>
      <c r="W531" s="54">
        <f ca="1">MIN(100,MAX(0,MCDA_Prioritisation!$H$4+(RAND()-0.5)*2*$B$7))</f>
        <v>70.555057523005871</v>
      </c>
      <c r="X531" s="54">
        <f ca="1">MIN(100,MAX(0,MCDA_Prioritisation!$H$5+(RAND()-0.5)*2*$B$7))</f>
        <v>67.61733670563035</v>
      </c>
      <c r="Y531" s="54">
        <f ca="1">H531*MCDA_Prioritisation!$D$2+I531*MCDA_Prioritisation!$E$2+J531*M531+K531*Q531+L531*U531</f>
        <v>86.896318224451704</v>
      </c>
      <c r="Z531" s="54">
        <f ca="1">H531*MCDA_Prioritisation!$D$3+I531*MCDA_Prioritisation!$E$3+J531*N531+K531*R531+L531*V531</f>
        <v>77.338177178649829</v>
      </c>
      <c r="AA531" s="54">
        <f ca="1">H531*MCDA_Prioritisation!$D$4+I531*MCDA_Prioritisation!$E$4+J531*O531+K531*S531+L531*W531</f>
        <v>69.236740659995746</v>
      </c>
      <c r="AB531" s="54">
        <f ca="1">H531*MCDA_Prioritisation!$D$5+I531*MCDA_Prioritisation!$E$5+J531*P531+K531*T531+L531*X531</f>
        <v>71.035253445593085</v>
      </c>
      <c r="AC531" s="54">
        <f t="shared" ca="1" si="104"/>
        <v>1</v>
      </c>
      <c r="AD531" s="54">
        <f t="shared" ca="1" si="105"/>
        <v>2</v>
      </c>
      <c r="AE531" s="54">
        <f t="shared" ca="1" si="106"/>
        <v>4</v>
      </c>
      <c r="AF531" s="54">
        <f t="shared" ca="1" si="107"/>
        <v>3</v>
      </c>
      <c r="AG531" s="54">
        <f t="shared" ca="1" si="108"/>
        <v>1</v>
      </c>
      <c r="AH531" s="54">
        <f t="shared" ca="1" si="109"/>
        <v>1</v>
      </c>
      <c r="AI531" s="54">
        <f t="shared" ca="1" si="110"/>
        <v>0</v>
      </c>
      <c r="AJ531" s="54">
        <f t="shared" ca="1" si="111"/>
        <v>1</v>
      </c>
    </row>
    <row r="532" spans="1:36" x14ac:dyDescent="0.2">
      <c r="A532" s="54">
        <v>509</v>
      </c>
      <c r="B532" s="54">
        <f ca="1">MAX(0.02,MCDA_Prioritisation!$B$9+(RAND()-0.5)*2*$B$6)</f>
        <v>0.27534991342700804</v>
      </c>
      <c r="C532" s="54">
        <f ca="1">MAX(0.02,MCDA_Prioritisation!$B$10+(RAND()-0.5)*2*$B$6)</f>
        <v>0.21150944220358231</v>
      </c>
      <c r="D532" s="54">
        <f ca="1">MAX(0.02,MCDA_Prioritisation!$B$11+(RAND()-0.5)*2*$B$6)</f>
        <v>0.28220143361453737</v>
      </c>
      <c r="E532" s="54">
        <f ca="1">MAX(0.02,MCDA_Prioritisation!$B$12+(RAND()-0.5)*2*$B$6)</f>
        <v>9.0223309956805359E-2</v>
      </c>
      <c r="F532" s="54">
        <f ca="1">MAX(0.02,MCDA_Prioritisation!$B$13+(RAND()-0.5)*2*$B$6)</f>
        <v>0.20780641710173553</v>
      </c>
      <c r="G532" s="54">
        <f t="shared" ca="1" si="98"/>
        <v>1.0670905163036686</v>
      </c>
      <c r="H532" s="54">
        <f t="shared" ca="1" si="99"/>
        <v>0.25803801010321226</v>
      </c>
      <c r="I532" s="54">
        <f t="shared" ca="1" si="100"/>
        <v>0.19821134099873469</v>
      </c>
      <c r="J532" s="54">
        <f t="shared" ca="1" si="101"/>
        <v>0.26445875893646265</v>
      </c>
      <c r="K532" s="54">
        <f t="shared" ca="1" si="102"/>
        <v>8.455075607768775E-2</v>
      </c>
      <c r="L532" s="54">
        <f t="shared" ca="1" si="103"/>
        <v>0.19474113388390266</v>
      </c>
      <c r="M532" s="54">
        <f ca="1">MIN(100,MAX(0,MCDA_Prioritisation!$F$2+(RAND()-0.5)*2*$B$7))</f>
        <v>77.294246235269995</v>
      </c>
      <c r="N532" s="54">
        <f ca="1">MIN(100,MAX(0,MCDA_Prioritisation!$F$3+(RAND()-0.5)*2*$B$7))</f>
        <v>98.39402686041727</v>
      </c>
      <c r="O532" s="54">
        <f ca="1">MIN(100,MAX(0,MCDA_Prioritisation!$F$4+(RAND()-0.5)*2*$B$7))</f>
        <v>82.042774253788352</v>
      </c>
      <c r="P532" s="54">
        <f ca="1">MIN(100,MAX(0,MCDA_Prioritisation!$F$5+(RAND()-0.5)*2*$B$7))</f>
        <v>76.60896735395302</v>
      </c>
      <c r="Q532" s="54">
        <f ca="1">MIN(100,MAX(0,MCDA_Prioritisation!$G$2+(RAND()-0.5)*2*$B$7))</f>
        <v>71.656646974916526</v>
      </c>
      <c r="R532" s="54">
        <f ca="1">MIN(100,MAX(0,MCDA_Prioritisation!$G$3+(RAND()-0.5)*2*$B$7))</f>
        <v>100</v>
      </c>
      <c r="S532" s="54">
        <f ca="1">MIN(100,MAX(0,MCDA_Prioritisation!$G$4+(RAND()-0.5)*2*$B$7))</f>
        <v>83.24602979974641</v>
      </c>
      <c r="T532" s="54">
        <f ca="1">MIN(100,MAX(0,MCDA_Prioritisation!$G$5+(RAND()-0.5)*2*$B$7))</f>
        <v>72.362330789761984</v>
      </c>
      <c r="U532" s="54">
        <f ca="1">MIN(100,MAX(0,MCDA_Prioritisation!$H$2+(RAND()-0.5)*2*$B$7))</f>
        <v>62.368696554642916</v>
      </c>
      <c r="V532" s="54">
        <f ca="1">MIN(100,MAX(0,MCDA_Prioritisation!$H$3+(RAND()-0.5)*2*$B$7))</f>
        <v>68.458015362678111</v>
      </c>
      <c r="W532" s="54">
        <f ca="1">MIN(100,MAX(0,MCDA_Prioritisation!$H$4+(RAND()-0.5)*2*$B$7))</f>
        <v>70.977004475959291</v>
      </c>
      <c r="X532" s="54">
        <f ca="1">MIN(100,MAX(0,MCDA_Prioritisation!$H$5+(RAND()-0.5)*2*$B$7))</f>
        <v>73.371553453168744</v>
      </c>
      <c r="Y532" s="54">
        <f ca="1">H532*MCDA_Prioritisation!$D$2+I532*MCDA_Prioritisation!$E$2+J532*M532+K532*Q532+L532*U532</f>
        <v>84.270449908136925</v>
      </c>
      <c r="Z532" s="54">
        <f ca="1">H532*MCDA_Prioritisation!$D$3+I532*MCDA_Prioritisation!$E$3+J532*N532+K532*R532+L532*V532</f>
        <v>84.774906119606811</v>
      </c>
      <c r="AA532" s="54">
        <f ca="1">H532*MCDA_Prioritisation!$D$4+I532*MCDA_Prioritisation!$E$4+J532*O532+K532*S532+L532*W532</f>
        <v>71.337365162251629</v>
      </c>
      <c r="AB532" s="54">
        <f ca="1">H532*MCDA_Prioritisation!$D$5+I532*MCDA_Prioritisation!$E$5+J532*P532+K532*T532+L532*X532</f>
        <v>71.030030574739243</v>
      </c>
      <c r="AC532" s="54">
        <f t="shared" ca="1" si="104"/>
        <v>2</v>
      </c>
      <c r="AD532" s="54">
        <f t="shared" ca="1" si="105"/>
        <v>1</v>
      </c>
      <c r="AE532" s="54">
        <f t="shared" ca="1" si="106"/>
        <v>3</v>
      </c>
      <c r="AF532" s="54">
        <f t="shared" ca="1" si="107"/>
        <v>4</v>
      </c>
      <c r="AG532" s="54">
        <f t="shared" ca="1" si="108"/>
        <v>0</v>
      </c>
      <c r="AH532" s="54">
        <f t="shared" ca="1" si="109"/>
        <v>0</v>
      </c>
      <c r="AI532" s="54">
        <f t="shared" ca="1" si="110"/>
        <v>0</v>
      </c>
      <c r="AJ532" s="54">
        <f t="shared" ca="1" si="111"/>
        <v>1</v>
      </c>
    </row>
    <row r="533" spans="1:36" x14ac:dyDescent="0.2">
      <c r="A533" s="54">
        <v>510</v>
      </c>
      <c r="B533" s="54">
        <f ca="1">MAX(0.02,MCDA_Prioritisation!$B$9+(RAND()-0.5)*2*$B$6)</f>
        <v>0.16451875674479266</v>
      </c>
      <c r="C533" s="54">
        <f ca="1">MAX(0.02,MCDA_Prioritisation!$B$10+(RAND()-0.5)*2*$B$6)</f>
        <v>0.3017591160411992</v>
      </c>
      <c r="D533" s="54">
        <f ca="1">MAX(0.02,MCDA_Prioritisation!$B$11+(RAND()-0.5)*2*$B$6)</f>
        <v>0.30025675656657641</v>
      </c>
      <c r="E533" s="54">
        <f ca="1">MAX(0.02,MCDA_Prioritisation!$B$12+(RAND()-0.5)*2*$B$6)</f>
        <v>0.20727056700730309</v>
      </c>
      <c r="F533" s="54">
        <f ca="1">MAX(0.02,MCDA_Prioritisation!$B$13+(RAND()-0.5)*2*$B$6)</f>
        <v>0.2238203374091749</v>
      </c>
      <c r="G533" s="54">
        <f t="shared" ca="1" si="98"/>
        <v>1.1976255337690462</v>
      </c>
      <c r="H533" s="54">
        <f t="shared" ca="1" si="99"/>
        <v>0.13737078252418003</v>
      </c>
      <c r="I533" s="54">
        <f t="shared" ca="1" si="100"/>
        <v>0.25196449769364332</v>
      </c>
      <c r="J533" s="54">
        <f t="shared" ca="1" si="101"/>
        <v>0.2507100492602547</v>
      </c>
      <c r="K533" s="54">
        <f t="shared" ca="1" si="102"/>
        <v>0.1730679257939684</v>
      </c>
      <c r="L533" s="54">
        <f t="shared" ca="1" si="103"/>
        <v>0.18688674472795358</v>
      </c>
      <c r="M533" s="54">
        <f ca="1">MIN(100,MAX(0,MCDA_Prioritisation!$F$2+(RAND()-0.5)*2*$B$7))</f>
        <v>90.201919190146313</v>
      </c>
      <c r="N533" s="54">
        <f ca="1">MIN(100,MAX(0,MCDA_Prioritisation!$F$3+(RAND()-0.5)*2*$B$7))</f>
        <v>96.137089819246498</v>
      </c>
      <c r="O533" s="54">
        <f ca="1">MIN(100,MAX(0,MCDA_Prioritisation!$F$4+(RAND()-0.5)*2*$B$7))</f>
        <v>83.302535533984724</v>
      </c>
      <c r="P533" s="54">
        <f ca="1">MIN(100,MAX(0,MCDA_Prioritisation!$F$5+(RAND()-0.5)*2*$B$7))</f>
        <v>66.204582445892072</v>
      </c>
      <c r="Q533" s="54">
        <f ca="1">MIN(100,MAX(0,MCDA_Prioritisation!$G$2+(RAND()-0.5)*2*$B$7))</f>
        <v>79.354264201886096</v>
      </c>
      <c r="R533" s="54">
        <f ca="1">MIN(100,MAX(0,MCDA_Prioritisation!$G$3+(RAND()-0.5)*2*$B$7))</f>
        <v>100</v>
      </c>
      <c r="S533" s="54">
        <f ca="1">MIN(100,MAX(0,MCDA_Prioritisation!$G$4+(RAND()-0.5)*2*$B$7))</f>
        <v>88.295457143747868</v>
      </c>
      <c r="T533" s="54">
        <f ca="1">MIN(100,MAX(0,MCDA_Prioritisation!$G$5+(RAND()-0.5)*2*$B$7))</f>
        <v>68.25382972175035</v>
      </c>
      <c r="U533" s="54">
        <f ca="1">MIN(100,MAX(0,MCDA_Prioritisation!$H$2+(RAND()-0.5)*2*$B$7))</f>
        <v>58.850564035174969</v>
      </c>
      <c r="V533" s="54">
        <f ca="1">MIN(100,MAX(0,MCDA_Prioritisation!$H$3+(RAND()-0.5)*2*$B$7))</f>
        <v>56.856620393820791</v>
      </c>
      <c r="W533" s="54">
        <f ca="1">MIN(100,MAX(0,MCDA_Prioritisation!$H$4+(RAND()-0.5)*2*$B$7))</f>
        <v>73.385574103921471</v>
      </c>
      <c r="X533" s="54">
        <f ca="1">MIN(100,MAX(0,MCDA_Prioritisation!$H$5+(RAND()-0.5)*2*$B$7))</f>
        <v>75.133578941313729</v>
      </c>
      <c r="Y533" s="54">
        <f ca="1">H533*MCDA_Prioritisation!$D$2+I533*MCDA_Prioritisation!$E$2+J533*M533+K533*Q533+L533*U533</f>
        <v>86.280123871578255</v>
      </c>
      <c r="Z533" s="54">
        <f ca="1">H533*MCDA_Prioritisation!$D$3+I533*MCDA_Prioritisation!$E$3+J533*N533+K533*R533+L533*V533</f>
        <v>82.365538745987166</v>
      </c>
      <c r="AA533" s="54">
        <f ca="1">H533*MCDA_Prioritisation!$D$4+I533*MCDA_Prioritisation!$E$4+J533*O533+K533*S533+L533*W533</f>
        <v>73.189897269437267</v>
      </c>
      <c r="AB533" s="54">
        <f ca="1">H533*MCDA_Prioritisation!$D$5+I533*MCDA_Prioritisation!$E$5+J533*P533+K533*T533+L533*X533</f>
        <v>70.931173039491426</v>
      </c>
      <c r="AC533" s="54">
        <f t="shared" ca="1" si="104"/>
        <v>1</v>
      </c>
      <c r="AD533" s="54">
        <f t="shared" ca="1" si="105"/>
        <v>2</v>
      </c>
      <c r="AE533" s="54">
        <f t="shared" ca="1" si="106"/>
        <v>3</v>
      </c>
      <c r="AF533" s="54">
        <f t="shared" ca="1" si="107"/>
        <v>4</v>
      </c>
      <c r="AG533" s="54">
        <f t="shared" ca="1" si="108"/>
        <v>1</v>
      </c>
      <c r="AH533" s="54">
        <f t="shared" ca="1" si="109"/>
        <v>1</v>
      </c>
      <c r="AI533" s="54">
        <f t="shared" ca="1" si="110"/>
        <v>1</v>
      </c>
      <c r="AJ533" s="54">
        <f t="shared" ca="1" si="111"/>
        <v>1</v>
      </c>
    </row>
    <row r="534" spans="1:36" x14ac:dyDescent="0.2">
      <c r="A534" s="54">
        <v>511</v>
      </c>
      <c r="B534" s="54">
        <f ca="1">MAX(0.02,MCDA_Prioritisation!$B$9+(RAND()-0.5)*2*$B$6)</f>
        <v>0.23924092387624313</v>
      </c>
      <c r="C534" s="54">
        <f ca="1">MAX(0.02,MCDA_Prioritisation!$B$10+(RAND()-0.5)*2*$B$6)</f>
        <v>0.22679905731345371</v>
      </c>
      <c r="D534" s="54">
        <f ca="1">MAX(0.02,MCDA_Prioritisation!$B$11+(RAND()-0.5)*2*$B$6)</f>
        <v>0.21944702547885664</v>
      </c>
      <c r="E534" s="54">
        <f ca="1">MAX(0.02,MCDA_Prioritisation!$B$12+(RAND()-0.5)*2*$B$6)</f>
        <v>0.2205701703111855</v>
      </c>
      <c r="F534" s="54">
        <f ca="1">MAX(0.02,MCDA_Prioritisation!$B$13+(RAND()-0.5)*2*$B$6)</f>
        <v>0.12929820692494046</v>
      </c>
      <c r="G534" s="54">
        <f t="shared" ca="1" si="98"/>
        <v>1.0353553839046794</v>
      </c>
      <c r="H534" s="54">
        <f t="shared" ca="1" si="99"/>
        <v>0.23107130903592132</v>
      </c>
      <c r="I534" s="54">
        <f t="shared" ca="1" si="100"/>
        <v>0.21905430815273966</v>
      </c>
      <c r="J534" s="54">
        <f t="shared" ca="1" si="101"/>
        <v>0.21195333398590813</v>
      </c>
      <c r="K534" s="54">
        <f t="shared" ca="1" si="102"/>
        <v>0.21303812559446006</v>
      </c>
      <c r="L534" s="54">
        <f t="shared" ca="1" si="103"/>
        <v>0.12488292323097087</v>
      </c>
      <c r="M534" s="54">
        <f ca="1">MIN(100,MAX(0,MCDA_Prioritisation!$F$2+(RAND()-0.5)*2*$B$7))</f>
        <v>92.653525788231462</v>
      </c>
      <c r="N534" s="54">
        <f ca="1">MIN(100,MAX(0,MCDA_Prioritisation!$F$3+(RAND()-0.5)*2*$B$7))</f>
        <v>99.739839621888393</v>
      </c>
      <c r="O534" s="54">
        <f ca="1">MIN(100,MAX(0,MCDA_Prioritisation!$F$4+(RAND()-0.5)*2*$B$7))</f>
        <v>95.61249744372698</v>
      </c>
      <c r="P534" s="54">
        <f ca="1">MIN(100,MAX(0,MCDA_Prioritisation!$F$5+(RAND()-0.5)*2*$B$7))</f>
        <v>82.663267557435773</v>
      </c>
      <c r="Q534" s="54">
        <f ca="1">MIN(100,MAX(0,MCDA_Prioritisation!$G$2+(RAND()-0.5)*2*$B$7))</f>
        <v>77.426993039279793</v>
      </c>
      <c r="R534" s="54">
        <f ca="1">MIN(100,MAX(0,MCDA_Prioritisation!$G$3+(RAND()-0.5)*2*$B$7))</f>
        <v>92.027572956646196</v>
      </c>
      <c r="S534" s="54">
        <f ca="1">MIN(100,MAX(0,MCDA_Prioritisation!$G$4+(RAND()-0.5)*2*$B$7))</f>
        <v>82.918737324556773</v>
      </c>
      <c r="T534" s="54">
        <f ca="1">MIN(100,MAX(0,MCDA_Prioritisation!$G$5+(RAND()-0.5)*2*$B$7))</f>
        <v>71.132362685853295</v>
      </c>
      <c r="U534" s="54">
        <f ca="1">MIN(100,MAX(0,MCDA_Prioritisation!$H$2+(RAND()-0.5)*2*$B$7))</f>
        <v>55.734581564268105</v>
      </c>
      <c r="V534" s="54">
        <f ca="1">MIN(100,MAX(0,MCDA_Prioritisation!$H$3+(RAND()-0.5)*2*$B$7))</f>
        <v>66.966638613986063</v>
      </c>
      <c r="W534" s="54">
        <f ca="1">MIN(100,MAX(0,MCDA_Prioritisation!$H$4+(RAND()-0.5)*2*$B$7))</f>
        <v>76.229839565793299</v>
      </c>
      <c r="X534" s="54">
        <f ca="1">MIN(100,MAX(0,MCDA_Prioritisation!$H$5+(RAND()-0.5)*2*$B$7))</f>
        <v>83.652503427037928</v>
      </c>
      <c r="Y534" s="54">
        <f ca="1">H534*MCDA_Prioritisation!$D$2+I534*MCDA_Prioritisation!$E$2+J534*M534+K534*Q534+L534*U534</f>
        <v>88.10598435353532</v>
      </c>
      <c r="Z534" s="54">
        <f ca="1">H534*MCDA_Prioritisation!$D$3+I534*MCDA_Prioritisation!$E$3+J534*N534+K534*R534+L534*V534</f>
        <v>85.234687238344208</v>
      </c>
      <c r="AA534" s="54">
        <f ca="1">H534*MCDA_Prioritisation!$D$4+I534*MCDA_Prioritisation!$E$4+J534*O534+K534*S534+L534*W534</f>
        <v>75.488909576259474</v>
      </c>
      <c r="AB534" s="54">
        <f ca="1">H534*MCDA_Prioritisation!$D$5+I534*MCDA_Prioritisation!$E$5+J534*P534+K534*T534+L534*X534</f>
        <v>73.806220788447888</v>
      </c>
      <c r="AC534" s="54">
        <f t="shared" ca="1" si="104"/>
        <v>1</v>
      </c>
      <c r="AD534" s="54">
        <f t="shared" ca="1" si="105"/>
        <v>2</v>
      </c>
      <c r="AE534" s="54">
        <f t="shared" ca="1" si="106"/>
        <v>3</v>
      </c>
      <c r="AF534" s="54">
        <f t="shared" ca="1" si="107"/>
        <v>4</v>
      </c>
      <c r="AG534" s="54">
        <f t="shared" ca="1" si="108"/>
        <v>1</v>
      </c>
      <c r="AH534" s="54">
        <f t="shared" ca="1" si="109"/>
        <v>1</v>
      </c>
      <c r="AI534" s="54">
        <f t="shared" ca="1" si="110"/>
        <v>1</v>
      </c>
      <c r="AJ534" s="54">
        <f t="shared" ca="1" si="111"/>
        <v>1</v>
      </c>
    </row>
    <row r="535" spans="1:36" x14ac:dyDescent="0.2">
      <c r="A535" s="54">
        <v>512</v>
      </c>
      <c r="B535" s="54">
        <f ca="1">MAX(0.02,MCDA_Prioritisation!$B$9+(RAND()-0.5)*2*$B$6)</f>
        <v>0.14920363360831695</v>
      </c>
      <c r="C535" s="54">
        <f ca="1">MAX(0.02,MCDA_Prioritisation!$B$10+(RAND()-0.5)*2*$B$6)</f>
        <v>0.28213876668019328</v>
      </c>
      <c r="D535" s="54">
        <f ca="1">MAX(0.02,MCDA_Prioritisation!$B$11+(RAND()-0.5)*2*$B$6)</f>
        <v>0.25136906849854473</v>
      </c>
      <c r="E535" s="54">
        <f ca="1">MAX(0.02,MCDA_Prioritisation!$B$12+(RAND()-0.5)*2*$B$6)</f>
        <v>0.2294500431527059</v>
      </c>
      <c r="F535" s="54">
        <f ca="1">MAX(0.02,MCDA_Prioritisation!$B$13+(RAND()-0.5)*2*$B$6)</f>
        <v>0.1612306354516754</v>
      </c>
      <c r="G535" s="54">
        <f t="shared" ca="1" si="98"/>
        <v>1.0733921473914363</v>
      </c>
      <c r="H535" s="54">
        <f t="shared" ca="1" si="99"/>
        <v>0.13900197981782564</v>
      </c>
      <c r="I535" s="54">
        <f t="shared" ca="1" si="100"/>
        <v>0.26284780205058189</v>
      </c>
      <c r="J535" s="54">
        <f t="shared" ca="1" si="101"/>
        <v>0.23418195214994192</v>
      </c>
      <c r="K535" s="54">
        <f t="shared" ca="1" si="102"/>
        <v>0.21376161891096063</v>
      </c>
      <c r="L535" s="54">
        <f t="shared" ca="1" si="103"/>
        <v>0.15020664707068987</v>
      </c>
      <c r="M535" s="54">
        <f ca="1">MIN(100,MAX(0,MCDA_Prioritisation!$F$2+(RAND()-0.5)*2*$B$7))</f>
        <v>87.400146111793504</v>
      </c>
      <c r="N535" s="54">
        <f ca="1">MIN(100,MAX(0,MCDA_Prioritisation!$F$3+(RAND()-0.5)*2*$B$7))</f>
        <v>85.681923835331759</v>
      </c>
      <c r="O535" s="54">
        <f ca="1">MIN(100,MAX(0,MCDA_Prioritisation!$F$4+(RAND()-0.5)*2*$B$7))</f>
        <v>95.484661415379804</v>
      </c>
      <c r="P535" s="54">
        <f ca="1">MIN(100,MAX(0,MCDA_Prioritisation!$F$5+(RAND()-0.5)*2*$B$7))</f>
        <v>82.946387052402514</v>
      </c>
      <c r="Q535" s="54">
        <f ca="1">MIN(100,MAX(0,MCDA_Prioritisation!$G$2+(RAND()-0.5)*2*$B$7))</f>
        <v>89.014917683442306</v>
      </c>
      <c r="R535" s="54">
        <f ca="1">MIN(100,MAX(0,MCDA_Prioritisation!$G$3+(RAND()-0.5)*2*$B$7))</f>
        <v>91.986486691671999</v>
      </c>
      <c r="S535" s="54">
        <f ca="1">MIN(100,MAX(0,MCDA_Prioritisation!$G$4+(RAND()-0.5)*2*$B$7))</f>
        <v>77.515051166365424</v>
      </c>
      <c r="T535" s="54">
        <f ca="1">MIN(100,MAX(0,MCDA_Prioritisation!$G$5+(RAND()-0.5)*2*$B$7))</f>
        <v>66.801303293305239</v>
      </c>
      <c r="U535" s="54">
        <f ca="1">MIN(100,MAX(0,MCDA_Prioritisation!$H$2+(RAND()-0.5)*2*$B$7))</f>
        <v>65.832021205109712</v>
      </c>
      <c r="V535" s="54">
        <f ca="1">MIN(100,MAX(0,MCDA_Prioritisation!$H$3+(RAND()-0.5)*2*$B$7))</f>
        <v>69.733242242461685</v>
      </c>
      <c r="W535" s="54">
        <f ca="1">MIN(100,MAX(0,MCDA_Prioritisation!$H$4+(RAND()-0.5)*2*$B$7))</f>
        <v>88.375709309054145</v>
      </c>
      <c r="X535" s="54">
        <f ca="1">MIN(100,MAX(0,MCDA_Prioritisation!$H$5+(RAND()-0.5)*2*$B$7))</f>
        <v>78.948444552345592</v>
      </c>
      <c r="Y535" s="54">
        <f ca="1">H535*MCDA_Prioritisation!$D$2+I535*MCDA_Prioritisation!$E$2+J535*M535+K535*Q535+L535*U535</f>
        <v>89.568895107835317</v>
      </c>
      <c r="Z535" s="54">
        <f ca="1">H535*MCDA_Prioritisation!$D$3+I535*MCDA_Prioritisation!$E$3+J535*N535+K535*R535+L535*V535</f>
        <v>81.467274479922708</v>
      </c>
      <c r="AA535" s="54">
        <f ca="1">H535*MCDA_Prioritisation!$D$4+I535*MCDA_Prioritisation!$E$4+J535*O535+K535*S535+L535*W535</f>
        <v>76.221579792238188</v>
      </c>
      <c r="AB535" s="54">
        <f ca="1">H535*MCDA_Prioritisation!$D$5+I535*MCDA_Prioritisation!$E$5+J535*P535+K535*T535+L535*X535</f>
        <v>75.043447121518994</v>
      </c>
      <c r="AC535" s="54">
        <f t="shared" ca="1" si="104"/>
        <v>1</v>
      </c>
      <c r="AD535" s="54">
        <f t="shared" ca="1" si="105"/>
        <v>2</v>
      </c>
      <c r="AE535" s="54">
        <f t="shared" ca="1" si="106"/>
        <v>3</v>
      </c>
      <c r="AF535" s="54">
        <f t="shared" ca="1" si="107"/>
        <v>4</v>
      </c>
      <c r="AG535" s="54">
        <f t="shared" ca="1" si="108"/>
        <v>1</v>
      </c>
      <c r="AH535" s="54">
        <f t="shared" ca="1" si="109"/>
        <v>1</v>
      </c>
      <c r="AI535" s="54">
        <f t="shared" ca="1" si="110"/>
        <v>1</v>
      </c>
      <c r="AJ535" s="54">
        <f t="shared" ca="1" si="111"/>
        <v>1</v>
      </c>
    </row>
    <row r="536" spans="1:36" x14ac:dyDescent="0.2">
      <c r="A536" s="54">
        <v>513</v>
      </c>
      <c r="B536" s="54">
        <f ca="1">MAX(0.02,MCDA_Prioritisation!$B$9+(RAND()-0.5)*2*$B$6)</f>
        <v>0.17550110659235657</v>
      </c>
      <c r="C536" s="54">
        <f ca="1">MAX(0.02,MCDA_Prioritisation!$B$10+(RAND()-0.5)*2*$B$6)</f>
        <v>0.22360708369685567</v>
      </c>
      <c r="D536" s="54">
        <f ca="1">MAX(0.02,MCDA_Prioritisation!$B$11+(RAND()-0.5)*2*$B$6)</f>
        <v>0.30413655193353495</v>
      </c>
      <c r="E536" s="54">
        <f ca="1">MAX(0.02,MCDA_Prioritisation!$B$12+(RAND()-0.5)*2*$B$6)</f>
        <v>0.17156683555282204</v>
      </c>
      <c r="F536" s="54">
        <f ca="1">MAX(0.02,MCDA_Prioritisation!$B$13+(RAND()-0.5)*2*$B$6)</f>
        <v>0.14167615265037434</v>
      </c>
      <c r="G536" s="54">
        <f t="shared" ref="G536:G599" ca="1" si="112">SUM(B536:F536)</f>
        <v>1.0164877304259436</v>
      </c>
      <c r="H536" s="54">
        <f t="shared" ref="H536:H599" ca="1" si="113">B536/$G536</f>
        <v>0.17265442694405717</v>
      </c>
      <c r="I536" s="54">
        <f t="shared" ref="I536:I599" ca="1" si="114">C536/$G536</f>
        <v>0.21998011092879255</v>
      </c>
      <c r="J536" s="54">
        <f t="shared" ref="J536:J599" ca="1" si="115">D536/$G536</f>
        <v>0.29920336746818493</v>
      </c>
      <c r="K536" s="54">
        <f t="shared" ref="K536:K599" ca="1" si="116">E536/$G536</f>
        <v>0.16878397093974717</v>
      </c>
      <c r="L536" s="54">
        <f t="shared" ref="L536:L599" ca="1" si="117">F536/$G536</f>
        <v>0.13937812371921804</v>
      </c>
      <c r="M536" s="54">
        <f ca="1">MIN(100,MAX(0,MCDA_Prioritisation!$F$2+(RAND()-0.5)*2*$B$7))</f>
        <v>81.949231651978437</v>
      </c>
      <c r="N536" s="54">
        <f ca="1">MIN(100,MAX(0,MCDA_Prioritisation!$F$3+(RAND()-0.5)*2*$B$7))</f>
        <v>95.207304952617065</v>
      </c>
      <c r="O536" s="54">
        <f ca="1">MIN(100,MAX(0,MCDA_Prioritisation!$F$4+(RAND()-0.5)*2*$B$7))</f>
        <v>97.109111861018633</v>
      </c>
      <c r="P536" s="54">
        <f ca="1">MIN(100,MAX(0,MCDA_Prioritisation!$F$5+(RAND()-0.5)*2*$B$7))</f>
        <v>75.724253275589817</v>
      </c>
      <c r="Q536" s="54">
        <f ca="1">MIN(100,MAX(0,MCDA_Prioritisation!$G$2+(RAND()-0.5)*2*$B$7))</f>
        <v>82.809741892773076</v>
      </c>
      <c r="R536" s="54">
        <f ca="1">MIN(100,MAX(0,MCDA_Prioritisation!$G$3+(RAND()-0.5)*2*$B$7))</f>
        <v>100</v>
      </c>
      <c r="S536" s="54">
        <f ca="1">MIN(100,MAX(0,MCDA_Prioritisation!$G$4+(RAND()-0.5)*2*$B$7))</f>
        <v>89.276685071881261</v>
      </c>
      <c r="T536" s="54">
        <f ca="1">MIN(100,MAX(0,MCDA_Prioritisation!$G$5+(RAND()-0.5)*2*$B$7))</f>
        <v>73.045111521481232</v>
      </c>
      <c r="U536" s="54">
        <f ca="1">MIN(100,MAX(0,MCDA_Prioritisation!$H$2+(RAND()-0.5)*2*$B$7))</f>
        <v>59.764717345721522</v>
      </c>
      <c r="V536" s="54">
        <f ca="1">MIN(100,MAX(0,MCDA_Prioritisation!$H$3+(RAND()-0.5)*2*$B$7))</f>
        <v>56.925283353359909</v>
      </c>
      <c r="W536" s="54">
        <f ca="1">MIN(100,MAX(0,MCDA_Prioritisation!$H$4+(RAND()-0.5)*2*$B$7))</f>
        <v>79.671522301899529</v>
      </c>
      <c r="X536" s="54">
        <f ca="1">MIN(100,MAX(0,MCDA_Prioritisation!$H$5+(RAND()-0.5)*2*$B$7))</f>
        <v>73.29603864426123</v>
      </c>
      <c r="Y536" s="54">
        <f ca="1">H536*MCDA_Prioritisation!$D$2+I536*MCDA_Prioritisation!$E$2+J536*M536+K536*Q536+L536*U536</f>
        <v>86.089791096401143</v>
      </c>
      <c r="Z536" s="54">
        <f ca="1">H536*MCDA_Prioritisation!$D$3+I536*MCDA_Prioritisation!$E$3+J536*N536+K536*R536+L536*V536</f>
        <v>84.386887250587051</v>
      </c>
      <c r="AA536" s="54">
        <f ca="1">H536*MCDA_Prioritisation!$D$4+I536*MCDA_Prioritisation!$E$4+J536*O536+K536*S536+L536*W536</f>
        <v>79.249868459259019</v>
      </c>
      <c r="AB536" s="54">
        <f ca="1">H536*MCDA_Prioritisation!$D$5+I536*MCDA_Prioritisation!$E$5+J536*P536+K536*T536+L536*X536</f>
        <v>72.863774753348181</v>
      </c>
      <c r="AC536" s="54">
        <f t="shared" ref="AC536:AC599" ca="1" si="118">SUMPRODUCT(--($Y536:$AB536&gt;Y536))+1</f>
        <v>1</v>
      </c>
      <c r="AD536" s="54">
        <f t="shared" ref="AD536:AD599" ca="1" si="119">SUMPRODUCT(--($Y536:$AB536&gt;Z536))+1</f>
        <v>2</v>
      </c>
      <c r="AE536" s="54">
        <f t="shared" ref="AE536:AE599" ca="1" si="120">SUMPRODUCT(--($Y536:$AB536&gt;AA536))+1</f>
        <v>3</v>
      </c>
      <c r="AF536" s="54">
        <f t="shared" ref="AF536:AF599" ca="1" si="121">SUMPRODUCT(--($Y536:$AB536&gt;AB536))+1</f>
        <v>4</v>
      </c>
      <c r="AG536" s="54">
        <f t="shared" ref="AG536:AG599" ca="1" si="122">IF(AC536=1,1,0)</f>
        <v>1</v>
      </c>
      <c r="AH536" s="54">
        <f t="shared" ref="AH536:AH599" ca="1" si="123">IF(AD536=2,1,0)</f>
        <v>1</v>
      </c>
      <c r="AI536" s="54">
        <f t="shared" ref="AI536:AI599" ca="1" si="124">IF(AND(AC536=1,AD536=2,AE536=3,AF536=4),1,0)</f>
        <v>1</v>
      </c>
      <c r="AJ536" s="54">
        <f t="shared" ref="AJ536:AJ599" ca="1" si="125">IF(AND(AC536&lt;=2,AD536&lt;=2),1,0)</f>
        <v>1</v>
      </c>
    </row>
    <row r="537" spans="1:36" x14ac:dyDescent="0.2">
      <c r="A537" s="54">
        <v>514</v>
      </c>
      <c r="B537" s="54">
        <f ca="1">MAX(0.02,MCDA_Prioritisation!$B$9+(RAND()-0.5)*2*$B$6)</f>
        <v>0.18504011766034506</v>
      </c>
      <c r="C537" s="54">
        <f ca="1">MAX(0.02,MCDA_Prioritisation!$B$10+(RAND()-0.5)*2*$B$6)</f>
        <v>0.1886838305515853</v>
      </c>
      <c r="D537" s="54">
        <f ca="1">MAX(0.02,MCDA_Prioritisation!$B$11+(RAND()-0.5)*2*$B$6)</f>
        <v>0.22166604120837513</v>
      </c>
      <c r="E537" s="54">
        <f ca="1">MAX(0.02,MCDA_Prioritisation!$B$12+(RAND()-0.5)*2*$B$6)</f>
        <v>8.4787391145370844E-2</v>
      </c>
      <c r="F537" s="54">
        <f ca="1">MAX(0.02,MCDA_Prioritisation!$B$13+(RAND()-0.5)*2*$B$6)</f>
        <v>0.2120902860049875</v>
      </c>
      <c r="G537" s="54">
        <f t="shared" ca="1" si="112"/>
        <v>0.8922676665706637</v>
      </c>
      <c r="H537" s="54">
        <f t="shared" ca="1" si="113"/>
        <v>0.20738184806306739</v>
      </c>
      <c r="I537" s="54">
        <f t="shared" ca="1" si="114"/>
        <v>0.21146550258485958</v>
      </c>
      <c r="J537" s="54">
        <f t="shared" ca="1" si="115"/>
        <v>0.24842998296724692</v>
      </c>
      <c r="K537" s="54">
        <f t="shared" ca="1" si="116"/>
        <v>9.5024614610593486E-2</v>
      </c>
      <c r="L537" s="54">
        <f t="shared" ca="1" si="117"/>
        <v>0.23769805177423278</v>
      </c>
      <c r="M537" s="54">
        <f ca="1">MIN(100,MAX(0,MCDA_Prioritisation!$F$2+(RAND()-0.5)*2*$B$7))</f>
        <v>89.698397114330419</v>
      </c>
      <c r="N537" s="54">
        <f ca="1">MIN(100,MAX(0,MCDA_Prioritisation!$F$3+(RAND()-0.5)*2*$B$7))</f>
        <v>89.86512638822218</v>
      </c>
      <c r="O537" s="54">
        <f ca="1">MIN(100,MAX(0,MCDA_Prioritisation!$F$4+(RAND()-0.5)*2*$B$7))</f>
        <v>95.222074349500019</v>
      </c>
      <c r="P537" s="54">
        <f ca="1">MIN(100,MAX(0,MCDA_Prioritisation!$F$5+(RAND()-0.5)*2*$B$7))</f>
        <v>66.807609253290366</v>
      </c>
      <c r="Q537" s="54">
        <f ca="1">MIN(100,MAX(0,MCDA_Prioritisation!$G$2+(RAND()-0.5)*2*$B$7))</f>
        <v>84.651624058182819</v>
      </c>
      <c r="R537" s="54">
        <f ca="1">MIN(100,MAX(0,MCDA_Prioritisation!$G$3+(RAND()-0.5)*2*$B$7))</f>
        <v>90.948076146427113</v>
      </c>
      <c r="S537" s="54">
        <f ca="1">MIN(100,MAX(0,MCDA_Prioritisation!$G$4+(RAND()-0.5)*2*$B$7))</f>
        <v>91.584192647421588</v>
      </c>
      <c r="T537" s="54">
        <f ca="1">MIN(100,MAX(0,MCDA_Prioritisation!$G$5+(RAND()-0.5)*2*$B$7))</f>
        <v>76.55035453316691</v>
      </c>
      <c r="U537" s="54">
        <f ca="1">MIN(100,MAX(0,MCDA_Prioritisation!$H$2+(RAND()-0.5)*2*$B$7))</f>
        <v>68.098569408337752</v>
      </c>
      <c r="V537" s="54">
        <f ca="1">MIN(100,MAX(0,MCDA_Prioritisation!$H$3+(RAND()-0.5)*2*$B$7))</f>
        <v>67.228197311714467</v>
      </c>
      <c r="W537" s="54">
        <f ca="1">MIN(100,MAX(0,MCDA_Prioritisation!$H$4+(RAND()-0.5)*2*$B$7))</f>
        <v>74.856206769118202</v>
      </c>
      <c r="X537" s="54">
        <f ca="1">MIN(100,MAX(0,MCDA_Prioritisation!$H$5+(RAND()-0.5)*2*$B$7))</f>
        <v>71.478006255569554</v>
      </c>
      <c r="Y537" s="54">
        <f ca="1">H537*MCDA_Prioritisation!$D$2+I537*MCDA_Prioritisation!$E$2+J537*M537+K537*Q537+L537*U537</f>
        <v>88.399391561359067</v>
      </c>
      <c r="Z537" s="54">
        <f ca="1">H537*MCDA_Prioritisation!$D$3+I537*MCDA_Prioritisation!$E$3+J537*N537+K537*R537+L537*V537</f>
        <v>80.451336548151332</v>
      </c>
      <c r="AA537" s="54">
        <f ca="1">H537*MCDA_Prioritisation!$D$4+I537*MCDA_Prioritisation!$E$4+J537*O537+K537*S537+L537*W537</f>
        <v>76.127280174952602</v>
      </c>
      <c r="AB537" s="54">
        <f ca="1">H537*MCDA_Prioritisation!$D$5+I537*MCDA_Prioritisation!$E$5+J537*P537+K537*T537+L537*X537</f>
        <v>69.650666470923412</v>
      </c>
      <c r="AC537" s="54">
        <f t="shared" ca="1" si="118"/>
        <v>1</v>
      </c>
      <c r="AD537" s="54">
        <f t="shared" ca="1" si="119"/>
        <v>2</v>
      </c>
      <c r="AE537" s="54">
        <f t="shared" ca="1" si="120"/>
        <v>3</v>
      </c>
      <c r="AF537" s="54">
        <f t="shared" ca="1" si="121"/>
        <v>4</v>
      </c>
      <c r="AG537" s="54">
        <f t="shared" ca="1" si="122"/>
        <v>1</v>
      </c>
      <c r="AH537" s="54">
        <f t="shared" ca="1" si="123"/>
        <v>1</v>
      </c>
      <c r="AI537" s="54">
        <f t="shared" ca="1" si="124"/>
        <v>1</v>
      </c>
      <c r="AJ537" s="54">
        <f t="shared" ca="1" si="125"/>
        <v>1</v>
      </c>
    </row>
    <row r="538" spans="1:36" x14ac:dyDescent="0.2">
      <c r="A538" s="54">
        <v>515</v>
      </c>
      <c r="B538" s="54">
        <f ca="1">MAX(0.02,MCDA_Prioritisation!$B$9+(RAND()-0.5)*2*$B$6)</f>
        <v>0.12220539425528328</v>
      </c>
      <c r="C538" s="54">
        <f ca="1">MAX(0.02,MCDA_Prioritisation!$B$10+(RAND()-0.5)*2*$B$6)</f>
        <v>0.21697465387126288</v>
      </c>
      <c r="D538" s="54">
        <f ca="1">MAX(0.02,MCDA_Prioritisation!$B$11+(RAND()-0.5)*2*$B$6)</f>
        <v>0.17202299972758694</v>
      </c>
      <c r="E538" s="54">
        <f ca="1">MAX(0.02,MCDA_Prioritisation!$B$12+(RAND()-0.5)*2*$B$6)</f>
        <v>0.18172641419891525</v>
      </c>
      <c r="F538" s="54">
        <f ca="1">MAX(0.02,MCDA_Prioritisation!$B$13+(RAND()-0.5)*2*$B$6)</f>
        <v>0.16119002912688354</v>
      </c>
      <c r="G538" s="54">
        <f t="shared" ca="1" si="112"/>
        <v>0.85411949117993191</v>
      </c>
      <c r="H538" s="54">
        <f t="shared" ca="1" si="113"/>
        <v>0.14307763201429979</v>
      </c>
      <c r="I538" s="54">
        <f t="shared" ca="1" si="114"/>
        <v>0.25403313718028031</v>
      </c>
      <c r="J538" s="54">
        <f t="shared" ca="1" si="115"/>
        <v>0.20140390367388064</v>
      </c>
      <c r="K538" s="54">
        <f t="shared" ca="1" si="116"/>
        <v>0.21276462611556549</v>
      </c>
      <c r="L538" s="54">
        <f t="shared" ca="1" si="117"/>
        <v>0.18872070101597374</v>
      </c>
      <c r="M538" s="54">
        <f ca="1">MIN(100,MAX(0,MCDA_Prioritisation!$F$2+(RAND()-0.5)*2*$B$7))</f>
        <v>89.574624089845585</v>
      </c>
      <c r="N538" s="54">
        <f ca="1">MIN(100,MAX(0,MCDA_Prioritisation!$F$3+(RAND()-0.5)*2*$B$7))</f>
        <v>97.566283134185568</v>
      </c>
      <c r="O538" s="54">
        <f ca="1">MIN(100,MAX(0,MCDA_Prioritisation!$F$4+(RAND()-0.5)*2*$B$7))</f>
        <v>88.923260906903181</v>
      </c>
      <c r="P538" s="54">
        <f ca="1">MIN(100,MAX(0,MCDA_Prioritisation!$F$5+(RAND()-0.5)*2*$B$7))</f>
        <v>70.25839215021216</v>
      </c>
      <c r="Q538" s="54">
        <f ca="1">MIN(100,MAX(0,MCDA_Prioritisation!$G$2+(RAND()-0.5)*2*$B$7))</f>
        <v>82.861150101212061</v>
      </c>
      <c r="R538" s="54">
        <f ca="1">MIN(100,MAX(0,MCDA_Prioritisation!$G$3+(RAND()-0.5)*2*$B$7))</f>
        <v>89.992045259484755</v>
      </c>
      <c r="S538" s="54">
        <f ca="1">MIN(100,MAX(0,MCDA_Prioritisation!$G$4+(RAND()-0.5)*2*$B$7))</f>
        <v>89.220202350285561</v>
      </c>
      <c r="T538" s="54">
        <f ca="1">MIN(100,MAX(0,MCDA_Prioritisation!$G$5+(RAND()-0.5)*2*$B$7))</f>
        <v>70.256659123745834</v>
      </c>
      <c r="U538" s="54">
        <f ca="1">MIN(100,MAX(0,MCDA_Prioritisation!$H$2+(RAND()-0.5)*2*$B$7))</f>
        <v>62.162627826757024</v>
      </c>
      <c r="V538" s="54">
        <f ca="1">MIN(100,MAX(0,MCDA_Prioritisation!$H$3+(RAND()-0.5)*2*$B$7))</f>
        <v>52.285209282313929</v>
      </c>
      <c r="W538" s="54">
        <f ca="1">MIN(100,MAX(0,MCDA_Prioritisation!$H$4+(RAND()-0.5)*2*$B$7))</f>
        <v>81.185764218418029</v>
      </c>
      <c r="X538" s="54">
        <f ca="1">MIN(100,MAX(0,MCDA_Prioritisation!$H$5+(RAND()-0.5)*2*$B$7))</f>
        <v>74.675206603097308</v>
      </c>
      <c r="Y538" s="54">
        <f ca="1">H538*MCDA_Prioritisation!$D$2+I538*MCDA_Prioritisation!$E$2+J538*M538+K538*Q538+L538*U538</f>
        <v>87.113052202524131</v>
      </c>
      <c r="Z538" s="54">
        <f ca="1">H538*MCDA_Prioritisation!$D$3+I538*MCDA_Prioritisation!$E$3+J538*N538+K538*R538+L538*V538</f>
        <v>79.644325558033728</v>
      </c>
      <c r="AA538" s="54">
        <f ca="1">H538*MCDA_Prioritisation!$D$4+I538*MCDA_Prioritisation!$E$4+J538*O538+K538*S538+L538*W538</f>
        <v>76.033267339219918</v>
      </c>
      <c r="AB538" s="54">
        <f ca="1">H538*MCDA_Prioritisation!$D$5+I538*MCDA_Prioritisation!$E$5+J538*P538+K538*T538+L538*X538</f>
        <v>72.147053671611218</v>
      </c>
      <c r="AC538" s="54">
        <f t="shared" ca="1" si="118"/>
        <v>1</v>
      </c>
      <c r="AD538" s="54">
        <f t="shared" ca="1" si="119"/>
        <v>2</v>
      </c>
      <c r="AE538" s="54">
        <f t="shared" ca="1" si="120"/>
        <v>3</v>
      </c>
      <c r="AF538" s="54">
        <f t="shared" ca="1" si="121"/>
        <v>4</v>
      </c>
      <c r="AG538" s="54">
        <f t="shared" ca="1" si="122"/>
        <v>1</v>
      </c>
      <c r="AH538" s="54">
        <f t="shared" ca="1" si="123"/>
        <v>1</v>
      </c>
      <c r="AI538" s="54">
        <f t="shared" ca="1" si="124"/>
        <v>1</v>
      </c>
      <c r="AJ538" s="54">
        <f t="shared" ca="1" si="125"/>
        <v>1</v>
      </c>
    </row>
    <row r="539" spans="1:36" x14ac:dyDescent="0.2">
      <c r="A539" s="54">
        <v>516</v>
      </c>
      <c r="B539" s="54">
        <f ca="1">MAX(0.02,MCDA_Prioritisation!$B$9+(RAND()-0.5)*2*$B$6)</f>
        <v>0.18161888465260437</v>
      </c>
      <c r="C539" s="54">
        <f ca="1">MAX(0.02,MCDA_Prioritisation!$B$10+(RAND()-0.5)*2*$B$6)</f>
        <v>0.31423456637066693</v>
      </c>
      <c r="D539" s="54">
        <f ca="1">MAX(0.02,MCDA_Prioritisation!$B$11+(RAND()-0.5)*2*$B$6)</f>
        <v>0.2045292206792356</v>
      </c>
      <c r="E539" s="54">
        <f ca="1">MAX(0.02,MCDA_Prioritisation!$B$12+(RAND()-0.5)*2*$B$6)</f>
        <v>0.13680519502225419</v>
      </c>
      <c r="F539" s="54">
        <f ca="1">MAX(0.02,MCDA_Prioritisation!$B$13+(RAND()-0.5)*2*$B$6)</f>
        <v>9.4656919540408141E-2</v>
      </c>
      <c r="G539" s="54">
        <f t="shared" ca="1" si="112"/>
        <v>0.9318447862651692</v>
      </c>
      <c r="H539" s="54">
        <f t="shared" ca="1" si="113"/>
        <v>0.19490250665084713</v>
      </c>
      <c r="I539" s="54">
        <f t="shared" ca="1" si="114"/>
        <v>0.33721771157846797</v>
      </c>
      <c r="J539" s="54">
        <f t="shared" ca="1" si="115"/>
        <v>0.21948850677051918</v>
      </c>
      <c r="K539" s="54">
        <f t="shared" ca="1" si="116"/>
        <v>0.1468111396218344</v>
      </c>
      <c r="L539" s="54">
        <f t="shared" ca="1" si="117"/>
        <v>0.10158013537833137</v>
      </c>
      <c r="M539" s="54">
        <f ca="1">MIN(100,MAX(0,MCDA_Prioritisation!$F$2+(RAND()-0.5)*2*$B$7))</f>
        <v>76.764018966897865</v>
      </c>
      <c r="N539" s="54">
        <f ca="1">MIN(100,MAX(0,MCDA_Prioritisation!$F$3+(RAND()-0.5)*2*$B$7))</f>
        <v>95.632676398418866</v>
      </c>
      <c r="O539" s="54">
        <f ca="1">MIN(100,MAX(0,MCDA_Prioritisation!$F$4+(RAND()-0.5)*2*$B$7))</f>
        <v>85.720948924409683</v>
      </c>
      <c r="P539" s="54">
        <f ca="1">MIN(100,MAX(0,MCDA_Prioritisation!$F$5+(RAND()-0.5)*2*$B$7))</f>
        <v>78.566482305816109</v>
      </c>
      <c r="Q539" s="54">
        <f ca="1">MIN(100,MAX(0,MCDA_Prioritisation!$G$2+(RAND()-0.5)*2*$B$7))</f>
        <v>82.826233345519825</v>
      </c>
      <c r="R539" s="54">
        <f ca="1">MIN(100,MAX(0,MCDA_Prioritisation!$G$3+(RAND()-0.5)*2*$B$7))</f>
        <v>93.452919915736175</v>
      </c>
      <c r="S539" s="54">
        <f ca="1">MIN(100,MAX(0,MCDA_Prioritisation!$G$4+(RAND()-0.5)*2*$B$7))</f>
        <v>81.920283598639998</v>
      </c>
      <c r="T539" s="54">
        <f ca="1">MIN(100,MAX(0,MCDA_Prioritisation!$G$5+(RAND()-0.5)*2*$B$7))</f>
        <v>71.069909097331617</v>
      </c>
      <c r="U539" s="54">
        <f ca="1">MIN(100,MAX(0,MCDA_Prioritisation!$H$2+(RAND()-0.5)*2*$B$7))</f>
        <v>71.755667460501627</v>
      </c>
      <c r="V539" s="54">
        <f ca="1">MIN(100,MAX(0,MCDA_Prioritisation!$H$3+(RAND()-0.5)*2*$B$7))</f>
        <v>67.077805770158662</v>
      </c>
      <c r="W539" s="54">
        <f ca="1">MIN(100,MAX(0,MCDA_Prioritisation!$H$4+(RAND()-0.5)*2*$B$7))</f>
        <v>71.699113814660379</v>
      </c>
      <c r="X539" s="54">
        <f ca="1">MIN(100,MAX(0,MCDA_Prioritisation!$H$5+(RAND()-0.5)*2*$B$7))</f>
        <v>71.152827417674459</v>
      </c>
      <c r="Y539" s="54">
        <f ca="1">H539*MCDA_Prioritisation!$D$2+I539*MCDA_Prioritisation!$E$2+J539*M539+K539*Q539+L539*U539</f>
        <v>89.509605842519761</v>
      </c>
      <c r="Z539" s="54">
        <f ca="1">H539*MCDA_Prioritisation!$D$3+I539*MCDA_Prioritisation!$E$3+J539*N539+K539*R539+L539*V539</f>
        <v>83.082763129548312</v>
      </c>
      <c r="AA539" s="54">
        <f ca="1">H539*MCDA_Prioritisation!$D$4+I539*MCDA_Prioritisation!$E$4+J539*O539+K539*S539+L539*W539</f>
        <v>70.090337127427048</v>
      </c>
      <c r="AB539" s="54">
        <f ca="1">H539*MCDA_Prioritisation!$D$5+I539*MCDA_Prioritisation!$E$5+J539*P539+K539*T539+L539*X539</f>
        <v>73.607575969744417</v>
      </c>
      <c r="AC539" s="54">
        <f t="shared" ca="1" si="118"/>
        <v>1</v>
      </c>
      <c r="AD539" s="54">
        <f t="shared" ca="1" si="119"/>
        <v>2</v>
      </c>
      <c r="AE539" s="54">
        <f t="shared" ca="1" si="120"/>
        <v>4</v>
      </c>
      <c r="AF539" s="54">
        <f t="shared" ca="1" si="121"/>
        <v>3</v>
      </c>
      <c r="AG539" s="54">
        <f t="shared" ca="1" si="122"/>
        <v>1</v>
      </c>
      <c r="AH539" s="54">
        <f t="shared" ca="1" si="123"/>
        <v>1</v>
      </c>
      <c r="AI539" s="54">
        <f t="shared" ca="1" si="124"/>
        <v>0</v>
      </c>
      <c r="AJ539" s="54">
        <f t="shared" ca="1" si="125"/>
        <v>1</v>
      </c>
    </row>
    <row r="540" spans="1:36" x14ac:dyDescent="0.2">
      <c r="A540" s="54">
        <v>517</v>
      </c>
      <c r="B540" s="54">
        <f ca="1">MAX(0.02,MCDA_Prioritisation!$B$9+(RAND()-0.5)*2*$B$6)</f>
        <v>0.13730282475086331</v>
      </c>
      <c r="C540" s="54">
        <f ca="1">MAX(0.02,MCDA_Prioritisation!$B$10+(RAND()-0.5)*2*$B$6)</f>
        <v>0.19165008840085415</v>
      </c>
      <c r="D540" s="54">
        <f ca="1">MAX(0.02,MCDA_Prioritisation!$B$11+(RAND()-0.5)*2*$B$6)</f>
        <v>0.31180690702728442</v>
      </c>
      <c r="E540" s="54">
        <f ca="1">MAX(0.02,MCDA_Prioritisation!$B$12+(RAND()-0.5)*2*$B$6)</f>
        <v>0.2119181392530245</v>
      </c>
      <c r="F540" s="54">
        <f ca="1">MAX(0.02,MCDA_Prioritisation!$B$13+(RAND()-0.5)*2*$B$6)</f>
        <v>0.1957945632601347</v>
      </c>
      <c r="G540" s="54">
        <f t="shared" ca="1" si="112"/>
        <v>1.0484725226921612</v>
      </c>
      <c r="H540" s="54">
        <f t="shared" ca="1" si="113"/>
        <v>0.13095510066235314</v>
      </c>
      <c r="I540" s="54">
        <f t="shared" ca="1" si="114"/>
        <v>0.18278980541021192</v>
      </c>
      <c r="J540" s="54">
        <f t="shared" ca="1" si="115"/>
        <v>0.29739158659748022</v>
      </c>
      <c r="K540" s="54">
        <f t="shared" ca="1" si="116"/>
        <v>0.2021208326078805</v>
      </c>
      <c r="L540" s="54">
        <f t="shared" ca="1" si="117"/>
        <v>0.18674267472207409</v>
      </c>
      <c r="M540" s="54">
        <f ca="1">MIN(100,MAX(0,MCDA_Prioritisation!$F$2+(RAND()-0.5)*2*$B$7))</f>
        <v>91.347501686820294</v>
      </c>
      <c r="N540" s="54">
        <f ca="1">MIN(100,MAX(0,MCDA_Prioritisation!$F$3+(RAND()-0.5)*2*$B$7))</f>
        <v>99.87336418027634</v>
      </c>
      <c r="O540" s="54">
        <f ca="1">MIN(100,MAX(0,MCDA_Prioritisation!$F$4+(RAND()-0.5)*2*$B$7))</f>
        <v>90.905515228753018</v>
      </c>
      <c r="P540" s="54">
        <f ca="1">MIN(100,MAX(0,MCDA_Prioritisation!$F$5+(RAND()-0.5)*2*$B$7))</f>
        <v>73.092488039836724</v>
      </c>
      <c r="Q540" s="54">
        <f ca="1">MIN(100,MAX(0,MCDA_Prioritisation!$G$2+(RAND()-0.5)*2*$B$7))</f>
        <v>71.32747107156969</v>
      </c>
      <c r="R540" s="54">
        <f ca="1">MIN(100,MAX(0,MCDA_Prioritisation!$G$3+(RAND()-0.5)*2*$B$7))</f>
        <v>97.189076512016484</v>
      </c>
      <c r="S540" s="54">
        <f ca="1">MIN(100,MAX(0,MCDA_Prioritisation!$G$4+(RAND()-0.5)*2*$B$7))</f>
        <v>91.429263067574666</v>
      </c>
      <c r="T540" s="54">
        <f ca="1">MIN(100,MAX(0,MCDA_Prioritisation!$G$5+(RAND()-0.5)*2*$B$7))</f>
        <v>69.195389071686009</v>
      </c>
      <c r="U540" s="54">
        <f ca="1">MIN(100,MAX(0,MCDA_Prioritisation!$H$2+(RAND()-0.5)*2*$B$7))</f>
        <v>72.679525135130831</v>
      </c>
      <c r="V540" s="54">
        <f ca="1">MIN(100,MAX(0,MCDA_Prioritisation!$H$3+(RAND()-0.5)*2*$B$7))</f>
        <v>59.704979599194715</v>
      </c>
      <c r="W540" s="54">
        <f ca="1">MIN(100,MAX(0,MCDA_Prioritisation!$H$4+(RAND()-0.5)*2*$B$7))</f>
        <v>80.747944907785495</v>
      </c>
      <c r="X540" s="54">
        <f ca="1">MIN(100,MAX(0,MCDA_Prioritisation!$H$5+(RAND()-0.5)*2*$B$7))</f>
        <v>84.288624332682829</v>
      </c>
      <c r="Y540" s="54">
        <f ca="1">H540*MCDA_Prioritisation!$D$2+I540*MCDA_Prioritisation!$E$2+J540*M540+K540*Q540+L540*U540</f>
        <v>86.529605827680712</v>
      </c>
      <c r="Z540" s="54">
        <f ca="1">H540*MCDA_Prioritisation!$D$3+I540*MCDA_Prioritisation!$E$3+J540*N540+K540*R540+L540*V540</f>
        <v>85.233768794672599</v>
      </c>
      <c r="AA540" s="54">
        <f ca="1">H540*MCDA_Prioritisation!$D$4+I540*MCDA_Prioritisation!$E$4+J540*O540+K540*S540+L540*W540</f>
        <v>79.682677790441161</v>
      </c>
      <c r="AB540" s="54">
        <f ca="1">H540*MCDA_Prioritisation!$D$5+I540*MCDA_Prioritisation!$E$5+J540*P540+K540*T540+L540*X540</f>
        <v>73.784723198707496</v>
      </c>
      <c r="AC540" s="54">
        <f t="shared" ca="1" si="118"/>
        <v>1</v>
      </c>
      <c r="AD540" s="54">
        <f t="shared" ca="1" si="119"/>
        <v>2</v>
      </c>
      <c r="AE540" s="54">
        <f t="shared" ca="1" si="120"/>
        <v>3</v>
      </c>
      <c r="AF540" s="54">
        <f t="shared" ca="1" si="121"/>
        <v>4</v>
      </c>
      <c r="AG540" s="54">
        <f t="shared" ca="1" si="122"/>
        <v>1</v>
      </c>
      <c r="AH540" s="54">
        <f t="shared" ca="1" si="123"/>
        <v>1</v>
      </c>
      <c r="AI540" s="54">
        <f t="shared" ca="1" si="124"/>
        <v>1</v>
      </c>
      <c r="AJ540" s="54">
        <f t="shared" ca="1" si="125"/>
        <v>1</v>
      </c>
    </row>
    <row r="541" spans="1:36" x14ac:dyDescent="0.2">
      <c r="A541" s="54">
        <v>518</v>
      </c>
      <c r="B541" s="54">
        <f ca="1">MAX(0.02,MCDA_Prioritisation!$B$9+(RAND()-0.5)*2*$B$6)</f>
        <v>0.27110069287389954</v>
      </c>
      <c r="C541" s="54">
        <f ca="1">MAX(0.02,MCDA_Prioritisation!$B$10+(RAND()-0.5)*2*$B$6)</f>
        <v>0.23356391040418684</v>
      </c>
      <c r="D541" s="54">
        <f ca="1">MAX(0.02,MCDA_Prioritisation!$B$11+(RAND()-0.5)*2*$B$6)</f>
        <v>0.31660286350959527</v>
      </c>
      <c r="E541" s="54">
        <f ca="1">MAX(0.02,MCDA_Prioritisation!$B$12+(RAND()-0.5)*2*$B$6)</f>
        <v>0.10531988545289528</v>
      </c>
      <c r="F541" s="54">
        <f ca="1">MAX(0.02,MCDA_Prioritisation!$B$13+(RAND()-0.5)*2*$B$6)</f>
        <v>0.15632697672998644</v>
      </c>
      <c r="G541" s="54">
        <f t="shared" ca="1" si="112"/>
        <v>1.0829143289705634</v>
      </c>
      <c r="H541" s="54">
        <f t="shared" ca="1" si="113"/>
        <v>0.25034361963943391</v>
      </c>
      <c r="I541" s="54">
        <f t="shared" ca="1" si="114"/>
        <v>0.21568087535254671</v>
      </c>
      <c r="J541" s="54">
        <f t="shared" ca="1" si="115"/>
        <v>0.29236187484061021</v>
      </c>
      <c r="K541" s="54">
        <f t="shared" ca="1" si="116"/>
        <v>9.725597181174446E-2</v>
      </c>
      <c r="L541" s="54">
        <f t="shared" ca="1" si="117"/>
        <v>0.14435765835566466</v>
      </c>
      <c r="M541" s="54">
        <f ca="1">MIN(100,MAX(0,MCDA_Prioritisation!$F$2+(RAND()-0.5)*2*$B$7))</f>
        <v>92.115423308942468</v>
      </c>
      <c r="N541" s="54">
        <f ca="1">MIN(100,MAX(0,MCDA_Prioritisation!$F$3+(RAND()-0.5)*2*$B$7))</f>
        <v>87.86975119466382</v>
      </c>
      <c r="O541" s="54">
        <f ca="1">MIN(100,MAX(0,MCDA_Prioritisation!$F$4+(RAND()-0.5)*2*$B$7))</f>
        <v>91.872990478640304</v>
      </c>
      <c r="P541" s="54">
        <f ca="1">MIN(100,MAX(0,MCDA_Prioritisation!$F$5+(RAND()-0.5)*2*$B$7))</f>
        <v>70.083159315307412</v>
      </c>
      <c r="Q541" s="54">
        <f ca="1">MIN(100,MAX(0,MCDA_Prioritisation!$G$2+(RAND()-0.5)*2*$B$7))</f>
        <v>82.924986388505559</v>
      </c>
      <c r="R541" s="54">
        <f ca="1">MIN(100,MAX(0,MCDA_Prioritisation!$G$3+(RAND()-0.5)*2*$B$7))</f>
        <v>100</v>
      </c>
      <c r="S541" s="54">
        <f ca="1">MIN(100,MAX(0,MCDA_Prioritisation!$G$4+(RAND()-0.5)*2*$B$7))</f>
        <v>85.051903528834657</v>
      </c>
      <c r="T541" s="54">
        <f ca="1">MIN(100,MAX(0,MCDA_Prioritisation!$G$5+(RAND()-0.5)*2*$B$7))</f>
        <v>65.246004903298115</v>
      </c>
      <c r="U541" s="54">
        <f ca="1">MIN(100,MAX(0,MCDA_Prioritisation!$H$2+(RAND()-0.5)*2*$B$7))</f>
        <v>63.013213377821621</v>
      </c>
      <c r="V541" s="54">
        <f ca="1">MIN(100,MAX(0,MCDA_Prioritisation!$H$3+(RAND()-0.5)*2*$B$7))</f>
        <v>63.755538419373309</v>
      </c>
      <c r="W541" s="54">
        <f ca="1">MIN(100,MAX(0,MCDA_Prioritisation!$H$4+(RAND()-0.5)*2*$B$7))</f>
        <v>76.260436542410687</v>
      </c>
      <c r="X541" s="54">
        <f ca="1">MIN(100,MAX(0,MCDA_Prioritisation!$H$5+(RAND()-0.5)*2*$B$7))</f>
        <v>80.927262142613657</v>
      </c>
      <c r="Y541" s="54">
        <f ca="1">H541*MCDA_Prioritisation!$D$2+I541*MCDA_Prioritisation!$E$2+J541*M541+K541*Q541+L541*U541</f>
        <v>90.694877426914886</v>
      </c>
      <c r="Z541" s="54">
        <f ca="1">H541*MCDA_Prioritisation!$D$3+I541*MCDA_Prioritisation!$E$3+J541*N541+K541*R541+L541*V541</f>
        <v>82.184085544853218</v>
      </c>
      <c r="AA541" s="54">
        <f ca="1">H541*MCDA_Prioritisation!$D$4+I541*MCDA_Prioritisation!$E$4+J541*O541+K541*S541+L541*W541</f>
        <v>75.337612704529519</v>
      </c>
      <c r="AB541" s="54">
        <f ca="1">H541*MCDA_Prioritisation!$D$5+I541*MCDA_Prioritisation!$E$5+J541*P541+K541*T541+L541*X541</f>
        <v>69.941688781425739</v>
      </c>
      <c r="AC541" s="54">
        <f t="shared" ca="1" si="118"/>
        <v>1</v>
      </c>
      <c r="AD541" s="54">
        <f t="shared" ca="1" si="119"/>
        <v>2</v>
      </c>
      <c r="AE541" s="54">
        <f t="shared" ca="1" si="120"/>
        <v>3</v>
      </c>
      <c r="AF541" s="54">
        <f t="shared" ca="1" si="121"/>
        <v>4</v>
      </c>
      <c r="AG541" s="54">
        <f t="shared" ca="1" si="122"/>
        <v>1</v>
      </c>
      <c r="AH541" s="54">
        <f t="shared" ca="1" si="123"/>
        <v>1</v>
      </c>
      <c r="AI541" s="54">
        <f t="shared" ca="1" si="124"/>
        <v>1</v>
      </c>
      <c r="AJ541" s="54">
        <f t="shared" ca="1" si="125"/>
        <v>1</v>
      </c>
    </row>
    <row r="542" spans="1:36" x14ac:dyDescent="0.2">
      <c r="A542" s="54">
        <v>519</v>
      </c>
      <c r="B542" s="54">
        <f ca="1">MAX(0.02,MCDA_Prioritisation!$B$9+(RAND()-0.5)*2*$B$6)</f>
        <v>0.25960124603344609</v>
      </c>
      <c r="C542" s="54">
        <f ca="1">MAX(0.02,MCDA_Prioritisation!$B$10+(RAND()-0.5)*2*$B$6)</f>
        <v>0.22622017882679996</v>
      </c>
      <c r="D542" s="54">
        <f ca="1">MAX(0.02,MCDA_Prioritisation!$B$11+(RAND()-0.5)*2*$B$6)</f>
        <v>0.32504022014143791</v>
      </c>
      <c r="E542" s="54">
        <f ca="1">MAX(0.02,MCDA_Prioritisation!$B$12+(RAND()-0.5)*2*$B$6)</f>
        <v>0.1405079458957248</v>
      </c>
      <c r="F542" s="54">
        <f ca="1">MAX(0.02,MCDA_Prioritisation!$B$13+(RAND()-0.5)*2*$B$6)</f>
        <v>7.5896390170537786E-2</v>
      </c>
      <c r="G542" s="54">
        <f t="shared" ca="1" si="112"/>
        <v>1.0272659810679465</v>
      </c>
      <c r="H542" s="54">
        <f t="shared" ca="1" si="113"/>
        <v>0.25271083713252573</v>
      </c>
      <c r="I542" s="54">
        <f t="shared" ca="1" si="114"/>
        <v>0.22021577955070729</v>
      </c>
      <c r="J542" s="54">
        <f t="shared" ca="1" si="115"/>
        <v>0.3164129116818663</v>
      </c>
      <c r="K542" s="54">
        <f t="shared" ca="1" si="116"/>
        <v>0.13677854468581996</v>
      </c>
      <c r="L542" s="54">
        <f t="shared" ca="1" si="117"/>
        <v>7.3881926949080745E-2</v>
      </c>
      <c r="M542" s="54">
        <f ca="1">MIN(100,MAX(0,MCDA_Prioritisation!$F$2+(RAND()-0.5)*2*$B$7))</f>
        <v>86.217769569390526</v>
      </c>
      <c r="N542" s="54">
        <f ca="1">MIN(100,MAX(0,MCDA_Prioritisation!$F$3+(RAND()-0.5)*2*$B$7))</f>
        <v>97.141902276153374</v>
      </c>
      <c r="O542" s="54">
        <f ca="1">MIN(100,MAX(0,MCDA_Prioritisation!$F$4+(RAND()-0.5)*2*$B$7))</f>
        <v>90.083639336244971</v>
      </c>
      <c r="P542" s="54">
        <f ca="1">MIN(100,MAX(0,MCDA_Prioritisation!$F$5+(RAND()-0.5)*2*$B$7))</f>
        <v>82.948971814149587</v>
      </c>
      <c r="Q542" s="54">
        <f ca="1">MIN(100,MAX(0,MCDA_Prioritisation!$G$2+(RAND()-0.5)*2*$B$7))</f>
        <v>83.611127691792987</v>
      </c>
      <c r="R542" s="54">
        <f ca="1">MIN(100,MAX(0,MCDA_Prioritisation!$G$3+(RAND()-0.5)*2*$B$7))</f>
        <v>87.57926270500468</v>
      </c>
      <c r="S542" s="54">
        <f ca="1">MIN(100,MAX(0,MCDA_Prioritisation!$G$4+(RAND()-0.5)*2*$B$7))</f>
        <v>77.076895885271313</v>
      </c>
      <c r="T542" s="54">
        <f ca="1">MIN(100,MAX(0,MCDA_Prioritisation!$G$5+(RAND()-0.5)*2*$B$7))</f>
        <v>64.490204457988881</v>
      </c>
      <c r="U542" s="54">
        <f ca="1">MIN(100,MAX(0,MCDA_Prioritisation!$H$2+(RAND()-0.5)*2*$B$7))</f>
        <v>64.118119576327686</v>
      </c>
      <c r="V542" s="54">
        <f ca="1">MIN(100,MAX(0,MCDA_Prioritisation!$H$3+(RAND()-0.5)*2*$B$7))</f>
        <v>61.039182719357832</v>
      </c>
      <c r="W542" s="54">
        <f ca="1">MIN(100,MAX(0,MCDA_Prioritisation!$H$4+(RAND()-0.5)*2*$B$7))</f>
        <v>83.17937194345275</v>
      </c>
      <c r="X542" s="54">
        <f ca="1">MIN(100,MAX(0,MCDA_Prioritisation!$H$5+(RAND()-0.5)*2*$B$7))</f>
        <v>73.445651565312218</v>
      </c>
      <c r="Y542" s="54">
        <f ca="1">H542*MCDA_Prioritisation!$D$2+I542*MCDA_Prioritisation!$E$2+J542*M542+K542*Q542+L542*U542</f>
        <v>90.74645576836474</v>
      </c>
      <c r="Z542" s="54">
        <f ca="1">H542*MCDA_Prioritisation!$D$3+I542*MCDA_Prioritisation!$E$3+J542*N542+K542*R542+L542*V542</f>
        <v>85.327430152016149</v>
      </c>
      <c r="AA542" s="54">
        <f ca="1">H542*MCDA_Prioritisation!$D$4+I542*MCDA_Prioritisation!$E$4+J542*O542+K542*S542+L542*W542</f>
        <v>74.800611452468317</v>
      </c>
      <c r="AB542" s="54">
        <f ca="1">H542*MCDA_Prioritisation!$D$5+I542*MCDA_Prioritisation!$E$5+J542*P542+K542*T542+L542*X542</f>
        <v>72.424305915676499</v>
      </c>
      <c r="AC542" s="54">
        <f t="shared" ca="1" si="118"/>
        <v>1</v>
      </c>
      <c r="AD542" s="54">
        <f t="shared" ca="1" si="119"/>
        <v>2</v>
      </c>
      <c r="AE542" s="54">
        <f t="shared" ca="1" si="120"/>
        <v>3</v>
      </c>
      <c r="AF542" s="54">
        <f t="shared" ca="1" si="121"/>
        <v>4</v>
      </c>
      <c r="AG542" s="54">
        <f t="shared" ca="1" si="122"/>
        <v>1</v>
      </c>
      <c r="AH542" s="54">
        <f t="shared" ca="1" si="123"/>
        <v>1</v>
      </c>
      <c r="AI542" s="54">
        <f t="shared" ca="1" si="124"/>
        <v>1</v>
      </c>
      <c r="AJ542" s="54">
        <f t="shared" ca="1" si="125"/>
        <v>1</v>
      </c>
    </row>
    <row r="543" spans="1:36" x14ac:dyDescent="0.2">
      <c r="A543" s="54">
        <v>520</v>
      </c>
      <c r="B543" s="54">
        <f ca="1">MAX(0.02,MCDA_Prioritisation!$B$9+(RAND()-0.5)*2*$B$6)</f>
        <v>0.12147990027861068</v>
      </c>
      <c r="C543" s="54">
        <f ca="1">MAX(0.02,MCDA_Prioritisation!$B$10+(RAND()-0.5)*2*$B$6)</f>
        <v>0.32122191893783553</v>
      </c>
      <c r="D543" s="54">
        <f ca="1">MAX(0.02,MCDA_Prioritisation!$B$11+(RAND()-0.5)*2*$B$6)</f>
        <v>0.23122875113078498</v>
      </c>
      <c r="E543" s="54">
        <f ca="1">MAX(0.02,MCDA_Prioritisation!$B$12+(RAND()-0.5)*2*$B$6)</f>
        <v>7.8174269901266816E-2</v>
      </c>
      <c r="F543" s="54">
        <f ca="1">MAX(0.02,MCDA_Prioritisation!$B$13+(RAND()-0.5)*2*$B$6)</f>
        <v>0.17901092465992108</v>
      </c>
      <c r="G543" s="54">
        <f t="shared" ca="1" si="112"/>
        <v>0.93111576490841907</v>
      </c>
      <c r="H543" s="54">
        <f t="shared" ca="1" si="113"/>
        <v>0.13046702124150908</v>
      </c>
      <c r="I543" s="54">
        <f t="shared" ca="1" si="114"/>
        <v>0.34498601682405161</v>
      </c>
      <c r="J543" s="54">
        <f t="shared" ca="1" si="115"/>
        <v>0.24833512635620314</v>
      </c>
      <c r="K543" s="54">
        <f t="shared" ca="1" si="116"/>
        <v>8.3957626803747368E-2</v>
      </c>
      <c r="L543" s="54">
        <f t="shared" ca="1" si="117"/>
        <v>0.19225420877448884</v>
      </c>
      <c r="M543" s="54">
        <f ca="1">MIN(100,MAX(0,MCDA_Prioritisation!$F$2+(RAND()-0.5)*2*$B$7))</f>
        <v>85.943822761251923</v>
      </c>
      <c r="N543" s="54">
        <f ca="1">MIN(100,MAX(0,MCDA_Prioritisation!$F$3+(RAND()-0.5)*2*$B$7))</f>
        <v>98.912743531601151</v>
      </c>
      <c r="O543" s="54">
        <f ca="1">MIN(100,MAX(0,MCDA_Prioritisation!$F$4+(RAND()-0.5)*2*$B$7))</f>
        <v>91.842730480456908</v>
      </c>
      <c r="P543" s="54">
        <f ca="1">MIN(100,MAX(0,MCDA_Prioritisation!$F$5+(RAND()-0.5)*2*$B$7))</f>
        <v>72.294392967226926</v>
      </c>
      <c r="Q543" s="54">
        <f ca="1">MIN(100,MAX(0,MCDA_Prioritisation!$G$2+(RAND()-0.5)*2*$B$7))</f>
        <v>85.215082683330465</v>
      </c>
      <c r="R543" s="54">
        <f ca="1">MIN(100,MAX(0,MCDA_Prioritisation!$G$3+(RAND()-0.5)*2*$B$7))</f>
        <v>86.197113178143738</v>
      </c>
      <c r="S543" s="54">
        <f ca="1">MIN(100,MAX(0,MCDA_Prioritisation!$G$4+(RAND()-0.5)*2*$B$7))</f>
        <v>75.476198478480072</v>
      </c>
      <c r="T543" s="54">
        <f ca="1">MIN(100,MAX(0,MCDA_Prioritisation!$G$5+(RAND()-0.5)*2*$B$7))</f>
        <v>64.098375602899523</v>
      </c>
      <c r="U543" s="54">
        <f ca="1">MIN(100,MAX(0,MCDA_Prioritisation!$H$2+(RAND()-0.5)*2*$B$7))</f>
        <v>72.836383400698281</v>
      </c>
      <c r="V543" s="54">
        <f ca="1">MIN(100,MAX(0,MCDA_Prioritisation!$H$3+(RAND()-0.5)*2*$B$7))</f>
        <v>58.292265823602229</v>
      </c>
      <c r="W543" s="54">
        <f ca="1">MIN(100,MAX(0,MCDA_Prioritisation!$H$4+(RAND()-0.5)*2*$B$7))</f>
        <v>83.989280189079608</v>
      </c>
      <c r="X543" s="54">
        <f ca="1">MIN(100,MAX(0,MCDA_Prioritisation!$H$5+(RAND()-0.5)*2*$B$7))</f>
        <v>73.41993964397615</v>
      </c>
      <c r="Y543" s="54">
        <f ca="1">H543*MCDA_Prioritisation!$D$2+I543*MCDA_Prioritisation!$E$2+J543*M543+K543*Q543+L543*U543</f>
        <v>90.045731262180766</v>
      </c>
      <c r="Z543" s="54">
        <f ca="1">H543*MCDA_Prioritisation!$D$3+I543*MCDA_Prioritisation!$E$3+J543*N543+K543*R543+L543*V543</f>
        <v>79.499644583345784</v>
      </c>
      <c r="AA543" s="54">
        <f ca="1">H543*MCDA_Prioritisation!$D$4+I543*MCDA_Prioritisation!$E$4+J543*O543+K543*S543+L543*W543</f>
        <v>73.194246686717293</v>
      </c>
      <c r="AB543" s="54">
        <f ca="1">H543*MCDA_Prioritisation!$D$5+I543*MCDA_Prioritisation!$E$5+J543*P543+K543*T543+L543*X543</f>
        <v>73.38491813766376</v>
      </c>
      <c r="AC543" s="54">
        <f t="shared" ca="1" si="118"/>
        <v>1</v>
      </c>
      <c r="AD543" s="54">
        <f t="shared" ca="1" si="119"/>
        <v>2</v>
      </c>
      <c r="AE543" s="54">
        <f t="shared" ca="1" si="120"/>
        <v>4</v>
      </c>
      <c r="AF543" s="54">
        <f t="shared" ca="1" si="121"/>
        <v>3</v>
      </c>
      <c r="AG543" s="54">
        <f t="shared" ca="1" si="122"/>
        <v>1</v>
      </c>
      <c r="AH543" s="54">
        <f t="shared" ca="1" si="123"/>
        <v>1</v>
      </c>
      <c r="AI543" s="54">
        <f t="shared" ca="1" si="124"/>
        <v>0</v>
      </c>
      <c r="AJ543" s="54">
        <f t="shared" ca="1" si="125"/>
        <v>1</v>
      </c>
    </row>
    <row r="544" spans="1:36" x14ac:dyDescent="0.2">
      <c r="A544" s="54">
        <v>521</v>
      </c>
      <c r="B544" s="54">
        <f ca="1">MAX(0.02,MCDA_Prioritisation!$B$9+(RAND()-0.5)*2*$B$6)</f>
        <v>0.12436058543637989</v>
      </c>
      <c r="C544" s="54">
        <f ca="1">MAX(0.02,MCDA_Prioritisation!$B$10+(RAND()-0.5)*2*$B$6)</f>
        <v>0.28575867071773547</v>
      </c>
      <c r="D544" s="54">
        <f ca="1">MAX(0.02,MCDA_Prioritisation!$B$11+(RAND()-0.5)*2*$B$6)</f>
        <v>0.29040954303724142</v>
      </c>
      <c r="E544" s="54">
        <f ca="1">MAX(0.02,MCDA_Prioritisation!$B$12+(RAND()-0.5)*2*$B$6)</f>
        <v>0.15627635271608331</v>
      </c>
      <c r="F544" s="54">
        <f ca="1">MAX(0.02,MCDA_Prioritisation!$B$13+(RAND()-0.5)*2*$B$6)</f>
        <v>8.7242779129686726E-2</v>
      </c>
      <c r="G544" s="54">
        <f t="shared" ca="1" si="112"/>
        <v>0.94404793103712681</v>
      </c>
      <c r="H544" s="54">
        <f t="shared" ca="1" si="113"/>
        <v>0.13173121972711482</v>
      </c>
      <c r="I544" s="54">
        <f t="shared" ca="1" si="114"/>
        <v>0.30269508710622595</v>
      </c>
      <c r="J544" s="54">
        <f t="shared" ca="1" si="115"/>
        <v>0.30762160848994058</v>
      </c>
      <c r="K544" s="54">
        <f t="shared" ca="1" si="116"/>
        <v>0.16553857868678215</v>
      </c>
      <c r="L544" s="54">
        <f t="shared" ca="1" si="117"/>
        <v>9.2413505989936556E-2</v>
      </c>
      <c r="M544" s="54">
        <f ca="1">MIN(100,MAX(0,MCDA_Prioritisation!$F$2+(RAND()-0.5)*2*$B$7))</f>
        <v>85.382642078884487</v>
      </c>
      <c r="N544" s="54">
        <f ca="1">MIN(100,MAX(0,MCDA_Prioritisation!$F$3+(RAND()-0.5)*2*$B$7))</f>
        <v>87.655421530064743</v>
      </c>
      <c r="O544" s="54">
        <f ca="1">MIN(100,MAX(0,MCDA_Prioritisation!$F$4+(RAND()-0.5)*2*$B$7))</f>
        <v>99.286428962708328</v>
      </c>
      <c r="P544" s="54">
        <f ca="1">MIN(100,MAX(0,MCDA_Prioritisation!$F$5+(RAND()-0.5)*2*$B$7))</f>
        <v>73.296021238985006</v>
      </c>
      <c r="Q544" s="54">
        <f ca="1">MIN(100,MAX(0,MCDA_Prioritisation!$G$2+(RAND()-0.5)*2*$B$7))</f>
        <v>84.611554302685434</v>
      </c>
      <c r="R544" s="54">
        <f ca="1">MIN(100,MAX(0,MCDA_Prioritisation!$G$3+(RAND()-0.5)*2*$B$7))</f>
        <v>87.327442259489303</v>
      </c>
      <c r="S544" s="54">
        <f ca="1">MIN(100,MAX(0,MCDA_Prioritisation!$G$4+(RAND()-0.5)*2*$B$7))</f>
        <v>85.521948337966279</v>
      </c>
      <c r="T544" s="54">
        <f ca="1">MIN(100,MAX(0,MCDA_Prioritisation!$G$5+(RAND()-0.5)*2*$B$7))</f>
        <v>65.138325708652658</v>
      </c>
      <c r="U544" s="54">
        <f ca="1">MIN(100,MAX(0,MCDA_Prioritisation!$H$2+(RAND()-0.5)*2*$B$7))</f>
        <v>65.84612081808082</v>
      </c>
      <c r="V544" s="54">
        <f ca="1">MIN(100,MAX(0,MCDA_Prioritisation!$H$3+(RAND()-0.5)*2*$B$7))</f>
        <v>55.398820350586682</v>
      </c>
      <c r="W544" s="54">
        <f ca="1">MIN(100,MAX(0,MCDA_Prioritisation!$H$4+(RAND()-0.5)*2*$B$7))</f>
        <v>84.899110793981549</v>
      </c>
      <c r="X544" s="54">
        <f ca="1">MIN(100,MAX(0,MCDA_Prioritisation!$H$5+(RAND()-0.5)*2*$B$7))</f>
        <v>81.36855123984526</v>
      </c>
      <c r="Y544" s="54">
        <f ca="1">H544*MCDA_Prioritisation!$D$2+I544*MCDA_Prioritisation!$E$2+J544*M544+K544*Q544+L544*U544</f>
        <v>89.79972369714325</v>
      </c>
      <c r="Z544" s="54">
        <f ca="1">H544*MCDA_Prioritisation!$D$3+I544*MCDA_Prioritisation!$E$3+J544*N544+K544*R544+L544*V544</f>
        <v>80.067442041422595</v>
      </c>
      <c r="AA544" s="54">
        <f ca="1">H544*MCDA_Prioritisation!$D$4+I544*MCDA_Prioritisation!$E$4+J544*O544+K544*S544+L544*W544</f>
        <v>78.229286098474901</v>
      </c>
      <c r="AB544" s="54">
        <f ca="1">H544*MCDA_Prioritisation!$D$5+I544*MCDA_Prioritisation!$E$5+J544*P544+K544*T544+L544*X544</f>
        <v>73.295555659140049</v>
      </c>
      <c r="AC544" s="54">
        <f t="shared" ca="1" si="118"/>
        <v>1</v>
      </c>
      <c r="AD544" s="54">
        <f t="shared" ca="1" si="119"/>
        <v>2</v>
      </c>
      <c r="AE544" s="54">
        <f t="shared" ca="1" si="120"/>
        <v>3</v>
      </c>
      <c r="AF544" s="54">
        <f t="shared" ca="1" si="121"/>
        <v>4</v>
      </c>
      <c r="AG544" s="54">
        <f t="shared" ca="1" si="122"/>
        <v>1</v>
      </c>
      <c r="AH544" s="54">
        <f t="shared" ca="1" si="123"/>
        <v>1</v>
      </c>
      <c r="AI544" s="54">
        <f t="shared" ca="1" si="124"/>
        <v>1</v>
      </c>
      <c r="AJ544" s="54">
        <f t="shared" ca="1" si="125"/>
        <v>1</v>
      </c>
    </row>
    <row r="545" spans="1:36" x14ac:dyDescent="0.2">
      <c r="A545" s="54">
        <v>522</v>
      </c>
      <c r="B545" s="54">
        <f ca="1">MAX(0.02,MCDA_Prioritisation!$B$9+(RAND()-0.5)*2*$B$6)</f>
        <v>0.15001853829051504</v>
      </c>
      <c r="C545" s="54">
        <f ca="1">MAX(0.02,MCDA_Prioritisation!$B$10+(RAND()-0.5)*2*$B$6)</f>
        <v>0.27778813040288702</v>
      </c>
      <c r="D545" s="54">
        <f ca="1">MAX(0.02,MCDA_Prioritisation!$B$11+(RAND()-0.5)*2*$B$6)</f>
        <v>0.23049546114760663</v>
      </c>
      <c r="E545" s="54">
        <f ca="1">MAX(0.02,MCDA_Prioritisation!$B$12+(RAND()-0.5)*2*$B$6)</f>
        <v>7.5917752625605558E-2</v>
      </c>
      <c r="F545" s="54">
        <f ca="1">MAX(0.02,MCDA_Prioritisation!$B$13+(RAND()-0.5)*2*$B$6)</f>
        <v>0.17599291070347348</v>
      </c>
      <c r="G545" s="54">
        <f t="shared" ca="1" si="112"/>
        <v>0.91021279317008763</v>
      </c>
      <c r="H545" s="54">
        <f t="shared" ca="1" si="113"/>
        <v>0.16481699599939781</v>
      </c>
      <c r="I545" s="54">
        <f t="shared" ca="1" si="114"/>
        <v>0.30519031647029149</v>
      </c>
      <c r="J545" s="54">
        <f t="shared" ca="1" si="115"/>
        <v>0.25323250000127706</v>
      </c>
      <c r="K545" s="54">
        <f t="shared" ca="1" si="116"/>
        <v>8.340659810020834E-2</v>
      </c>
      <c r="L545" s="54">
        <f t="shared" ca="1" si="117"/>
        <v>0.19335358942882538</v>
      </c>
      <c r="M545" s="54">
        <f ca="1">MIN(100,MAX(0,MCDA_Prioritisation!$F$2+(RAND()-0.5)*2*$B$7))</f>
        <v>78.033882871073175</v>
      </c>
      <c r="N545" s="54">
        <f ca="1">MIN(100,MAX(0,MCDA_Prioritisation!$F$3+(RAND()-0.5)*2*$B$7))</f>
        <v>100</v>
      </c>
      <c r="O545" s="54">
        <f ca="1">MIN(100,MAX(0,MCDA_Prioritisation!$F$4+(RAND()-0.5)*2*$B$7))</f>
        <v>84.657253108904953</v>
      </c>
      <c r="P545" s="54">
        <f ca="1">MIN(100,MAX(0,MCDA_Prioritisation!$F$5+(RAND()-0.5)*2*$B$7))</f>
        <v>82.138564008545956</v>
      </c>
      <c r="Q545" s="54">
        <f ca="1">MIN(100,MAX(0,MCDA_Prioritisation!$G$2+(RAND()-0.5)*2*$B$7))</f>
        <v>76.411277131132834</v>
      </c>
      <c r="R545" s="54">
        <f ca="1">MIN(100,MAX(0,MCDA_Prioritisation!$G$3+(RAND()-0.5)*2*$B$7))</f>
        <v>87.63484444125838</v>
      </c>
      <c r="S545" s="54">
        <f ca="1">MIN(100,MAX(0,MCDA_Prioritisation!$G$4+(RAND()-0.5)*2*$B$7))</f>
        <v>75.01388900936378</v>
      </c>
      <c r="T545" s="54">
        <f ca="1">MIN(100,MAX(0,MCDA_Prioritisation!$G$5+(RAND()-0.5)*2*$B$7))</f>
        <v>74.793563474877672</v>
      </c>
      <c r="U545" s="54">
        <f ca="1">MIN(100,MAX(0,MCDA_Prioritisation!$H$2+(RAND()-0.5)*2*$B$7))</f>
        <v>65.125306283427349</v>
      </c>
      <c r="V545" s="54">
        <f ca="1">MIN(100,MAX(0,MCDA_Prioritisation!$H$3+(RAND()-0.5)*2*$B$7))</f>
        <v>57.364466362223745</v>
      </c>
      <c r="W545" s="54">
        <f ca="1">MIN(100,MAX(0,MCDA_Prioritisation!$H$4+(RAND()-0.5)*2*$B$7))</f>
        <v>77.439813753832397</v>
      </c>
      <c r="X545" s="54">
        <f ca="1">MIN(100,MAX(0,MCDA_Prioritisation!$H$5+(RAND()-0.5)*2*$B$7))</f>
        <v>66.930489245327266</v>
      </c>
      <c r="Y545" s="54">
        <f ca="1">H545*MCDA_Prioritisation!$D$2+I545*MCDA_Prioritisation!$E$2+J545*M545+K545*Q545+L545*U545</f>
        <v>85.726862905769963</v>
      </c>
      <c r="Z545" s="54">
        <f ca="1">H545*MCDA_Prioritisation!$D$3+I545*MCDA_Prioritisation!$E$3+J545*N545+K545*R545+L545*V545</f>
        <v>80.324343613144052</v>
      </c>
      <c r="AA545" s="54">
        <f ca="1">H545*MCDA_Prioritisation!$D$4+I545*MCDA_Prioritisation!$E$4+J545*O545+K545*S545+L545*W545</f>
        <v>70.791518337398259</v>
      </c>
      <c r="AB545" s="54">
        <f ca="1">H545*MCDA_Prioritisation!$D$5+I545*MCDA_Prioritisation!$E$5+J545*P545+K545*T545+L545*X545</f>
        <v>74.391220815602082</v>
      </c>
      <c r="AC545" s="54">
        <f t="shared" ca="1" si="118"/>
        <v>1</v>
      </c>
      <c r="AD545" s="54">
        <f t="shared" ca="1" si="119"/>
        <v>2</v>
      </c>
      <c r="AE545" s="54">
        <f t="shared" ca="1" si="120"/>
        <v>4</v>
      </c>
      <c r="AF545" s="54">
        <f t="shared" ca="1" si="121"/>
        <v>3</v>
      </c>
      <c r="AG545" s="54">
        <f t="shared" ca="1" si="122"/>
        <v>1</v>
      </c>
      <c r="AH545" s="54">
        <f t="shared" ca="1" si="123"/>
        <v>1</v>
      </c>
      <c r="AI545" s="54">
        <f t="shared" ca="1" si="124"/>
        <v>0</v>
      </c>
      <c r="AJ545" s="54">
        <f t="shared" ca="1" si="125"/>
        <v>1</v>
      </c>
    </row>
    <row r="546" spans="1:36" x14ac:dyDescent="0.2">
      <c r="A546" s="54">
        <v>523</v>
      </c>
      <c r="B546" s="54">
        <f ca="1">MAX(0.02,MCDA_Prioritisation!$B$9+(RAND()-0.5)*2*$B$6)</f>
        <v>0.21802009015803112</v>
      </c>
      <c r="C546" s="54">
        <f ca="1">MAX(0.02,MCDA_Prioritisation!$B$10+(RAND()-0.5)*2*$B$6)</f>
        <v>0.29169978500654808</v>
      </c>
      <c r="D546" s="54">
        <f ca="1">MAX(0.02,MCDA_Prioritisation!$B$11+(RAND()-0.5)*2*$B$6)</f>
        <v>0.32977824429628744</v>
      </c>
      <c r="E546" s="54">
        <f ca="1">MAX(0.02,MCDA_Prioritisation!$B$12+(RAND()-0.5)*2*$B$6)</f>
        <v>0.15112356297317717</v>
      </c>
      <c r="F546" s="54">
        <f ca="1">MAX(0.02,MCDA_Prioritisation!$B$13+(RAND()-0.5)*2*$B$6)</f>
        <v>0.22902107536632885</v>
      </c>
      <c r="G546" s="54">
        <f t="shared" ca="1" si="112"/>
        <v>1.2196427578003726</v>
      </c>
      <c r="H546" s="54">
        <f t="shared" ca="1" si="113"/>
        <v>0.17875733591960211</v>
      </c>
      <c r="I546" s="54">
        <f t="shared" ca="1" si="114"/>
        <v>0.23916821802199609</v>
      </c>
      <c r="J546" s="54">
        <f t="shared" ca="1" si="115"/>
        <v>0.27038921207636485</v>
      </c>
      <c r="K546" s="54">
        <f t="shared" ca="1" si="116"/>
        <v>0.12390805586853049</v>
      </c>
      <c r="L546" s="54">
        <f t="shared" ca="1" si="117"/>
        <v>0.18777717811350653</v>
      </c>
      <c r="M546" s="54">
        <f ca="1">MIN(100,MAX(0,MCDA_Prioritisation!$F$2+(RAND()-0.5)*2*$B$7))</f>
        <v>83.219677381999844</v>
      </c>
      <c r="N546" s="54">
        <f ca="1">MIN(100,MAX(0,MCDA_Prioritisation!$F$3+(RAND()-0.5)*2*$B$7))</f>
        <v>96.950860360057305</v>
      </c>
      <c r="O546" s="54">
        <f ca="1">MIN(100,MAX(0,MCDA_Prioritisation!$F$4+(RAND()-0.5)*2*$B$7))</f>
        <v>80.182637944953044</v>
      </c>
      <c r="P546" s="54">
        <f ca="1">MIN(100,MAX(0,MCDA_Prioritisation!$F$5+(RAND()-0.5)*2*$B$7))</f>
        <v>76.650198981247087</v>
      </c>
      <c r="Q546" s="54">
        <f ca="1">MIN(100,MAX(0,MCDA_Prioritisation!$G$2+(RAND()-0.5)*2*$B$7))</f>
        <v>89.992351284565629</v>
      </c>
      <c r="R546" s="54">
        <f ca="1">MIN(100,MAX(0,MCDA_Prioritisation!$G$3+(RAND()-0.5)*2*$B$7))</f>
        <v>99.142344421151961</v>
      </c>
      <c r="S546" s="54">
        <f ca="1">MIN(100,MAX(0,MCDA_Prioritisation!$G$4+(RAND()-0.5)*2*$B$7))</f>
        <v>76.485971958473129</v>
      </c>
      <c r="T546" s="54">
        <f ca="1">MIN(100,MAX(0,MCDA_Prioritisation!$G$5+(RAND()-0.5)*2*$B$7))</f>
        <v>62.303468247683035</v>
      </c>
      <c r="U546" s="54">
        <f ca="1">MIN(100,MAX(0,MCDA_Prioritisation!$H$2+(RAND()-0.5)*2*$B$7))</f>
        <v>55.435270487085191</v>
      </c>
      <c r="V546" s="54">
        <f ca="1">MIN(100,MAX(0,MCDA_Prioritisation!$H$3+(RAND()-0.5)*2*$B$7))</f>
        <v>52.295314032900336</v>
      </c>
      <c r="W546" s="54">
        <f ca="1">MIN(100,MAX(0,MCDA_Prioritisation!$H$4+(RAND()-0.5)*2*$B$7))</f>
        <v>70.139843044968899</v>
      </c>
      <c r="X546" s="54">
        <f ca="1">MIN(100,MAX(0,MCDA_Prioritisation!$H$5+(RAND()-0.5)*2*$B$7))</f>
        <v>77.261339014004179</v>
      </c>
      <c r="Y546" s="54">
        <f ca="1">H546*MCDA_Prioritisation!$D$2+I546*MCDA_Prioritisation!$E$2+J546*M546+K546*Q546+L546*U546</f>
        <v>85.854514341460217</v>
      </c>
      <c r="Z546" s="54">
        <f ca="1">H546*MCDA_Prioritisation!$D$3+I546*MCDA_Prioritisation!$E$3+J546*N546+K546*R546+L546*V546</f>
        <v>81.335746765696555</v>
      </c>
      <c r="AA546" s="54">
        <f ca="1">H546*MCDA_Prioritisation!$D$4+I546*MCDA_Prioritisation!$E$4+J546*O546+K546*S546+L546*W546</f>
        <v>69.821559378331955</v>
      </c>
      <c r="AB546" s="54">
        <f ca="1">H546*MCDA_Prioritisation!$D$5+I546*MCDA_Prioritisation!$E$5+J546*P546+K546*T546+L546*X546</f>
        <v>72.552782295031008</v>
      </c>
      <c r="AC546" s="54">
        <f t="shared" ca="1" si="118"/>
        <v>1</v>
      </c>
      <c r="AD546" s="54">
        <f t="shared" ca="1" si="119"/>
        <v>2</v>
      </c>
      <c r="AE546" s="54">
        <f t="shared" ca="1" si="120"/>
        <v>4</v>
      </c>
      <c r="AF546" s="54">
        <f t="shared" ca="1" si="121"/>
        <v>3</v>
      </c>
      <c r="AG546" s="54">
        <f t="shared" ca="1" si="122"/>
        <v>1</v>
      </c>
      <c r="AH546" s="54">
        <f t="shared" ca="1" si="123"/>
        <v>1</v>
      </c>
      <c r="AI546" s="54">
        <f t="shared" ca="1" si="124"/>
        <v>0</v>
      </c>
      <c r="AJ546" s="54">
        <f t="shared" ca="1" si="125"/>
        <v>1</v>
      </c>
    </row>
    <row r="547" spans="1:36" x14ac:dyDescent="0.2">
      <c r="A547" s="54">
        <v>524</v>
      </c>
      <c r="B547" s="54">
        <f ca="1">MAX(0.02,MCDA_Prioritisation!$B$9+(RAND()-0.5)*2*$B$6)</f>
        <v>0.15126310510404586</v>
      </c>
      <c r="C547" s="54">
        <f ca="1">MAX(0.02,MCDA_Prioritisation!$B$10+(RAND()-0.5)*2*$B$6)</f>
        <v>0.22597832003075324</v>
      </c>
      <c r="D547" s="54">
        <f ca="1">MAX(0.02,MCDA_Prioritisation!$B$11+(RAND()-0.5)*2*$B$6)</f>
        <v>0.23468909624015574</v>
      </c>
      <c r="E547" s="54">
        <f ca="1">MAX(0.02,MCDA_Prioritisation!$B$12+(RAND()-0.5)*2*$B$6)</f>
        <v>0.20338004746179586</v>
      </c>
      <c r="F547" s="54">
        <f ca="1">MAX(0.02,MCDA_Prioritisation!$B$13+(RAND()-0.5)*2*$B$6)</f>
        <v>8.0549340378562748E-2</v>
      </c>
      <c r="G547" s="54">
        <f t="shared" ca="1" si="112"/>
        <v>0.89585990921531344</v>
      </c>
      <c r="H547" s="54">
        <f t="shared" ca="1" si="113"/>
        <v>0.1688468292286209</v>
      </c>
      <c r="I547" s="54">
        <f t="shared" ca="1" si="114"/>
        <v>0.25224738567516475</v>
      </c>
      <c r="J547" s="54">
        <f t="shared" ca="1" si="115"/>
        <v>0.26197075438471251</v>
      </c>
      <c r="K547" s="54">
        <f t="shared" ca="1" si="116"/>
        <v>0.22702215532776446</v>
      </c>
      <c r="L547" s="54">
        <f t="shared" ca="1" si="117"/>
        <v>8.9912875383737365E-2</v>
      </c>
      <c r="M547" s="54">
        <f ca="1">MIN(100,MAX(0,MCDA_Prioritisation!$F$2+(RAND()-0.5)*2*$B$7))</f>
        <v>88.122925509267375</v>
      </c>
      <c r="N547" s="54">
        <f ca="1">MIN(100,MAX(0,MCDA_Prioritisation!$F$3+(RAND()-0.5)*2*$B$7))</f>
        <v>88.663885875845622</v>
      </c>
      <c r="O547" s="54">
        <f ca="1">MIN(100,MAX(0,MCDA_Prioritisation!$F$4+(RAND()-0.5)*2*$B$7))</f>
        <v>83.005376169097701</v>
      </c>
      <c r="P547" s="54">
        <f ca="1">MIN(100,MAX(0,MCDA_Prioritisation!$F$5+(RAND()-0.5)*2*$B$7))</f>
        <v>82.621781396734974</v>
      </c>
      <c r="Q547" s="54">
        <f ca="1">MIN(100,MAX(0,MCDA_Prioritisation!$G$2+(RAND()-0.5)*2*$B$7))</f>
        <v>87.503680240033461</v>
      </c>
      <c r="R547" s="54">
        <f ca="1">MIN(100,MAX(0,MCDA_Prioritisation!$G$3+(RAND()-0.5)*2*$B$7))</f>
        <v>93.172138532315401</v>
      </c>
      <c r="S547" s="54">
        <f ca="1">MIN(100,MAX(0,MCDA_Prioritisation!$G$4+(RAND()-0.5)*2*$B$7))</f>
        <v>76.743374163896448</v>
      </c>
      <c r="T547" s="54">
        <f ca="1">MIN(100,MAX(0,MCDA_Prioritisation!$G$5+(RAND()-0.5)*2*$B$7))</f>
        <v>74.824420082095642</v>
      </c>
      <c r="U547" s="54">
        <f ca="1">MIN(100,MAX(0,MCDA_Prioritisation!$H$2+(RAND()-0.5)*2*$B$7))</f>
        <v>66.883256674833433</v>
      </c>
      <c r="V547" s="54">
        <f ca="1">MIN(100,MAX(0,MCDA_Prioritisation!$H$3+(RAND()-0.5)*2*$B$7))</f>
        <v>55.900606976056594</v>
      </c>
      <c r="W547" s="54">
        <f ca="1">MIN(100,MAX(0,MCDA_Prioritisation!$H$4+(RAND()-0.5)*2*$B$7))</f>
        <v>75.133269143469732</v>
      </c>
      <c r="X547" s="54">
        <f ca="1">MIN(100,MAX(0,MCDA_Prioritisation!$H$5+(RAND()-0.5)*2*$B$7))</f>
        <v>71.184731991687627</v>
      </c>
      <c r="Y547" s="54">
        <f ca="1">H547*MCDA_Prioritisation!$D$2+I547*MCDA_Prioritisation!$E$2+J547*M547+K547*Q547+L547*U547</f>
        <v>91.073990774495911</v>
      </c>
      <c r="Z547" s="54">
        <f ca="1">H547*MCDA_Prioritisation!$D$3+I547*MCDA_Prioritisation!$E$3+J547*N547+K547*R547+L547*V547</f>
        <v>82.507612690977567</v>
      </c>
      <c r="AA547" s="54">
        <f ca="1">H547*MCDA_Prioritisation!$D$4+I547*MCDA_Prioritisation!$E$4+J547*O547+K547*S547+L547*W547</f>
        <v>71.439324402450623</v>
      </c>
      <c r="AB547" s="54">
        <f ca="1">H547*MCDA_Prioritisation!$D$5+I547*MCDA_Prioritisation!$E$5+J547*P547+K547*T547+L547*X547</f>
        <v>75.205123138227691</v>
      </c>
      <c r="AC547" s="54">
        <f t="shared" ca="1" si="118"/>
        <v>1</v>
      </c>
      <c r="AD547" s="54">
        <f t="shared" ca="1" si="119"/>
        <v>2</v>
      </c>
      <c r="AE547" s="54">
        <f t="shared" ca="1" si="120"/>
        <v>4</v>
      </c>
      <c r="AF547" s="54">
        <f t="shared" ca="1" si="121"/>
        <v>3</v>
      </c>
      <c r="AG547" s="54">
        <f t="shared" ca="1" si="122"/>
        <v>1</v>
      </c>
      <c r="AH547" s="54">
        <f t="shared" ca="1" si="123"/>
        <v>1</v>
      </c>
      <c r="AI547" s="54">
        <f t="shared" ca="1" si="124"/>
        <v>0</v>
      </c>
      <c r="AJ547" s="54">
        <f t="shared" ca="1" si="125"/>
        <v>1</v>
      </c>
    </row>
    <row r="548" spans="1:36" x14ac:dyDescent="0.2">
      <c r="A548" s="54">
        <v>525</v>
      </c>
      <c r="B548" s="54">
        <f ca="1">MAX(0.02,MCDA_Prioritisation!$B$9+(RAND()-0.5)*2*$B$6)</f>
        <v>0.27475275208498512</v>
      </c>
      <c r="C548" s="54">
        <f ca="1">MAX(0.02,MCDA_Prioritisation!$B$10+(RAND()-0.5)*2*$B$6)</f>
        <v>0.18258833733021251</v>
      </c>
      <c r="D548" s="54">
        <f ca="1">MAX(0.02,MCDA_Prioritisation!$B$11+(RAND()-0.5)*2*$B$6)</f>
        <v>0.19805620590934286</v>
      </c>
      <c r="E548" s="54">
        <f ca="1">MAX(0.02,MCDA_Prioritisation!$B$12+(RAND()-0.5)*2*$B$6)</f>
        <v>0.120638007705543</v>
      </c>
      <c r="F548" s="54">
        <f ca="1">MAX(0.02,MCDA_Prioritisation!$B$13+(RAND()-0.5)*2*$B$6)</f>
        <v>0.11568345443669811</v>
      </c>
      <c r="G548" s="54">
        <f t="shared" ca="1" si="112"/>
        <v>0.89171875746678164</v>
      </c>
      <c r="H548" s="54">
        <f t="shared" ca="1" si="113"/>
        <v>0.30811592756611966</v>
      </c>
      <c r="I548" s="54">
        <f t="shared" ca="1" si="114"/>
        <v>0.20476000510397954</v>
      </c>
      <c r="J548" s="54">
        <f t="shared" ca="1" si="115"/>
        <v>0.22210613408199037</v>
      </c>
      <c r="K548" s="54">
        <f t="shared" ca="1" si="116"/>
        <v>0.13528705849841566</v>
      </c>
      <c r="L548" s="54">
        <f t="shared" ca="1" si="117"/>
        <v>0.12973087474949471</v>
      </c>
      <c r="M548" s="54">
        <f ca="1">MIN(100,MAX(0,MCDA_Prioritisation!$F$2+(RAND()-0.5)*2*$B$7))</f>
        <v>89.193513961338866</v>
      </c>
      <c r="N548" s="54">
        <f ca="1">MIN(100,MAX(0,MCDA_Prioritisation!$F$3+(RAND()-0.5)*2*$B$7))</f>
        <v>100</v>
      </c>
      <c r="O548" s="54">
        <f ca="1">MIN(100,MAX(0,MCDA_Prioritisation!$F$4+(RAND()-0.5)*2*$B$7))</f>
        <v>97.431551344732952</v>
      </c>
      <c r="P548" s="54">
        <f ca="1">MIN(100,MAX(0,MCDA_Prioritisation!$F$5+(RAND()-0.5)*2*$B$7))</f>
        <v>71.287926981350182</v>
      </c>
      <c r="Q548" s="54">
        <f ca="1">MIN(100,MAX(0,MCDA_Prioritisation!$G$2+(RAND()-0.5)*2*$B$7))</f>
        <v>83.925906583984556</v>
      </c>
      <c r="R548" s="54">
        <f ca="1">MIN(100,MAX(0,MCDA_Prioritisation!$G$3+(RAND()-0.5)*2*$B$7))</f>
        <v>96.485023647874982</v>
      </c>
      <c r="S548" s="54">
        <f ca="1">MIN(100,MAX(0,MCDA_Prioritisation!$G$4+(RAND()-0.5)*2*$B$7))</f>
        <v>80.595408806430385</v>
      </c>
      <c r="T548" s="54">
        <f ca="1">MIN(100,MAX(0,MCDA_Prioritisation!$G$5+(RAND()-0.5)*2*$B$7))</f>
        <v>69.473548124730542</v>
      </c>
      <c r="U548" s="54">
        <f ca="1">MIN(100,MAX(0,MCDA_Prioritisation!$H$2+(RAND()-0.5)*2*$B$7))</f>
        <v>58.670496457465532</v>
      </c>
      <c r="V548" s="54">
        <f ca="1">MIN(100,MAX(0,MCDA_Prioritisation!$H$3+(RAND()-0.5)*2*$B$7))</f>
        <v>57.39011929929827</v>
      </c>
      <c r="W548" s="54">
        <f ca="1">MIN(100,MAX(0,MCDA_Prioritisation!$H$4+(RAND()-0.5)*2*$B$7))</f>
        <v>85.062856203003832</v>
      </c>
      <c r="X548" s="54">
        <f ca="1">MIN(100,MAX(0,MCDA_Prioritisation!$H$5+(RAND()-0.5)*2*$B$7))</f>
        <v>77.516206078029981</v>
      </c>
      <c r="Y548" s="54">
        <f ca="1">H548*MCDA_Prioritisation!$D$2+I548*MCDA_Prioritisation!$E$2+J548*M548+K548*Q548+L548*U548</f>
        <v>90.063483699125158</v>
      </c>
      <c r="Z548" s="54">
        <f ca="1">H548*MCDA_Prioritisation!$D$3+I548*MCDA_Prioritisation!$E$3+J548*N548+K548*R548+L548*V548</f>
        <v>84.529053755107768</v>
      </c>
      <c r="AA548" s="54">
        <f ca="1">H548*MCDA_Prioritisation!$D$4+I548*MCDA_Prioritisation!$E$4+J548*O548+K548*S548+L548*W548</f>
        <v>76.203049192946963</v>
      </c>
      <c r="AB548" s="54">
        <f ca="1">H548*MCDA_Prioritisation!$D$5+I548*MCDA_Prioritisation!$E$5+J548*P548+K548*T548+L548*X548</f>
        <v>68.860585058061645</v>
      </c>
      <c r="AC548" s="54">
        <f t="shared" ca="1" si="118"/>
        <v>1</v>
      </c>
      <c r="AD548" s="54">
        <f t="shared" ca="1" si="119"/>
        <v>2</v>
      </c>
      <c r="AE548" s="54">
        <f t="shared" ca="1" si="120"/>
        <v>3</v>
      </c>
      <c r="AF548" s="54">
        <f t="shared" ca="1" si="121"/>
        <v>4</v>
      </c>
      <c r="AG548" s="54">
        <f t="shared" ca="1" si="122"/>
        <v>1</v>
      </c>
      <c r="AH548" s="54">
        <f t="shared" ca="1" si="123"/>
        <v>1</v>
      </c>
      <c r="AI548" s="54">
        <f t="shared" ca="1" si="124"/>
        <v>1</v>
      </c>
      <c r="AJ548" s="54">
        <f t="shared" ca="1" si="125"/>
        <v>1</v>
      </c>
    </row>
    <row r="549" spans="1:36" x14ac:dyDescent="0.2">
      <c r="A549" s="54">
        <v>526</v>
      </c>
      <c r="B549" s="54">
        <f ca="1">MAX(0.02,MCDA_Prioritisation!$B$9+(RAND()-0.5)*2*$B$6)</f>
        <v>0.24938398059569436</v>
      </c>
      <c r="C549" s="54">
        <f ca="1">MAX(0.02,MCDA_Prioritisation!$B$10+(RAND()-0.5)*2*$B$6)</f>
        <v>0.28986639375939766</v>
      </c>
      <c r="D549" s="54">
        <f ca="1">MAX(0.02,MCDA_Prioritisation!$B$11+(RAND()-0.5)*2*$B$6)</f>
        <v>0.20463640398657729</v>
      </c>
      <c r="E549" s="54">
        <f ca="1">MAX(0.02,MCDA_Prioritisation!$B$12+(RAND()-0.5)*2*$B$6)</f>
        <v>0.18604576523320857</v>
      </c>
      <c r="F549" s="54">
        <f ca="1">MAX(0.02,MCDA_Prioritisation!$B$13+(RAND()-0.5)*2*$B$6)</f>
        <v>0.14034427151970835</v>
      </c>
      <c r="G549" s="54">
        <f t="shared" ca="1" si="112"/>
        <v>1.0702768150945863</v>
      </c>
      <c r="H549" s="54">
        <f t="shared" ca="1" si="113"/>
        <v>0.23300886002436194</v>
      </c>
      <c r="I549" s="54">
        <f t="shared" ca="1" si="114"/>
        <v>0.2708331056706863</v>
      </c>
      <c r="J549" s="54">
        <f t="shared" ca="1" si="115"/>
        <v>0.19119951128577184</v>
      </c>
      <c r="K549" s="54">
        <f t="shared" ca="1" si="116"/>
        <v>0.17382957624543766</v>
      </c>
      <c r="L549" s="54">
        <f t="shared" ca="1" si="117"/>
        <v>0.13112894677374223</v>
      </c>
      <c r="M549" s="54">
        <f ca="1">MIN(100,MAX(0,MCDA_Prioritisation!$F$2+(RAND()-0.5)*2*$B$7))</f>
        <v>86.234516780194852</v>
      </c>
      <c r="N549" s="54">
        <f ca="1">MIN(100,MAX(0,MCDA_Prioritisation!$F$3+(RAND()-0.5)*2*$B$7))</f>
        <v>93.933360112211801</v>
      </c>
      <c r="O549" s="54">
        <f ca="1">MIN(100,MAX(0,MCDA_Prioritisation!$F$4+(RAND()-0.5)*2*$B$7))</f>
        <v>84.663364760245429</v>
      </c>
      <c r="P549" s="54">
        <f ca="1">MIN(100,MAX(0,MCDA_Prioritisation!$F$5+(RAND()-0.5)*2*$B$7))</f>
        <v>76.038000929117075</v>
      </c>
      <c r="Q549" s="54">
        <f ca="1">MIN(100,MAX(0,MCDA_Prioritisation!$G$2+(RAND()-0.5)*2*$B$7))</f>
        <v>80.98274997854584</v>
      </c>
      <c r="R549" s="54">
        <f ca="1">MIN(100,MAX(0,MCDA_Prioritisation!$G$3+(RAND()-0.5)*2*$B$7))</f>
        <v>97.282186961563241</v>
      </c>
      <c r="S549" s="54">
        <f ca="1">MIN(100,MAX(0,MCDA_Prioritisation!$G$4+(RAND()-0.5)*2*$B$7))</f>
        <v>85.726837075787344</v>
      </c>
      <c r="T549" s="54">
        <f ca="1">MIN(100,MAX(0,MCDA_Prioritisation!$G$5+(RAND()-0.5)*2*$B$7))</f>
        <v>74.077963433653011</v>
      </c>
      <c r="U549" s="54">
        <f ca="1">MIN(100,MAX(0,MCDA_Prioritisation!$H$2+(RAND()-0.5)*2*$B$7))</f>
        <v>66.783785110495941</v>
      </c>
      <c r="V549" s="54">
        <f ca="1">MIN(100,MAX(0,MCDA_Prioritisation!$H$3+(RAND()-0.5)*2*$B$7))</f>
        <v>69.807147816459661</v>
      </c>
      <c r="W549" s="54">
        <f ca="1">MIN(100,MAX(0,MCDA_Prioritisation!$H$4+(RAND()-0.5)*2*$B$7))</f>
        <v>89.201249889100339</v>
      </c>
      <c r="X549" s="54">
        <f ca="1">MIN(100,MAX(0,MCDA_Prioritisation!$H$5+(RAND()-0.5)*2*$B$7))</f>
        <v>71.088217355782007</v>
      </c>
      <c r="Y549" s="54">
        <f ca="1">H549*MCDA_Prioritisation!$D$2+I549*MCDA_Prioritisation!$E$2+J549*M549+K549*Q549+L549*U549</f>
        <v>89.706678548906879</v>
      </c>
      <c r="Z549" s="54">
        <f ca="1">H549*MCDA_Prioritisation!$D$3+I549*MCDA_Prioritisation!$E$3+J549*N549+K549*R549+L549*V549</f>
        <v>84.085462678474499</v>
      </c>
      <c r="AA549" s="54">
        <f ca="1">H549*MCDA_Prioritisation!$D$4+I549*MCDA_Prioritisation!$E$4+J549*O549+K549*S549+L549*W549</f>
        <v>73.784401777408178</v>
      </c>
      <c r="AB549" s="54">
        <f ca="1">H549*MCDA_Prioritisation!$D$5+I549*MCDA_Prioritisation!$E$5+J549*P549+K549*T549+L549*X549</f>
        <v>71.878847329406071</v>
      </c>
      <c r="AC549" s="54">
        <f t="shared" ca="1" si="118"/>
        <v>1</v>
      </c>
      <c r="AD549" s="54">
        <f t="shared" ca="1" si="119"/>
        <v>2</v>
      </c>
      <c r="AE549" s="54">
        <f t="shared" ca="1" si="120"/>
        <v>3</v>
      </c>
      <c r="AF549" s="54">
        <f t="shared" ca="1" si="121"/>
        <v>4</v>
      </c>
      <c r="AG549" s="54">
        <f t="shared" ca="1" si="122"/>
        <v>1</v>
      </c>
      <c r="AH549" s="54">
        <f t="shared" ca="1" si="123"/>
        <v>1</v>
      </c>
      <c r="AI549" s="54">
        <f t="shared" ca="1" si="124"/>
        <v>1</v>
      </c>
      <c r="AJ549" s="54">
        <f t="shared" ca="1" si="125"/>
        <v>1</v>
      </c>
    </row>
    <row r="550" spans="1:36" x14ac:dyDescent="0.2">
      <c r="A550" s="54">
        <v>527</v>
      </c>
      <c r="B550" s="54">
        <f ca="1">MAX(0.02,MCDA_Prioritisation!$B$9+(RAND()-0.5)*2*$B$6)</f>
        <v>0.25491678114169186</v>
      </c>
      <c r="C550" s="54">
        <f ca="1">MAX(0.02,MCDA_Prioritisation!$B$10+(RAND()-0.5)*2*$B$6)</f>
        <v>0.30667298566825574</v>
      </c>
      <c r="D550" s="54">
        <f ca="1">MAX(0.02,MCDA_Prioritisation!$B$11+(RAND()-0.5)*2*$B$6)</f>
        <v>0.21587610487241929</v>
      </c>
      <c r="E550" s="54">
        <f ca="1">MAX(0.02,MCDA_Prioritisation!$B$12+(RAND()-0.5)*2*$B$6)</f>
        <v>0.20479210519435828</v>
      </c>
      <c r="F550" s="54">
        <f ca="1">MAX(0.02,MCDA_Prioritisation!$B$13+(RAND()-0.5)*2*$B$6)</f>
        <v>0.16870119089318258</v>
      </c>
      <c r="G550" s="54">
        <f t="shared" ca="1" si="112"/>
        <v>1.1509591677699078</v>
      </c>
      <c r="H550" s="54">
        <f t="shared" ca="1" si="113"/>
        <v>0.22148203713917777</v>
      </c>
      <c r="I550" s="54">
        <f t="shared" ca="1" si="114"/>
        <v>0.26644992650995919</v>
      </c>
      <c r="J550" s="54">
        <f t="shared" ca="1" si="115"/>
        <v>0.18756191437329583</v>
      </c>
      <c r="K550" s="54">
        <f t="shared" ca="1" si="116"/>
        <v>0.17793168596168563</v>
      </c>
      <c r="L550" s="54">
        <f t="shared" ca="1" si="117"/>
        <v>0.14657443601588152</v>
      </c>
      <c r="M550" s="54">
        <f ca="1">MIN(100,MAX(0,MCDA_Prioritisation!$F$2+(RAND()-0.5)*2*$B$7))</f>
        <v>90.3943768835329</v>
      </c>
      <c r="N550" s="54">
        <f ca="1">MIN(100,MAX(0,MCDA_Prioritisation!$F$3+(RAND()-0.5)*2*$B$7))</f>
        <v>86.05898339919267</v>
      </c>
      <c r="O550" s="54">
        <f ca="1">MIN(100,MAX(0,MCDA_Prioritisation!$F$4+(RAND()-0.5)*2*$B$7))</f>
        <v>90.134322454480056</v>
      </c>
      <c r="P550" s="54">
        <f ca="1">MIN(100,MAX(0,MCDA_Prioritisation!$F$5+(RAND()-0.5)*2*$B$7))</f>
        <v>75.77239934171287</v>
      </c>
      <c r="Q550" s="54">
        <f ca="1">MIN(100,MAX(0,MCDA_Prioritisation!$G$2+(RAND()-0.5)*2*$B$7))</f>
        <v>74.508832649101066</v>
      </c>
      <c r="R550" s="54">
        <f ca="1">MIN(100,MAX(0,MCDA_Prioritisation!$G$3+(RAND()-0.5)*2*$B$7))</f>
        <v>86.558992370114311</v>
      </c>
      <c r="S550" s="54">
        <f ca="1">MIN(100,MAX(0,MCDA_Prioritisation!$G$4+(RAND()-0.5)*2*$B$7))</f>
        <v>76.213945812133559</v>
      </c>
      <c r="T550" s="54">
        <f ca="1">MIN(100,MAX(0,MCDA_Prioritisation!$G$5+(RAND()-0.5)*2*$B$7))</f>
        <v>70.111959264985472</v>
      </c>
      <c r="U550" s="54">
        <f ca="1">MIN(100,MAX(0,MCDA_Prioritisation!$H$2+(RAND()-0.5)*2*$B$7))</f>
        <v>67.664588092581127</v>
      </c>
      <c r="V550" s="54">
        <f ca="1">MIN(100,MAX(0,MCDA_Prioritisation!$H$3+(RAND()-0.5)*2*$B$7))</f>
        <v>54.906103979836367</v>
      </c>
      <c r="W550" s="54">
        <f ca="1">MIN(100,MAX(0,MCDA_Prioritisation!$H$4+(RAND()-0.5)*2*$B$7))</f>
        <v>87.026824600266849</v>
      </c>
      <c r="X550" s="54">
        <f ca="1">MIN(100,MAX(0,MCDA_Prioritisation!$H$5+(RAND()-0.5)*2*$B$7))</f>
        <v>80.603099903684083</v>
      </c>
      <c r="Y550" s="54">
        <f ca="1">H550*MCDA_Prioritisation!$D$2+I550*MCDA_Prioritisation!$E$2+J550*M550+K550*Q550+L550*U550</f>
        <v>88.923119791978962</v>
      </c>
      <c r="Z550" s="54">
        <f ca="1">H550*MCDA_Prioritisation!$D$3+I550*MCDA_Prioritisation!$E$3+J550*N550+K550*R550+L550*V550</f>
        <v>78.325812819876091</v>
      </c>
      <c r="AA550" s="54">
        <f ca="1">H550*MCDA_Prioritisation!$D$4+I550*MCDA_Prioritisation!$E$4+J550*O550+K550*S550+L550*W550</f>
        <v>73.178889093507919</v>
      </c>
      <c r="AB550" s="54">
        <f ca="1">H550*MCDA_Prioritisation!$D$5+I550*MCDA_Prioritisation!$E$5+J550*P550+K550*T550+L550*X550</f>
        <v>72.662882052944212</v>
      </c>
      <c r="AC550" s="54">
        <f t="shared" ca="1" si="118"/>
        <v>1</v>
      </c>
      <c r="AD550" s="54">
        <f t="shared" ca="1" si="119"/>
        <v>2</v>
      </c>
      <c r="AE550" s="54">
        <f t="shared" ca="1" si="120"/>
        <v>3</v>
      </c>
      <c r="AF550" s="54">
        <f t="shared" ca="1" si="121"/>
        <v>4</v>
      </c>
      <c r="AG550" s="54">
        <f t="shared" ca="1" si="122"/>
        <v>1</v>
      </c>
      <c r="AH550" s="54">
        <f t="shared" ca="1" si="123"/>
        <v>1</v>
      </c>
      <c r="AI550" s="54">
        <f t="shared" ca="1" si="124"/>
        <v>1</v>
      </c>
      <c r="AJ550" s="54">
        <f t="shared" ca="1" si="125"/>
        <v>1</v>
      </c>
    </row>
    <row r="551" spans="1:36" x14ac:dyDescent="0.2">
      <c r="A551" s="54">
        <v>528</v>
      </c>
      <c r="B551" s="54">
        <f ca="1">MAX(0.02,MCDA_Prioritisation!$B$9+(RAND()-0.5)*2*$B$6)</f>
        <v>0.25500162990043385</v>
      </c>
      <c r="C551" s="54">
        <f ca="1">MAX(0.02,MCDA_Prioritisation!$B$10+(RAND()-0.5)*2*$B$6)</f>
        <v>0.30537738616856103</v>
      </c>
      <c r="D551" s="54">
        <f ca="1">MAX(0.02,MCDA_Prioritisation!$B$11+(RAND()-0.5)*2*$B$6)</f>
        <v>0.25199372726013003</v>
      </c>
      <c r="E551" s="54">
        <f ca="1">MAX(0.02,MCDA_Prioritisation!$B$12+(RAND()-0.5)*2*$B$6)</f>
        <v>0.21834941622894824</v>
      </c>
      <c r="F551" s="54">
        <f ca="1">MAX(0.02,MCDA_Prioritisation!$B$13+(RAND()-0.5)*2*$B$6)</f>
        <v>8.9950408943753557E-2</v>
      </c>
      <c r="G551" s="54">
        <f t="shared" ca="1" si="112"/>
        <v>1.1206725685018266</v>
      </c>
      <c r="H551" s="54">
        <f t="shared" ca="1" si="113"/>
        <v>0.22754338516676043</v>
      </c>
      <c r="I551" s="54">
        <f t="shared" ca="1" si="114"/>
        <v>0.27249474534457946</v>
      </c>
      <c r="J551" s="54">
        <f t="shared" ca="1" si="115"/>
        <v>0.22485936958107966</v>
      </c>
      <c r="K551" s="54">
        <f t="shared" ca="1" si="116"/>
        <v>0.19483783432019675</v>
      </c>
      <c r="L551" s="54">
        <f t="shared" ca="1" si="117"/>
        <v>8.0264665587383779E-2</v>
      </c>
      <c r="M551" s="54">
        <f ca="1">MIN(100,MAX(0,MCDA_Prioritisation!$F$2+(RAND()-0.5)*2*$B$7))</f>
        <v>76.888558976189813</v>
      </c>
      <c r="N551" s="54">
        <f ca="1">MIN(100,MAX(0,MCDA_Prioritisation!$F$3+(RAND()-0.5)*2*$B$7))</f>
        <v>88.280139403377248</v>
      </c>
      <c r="O551" s="54">
        <f ca="1">MIN(100,MAX(0,MCDA_Prioritisation!$F$4+(RAND()-0.5)*2*$B$7))</f>
        <v>99.201959349742211</v>
      </c>
      <c r="P551" s="54">
        <f ca="1">MIN(100,MAX(0,MCDA_Prioritisation!$F$5+(RAND()-0.5)*2*$B$7))</f>
        <v>67.999532173973407</v>
      </c>
      <c r="Q551" s="54">
        <f ca="1">MIN(100,MAX(0,MCDA_Prioritisation!$G$2+(RAND()-0.5)*2*$B$7))</f>
        <v>89.642526388144987</v>
      </c>
      <c r="R551" s="54">
        <f ca="1">MIN(100,MAX(0,MCDA_Prioritisation!$G$3+(RAND()-0.5)*2*$B$7))</f>
        <v>100</v>
      </c>
      <c r="S551" s="54">
        <f ca="1">MIN(100,MAX(0,MCDA_Prioritisation!$G$4+(RAND()-0.5)*2*$B$7))</f>
        <v>84.116497311882469</v>
      </c>
      <c r="T551" s="54">
        <f ca="1">MIN(100,MAX(0,MCDA_Prioritisation!$G$5+(RAND()-0.5)*2*$B$7))</f>
        <v>70.086761203927665</v>
      </c>
      <c r="U551" s="54">
        <f ca="1">MIN(100,MAX(0,MCDA_Prioritisation!$H$2+(RAND()-0.5)*2*$B$7))</f>
        <v>64.336799572933359</v>
      </c>
      <c r="V551" s="54">
        <f ca="1">MIN(100,MAX(0,MCDA_Prioritisation!$H$3+(RAND()-0.5)*2*$B$7))</f>
        <v>57.441006475722162</v>
      </c>
      <c r="W551" s="54">
        <f ca="1">MIN(100,MAX(0,MCDA_Prioritisation!$H$4+(RAND()-0.5)*2*$B$7))</f>
        <v>75.339695277620265</v>
      </c>
      <c r="X551" s="54">
        <f ca="1">MIN(100,MAX(0,MCDA_Prioritisation!$H$5+(RAND()-0.5)*2*$B$7))</f>
        <v>75.314984425096696</v>
      </c>
      <c r="Y551" s="54">
        <f ca="1">H551*MCDA_Prioritisation!$D$2+I551*MCDA_Prioritisation!$E$2+J551*M551+K551*Q551+L551*U551</f>
        <v>89.922653357659001</v>
      </c>
      <c r="Z551" s="54">
        <f ca="1">H551*MCDA_Prioritisation!$D$3+I551*MCDA_Prioritisation!$E$3+J551*N551+K551*R551+L551*V551</f>
        <v>83.649255420077992</v>
      </c>
      <c r="AA551" s="54">
        <f ca="1">H551*MCDA_Prioritisation!$D$4+I551*MCDA_Prioritisation!$E$4+J551*O551+K551*S551+L551*W551</f>
        <v>75.450815106751364</v>
      </c>
      <c r="AB551" s="54">
        <f ca="1">H551*MCDA_Prioritisation!$D$5+I551*MCDA_Prioritisation!$E$5+J551*P551+K551*T551+L551*X551</f>
        <v>69.982415241858888</v>
      </c>
      <c r="AC551" s="54">
        <f t="shared" ca="1" si="118"/>
        <v>1</v>
      </c>
      <c r="AD551" s="54">
        <f t="shared" ca="1" si="119"/>
        <v>2</v>
      </c>
      <c r="AE551" s="54">
        <f t="shared" ca="1" si="120"/>
        <v>3</v>
      </c>
      <c r="AF551" s="54">
        <f t="shared" ca="1" si="121"/>
        <v>4</v>
      </c>
      <c r="AG551" s="54">
        <f t="shared" ca="1" si="122"/>
        <v>1</v>
      </c>
      <c r="AH551" s="54">
        <f t="shared" ca="1" si="123"/>
        <v>1</v>
      </c>
      <c r="AI551" s="54">
        <f t="shared" ca="1" si="124"/>
        <v>1</v>
      </c>
      <c r="AJ551" s="54">
        <f t="shared" ca="1" si="125"/>
        <v>1</v>
      </c>
    </row>
    <row r="552" spans="1:36" x14ac:dyDescent="0.2">
      <c r="A552" s="54">
        <v>529</v>
      </c>
      <c r="B552" s="54">
        <f ca="1">MAX(0.02,MCDA_Prioritisation!$B$9+(RAND()-0.5)*2*$B$6)</f>
        <v>0.25896878894989267</v>
      </c>
      <c r="C552" s="54">
        <f ca="1">MAX(0.02,MCDA_Prioritisation!$B$10+(RAND()-0.5)*2*$B$6)</f>
        <v>0.18605872028782577</v>
      </c>
      <c r="D552" s="54">
        <f ca="1">MAX(0.02,MCDA_Prioritisation!$B$11+(RAND()-0.5)*2*$B$6)</f>
        <v>0.31030529399044171</v>
      </c>
      <c r="E552" s="54">
        <f ca="1">MAX(0.02,MCDA_Prioritisation!$B$12+(RAND()-0.5)*2*$B$6)</f>
        <v>0.2120407761059199</v>
      </c>
      <c r="F552" s="54">
        <f ca="1">MAX(0.02,MCDA_Prioritisation!$B$13+(RAND()-0.5)*2*$B$6)</f>
        <v>0.14570085934151725</v>
      </c>
      <c r="G552" s="54">
        <f t="shared" ca="1" si="112"/>
        <v>1.1130744386755973</v>
      </c>
      <c r="H552" s="54">
        <f t="shared" ca="1" si="113"/>
        <v>0.23266079962992345</v>
      </c>
      <c r="I552" s="54">
        <f t="shared" ca="1" si="114"/>
        <v>0.16715748185647816</v>
      </c>
      <c r="J552" s="54">
        <f t="shared" ca="1" si="115"/>
        <v>0.27878215796569866</v>
      </c>
      <c r="K552" s="54">
        <f t="shared" ca="1" si="116"/>
        <v>0.19050008583273076</v>
      </c>
      <c r="L552" s="54">
        <f t="shared" ca="1" si="117"/>
        <v>0.13089947471516897</v>
      </c>
      <c r="M552" s="54">
        <f ca="1">MIN(100,MAX(0,MCDA_Prioritisation!$F$2+(RAND()-0.5)*2*$B$7))</f>
        <v>88.07329100338923</v>
      </c>
      <c r="N552" s="54">
        <f ca="1">MIN(100,MAX(0,MCDA_Prioritisation!$F$3+(RAND()-0.5)*2*$B$7))</f>
        <v>90.254192451109589</v>
      </c>
      <c r="O552" s="54">
        <f ca="1">MIN(100,MAX(0,MCDA_Prioritisation!$F$4+(RAND()-0.5)*2*$B$7))</f>
        <v>84.698082327119721</v>
      </c>
      <c r="P552" s="54">
        <f ca="1">MIN(100,MAX(0,MCDA_Prioritisation!$F$5+(RAND()-0.5)*2*$B$7))</f>
        <v>72.355058832922793</v>
      </c>
      <c r="Q552" s="54">
        <f ca="1">MIN(100,MAX(0,MCDA_Prioritisation!$G$2+(RAND()-0.5)*2*$B$7))</f>
        <v>71.318142122770581</v>
      </c>
      <c r="R552" s="54">
        <f ca="1">MIN(100,MAX(0,MCDA_Prioritisation!$G$3+(RAND()-0.5)*2*$B$7))</f>
        <v>92.441279174808315</v>
      </c>
      <c r="S552" s="54">
        <f ca="1">MIN(100,MAX(0,MCDA_Prioritisation!$G$4+(RAND()-0.5)*2*$B$7))</f>
        <v>83.182975266769148</v>
      </c>
      <c r="T552" s="54">
        <f ca="1">MIN(100,MAX(0,MCDA_Prioritisation!$G$5+(RAND()-0.5)*2*$B$7))</f>
        <v>72.274821924486631</v>
      </c>
      <c r="U552" s="54">
        <f ca="1">MIN(100,MAX(0,MCDA_Prioritisation!$H$2+(RAND()-0.5)*2*$B$7))</f>
        <v>60.207107659147525</v>
      </c>
      <c r="V552" s="54">
        <f ca="1">MIN(100,MAX(0,MCDA_Prioritisation!$H$3+(RAND()-0.5)*2*$B$7))</f>
        <v>67.278571497690237</v>
      </c>
      <c r="W552" s="54">
        <f ca="1">MIN(100,MAX(0,MCDA_Prioritisation!$H$4+(RAND()-0.5)*2*$B$7))</f>
        <v>76.285247847947375</v>
      </c>
      <c r="X552" s="54">
        <f ca="1">MIN(100,MAX(0,MCDA_Prioritisation!$H$5+(RAND()-0.5)*2*$B$7))</f>
        <v>75.612429383703954</v>
      </c>
      <c r="Y552" s="54">
        <f ca="1">H552*MCDA_Prioritisation!$D$2+I552*MCDA_Prioritisation!$E$2+J552*M552+K552*Q552+L552*U552</f>
        <v>86.002281236226679</v>
      </c>
      <c r="Z552" s="54">
        <f ca="1">H552*MCDA_Prioritisation!$D$3+I552*MCDA_Prioritisation!$E$3+J552*N552+K552*R552+L552*V552</f>
        <v>84.068786101623175</v>
      </c>
      <c r="AA552" s="54">
        <f ca="1">H552*MCDA_Prioritisation!$D$4+I552*MCDA_Prioritisation!$E$4+J552*O552+K552*S552+L552*W552</f>
        <v>74.763188161510186</v>
      </c>
      <c r="AB552" s="54">
        <f ca="1">H552*MCDA_Prioritisation!$D$5+I552*MCDA_Prioritisation!$E$5+J552*P552+K552*T552+L552*X552</f>
        <v>70.242390087279901</v>
      </c>
      <c r="AC552" s="54">
        <f t="shared" ca="1" si="118"/>
        <v>1</v>
      </c>
      <c r="AD552" s="54">
        <f t="shared" ca="1" si="119"/>
        <v>2</v>
      </c>
      <c r="AE552" s="54">
        <f t="shared" ca="1" si="120"/>
        <v>3</v>
      </c>
      <c r="AF552" s="54">
        <f t="shared" ca="1" si="121"/>
        <v>4</v>
      </c>
      <c r="AG552" s="54">
        <f t="shared" ca="1" si="122"/>
        <v>1</v>
      </c>
      <c r="AH552" s="54">
        <f t="shared" ca="1" si="123"/>
        <v>1</v>
      </c>
      <c r="AI552" s="54">
        <f t="shared" ca="1" si="124"/>
        <v>1</v>
      </c>
      <c r="AJ552" s="54">
        <f t="shared" ca="1" si="125"/>
        <v>1</v>
      </c>
    </row>
    <row r="553" spans="1:36" x14ac:dyDescent="0.2">
      <c r="A553" s="54">
        <v>530</v>
      </c>
      <c r="B553" s="54">
        <f ca="1">MAX(0.02,MCDA_Prioritisation!$B$9+(RAND()-0.5)*2*$B$6)</f>
        <v>0.24192352817935786</v>
      </c>
      <c r="C553" s="54">
        <f ca="1">MAX(0.02,MCDA_Prioritisation!$B$10+(RAND()-0.5)*2*$B$6)</f>
        <v>0.19340989873049891</v>
      </c>
      <c r="D553" s="54">
        <f ca="1">MAX(0.02,MCDA_Prioritisation!$B$11+(RAND()-0.5)*2*$B$6)</f>
        <v>0.22199585726990884</v>
      </c>
      <c r="E553" s="54">
        <f ca="1">MAX(0.02,MCDA_Prioritisation!$B$12+(RAND()-0.5)*2*$B$6)</f>
        <v>0.1525954039216505</v>
      </c>
      <c r="F553" s="54">
        <f ca="1">MAX(0.02,MCDA_Prioritisation!$B$13+(RAND()-0.5)*2*$B$6)</f>
        <v>9.1828136270825172E-2</v>
      </c>
      <c r="G553" s="54">
        <f t="shared" ca="1" si="112"/>
        <v>0.90175282437224125</v>
      </c>
      <c r="H553" s="54">
        <f t="shared" ca="1" si="113"/>
        <v>0.26828141996425003</v>
      </c>
      <c r="I553" s="54">
        <f t="shared" ca="1" si="114"/>
        <v>0.21448216573664958</v>
      </c>
      <c r="J553" s="54">
        <f t="shared" ca="1" si="115"/>
        <v>0.24618260267102809</v>
      </c>
      <c r="K553" s="54">
        <f t="shared" ca="1" si="116"/>
        <v>0.16922087715985851</v>
      </c>
      <c r="L553" s="54">
        <f t="shared" ca="1" si="117"/>
        <v>0.10183293446821383</v>
      </c>
      <c r="M553" s="54">
        <f ca="1">MIN(100,MAX(0,MCDA_Prioritisation!$F$2+(RAND()-0.5)*2*$B$7))</f>
        <v>93.275325866559868</v>
      </c>
      <c r="N553" s="54">
        <f ca="1">MIN(100,MAX(0,MCDA_Prioritisation!$F$3+(RAND()-0.5)*2*$B$7))</f>
        <v>100</v>
      </c>
      <c r="O553" s="54">
        <f ca="1">MIN(100,MAX(0,MCDA_Prioritisation!$F$4+(RAND()-0.5)*2*$B$7))</f>
        <v>98.006727784337016</v>
      </c>
      <c r="P553" s="54">
        <f ca="1">MIN(100,MAX(0,MCDA_Prioritisation!$F$5+(RAND()-0.5)*2*$B$7))</f>
        <v>75.626915217045365</v>
      </c>
      <c r="Q553" s="54">
        <f ca="1">MIN(100,MAX(0,MCDA_Prioritisation!$G$2+(RAND()-0.5)*2*$B$7))</f>
        <v>89.298013471583474</v>
      </c>
      <c r="R553" s="54">
        <f ca="1">MIN(100,MAX(0,MCDA_Prioritisation!$G$3+(RAND()-0.5)*2*$B$7))</f>
        <v>97.042720191586497</v>
      </c>
      <c r="S553" s="54">
        <f ca="1">MIN(100,MAX(0,MCDA_Prioritisation!$G$4+(RAND()-0.5)*2*$B$7))</f>
        <v>86.161276229052362</v>
      </c>
      <c r="T553" s="54">
        <f ca="1">MIN(100,MAX(0,MCDA_Prioritisation!$G$5+(RAND()-0.5)*2*$B$7))</f>
        <v>70.754291302865084</v>
      </c>
      <c r="U553" s="54">
        <f ca="1">MIN(100,MAX(0,MCDA_Prioritisation!$H$2+(RAND()-0.5)*2*$B$7))</f>
        <v>73.477440701749671</v>
      </c>
      <c r="V553" s="54">
        <f ca="1">MIN(100,MAX(0,MCDA_Prioritisation!$H$3+(RAND()-0.5)*2*$B$7))</f>
        <v>64.76775017897377</v>
      </c>
      <c r="W553" s="54">
        <f ca="1">MIN(100,MAX(0,MCDA_Prioritisation!$H$4+(RAND()-0.5)*2*$B$7))</f>
        <v>83.893119329012919</v>
      </c>
      <c r="X553" s="54">
        <f ca="1">MIN(100,MAX(0,MCDA_Prioritisation!$H$5+(RAND()-0.5)*2*$B$7))</f>
        <v>75.031638841513299</v>
      </c>
      <c r="Y553" s="54">
        <f ca="1">H553*MCDA_Prioritisation!$D$2+I553*MCDA_Prioritisation!$E$2+J553*M553+K553*Q553+L553*U553</f>
        <v>93.832632629075491</v>
      </c>
      <c r="Z553" s="54">
        <f ca="1">H553*MCDA_Prioritisation!$D$3+I553*MCDA_Prioritisation!$E$3+J553*N553+K553*R553+L553*V553</f>
        <v>86.681055659243341</v>
      </c>
      <c r="AA553" s="54">
        <f ca="1">H553*MCDA_Prioritisation!$D$4+I553*MCDA_Prioritisation!$E$4+J553*O553+K553*S553+L553*W553</f>
        <v>77.631488777868782</v>
      </c>
      <c r="AB553" s="54">
        <f ca="1">H553*MCDA_Prioritisation!$D$5+I553*MCDA_Prioritisation!$E$5+J553*P553+K553*T553+L553*X553</f>
        <v>70.507101406250698</v>
      </c>
      <c r="AC553" s="54">
        <f t="shared" ca="1" si="118"/>
        <v>1</v>
      </c>
      <c r="AD553" s="54">
        <f t="shared" ca="1" si="119"/>
        <v>2</v>
      </c>
      <c r="AE553" s="54">
        <f t="shared" ca="1" si="120"/>
        <v>3</v>
      </c>
      <c r="AF553" s="54">
        <f t="shared" ca="1" si="121"/>
        <v>4</v>
      </c>
      <c r="AG553" s="54">
        <f t="shared" ca="1" si="122"/>
        <v>1</v>
      </c>
      <c r="AH553" s="54">
        <f t="shared" ca="1" si="123"/>
        <v>1</v>
      </c>
      <c r="AI553" s="54">
        <f t="shared" ca="1" si="124"/>
        <v>1</v>
      </c>
      <c r="AJ553" s="54">
        <f t="shared" ca="1" si="125"/>
        <v>1</v>
      </c>
    </row>
    <row r="554" spans="1:36" x14ac:dyDescent="0.2">
      <c r="A554" s="54">
        <v>531</v>
      </c>
      <c r="B554" s="54">
        <f ca="1">MAX(0.02,MCDA_Prioritisation!$B$9+(RAND()-0.5)*2*$B$6)</f>
        <v>0.23617868264930525</v>
      </c>
      <c r="C554" s="54">
        <f ca="1">MAX(0.02,MCDA_Prioritisation!$B$10+(RAND()-0.5)*2*$B$6)</f>
        <v>0.30512960881460843</v>
      </c>
      <c r="D554" s="54">
        <f ca="1">MAX(0.02,MCDA_Prioritisation!$B$11+(RAND()-0.5)*2*$B$6)</f>
        <v>0.29881497518580574</v>
      </c>
      <c r="E554" s="54">
        <f ca="1">MAX(0.02,MCDA_Prioritisation!$B$12+(RAND()-0.5)*2*$B$6)</f>
        <v>0.16475387959339968</v>
      </c>
      <c r="F554" s="54">
        <f ca="1">MAX(0.02,MCDA_Prioritisation!$B$13+(RAND()-0.5)*2*$B$6)</f>
        <v>0.16475898275979026</v>
      </c>
      <c r="G554" s="54">
        <f t="shared" ca="1" si="112"/>
        <v>1.1696361290029091</v>
      </c>
      <c r="H554" s="54">
        <f t="shared" ca="1" si="113"/>
        <v>0.20192492074491811</v>
      </c>
      <c r="I554" s="54">
        <f t="shared" ca="1" si="114"/>
        <v>0.26087567000407658</v>
      </c>
      <c r="J554" s="54">
        <f t="shared" ca="1" si="115"/>
        <v>0.25547686821245802</v>
      </c>
      <c r="K554" s="54">
        <f t="shared" ca="1" si="116"/>
        <v>0.14085908900048172</v>
      </c>
      <c r="L554" s="54">
        <f t="shared" ca="1" si="117"/>
        <v>0.14086345203806583</v>
      </c>
      <c r="M554" s="54">
        <f ca="1">MIN(100,MAX(0,MCDA_Prioritisation!$F$2+(RAND()-0.5)*2*$B$7))</f>
        <v>92.761386495176808</v>
      </c>
      <c r="N554" s="54">
        <f ca="1">MIN(100,MAX(0,MCDA_Prioritisation!$F$3+(RAND()-0.5)*2*$B$7))</f>
        <v>89.721067538767656</v>
      </c>
      <c r="O554" s="54">
        <f ca="1">MIN(100,MAX(0,MCDA_Prioritisation!$F$4+(RAND()-0.5)*2*$B$7))</f>
        <v>95.166384520284709</v>
      </c>
      <c r="P554" s="54">
        <f ca="1">MIN(100,MAX(0,MCDA_Prioritisation!$F$5+(RAND()-0.5)*2*$B$7))</f>
        <v>78.290126202038238</v>
      </c>
      <c r="Q554" s="54">
        <f ca="1">MIN(100,MAX(0,MCDA_Prioritisation!$G$2+(RAND()-0.5)*2*$B$7))</f>
        <v>87.096503439877225</v>
      </c>
      <c r="R554" s="54">
        <f ca="1">MIN(100,MAX(0,MCDA_Prioritisation!$G$3+(RAND()-0.5)*2*$B$7))</f>
        <v>90.265950684573269</v>
      </c>
      <c r="S554" s="54">
        <f ca="1">MIN(100,MAX(0,MCDA_Prioritisation!$G$4+(RAND()-0.5)*2*$B$7))</f>
        <v>89.074216372174362</v>
      </c>
      <c r="T554" s="54">
        <f ca="1">MIN(100,MAX(0,MCDA_Prioritisation!$G$5+(RAND()-0.5)*2*$B$7))</f>
        <v>77.861649014021623</v>
      </c>
      <c r="U554" s="54">
        <f ca="1">MIN(100,MAX(0,MCDA_Prioritisation!$H$2+(RAND()-0.5)*2*$B$7))</f>
        <v>65.315988463781792</v>
      </c>
      <c r="V554" s="54">
        <f ca="1">MIN(100,MAX(0,MCDA_Prioritisation!$H$3+(RAND()-0.5)*2*$B$7))</f>
        <v>62.771018287736943</v>
      </c>
      <c r="W554" s="54">
        <f ca="1">MIN(100,MAX(0,MCDA_Prioritisation!$H$4+(RAND()-0.5)*2*$B$7))</f>
        <v>79.64108462208948</v>
      </c>
      <c r="X554" s="54">
        <f ca="1">MIN(100,MAX(0,MCDA_Prioritisation!$H$5+(RAND()-0.5)*2*$B$7))</f>
        <v>67.178350919055376</v>
      </c>
      <c r="Y554" s="54">
        <f ca="1">H554*MCDA_Prioritisation!$D$2+I554*MCDA_Prioritisation!$E$2+J554*M554+K554*Q554+L554*U554</f>
        <v>91.447417325687852</v>
      </c>
      <c r="Z554" s="54">
        <f ca="1">H554*MCDA_Prioritisation!$D$3+I554*MCDA_Prioritisation!$E$3+J554*N554+K554*R554+L554*V554</f>
        <v>81.098955093847849</v>
      </c>
      <c r="AA554" s="54">
        <f ca="1">H554*MCDA_Prioritisation!$D$4+I554*MCDA_Prioritisation!$E$4+J554*O554+K554*S554+L554*W554</f>
        <v>76.368687396821215</v>
      </c>
      <c r="AB554" s="54">
        <f ca="1">H554*MCDA_Prioritisation!$D$5+I554*MCDA_Prioritisation!$E$5+J554*P554+K554*T554+L554*X554</f>
        <v>73.086428711012161</v>
      </c>
      <c r="AC554" s="54">
        <f t="shared" ca="1" si="118"/>
        <v>1</v>
      </c>
      <c r="AD554" s="54">
        <f t="shared" ca="1" si="119"/>
        <v>2</v>
      </c>
      <c r="AE554" s="54">
        <f t="shared" ca="1" si="120"/>
        <v>3</v>
      </c>
      <c r="AF554" s="54">
        <f t="shared" ca="1" si="121"/>
        <v>4</v>
      </c>
      <c r="AG554" s="54">
        <f t="shared" ca="1" si="122"/>
        <v>1</v>
      </c>
      <c r="AH554" s="54">
        <f t="shared" ca="1" si="123"/>
        <v>1</v>
      </c>
      <c r="AI554" s="54">
        <f t="shared" ca="1" si="124"/>
        <v>1</v>
      </c>
      <c r="AJ554" s="54">
        <f t="shared" ca="1" si="125"/>
        <v>1</v>
      </c>
    </row>
    <row r="555" spans="1:36" x14ac:dyDescent="0.2">
      <c r="A555" s="54">
        <v>532</v>
      </c>
      <c r="B555" s="54">
        <f ca="1">MAX(0.02,MCDA_Prioritisation!$B$9+(RAND()-0.5)*2*$B$6)</f>
        <v>0.16922614628362079</v>
      </c>
      <c r="C555" s="54">
        <f ca="1">MAX(0.02,MCDA_Prioritisation!$B$10+(RAND()-0.5)*2*$B$6)</f>
        <v>0.29715597986292924</v>
      </c>
      <c r="D555" s="54">
        <f ca="1">MAX(0.02,MCDA_Prioritisation!$B$11+(RAND()-0.5)*2*$B$6)</f>
        <v>0.18603617704006567</v>
      </c>
      <c r="E555" s="54">
        <f ca="1">MAX(0.02,MCDA_Prioritisation!$B$12+(RAND()-0.5)*2*$B$6)</f>
        <v>0.13333237504761827</v>
      </c>
      <c r="F555" s="54">
        <f ca="1">MAX(0.02,MCDA_Prioritisation!$B$13+(RAND()-0.5)*2*$B$6)</f>
        <v>0.12479603231690038</v>
      </c>
      <c r="G555" s="54">
        <f t="shared" ca="1" si="112"/>
        <v>0.91054671055113445</v>
      </c>
      <c r="H555" s="54">
        <f t="shared" ca="1" si="113"/>
        <v>0.18585114231118557</v>
      </c>
      <c r="I555" s="54">
        <f t="shared" ca="1" si="114"/>
        <v>0.32634896861366625</v>
      </c>
      <c r="J555" s="54">
        <f t="shared" ca="1" si="115"/>
        <v>0.20431261228483485</v>
      </c>
      <c r="K555" s="54">
        <f t="shared" ca="1" si="116"/>
        <v>0.14643112044950998</v>
      </c>
      <c r="L555" s="54">
        <f t="shared" ca="1" si="117"/>
        <v>0.13705615634080323</v>
      </c>
      <c r="M555" s="54">
        <f ca="1">MIN(100,MAX(0,MCDA_Prioritisation!$F$2+(RAND()-0.5)*2*$B$7))</f>
        <v>81.661977510760707</v>
      </c>
      <c r="N555" s="54">
        <f ca="1">MIN(100,MAX(0,MCDA_Prioritisation!$F$3+(RAND()-0.5)*2*$B$7))</f>
        <v>100</v>
      </c>
      <c r="O555" s="54">
        <f ca="1">MIN(100,MAX(0,MCDA_Prioritisation!$F$4+(RAND()-0.5)*2*$B$7))</f>
        <v>88.829846374564568</v>
      </c>
      <c r="P555" s="54">
        <f ca="1">MIN(100,MAX(0,MCDA_Prioritisation!$F$5+(RAND()-0.5)*2*$B$7))</f>
        <v>76.675266693390355</v>
      </c>
      <c r="Q555" s="54">
        <f ca="1">MIN(100,MAX(0,MCDA_Prioritisation!$G$2+(RAND()-0.5)*2*$B$7))</f>
        <v>85.493462120632728</v>
      </c>
      <c r="R555" s="54">
        <f ca="1">MIN(100,MAX(0,MCDA_Prioritisation!$G$3+(RAND()-0.5)*2*$B$7))</f>
        <v>100</v>
      </c>
      <c r="S555" s="54">
        <f ca="1">MIN(100,MAX(0,MCDA_Prioritisation!$G$4+(RAND()-0.5)*2*$B$7))</f>
        <v>83.589163778404327</v>
      </c>
      <c r="T555" s="54">
        <f ca="1">MIN(100,MAX(0,MCDA_Prioritisation!$G$5+(RAND()-0.5)*2*$B$7))</f>
        <v>71.83045009916934</v>
      </c>
      <c r="U555" s="54">
        <f ca="1">MIN(100,MAX(0,MCDA_Prioritisation!$H$2+(RAND()-0.5)*2*$B$7))</f>
        <v>72.586738070920276</v>
      </c>
      <c r="V555" s="54">
        <f ca="1">MIN(100,MAX(0,MCDA_Prioritisation!$H$3+(RAND()-0.5)*2*$B$7))</f>
        <v>63.62587808934255</v>
      </c>
      <c r="W555" s="54">
        <f ca="1">MIN(100,MAX(0,MCDA_Prioritisation!$H$4+(RAND()-0.5)*2*$B$7))</f>
        <v>84.367874526019889</v>
      </c>
      <c r="X555" s="54">
        <f ca="1">MIN(100,MAX(0,MCDA_Prioritisation!$H$5+(RAND()-0.5)*2*$B$7))</f>
        <v>77.921873871010533</v>
      </c>
      <c r="Y555" s="54">
        <f ca="1">H555*MCDA_Prioritisation!$D$2+I555*MCDA_Prioritisation!$E$2+J555*M555+K555*Q555+L555*U555</f>
        <v>90.371945812803105</v>
      </c>
      <c r="Z555" s="54">
        <f ca="1">H555*MCDA_Prioritisation!$D$3+I555*MCDA_Prioritisation!$E$3+J555*N555+K555*R555+L555*V555</f>
        <v>83.771964423647589</v>
      </c>
      <c r="AA555" s="54">
        <f ca="1">H555*MCDA_Prioritisation!$D$4+I555*MCDA_Prioritisation!$E$4+J555*O555+K555*S555+L555*W555</f>
        <v>72.694683311722315</v>
      </c>
      <c r="AB555" s="54">
        <f ca="1">H555*MCDA_Prioritisation!$D$5+I555*MCDA_Prioritisation!$E$5+J555*P555+K555*T555+L555*X555</f>
        <v>74.170806057986283</v>
      </c>
      <c r="AC555" s="54">
        <f t="shared" ca="1" si="118"/>
        <v>1</v>
      </c>
      <c r="AD555" s="54">
        <f t="shared" ca="1" si="119"/>
        <v>2</v>
      </c>
      <c r="AE555" s="54">
        <f t="shared" ca="1" si="120"/>
        <v>4</v>
      </c>
      <c r="AF555" s="54">
        <f t="shared" ca="1" si="121"/>
        <v>3</v>
      </c>
      <c r="AG555" s="54">
        <f t="shared" ca="1" si="122"/>
        <v>1</v>
      </c>
      <c r="AH555" s="54">
        <f t="shared" ca="1" si="123"/>
        <v>1</v>
      </c>
      <c r="AI555" s="54">
        <f t="shared" ca="1" si="124"/>
        <v>0</v>
      </c>
      <c r="AJ555" s="54">
        <f t="shared" ca="1" si="125"/>
        <v>1</v>
      </c>
    </row>
    <row r="556" spans="1:36" x14ac:dyDescent="0.2">
      <c r="A556" s="54">
        <v>533</v>
      </c>
      <c r="B556" s="54">
        <f ca="1">MAX(0.02,MCDA_Prioritisation!$B$9+(RAND()-0.5)*2*$B$6)</f>
        <v>0.21905097868191972</v>
      </c>
      <c r="C556" s="54">
        <f ca="1">MAX(0.02,MCDA_Prioritisation!$B$10+(RAND()-0.5)*2*$B$6)</f>
        <v>0.18611454149081558</v>
      </c>
      <c r="D556" s="54">
        <f ca="1">MAX(0.02,MCDA_Prioritisation!$B$11+(RAND()-0.5)*2*$B$6)</f>
        <v>0.2795211841307505</v>
      </c>
      <c r="E556" s="54">
        <f ca="1">MAX(0.02,MCDA_Prioritisation!$B$12+(RAND()-0.5)*2*$B$6)</f>
        <v>0.18160869199298188</v>
      </c>
      <c r="F556" s="54">
        <f ca="1">MAX(0.02,MCDA_Prioritisation!$B$13+(RAND()-0.5)*2*$B$6)</f>
        <v>0.19407305901172434</v>
      </c>
      <c r="G556" s="54">
        <f t="shared" ca="1" si="112"/>
        <v>1.060368455308192</v>
      </c>
      <c r="H556" s="54">
        <f t="shared" ca="1" si="113"/>
        <v>0.20658005958716813</v>
      </c>
      <c r="I556" s="54">
        <f t="shared" ca="1" si="114"/>
        <v>0.17551874592188063</v>
      </c>
      <c r="J556" s="54">
        <f t="shared" ca="1" si="115"/>
        <v>0.26360760048214443</v>
      </c>
      <c r="K556" s="54">
        <f t="shared" ca="1" si="116"/>
        <v>0.17126942157120092</v>
      </c>
      <c r="L556" s="54">
        <f t="shared" ca="1" si="117"/>
        <v>0.18302417243760591</v>
      </c>
      <c r="M556" s="54">
        <f ca="1">MIN(100,MAX(0,MCDA_Prioritisation!$F$2+(RAND()-0.5)*2*$B$7))</f>
        <v>83.309886862038908</v>
      </c>
      <c r="N556" s="54">
        <f ca="1">MIN(100,MAX(0,MCDA_Prioritisation!$F$3+(RAND()-0.5)*2*$B$7))</f>
        <v>100</v>
      </c>
      <c r="O556" s="54">
        <f ca="1">MIN(100,MAX(0,MCDA_Prioritisation!$F$4+(RAND()-0.5)*2*$B$7))</f>
        <v>92.657689654680482</v>
      </c>
      <c r="P556" s="54">
        <f ca="1">MIN(100,MAX(0,MCDA_Prioritisation!$F$5+(RAND()-0.5)*2*$B$7))</f>
        <v>76.973690440152495</v>
      </c>
      <c r="Q556" s="54">
        <f ca="1">MIN(100,MAX(0,MCDA_Prioritisation!$G$2+(RAND()-0.5)*2*$B$7))</f>
        <v>87.227564162545249</v>
      </c>
      <c r="R556" s="54">
        <f ca="1">MIN(100,MAX(0,MCDA_Prioritisation!$G$3+(RAND()-0.5)*2*$B$7))</f>
        <v>95.031715202898326</v>
      </c>
      <c r="S556" s="54">
        <f ca="1">MIN(100,MAX(0,MCDA_Prioritisation!$G$4+(RAND()-0.5)*2*$B$7))</f>
        <v>80.034377740967855</v>
      </c>
      <c r="T556" s="54">
        <f ca="1">MIN(100,MAX(0,MCDA_Prioritisation!$G$5+(RAND()-0.5)*2*$B$7))</f>
        <v>68.109363268666613</v>
      </c>
      <c r="U556" s="54">
        <f ca="1">MIN(100,MAX(0,MCDA_Prioritisation!$H$2+(RAND()-0.5)*2*$B$7))</f>
        <v>57.492456657198424</v>
      </c>
      <c r="V556" s="54">
        <f ca="1">MIN(100,MAX(0,MCDA_Prioritisation!$H$3+(RAND()-0.5)*2*$B$7))</f>
        <v>50.750566599368248</v>
      </c>
      <c r="W556" s="54">
        <f ca="1">MIN(100,MAX(0,MCDA_Prioritisation!$H$4+(RAND()-0.5)*2*$B$7))</f>
        <v>89.525816204942458</v>
      </c>
      <c r="X556" s="54">
        <f ca="1">MIN(100,MAX(0,MCDA_Prioritisation!$H$5+(RAND()-0.5)*2*$B$7))</f>
        <v>68.37662829056012</v>
      </c>
      <c r="Y556" s="54">
        <f ca="1">H556*MCDA_Prioritisation!$D$2+I556*MCDA_Prioritisation!$E$2+J556*M556+K556*Q556+L556*U556</f>
        <v>85.632923683318495</v>
      </c>
      <c r="Z556" s="54">
        <f ca="1">H556*MCDA_Prioritisation!$D$3+I556*MCDA_Prioritisation!$E$3+J556*N556+K556*R556+L556*V556</f>
        <v>82.744811359983288</v>
      </c>
      <c r="AA556" s="54">
        <f ca="1">H556*MCDA_Prioritisation!$D$4+I556*MCDA_Prioritisation!$E$4+J556*O556+K556*S556+L556*W556</f>
        <v>78.476871965850748</v>
      </c>
      <c r="AB556" s="54">
        <f ca="1">H556*MCDA_Prioritisation!$D$5+I556*MCDA_Prioritisation!$E$5+J556*P556+K556*T556+L556*X556</f>
        <v>70.194428283850215</v>
      </c>
      <c r="AC556" s="54">
        <f t="shared" ca="1" si="118"/>
        <v>1</v>
      </c>
      <c r="AD556" s="54">
        <f t="shared" ca="1" si="119"/>
        <v>2</v>
      </c>
      <c r="AE556" s="54">
        <f t="shared" ca="1" si="120"/>
        <v>3</v>
      </c>
      <c r="AF556" s="54">
        <f t="shared" ca="1" si="121"/>
        <v>4</v>
      </c>
      <c r="AG556" s="54">
        <f t="shared" ca="1" si="122"/>
        <v>1</v>
      </c>
      <c r="AH556" s="54">
        <f t="shared" ca="1" si="123"/>
        <v>1</v>
      </c>
      <c r="AI556" s="54">
        <f t="shared" ca="1" si="124"/>
        <v>1</v>
      </c>
      <c r="AJ556" s="54">
        <f t="shared" ca="1" si="125"/>
        <v>1</v>
      </c>
    </row>
    <row r="557" spans="1:36" x14ac:dyDescent="0.2">
      <c r="A557" s="54">
        <v>534</v>
      </c>
      <c r="B557" s="54">
        <f ca="1">MAX(0.02,MCDA_Prioritisation!$B$9+(RAND()-0.5)*2*$B$6)</f>
        <v>0.14996356373196129</v>
      </c>
      <c r="C557" s="54">
        <f ca="1">MAX(0.02,MCDA_Prioritisation!$B$10+(RAND()-0.5)*2*$B$6)</f>
        <v>0.3092177410716887</v>
      </c>
      <c r="D557" s="54">
        <f ca="1">MAX(0.02,MCDA_Prioritisation!$B$11+(RAND()-0.5)*2*$B$6)</f>
        <v>0.1776844571417685</v>
      </c>
      <c r="E557" s="54">
        <f ca="1">MAX(0.02,MCDA_Prioritisation!$B$12+(RAND()-0.5)*2*$B$6)</f>
        <v>0.17907947928706616</v>
      </c>
      <c r="F557" s="54">
        <f ca="1">MAX(0.02,MCDA_Prioritisation!$B$13+(RAND()-0.5)*2*$B$6)</f>
        <v>0.22686972455463955</v>
      </c>
      <c r="G557" s="54">
        <f t="shared" ca="1" si="112"/>
        <v>1.0428149657871242</v>
      </c>
      <c r="H557" s="54">
        <f t="shared" ca="1" si="113"/>
        <v>0.14380649362734041</v>
      </c>
      <c r="I557" s="54">
        <f t="shared" ca="1" si="114"/>
        <v>0.29652215514407099</v>
      </c>
      <c r="J557" s="54">
        <f t="shared" ca="1" si="115"/>
        <v>0.17038924734614927</v>
      </c>
      <c r="K557" s="54">
        <f t="shared" ca="1" si="116"/>
        <v>0.17172699391775192</v>
      </c>
      <c r="L557" s="54">
        <f t="shared" ca="1" si="117"/>
        <v>0.21755510996468741</v>
      </c>
      <c r="M557" s="54">
        <f ca="1">MIN(100,MAX(0,MCDA_Prioritisation!$F$2+(RAND()-0.5)*2*$B$7))</f>
        <v>84.774381306757007</v>
      </c>
      <c r="N557" s="54">
        <f ca="1">MIN(100,MAX(0,MCDA_Prioritisation!$F$3+(RAND()-0.5)*2*$B$7))</f>
        <v>100</v>
      </c>
      <c r="O557" s="54">
        <f ca="1">MIN(100,MAX(0,MCDA_Prioritisation!$F$4+(RAND()-0.5)*2*$B$7))</f>
        <v>97.465075503600843</v>
      </c>
      <c r="P557" s="54">
        <f ca="1">MIN(100,MAX(0,MCDA_Prioritisation!$F$5+(RAND()-0.5)*2*$B$7))</f>
        <v>82.439353436157219</v>
      </c>
      <c r="Q557" s="54">
        <f ca="1">MIN(100,MAX(0,MCDA_Prioritisation!$G$2+(RAND()-0.5)*2*$B$7))</f>
        <v>81.518673081073615</v>
      </c>
      <c r="R557" s="54">
        <f ca="1">MIN(100,MAX(0,MCDA_Prioritisation!$G$3+(RAND()-0.5)*2*$B$7))</f>
        <v>85.90293533092364</v>
      </c>
      <c r="S557" s="54">
        <f ca="1">MIN(100,MAX(0,MCDA_Prioritisation!$G$4+(RAND()-0.5)*2*$B$7))</f>
        <v>93.276838110184357</v>
      </c>
      <c r="T557" s="54">
        <f ca="1">MIN(100,MAX(0,MCDA_Prioritisation!$G$5+(RAND()-0.5)*2*$B$7))</f>
        <v>66.524537899178227</v>
      </c>
      <c r="U557" s="54">
        <f ca="1">MIN(100,MAX(0,MCDA_Prioritisation!$H$2+(RAND()-0.5)*2*$B$7))</f>
        <v>65.047661680629787</v>
      </c>
      <c r="V557" s="54">
        <f ca="1">MIN(100,MAX(0,MCDA_Prioritisation!$H$3+(RAND()-0.5)*2*$B$7))</f>
        <v>59.773828988823318</v>
      </c>
      <c r="W557" s="54">
        <f ca="1">MIN(100,MAX(0,MCDA_Prioritisation!$H$4+(RAND()-0.5)*2*$B$7))</f>
        <v>82.047187243019295</v>
      </c>
      <c r="X557" s="54">
        <f ca="1">MIN(100,MAX(0,MCDA_Prioritisation!$H$5+(RAND()-0.5)*2*$B$7))</f>
        <v>79.85843294605418</v>
      </c>
      <c r="Y557" s="54">
        <f ca="1">H557*MCDA_Prioritisation!$D$2+I557*MCDA_Prioritisation!$E$2+J557*M557+K557*Q557+L557*U557</f>
        <v>86.627915768486872</v>
      </c>
      <c r="Z557" s="54">
        <f ca="1">H557*MCDA_Prioritisation!$D$3+I557*MCDA_Prioritisation!$E$3+J557*N557+K557*R557+L557*V557</f>
        <v>78.928360181306743</v>
      </c>
      <c r="AA557" s="54">
        <f ca="1">H557*MCDA_Prioritisation!$D$4+I557*MCDA_Prioritisation!$E$4+J557*O557+K557*S557+L557*W557</f>
        <v>76.662711281755691</v>
      </c>
      <c r="AB557" s="54">
        <f ca="1">H557*MCDA_Prioritisation!$D$5+I557*MCDA_Prioritisation!$E$5+J557*P557+K557*T557+L557*X557</f>
        <v>75.411923663160565</v>
      </c>
      <c r="AC557" s="54">
        <f t="shared" ca="1" si="118"/>
        <v>1</v>
      </c>
      <c r="AD557" s="54">
        <f t="shared" ca="1" si="119"/>
        <v>2</v>
      </c>
      <c r="AE557" s="54">
        <f t="shared" ca="1" si="120"/>
        <v>3</v>
      </c>
      <c r="AF557" s="54">
        <f t="shared" ca="1" si="121"/>
        <v>4</v>
      </c>
      <c r="AG557" s="54">
        <f t="shared" ca="1" si="122"/>
        <v>1</v>
      </c>
      <c r="AH557" s="54">
        <f t="shared" ca="1" si="123"/>
        <v>1</v>
      </c>
      <c r="AI557" s="54">
        <f t="shared" ca="1" si="124"/>
        <v>1</v>
      </c>
      <c r="AJ557" s="54">
        <f t="shared" ca="1" si="125"/>
        <v>1</v>
      </c>
    </row>
    <row r="558" spans="1:36" x14ac:dyDescent="0.2">
      <c r="A558" s="54">
        <v>535</v>
      </c>
      <c r="B558" s="54">
        <f ca="1">MAX(0.02,MCDA_Prioritisation!$B$9+(RAND()-0.5)*2*$B$6)</f>
        <v>0.25602403684372826</v>
      </c>
      <c r="C558" s="54">
        <f ca="1">MAX(0.02,MCDA_Prioritisation!$B$10+(RAND()-0.5)*2*$B$6)</f>
        <v>0.17817478123666117</v>
      </c>
      <c r="D558" s="54">
        <f ca="1">MAX(0.02,MCDA_Prioritisation!$B$11+(RAND()-0.5)*2*$B$6)</f>
        <v>0.246140124019222</v>
      </c>
      <c r="E558" s="54">
        <f ca="1">MAX(0.02,MCDA_Prioritisation!$B$12+(RAND()-0.5)*2*$B$6)</f>
        <v>0.1478137342046901</v>
      </c>
      <c r="F558" s="54">
        <f ca="1">MAX(0.02,MCDA_Prioritisation!$B$13+(RAND()-0.5)*2*$B$6)</f>
        <v>0.20719933418128803</v>
      </c>
      <c r="G558" s="54">
        <f t="shared" ca="1" si="112"/>
        <v>1.0353520104855896</v>
      </c>
      <c r="H558" s="54">
        <f t="shared" ca="1" si="113"/>
        <v>0.24728211685574517</v>
      </c>
      <c r="I558" s="54">
        <f t="shared" ca="1" si="114"/>
        <v>0.17209101777191274</v>
      </c>
      <c r="J558" s="54">
        <f t="shared" ca="1" si="115"/>
        <v>0.23773568943356765</v>
      </c>
      <c r="K558" s="54">
        <f t="shared" ca="1" si="116"/>
        <v>0.14276664623016871</v>
      </c>
      <c r="L558" s="54">
        <f t="shared" ca="1" si="117"/>
        <v>0.20012452970860573</v>
      </c>
      <c r="M558" s="54">
        <f ca="1">MIN(100,MAX(0,MCDA_Prioritisation!$F$2+(RAND()-0.5)*2*$B$7))</f>
        <v>75.595890234018384</v>
      </c>
      <c r="N558" s="54">
        <f ca="1">MIN(100,MAX(0,MCDA_Prioritisation!$F$3+(RAND()-0.5)*2*$B$7))</f>
        <v>100</v>
      </c>
      <c r="O558" s="54">
        <f ca="1">MIN(100,MAX(0,MCDA_Prioritisation!$F$4+(RAND()-0.5)*2*$B$7))</f>
        <v>99.180905272812069</v>
      </c>
      <c r="P558" s="54">
        <f ca="1">MIN(100,MAX(0,MCDA_Prioritisation!$F$5+(RAND()-0.5)*2*$B$7))</f>
        <v>70.746339005960365</v>
      </c>
      <c r="Q558" s="54">
        <f ca="1">MIN(100,MAX(0,MCDA_Prioritisation!$G$2+(RAND()-0.5)*2*$B$7))</f>
        <v>82.308828502951883</v>
      </c>
      <c r="R558" s="54">
        <f ca="1">MIN(100,MAX(0,MCDA_Prioritisation!$G$3+(RAND()-0.5)*2*$B$7))</f>
        <v>91.305660606128058</v>
      </c>
      <c r="S558" s="54">
        <f ca="1">MIN(100,MAX(0,MCDA_Prioritisation!$G$4+(RAND()-0.5)*2*$B$7))</f>
        <v>90.912182109542783</v>
      </c>
      <c r="T558" s="54">
        <f ca="1">MIN(100,MAX(0,MCDA_Prioritisation!$G$5+(RAND()-0.5)*2*$B$7))</f>
        <v>63.32172520217074</v>
      </c>
      <c r="U558" s="54">
        <f ca="1">MIN(100,MAX(0,MCDA_Prioritisation!$H$2+(RAND()-0.5)*2*$B$7))</f>
        <v>62.56605622210499</v>
      </c>
      <c r="V558" s="54">
        <f ca="1">MIN(100,MAX(0,MCDA_Prioritisation!$H$3+(RAND()-0.5)*2*$B$7))</f>
        <v>67.988230097893151</v>
      </c>
      <c r="W558" s="54">
        <f ca="1">MIN(100,MAX(0,MCDA_Prioritisation!$H$4+(RAND()-0.5)*2*$B$7))</f>
        <v>78.273054410673396</v>
      </c>
      <c r="X558" s="54">
        <f ca="1">MIN(100,MAX(0,MCDA_Prioritisation!$H$5+(RAND()-0.5)*2*$B$7))</f>
        <v>81.212649245218017</v>
      </c>
      <c r="Y558" s="54">
        <f ca="1">H558*MCDA_Prioritisation!$D$2+I558*MCDA_Prioritisation!$E$2+J558*M558+K558*Q558+L558*U558</f>
        <v>84.181112523565957</v>
      </c>
      <c r="Z558" s="54">
        <f ca="1">H558*MCDA_Prioritisation!$D$3+I558*MCDA_Prioritisation!$E$3+J558*N558+K558*R558+L558*V558</f>
        <v>84.542470266098917</v>
      </c>
      <c r="AA558" s="54">
        <f ca="1">H558*MCDA_Prioritisation!$D$4+I558*MCDA_Prioritisation!$E$4+J558*O558+K558*S558+L558*W558</f>
        <v>78.828482170305961</v>
      </c>
      <c r="AB558" s="54">
        <f ca="1">H558*MCDA_Prioritisation!$D$5+I558*MCDA_Prioritisation!$E$5+J558*P558+K558*T558+L558*X558</f>
        <v>69.707811775661725</v>
      </c>
      <c r="AC558" s="54">
        <f t="shared" ca="1" si="118"/>
        <v>2</v>
      </c>
      <c r="AD558" s="54">
        <f t="shared" ca="1" si="119"/>
        <v>1</v>
      </c>
      <c r="AE558" s="54">
        <f t="shared" ca="1" si="120"/>
        <v>3</v>
      </c>
      <c r="AF558" s="54">
        <f t="shared" ca="1" si="121"/>
        <v>4</v>
      </c>
      <c r="AG558" s="54">
        <f t="shared" ca="1" si="122"/>
        <v>0</v>
      </c>
      <c r="AH558" s="54">
        <f t="shared" ca="1" si="123"/>
        <v>0</v>
      </c>
      <c r="AI558" s="54">
        <f t="shared" ca="1" si="124"/>
        <v>0</v>
      </c>
      <c r="AJ558" s="54">
        <f t="shared" ca="1" si="125"/>
        <v>1</v>
      </c>
    </row>
    <row r="559" spans="1:36" x14ac:dyDescent="0.2">
      <c r="A559" s="54">
        <v>536</v>
      </c>
      <c r="B559" s="54">
        <f ca="1">MAX(0.02,MCDA_Prioritisation!$B$9+(RAND()-0.5)*2*$B$6)</f>
        <v>0.26509299779624923</v>
      </c>
      <c r="C559" s="54">
        <f ca="1">MAX(0.02,MCDA_Prioritisation!$B$10+(RAND()-0.5)*2*$B$6)</f>
        <v>0.32197610588984016</v>
      </c>
      <c r="D559" s="54">
        <f ca="1">MAX(0.02,MCDA_Prioritisation!$B$11+(RAND()-0.5)*2*$B$6)</f>
        <v>0.22422836807333943</v>
      </c>
      <c r="E559" s="54">
        <f ca="1">MAX(0.02,MCDA_Prioritisation!$B$12+(RAND()-0.5)*2*$B$6)</f>
        <v>8.31304287277813E-2</v>
      </c>
      <c r="F559" s="54">
        <f ca="1">MAX(0.02,MCDA_Prioritisation!$B$13+(RAND()-0.5)*2*$B$6)</f>
        <v>9.7361638819681462E-2</v>
      </c>
      <c r="G559" s="54">
        <f t="shared" ca="1" si="112"/>
        <v>0.99178953930689162</v>
      </c>
      <c r="H559" s="54">
        <f t="shared" ca="1" si="113"/>
        <v>0.26728755173351443</v>
      </c>
      <c r="I559" s="54">
        <f t="shared" ca="1" si="114"/>
        <v>0.32464156267957006</v>
      </c>
      <c r="J559" s="54">
        <f t="shared" ca="1" si="115"/>
        <v>0.22608462701677676</v>
      </c>
      <c r="K559" s="54">
        <f t="shared" ca="1" si="116"/>
        <v>8.3818618197845363E-2</v>
      </c>
      <c r="L559" s="54">
        <f t="shared" ca="1" si="117"/>
        <v>9.8167640372293377E-2</v>
      </c>
      <c r="M559" s="54">
        <f ca="1">MIN(100,MAX(0,MCDA_Prioritisation!$F$2+(RAND()-0.5)*2*$B$7))</f>
        <v>88.634943763040809</v>
      </c>
      <c r="N559" s="54">
        <f ca="1">MIN(100,MAX(0,MCDA_Prioritisation!$F$3+(RAND()-0.5)*2*$B$7))</f>
        <v>97.159887523807996</v>
      </c>
      <c r="O559" s="54">
        <f ca="1">MIN(100,MAX(0,MCDA_Prioritisation!$F$4+(RAND()-0.5)*2*$B$7))</f>
        <v>86.824206763335425</v>
      </c>
      <c r="P559" s="54">
        <f ca="1">MIN(100,MAX(0,MCDA_Prioritisation!$F$5+(RAND()-0.5)*2*$B$7))</f>
        <v>79.497785570589855</v>
      </c>
      <c r="Q559" s="54">
        <f ca="1">MIN(100,MAX(0,MCDA_Prioritisation!$G$2+(RAND()-0.5)*2*$B$7))</f>
        <v>87.416423809189155</v>
      </c>
      <c r="R559" s="54">
        <f ca="1">MIN(100,MAX(0,MCDA_Prioritisation!$G$3+(RAND()-0.5)*2*$B$7))</f>
        <v>88.58808320517565</v>
      </c>
      <c r="S559" s="54">
        <f ca="1">MIN(100,MAX(0,MCDA_Prioritisation!$G$4+(RAND()-0.5)*2*$B$7))</f>
        <v>84.502841216634849</v>
      </c>
      <c r="T559" s="54">
        <f ca="1">MIN(100,MAX(0,MCDA_Prioritisation!$G$5+(RAND()-0.5)*2*$B$7))</f>
        <v>72.580400500375873</v>
      </c>
      <c r="U559" s="54">
        <f ca="1">MIN(100,MAX(0,MCDA_Prioritisation!$H$2+(RAND()-0.5)*2*$B$7))</f>
        <v>69.458840267934391</v>
      </c>
      <c r="V559" s="54">
        <f ca="1">MIN(100,MAX(0,MCDA_Prioritisation!$H$3+(RAND()-0.5)*2*$B$7))</f>
        <v>64.12650940295255</v>
      </c>
      <c r="W559" s="54">
        <f ca="1">MIN(100,MAX(0,MCDA_Prioritisation!$H$4+(RAND()-0.5)*2*$B$7))</f>
        <v>82.957184005558034</v>
      </c>
      <c r="X559" s="54">
        <f ca="1">MIN(100,MAX(0,MCDA_Prioritisation!$H$5+(RAND()-0.5)*2*$B$7))</f>
        <v>78.610499019525236</v>
      </c>
      <c r="Y559" s="54">
        <f ca="1">H559*MCDA_Prioritisation!$D$2+I559*MCDA_Prioritisation!$E$2+J559*M559+K559*Q559+L559*U559</f>
        <v>93.377643946211137</v>
      </c>
      <c r="Z559" s="54">
        <f ca="1">H559*MCDA_Prioritisation!$D$3+I559*MCDA_Prioritisation!$E$3+J559*N559+K559*R559+L559*V559</f>
        <v>82.657218430910177</v>
      </c>
      <c r="AA559" s="54">
        <f ca="1">H559*MCDA_Prioritisation!$D$4+I559*MCDA_Prioritisation!$E$4+J559*O559+K559*S559+L559*W559</f>
        <v>71.176296219104174</v>
      </c>
      <c r="AB559" s="54">
        <f ca="1">H559*MCDA_Prioritisation!$D$5+I559*MCDA_Prioritisation!$E$5+J559*P559+K559*T559+L559*X559</f>
        <v>73.259752055785825</v>
      </c>
      <c r="AC559" s="54">
        <f t="shared" ca="1" si="118"/>
        <v>1</v>
      </c>
      <c r="AD559" s="54">
        <f t="shared" ca="1" si="119"/>
        <v>2</v>
      </c>
      <c r="AE559" s="54">
        <f t="shared" ca="1" si="120"/>
        <v>4</v>
      </c>
      <c r="AF559" s="54">
        <f t="shared" ca="1" si="121"/>
        <v>3</v>
      </c>
      <c r="AG559" s="54">
        <f t="shared" ca="1" si="122"/>
        <v>1</v>
      </c>
      <c r="AH559" s="54">
        <f t="shared" ca="1" si="123"/>
        <v>1</v>
      </c>
      <c r="AI559" s="54">
        <f t="shared" ca="1" si="124"/>
        <v>0</v>
      </c>
      <c r="AJ559" s="54">
        <f t="shared" ca="1" si="125"/>
        <v>1</v>
      </c>
    </row>
    <row r="560" spans="1:36" x14ac:dyDescent="0.2">
      <c r="A560" s="54">
        <v>537</v>
      </c>
      <c r="B560" s="54">
        <f ca="1">MAX(0.02,MCDA_Prioritisation!$B$9+(RAND()-0.5)*2*$B$6)</f>
        <v>0.14963900376135747</v>
      </c>
      <c r="C560" s="54">
        <f ca="1">MAX(0.02,MCDA_Prioritisation!$B$10+(RAND()-0.5)*2*$B$6)</f>
        <v>0.23295538019582018</v>
      </c>
      <c r="D560" s="54">
        <f ca="1">MAX(0.02,MCDA_Prioritisation!$B$11+(RAND()-0.5)*2*$B$6)</f>
        <v>0.26935881821910801</v>
      </c>
      <c r="E560" s="54">
        <f ca="1">MAX(0.02,MCDA_Prioritisation!$B$12+(RAND()-0.5)*2*$B$6)</f>
        <v>0.12251855487371155</v>
      </c>
      <c r="F560" s="54">
        <f ca="1">MAX(0.02,MCDA_Prioritisation!$B$13+(RAND()-0.5)*2*$B$6)</f>
        <v>0.12662399023791121</v>
      </c>
      <c r="G560" s="54">
        <f t="shared" ca="1" si="112"/>
        <v>0.90109574728790842</v>
      </c>
      <c r="H560" s="54">
        <f t="shared" ca="1" si="113"/>
        <v>0.16606337807245963</v>
      </c>
      <c r="I560" s="54">
        <f t="shared" ca="1" si="114"/>
        <v>0.25852455845781369</v>
      </c>
      <c r="J560" s="54">
        <f t="shared" ca="1" si="115"/>
        <v>0.29892363717153952</v>
      </c>
      <c r="K560" s="54">
        <f t="shared" ca="1" si="116"/>
        <v>0.13596618921181716</v>
      </c>
      <c r="L560" s="54">
        <f t="shared" ca="1" si="117"/>
        <v>0.14052223708636999</v>
      </c>
      <c r="M560" s="54">
        <f ca="1">MIN(100,MAX(0,MCDA_Prioritisation!$F$2+(RAND()-0.5)*2*$B$7))</f>
        <v>77.571064911068362</v>
      </c>
      <c r="N560" s="54">
        <f ca="1">MIN(100,MAX(0,MCDA_Prioritisation!$F$3+(RAND()-0.5)*2*$B$7))</f>
        <v>85.380633724752428</v>
      </c>
      <c r="O560" s="54">
        <f ca="1">MIN(100,MAX(0,MCDA_Prioritisation!$F$4+(RAND()-0.5)*2*$B$7))</f>
        <v>98.516077665455924</v>
      </c>
      <c r="P560" s="54">
        <f ca="1">MIN(100,MAX(0,MCDA_Prioritisation!$F$5+(RAND()-0.5)*2*$B$7))</f>
        <v>69.348457844775893</v>
      </c>
      <c r="Q560" s="54">
        <f ca="1">MIN(100,MAX(0,MCDA_Prioritisation!$G$2+(RAND()-0.5)*2*$B$7))</f>
        <v>87.154312762144144</v>
      </c>
      <c r="R560" s="54">
        <f ca="1">MIN(100,MAX(0,MCDA_Prioritisation!$G$3+(RAND()-0.5)*2*$B$7))</f>
        <v>85.753635188705317</v>
      </c>
      <c r="S560" s="54">
        <f ca="1">MIN(100,MAX(0,MCDA_Prioritisation!$G$4+(RAND()-0.5)*2*$B$7))</f>
        <v>80.435931024666274</v>
      </c>
      <c r="T560" s="54">
        <f ca="1">MIN(100,MAX(0,MCDA_Prioritisation!$G$5+(RAND()-0.5)*2*$B$7))</f>
        <v>74.839018600089076</v>
      </c>
      <c r="U560" s="54">
        <f ca="1">MIN(100,MAX(0,MCDA_Prioritisation!$H$2+(RAND()-0.5)*2*$B$7))</f>
        <v>73.317330827974914</v>
      </c>
      <c r="V560" s="54">
        <f ca="1">MIN(100,MAX(0,MCDA_Prioritisation!$H$3+(RAND()-0.5)*2*$B$7))</f>
        <v>69.363383688904676</v>
      </c>
      <c r="W560" s="54">
        <f ca="1">MIN(100,MAX(0,MCDA_Prioritisation!$H$4+(RAND()-0.5)*2*$B$7))</f>
        <v>87.906670270928913</v>
      </c>
      <c r="X560" s="54">
        <f ca="1">MIN(100,MAX(0,MCDA_Prioritisation!$H$5+(RAND()-0.5)*2*$B$7))</f>
        <v>83.870234665011282</v>
      </c>
      <c r="Y560" s="54">
        <f ca="1">H560*MCDA_Prioritisation!$D$2+I560*MCDA_Prioritisation!$E$2+J560*M560+K560*Q560+L560*U560</f>
        <v>87.799373640305561</v>
      </c>
      <c r="Z560" s="54">
        <f ca="1">H560*MCDA_Prioritisation!$D$3+I560*MCDA_Prioritisation!$E$3+J560*N560+K560*R560+L560*V560</f>
        <v>80.244182842550217</v>
      </c>
      <c r="AA560" s="54">
        <f ca="1">H560*MCDA_Prioritisation!$D$4+I560*MCDA_Prioritisation!$E$4+J560*O560+K560*S560+L560*W560</f>
        <v>78.403210214980575</v>
      </c>
      <c r="AB560" s="54">
        <f ca="1">H560*MCDA_Prioritisation!$D$5+I560*MCDA_Prioritisation!$E$5+J560*P560+K560*T560+L560*X560</f>
        <v>73.244629115750428</v>
      </c>
      <c r="AC560" s="54">
        <f t="shared" ca="1" si="118"/>
        <v>1</v>
      </c>
      <c r="AD560" s="54">
        <f t="shared" ca="1" si="119"/>
        <v>2</v>
      </c>
      <c r="AE560" s="54">
        <f t="shared" ca="1" si="120"/>
        <v>3</v>
      </c>
      <c r="AF560" s="54">
        <f t="shared" ca="1" si="121"/>
        <v>4</v>
      </c>
      <c r="AG560" s="54">
        <f t="shared" ca="1" si="122"/>
        <v>1</v>
      </c>
      <c r="AH560" s="54">
        <f t="shared" ca="1" si="123"/>
        <v>1</v>
      </c>
      <c r="AI560" s="54">
        <f t="shared" ca="1" si="124"/>
        <v>1</v>
      </c>
      <c r="AJ560" s="54">
        <f t="shared" ca="1" si="125"/>
        <v>1</v>
      </c>
    </row>
    <row r="561" spans="1:36" x14ac:dyDescent="0.2">
      <c r="A561" s="54">
        <v>538</v>
      </c>
      <c r="B561" s="54">
        <f ca="1">MAX(0.02,MCDA_Prioritisation!$B$9+(RAND()-0.5)*2*$B$6)</f>
        <v>0.24144315672871541</v>
      </c>
      <c r="C561" s="54">
        <f ca="1">MAX(0.02,MCDA_Prioritisation!$B$10+(RAND()-0.5)*2*$B$6)</f>
        <v>0.28913301086301663</v>
      </c>
      <c r="D561" s="54">
        <f ca="1">MAX(0.02,MCDA_Prioritisation!$B$11+(RAND()-0.5)*2*$B$6)</f>
        <v>0.27486129408599946</v>
      </c>
      <c r="E561" s="54">
        <f ca="1">MAX(0.02,MCDA_Prioritisation!$B$12+(RAND()-0.5)*2*$B$6)</f>
        <v>0.12171785736502352</v>
      </c>
      <c r="F561" s="54">
        <f ca="1">MAX(0.02,MCDA_Prioritisation!$B$13+(RAND()-0.5)*2*$B$6)</f>
        <v>0.10337953869336988</v>
      </c>
      <c r="G561" s="54">
        <f t="shared" ca="1" si="112"/>
        <v>1.0305348577361249</v>
      </c>
      <c r="H561" s="54">
        <f t="shared" ca="1" si="113"/>
        <v>0.23428917024613494</v>
      </c>
      <c r="I561" s="54">
        <f t="shared" ca="1" si="114"/>
        <v>0.28056596891655167</v>
      </c>
      <c r="J561" s="54">
        <f t="shared" ca="1" si="115"/>
        <v>0.26671712462964497</v>
      </c>
      <c r="K561" s="54">
        <f t="shared" ca="1" si="116"/>
        <v>0.11811134427069538</v>
      </c>
      <c r="L561" s="54">
        <f t="shared" ca="1" si="117"/>
        <v>0.10031639193697307</v>
      </c>
      <c r="M561" s="54">
        <f ca="1">MIN(100,MAX(0,MCDA_Prioritisation!$F$2+(RAND()-0.5)*2*$B$7))</f>
        <v>78.290633296676447</v>
      </c>
      <c r="N561" s="54">
        <f ca="1">MIN(100,MAX(0,MCDA_Prioritisation!$F$3+(RAND()-0.5)*2*$B$7))</f>
        <v>88.777951452824354</v>
      </c>
      <c r="O561" s="54">
        <f ca="1">MIN(100,MAX(0,MCDA_Prioritisation!$F$4+(RAND()-0.5)*2*$B$7))</f>
        <v>93.502732222382505</v>
      </c>
      <c r="P561" s="54">
        <f ca="1">MIN(100,MAX(0,MCDA_Prioritisation!$F$5+(RAND()-0.5)*2*$B$7))</f>
        <v>72.545308315307309</v>
      </c>
      <c r="Q561" s="54">
        <f ca="1">MIN(100,MAX(0,MCDA_Prioritisation!$G$2+(RAND()-0.5)*2*$B$7))</f>
        <v>87.394272562389716</v>
      </c>
      <c r="R561" s="54">
        <f ca="1">MIN(100,MAX(0,MCDA_Prioritisation!$G$3+(RAND()-0.5)*2*$B$7))</f>
        <v>100</v>
      </c>
      <c r="S561" s="54">
        <f ca="1">MIN(100,MAX(0,MCDA_Prioritisation!$G$4+(RAND()-0.5)*2*$B$7))</f>
        <v>81.229983722942364</v>
      </c>
      <c r="T561" s="54">
        <f ca="1">MIN(100,MAX(0,MCDA_Prioritisation!$G$5+(RAND()-0.5)*2*$B$7))</f>
        <v>65.316195583886525</v>
      </c>
      <c r="U561" s="54">
        <f ca="1">MIN(100,MAX(0,MCDA_Prioritisation!$H$2+(RAND()-0.5)*2*$B$7))</f>
        <v>67.419813533627405</v>
      </c>
      <c r="V561" s="54">
        <f ca="1">MIN(100,MAX(0,MCDA_Prioritisation!$H$3+(RAND()-0.5)*2*$B$7))</f>
        <v>63.091916085528879</v>
      </c>
      <c r="W561" s="54">
        <f ca="1">MIN(100,MAX(0,MCDA_Prioritisation!$H$4+(RAND()-0.5)*2*$B$7))</f>
        <v>70.782370055822184</v>
      </c>
      <c r="X561" s="54">
        <f ca="1">MIN(100,MAX(0,MCDA_Prioritisation!$H$5+(RAND()-0.5)*2*$B$7))</f>
        <v>79.170534024589912</v>
      </c>
      <c r="Y561" s="54">
        <f ca="1">H561*MCDA_Prioritisation!$D$2+I561*MCDA_Prioritisation!$E$2+J561*M561+K561*Q561+L561*U561</f>
        <v>89.452533967252563</v>
      </c>
      <c r="Z561" s="54">
        <f ca="1">H561*MCDA_Prioritisation!$D$3+I561*MCDA_Prioritisation!$E$3+J561*N561+K561*R561+L561*V561</f>
        <v>82.699818442901972</v>
      </c>
      <c r="AA561" s="54">
        <f ca="1">H561*MCDA_Prioritisation!$D$4+I561*MCDA_Prioritisation!$E$4+J561*O561+K561*S561+L561*W561</f>
        <v>73.251713260742278</v>
      </c>
      <c r="AB561" s="54">
        <f ca="1">H561*MCDA_Prioritisation!$D$5+I561*MCDA_Prioritisation!$E$5+J561*P561+K561*T561+L561*X561</f>
        <v>71.033915595959812</v>
      </c>
      <c r="AC561" s="54">
        <f t="shared" ca="1" si="118"/>
        <v>1</v>
      </c>
      <c r="AD561" s="54">
        <f t="shared" ca="1" si="119"/>
        <v>2</v>
      </c>
      <c r="AE561" s="54">
        <f t="shared" ca="1" si="120"/>
        <v>3</v>
      </c>
      <c r="AF561" s="54">
        <f t="shared" ca="1" si="121"/>
        <v>4</v>
      </c>
      <c r="AG561" s="54">
        <f t="shared" ca="1" si="122"/>
        <v>1</v>
      </c>
      <c r="AH561" s="54">
        <f t="shared" ca="1" si="123"/>
        <v>1</v>
      </c>
      <c r="AI561" s="54">
        <f t="shared" ca="1" si="124"/>
        <v>1</v>
      </c>
      <c r="AJ561" s="54">
        <f t="shared" ca="1" si="125"/>
        <v>1</v>
      </c>
    </row>
    <row r="562" spans="1:36" x14ac:dyDescent="0.2">
      <c r="A562" s="54">
        <v>539</v>
      </c>
      <c r="B562" s="54">
        <f ca="1">MAX(0.02,MCDA_Prioritisation!$B$9+(RAND()-0.5)*2*$B$6)</f>
        <v>0.25067424885767159</v>
      </c>
      <c r="C562" s="54">
        <f ca="1">MAX(0.02,MCDA_Prioritisation!$B$10+(RAND()-0.5)*2*$B$6)</f>
        <v>0.18210026044999994</v>
      </c>
      <c r="D562" s="54">
        <f ca="1">MAX(0.02,MCDA_Prioritisation!$B$11+(RAND()-0.5)*2*$B$6)</f>
        <v>0.29814879652074094</v>
      </c>
      <c r="E562" s="54">
        <f ca="1">MAX(0.02,MCDA_Prioritisation!$B$12+(RAND()-0.5)*2*$B$6)</f>
        <v>0.21494257019808038</v>
      </c>
      <c r="F562" s="54">
        <f ca="1">MAX(0.02,MCDA_Prioritisation!$B$13+(RAND()-0.5)*2*$B$6)</f>
        <v>0.16666245840749078</v>
      </c>
      <c r="G562" s="54">
        <f t="shared" ca="1" si="112"/>
        <v>1.1125283344339836</v>
      </c>
      <c r="H562" s="54">
        <f t="shared" ca="1" si="113"/>
        <v>0.22531942881724992</v>
      </c>
      <c r="I562" s="54">
        <f t="shared" ca="1" si="114"/>
        <v>0.16368145854248856</v>
      </c>
      <c r="J562" s="54">
        <f t="shared" ca="1" si="115"/>
        <v>0.26799209268897306</v>
      </c>
      <c r="K562" s="54">
        <f t="shared" ca="1" si="116"/>
        <v>0.19320188398386798</v>
      </c>
      <c r="L562" s="54">
        <f t="shared" ca="1" si="117"/>
        <v>0.14980513596742051</v>
      </c>
      <c r="M562" s="54">
        <f ca="1">MIN(100,MAX(0,MCDA_Prioritisation!$F$2+(RAND()-0.5)*2*$B$7))</f>
        <v>92.64790526675668</v>
      </c>
      <c r="N562" s="54">
        <f ca="1">MIN(100,MAX(0,MCDA_Prioritisation!$F$3+(RAND()-0.5)*2*$B$7))</f>
        <v>96.884624362694652</v>
      </c>
      <c r="O562" s="54">
        <f ca="1">MIN(100,MAX(0,MCDA_Prioritisation!$F$4+(RAND()-0.5)*2*$B$7))</f>
        <v>86.783248193062192</v>
      </c>
      <c r="P562" s="54">
        <f ca="1">MIN(100,MAX(0,MCDA_Prioritisation!$F$5+(RAND()-0.5)*2*$B$7))</f>
        <v>74.391284206990349</v>
      </c>
      <c r="Q562" s="54">
        <f ca="1">MIN(100,MAX(0,MCDA_Prioritisation!$G$2+(RAND()-0.5)*2*$B$7))</f>
        <v>71.34284950498629</v>
      </c>
      <c r="R562" s="54">
        <f ca="1">MIN(100,MAX(0,MCDA_Prioritisation!$G$3+(RAND()-0.5)*2*$B$7))</f>
        <v>90.79613019846181</v>
      </c>
      <c r="S562" s="54">
        <f ca="1">MIN(100,MAX(0,MCDA_Prioritisation!$G$4+(RAND()-0.5)*2*$B$7))</f>
        <v>84.70251755371919</v>
      </c>
      <c r="T562" s="54">
        <f ca="1">MIN(100,MAX(0,MCDA_Prioritisation!$G$5+(RAND()-0.5)*2*$B$7))</f>
        <v>79.210527714922264</v>
      </c>
      <c r="U562" s="54">
        <f ca="1">MIN(100,MAX(0,MCDA_Prioritisation!$H$2+(RAND()-0.5)*2*$B$7))</f>
        <v>72.631503963613824</v>
      </c>
      <c r="V562" s="54">
        <f ca="1">MIN(100,MAX(0,MCDA_Prioritisation!$H$3+(RAND()-0.5)*2*$B$7))</f>
        <v>54.196440943453851</v>
      </c>
      <c r="W562" s="54">
        <f ca="1">MIN(100,MAX(0,MCDA_Prioritisation!$H$4+(RAND()-0.5)*2*$B$7))</f>
        <v>85.681810714627687</v>
      </c>
      <c r="X562" s="54">
        <f ca="1">MIN(100,MAX(0,MCDA_Prioritisation!$H$5+(RAND()-0.5)*2*$B$7))</f>
        <v>76.898446273897179</v>
      </c>
      <c r="Y562" s="54">
        <f ca="1">H562*MCDA_Prioritisation!$D$2+I562*MCDA_Prioritisation!$E$2+J562*M562+K562*Q562+L562*U562</f>
        <v>88.393140011590035</v>
      </c>
      <c r="Z562" s="54">
        <f ca="1">H562*MCDA_Prioritisation!$D$3+I562*MCDA_Prioritisation!$E$3+J562*N562+K562*R562+L562*V562</f>
        <v>83.221513827917931</v>
      </c>
      <c r="AA562" s="54">
        <f ca="1">H562*MCDA_Prioritisation!$D$4+I562*MCDA_Prioritisation!$E$4+J562*O562+K562*S562+L562*W562</f>
        <v>77.07548558396536</v>
      </c>
      <c r="AB562" s="54">
        <f ca="1">H562*MCDA_Prioritisation!$D$5+I562*MCDA_Prioritisation!$E$5+J562*P562+K562*T562+L562*X562</f>
        <v>72.482833146863982</v>
      </c>
      <c r="AC562" s="54">
        <f t="shared" ca="1" si="118"/>
        <v>1</v>
      </c>
      <c r="AD562" s="54">
        <f t="shared" ca="1" si="119"/>
        <v>2</v>
      </c>
      <c r="AE562" s="54">
        <f t="shared" ca="1" si="120"/>
        <v>3</v>
      </c>
      <c r="AF562" s="54">
        <f t="shared" ca="1" si="121"/>
        <v>4</v>
      </c>
      <c r="AG562" s="54">
        <f t="shared" ca="1" si="122"/>
        <v>1</v>
      </c>
      <c r="AH562" s="54">
        <f t="shared" ca="1" si="123"/>
        <v>1</v>
      </c>
      <c r="AI562" s="54">
        <f t="shared" ca="1" si="124"/>
        <v>1</v>
      </c>
      <c r="AJ562" s="54">
        <f t="shared" ca="1" si="125"/>
        <v>1</v>
      </c>
    </row>
    <row r="563" spans="1:36" x14ac:dyDescent="0.2">
      <c r="A563" s="54">
        <v>540</v>
      </c>
      <c r="B563" s="54">
        <f ca="1">MAX(0.02,MCDA_Prioritisation!$B$9+(RAND()-0.5)*2*$B$6)</f>
        <v>0.23671809754726741</v>
      </c>
      <c r="C563" s="54">
        <f ca="1">MAX(0.02,MCDA_Prioritisation!$B$10+(RAND()-0.5)*2*$B$6)</f>
        <v>0.23412842832244982</v>
      </c>
      <c r="D563" s="54">
        <f ca="1">MAX(0.02,MCDA_Prioritisation!$B$11+(RAND()-0.5)*2*$B$6)</f>
        <v>0.29884940281154831</v>
      </c>
      <c r="E563" s="54">
        <f ca="1">MAX(0.02,MCDA_Prioritisation!$B$12+(RAND()-0.5)*2*$B$6)</f>
        <v>0.16796777470266377</v>
      </c>
      <c r="F563" s="54">
        <f ca="1">MAX(0.02,MCDA_Prioritisation!$B$13+(RAND()-0.5)*2*$B$6)</f>
        <v>0.18019279956515549</v>
      </c>
      <c r="G563" s="54">
        <f t="shared" ca="1" si="112"/>
        <v>1.1178565029490848</v>
      </c>
      <c r="H563" s="54">
        <f t="shared" ca="1" si="113"/>
        <v>0.21176071966550902</v>
      </c>
      <c r="I563" s="54">
        <f t="shared" ca="1" si="114"/>
        <v>0.20944408133314202</v>
      </c>
      <c r="J563" s="54">
        <f t="shared" ca="1" si="115"/>
        <v>0.26734147184646301</v>
      </c>
      <c r="K563" s="54">
        <f t="shared" ca="1" si="116"/>
        <v>0.15025879820848009</v>
      </c>
      <c r="L563" s="54">
        <f t="shared" ca="1" si="117"/>
        <v>0.16119492894640589</v>
      </c>
      <c r="M563" s="54">
        <f ca="1">MIN(100,MAX(0,MCDA_Prioritisation!$F$2+(RAND()-0.5)*2*$B$7))</f>
        <v>76.177140605105023</v>
      </c>
      <c r="N563" s="54">
        <f ca="1">MIN(100,MAX(0,MCDA_Prioritisation!$F$3+(RAND()-0.5)*2*$B$7))</f>
        <v>100</v>
      </c>
      <c r="O563" s="54">
        <f ca="1">MIN(100,MAX(0,MCDA_Prioritisation!$F$4+(RAND()-0.5)*2*$B$7))</f>
        <v>95.601507016785717</v>
      </c>
      <c r="P563" s="54">
        <f ca="1">MIN(100,MAX(0,MCDA_Prioritisation!$F$5+(RAND()-0.5)*2*$B$7))</f>
        <v>80.789808980540613</v>
      </c>
      <c r="Q563" s="54">
        <f ca="1">MIN(100,MAX(0,MCDA_Prioritisation!$G$2+(RAND()-0.5)*2*$B$7))</f>
        <v>72.439801523072902</v>
      </c>
      <c r="R563" s="54">
        <f ca="1">MIN(100,MAX(0,MCDA_Prioritisation!$G$3+(RAND()-0.5)*2*$B$7))</f>
        <v>97.873808951469897</v>
      </c>
      <c r="S563" s="54">
        <f ca="1">MIN(100,MAX(0,MCDA_Prioritisation!$G$4+(RAND()-0.5)*2*$B$7))</f>
        <v>86.272946488999224</v>
      </c>
      <c r="T563" s="54">
        <f ca="1">MIN(100,MAX(0,MCDA_Prioritisation!$G$5+(RAND()-0.5)*2*$B$7))</f>
        <v>60.161072776660376</v>
      </c>
      <c r="U563" s="54">
        <f ca="1">MIN(100,MAX(0,MCDA_Prioritisation!$H$2+(RAND()-0.5)*2*$B$7))</f>
        <v>56.896109239676136</v>
      </c>
      <c r="V563" s="54">
        <f ca="1">MIN(100,MAX(0,MCDA_Prioritisation!$H$3+(RAND()-0.5)*2*$B$7))</f>
        <v>58.265020029674787</v>
      </c>
      <c r="W563" s="54">
        <f ca="1">MIN(100,MAX(0,MCDA_Prioritisation!$H$4+(RAND()-0.5)*2*$B$7))</f>
        <v>77.578200729471618</v>
      </c>
      <c r="X563" s="54">
        <f ca="1">MIN(100,MAX(0,MCDA_Prioritisation!$H$5+(RAND()-0.5)*2*$B$7))</f>
        <v>66.338747272218313</v>
      </c>
      <c r="Y563" s="54">
        <f ca="1">H563*MCDA_Prioritisation!$D$2+I563*MCDA_Prioritisation!$E$2+J563*M563+K563*Q563+L563*U563</f>
        <v>82.541870795823144</v>
      </c>
      <c r="Z563" s="54">
        <f ca="1">H563*MCDA_Prioritisation!$D$3+I563*MCDA_Prioritisation!$E$3+J563*N563+K563*R563+L563*V563</f>
        <v>84.57208825993149</v>
      </c>
      <c r="AA563" s="54">
        <f ca="1">H563*MCDA_Prioritisation!$D$4+I563*MCDA_Prioritisation!$E$4+J563*O563+K563*S563+L563*W563</f>
        <v>77.196723687308463</v>
      </c>
      <c r="AB563" s="54">
        <f ca="1">H563*MCDA_Prioritisation!$D$5+I563*MCDA_Prioritisation!$E$5+J563*P563+K563*T563+L563*X563</f>
        <v>70.183398418919808</v>
      </c>
      <c r="AC563" s="54">
        <f t="shared" ca="1" si="118"/>
        <v>2</v>
      </c>
      <c r="AD563" s="54">
        <f t="shared" ca="1" si="119"/>
        <v>1</v>
      </c>
      <c r="AE563" s="54">
        <f t="shared" ca="1" si="120"/>
        <v>3</v>
      </c>
      <c r="AF563" s="54">
        <f t="shared" ca="1" si="121"/>
        <v>4</v>
      </c>
      <c r="AG563" s="54">
        <f t="shared" ca="1" si="122"/>
        <v>0</v>
      </c>
      <c r="AH563" s="54">
        <f t="shared" ca="1" si="123"/>
        <v>0</v>
      </c>
      <c r="AI563" s="54">
        <f t="shared" ca="1" si="124"/>
        <v>0</v>
      </c>
      <c r="AJ563" s="54">
        <f t="shared" ca="1" si="125"/>
        <v>1</v>
      </c>
    </row>
    <row r="564" spans="1:36" x14ac:dyDescent="0.2">
      <c r="A564" s="54">
        <v>541</v>
      </c>
      <c r="B564" s="54">
        <f ca="1">MAX(0.02,MCDA_Prioritisation!$B$9+(RAND()-0.5)*2*$B$6)</f>
        <v>0.26910988645672335</v>
      </c>
      <c r="C564" s="54">
        <f ca="1">MAX(0.02,MCDA_Prioritisation!$B$10+(RAND()-0.5)*2*$B$6)</f>
        <v>0.30033644775154295</v>
      </c>
      <c r="D564" s="54">
        <f ca="1">MAX(0.02,MCDA_Prioritisation!$B$11+(RAND()-0.5)*2*$B$6)</f>
        <v>0.23836927791051768</v>
      </c>
      <c r="E564" s="54">
        <f ca="1">MAX(0.02,MCDA_Prioritisation!$B$12+(RAND()-0.5)*2*$B$6)</f>
        <v>0.15300795902652314</v>
      </c>
      <c r="F564" s="54">
        <f ca="1">MAX(0.02,MCDA_Prioritisation!$B$13+(RAND()-0.5)*2*$B$6)</f>
        <v>0.10278863081714817</v>
      </c>
      <c r="G564" s="54">
        <f t="shared" ca="1" si="112"/>
        <v>1.0636122019624552</v>
      </c>
      <c r="H564" s="54">
        <f t="shared" ca="1" si="113"/>
        <v>0.25301504247524864</v>
      </c>
      <c r="I564" s="54">
        <f t="shared" ca="1" si="114"/>
        <v>0.28237401488756581</v>
      </c>
      <c r="J564" s="54">
        <f t="shared" ca="1" si="115"/>
        <v>0.22411295909421314</v>
      </c>
      <c r="K564" s="54">
        <f t="shared" ca="1" si="116"/>
        <v>0.14385690455996125</v>
      </c>
      <c r="L564" s="54">
        <f t="shared" ca="1" si="117"/>
        <v>9.6641078983011275E-2</v>
      </c>
      <c r="M564" s="54">
        <f ca="1">MIN(100,MAX(0,MCDA_Prioritisation!$F$2+(RAND()-0.5)*2*$B$7))</f>
        <v>78.11355531499845</v>
      </c>
      <c r="N564" s="54">
        <f ca="1">MIN(100,MAX(0,MCDA_Prioritisation!$F$3+(RAND()-0.5)*2*$B$7))</f>
        <v>100</v>
      </c>
      <c r="O564" s="54">
        <f ca="1">MIN(100,MAX(0,MCDA_Prioritisation!$F$4+(RAND()-0.5)*2*$B$7))</f>
        <v>84.300717687689144</v>
      </c>
      <c r="P564" s="54">
        <f ca="1">MIN(100,MAX(0,MCDA_Prioritisation!$F$5+(RAND()-0.5)*2*$B$7))</f>
        <v>71.661450745007102</v>
      </c>
      <c r="Q564" s="54">
        <f ca="1">MIN(100,MAX(0,MCDA_Prioritisation!$G$2+(RAND()-0.5)*2*$B$7))</f>
        <v>81.011004027742459</v>
      </c>
      <c r="R564" s="54">
        <f ca="1">MIN(100,MAX(0,MCDA_Prioritisation!$G$3+(RAND()-0.5)*2*$B$7))</f>
        <v>85.261310633467971</v>
      </c>
      <c r="S564" s="54">
        <f ca="1">MIN(100,MAX(0,MCDA_Prioritisation!$G$4+(RAND()-0.5)*2*$B$7))</f>
        <v>86.489287795388776</v>
      </c>
      <c r="T564" s="54">
        <f ca="1">MIN(100,MAX(0,MCDA_Prioritisation!$G$5+(RAND()-0.5)*2*$B$7))</f>
        <v>71.876836272076005</v>
      </c>
      <c r="U564" s="54">
        <f ca="1">MIN(100,MAX(0,MCDA_Prioritisation!$H$2+(RAND()-0.5)*2*$B$7))</f>
        <v>65.399917913547412</v>
      </c>
      <c r="V564" s="54">
        <f ca="1">MIN(100,MAX(0,MCDA_Prioritisation!$H$3+(RAND()-0.5)*2*$B$7))</f>
        <v>65.2175462011365</v>
      </c>
      <c r="W564" s="54">
        <f ca="1">MIN(100,MAX(0,MCDA_Prioritisation!$H$4+(RAND()-0.5)*2*$B$7))</f>
        <v>71.122181452946876</v>
      </c>
      <c r="X564" s="54">
        <f ca="1">MIN(100,MAX(0,MCDA_Prioritisation!$H$5+(RAND()-0.5)*2*$B$7))</f>
        <v>67.180976150721705</v>
      </c>
      <c r="Y564" s="54">
        <f ca="1">H564*MCDA_Prioritisation!$D$2+I564*MCDA_Prioritisation!$E$2+J564*M564+K564*Q564+L564*U564</f>
        <v>89.019476670586414</v>
      </c>
      <c r="Z564" s="54">
        <f ca="1">H564*MCDA_Prioritisation!$D$3+I564*MCDA_Prioritisation!$E$3+J564*N564+K564*R564+L564*V564</f>
        <v>83.628425158761544</v>
      </c>
      <c r="AA564" s="54">
        <f ca="1">H564*MCDA_Prioritisation!$D$4+I564*MCDA_Prioritisation!$E$4+J564*O564+K564*S564+L564*W564</f>
        <v>71.228988047293726</v>
      </c>
      <c r="AB564" s="54">
        <f ca="1">H564*MCDA_Prioritisation!$D$5+I564*MCDA_Prioritisation!$E$5+J564*P564+K564*T564+L564*X564</f>
        <v>70.066767110679763</v>
      </c>
      <c r="AC564" s="54">
        <f t="shared" ca="1" si="118"/>
        <v>1</v>
      </c>
      <c r="AD564" s="54">
        <f t="shared" ca="1" si="119"/>
        <v>2</v>
      </c>
      <c r="AE564" s="54">
        <f t="shared" ca="1" si="120"/>
        <v>3</v>
      </c>
      <c r="AF564" s="54">
        <f t="shared" ca="1" si="121"/>
        <v>4</v>
      </c>
      <c r="AG564" s="54">
        <f t="shared" ca="1" si="122"/>
        <v>1</v>
      </c>
      <c r="AH564" s="54">
        <f t="shared" ca="1" si="123"/>
        <v>1</v>
      </c>
      <c r="AI564" s="54">
        <f t="shared" ca="1" si="124"/>
        <v>1</v>
      </c>
      <c r="AJ564" s="54">
        <f t="shared" ca="1" si="125"/>
        <v>1</v>
      </c>
    </row>
    <row r="565" spans="1:36" x14ac:dyDescent="0.2">
      <c r="A565" s="54">
        <v>542</v>
      </c>
      <c r="B565" s="54">
        <f ca="1">MAX(0.02,MCDA_Prioritisation!$B$9+(RAND()-0.5)*2*$B$6)</f>
        <v>0.18267847681004665</v>
      </c>
      <c r="C565" s="54">
        <f ca="1">MAX(0.02,MCDA_Prioritisation!$B$10+(RAND()-0.5)*2*$B$6)</f>
        <v>0.1880364707422674</v>
      </c>
      <c r="D565" s="54">
        <f ca="1">MAX(0.02,MCDA_Prioritisation!$B$11+(RAND()-0.5)*2*$B$6)</f>
        <v>0.18297899334442913</v>
      </c>
      <c r="E565" s="54">
        <f ca="1">MAX(0.02,MCDA_Prioritisation!$B$12+(RAND()-0.5)*2*$B$6)</f>
        <v>0.17697958621004733</v>
      </c>
      <c r="F565" s="54">
        <f ca="1">MAX(0.02,MCDA_Prioritisation!$B$13+(RAND()-0.5)*2*$B$6)</f>
        <v>0.11572313170321391</v>
      </c>
      <c r="G565" s="54">
        <f t="shared" ca="1" si="112"/>
        <v>0.84639665881000448</v>
      </c>
      <c r="H565" s="54">
        <f t="shared" ca="1" si="113"/>
        <v>0.21583081042272112</v>
      </c>
      <c r="I565" s="54">
        <f t="shared" ca="1" si="114"/>
        <v>0.22216116850772805</v>
      </c>
      <c r="J565" s="54">
        <f t="shared" ca="1" si="115"/>
        <v>0.21618586444054416</v>
      </c>
      <c r="K565" s="54">
        <f t="shared" ca="1" si="116"/>
        <v>0.2090976900344487</v>
      </c>
      <c r="L565" s="54">
        <f t="shared" ca="1" si="117"/>
        <v>0.13672446659455795</v>
      </c>
      <c r="M565" s="54">
        <f ca="1">MIN(100,MAX(0,MCDA_Prioritisation!$F$2+(RAND()-0.5)*2*$B$7))</f>
        <v>85.224365445865104</v>
      </c>
      <c r="N565" s="54">
        <f ca="1">MIN(100,MAX(0,MCDA_Prioritisation!$F$3+(RAND()-0.5)*2*$B$7))</f>
        <v>94.041662125080606</v>
      </c>
      <c r="O565" s="54">
        <f ca="1">MIN(100,MAX(0,MCDA_Prioritisation!$F$4+(RAND()-0.5)*2*$B$7))</f>
        <v>84.405913354263589</v>
      </c>
      <c r="P565" s="54">
        <f ca="1">MIN(100,MAX(0,MCDA_Prioritisation!$F$5+(RAND()-0.5)*2*$B$7))</f>
        <v>65.465179332101002</v>
      </c>
      <c r="Q565" s="54">
        <f ca="1">MIN(100,MAX(0,MCDA_Prioritisation!$G$2+(RAND()-0.5)*2*$B$7))</f>
        <v>87.26128091654445</v>
      </c>
      <c r="R565" s="54">
        <f ca="1">MIN(100,MAX(0,MCDA_Prioritisation!$G$3+(RAND()-0.5)*2*$B$7))</f>
        <v>89.368558150792126</v>
      </c>
      <c r="S565" s="54">
        <f ca="1">MIN(100,MAX(0,MCDA_Prioritisation!$G$4+(RAND()-0.5)*2*$B$7))</f>
        <v>81.876825681269906</v>
      </c>
      <c r="T565" s="54">
        <f ca="1">MIN(100,MAX(0,MCDA_Prioritisation!$G$5+(RAND()-0.5)*2*$B$7))</f>
        <v>73.755633950113435</v>
      </c>
      <c r="U565" s="54">
        <f ca="1">MIN(100,MAX(0,MCDA_Prioritisation!$H$2+(RAND()-0.5)*2*$B$7))</f>
        <v>61.280758024788014</v>
      </c>
      <c r="V565" s="54">
        <f ca="1">MIN(100,MAX(0,MCDA_Prioritisation!$H$3+(RAND()-0.5)*2*$B$7))</f>
        <v>68.721902823799695</v>
      </c>
      <c r="W565" s="54">
        <f ca="1">MIN(100,MAX(0,MCDA_Prioritisation!$H$4+(RAND()-0.5)*2*$B$7))</f>
        <v>72.986373888467625</v>
      </c>
      <c r="X565" s="54">
        <f ca="1">MIN(100,MAX(0,MCDA_Prioritisation!$H$5+(RAND()-0.5)*2*$B$7))</f>
        <v>70.587024131265906</v>
      </c>
      <c r="Y565" s="54">
        <f ca="1">H565*MCDA_Prioritisation!$D$2+I565*MCDA_Prioritisation!$E$2+J565*M565+K565*Q565+L565*U565</f>
        <v>88.848212230901993</v>
      </c>
      <c r="Z565" s="54">
        <f ca="1">H565*MCDA_Prioritisation!$D$3+I565*MCDA_Prioritisation!$E$3+J565*N565+K565*R565+L565*V565</f>
        <v>83.433309135253822</v>
      </c>
      <c r="AA565" s="54">
        <f ca="1">H565*MCDA_Prioritisation!$D$4+I565*MCDA_Prioritisation!$E$4+J565*O565+K565*S565+L565*W565</f>
        <v>72.493714271572117</v>
      </c>
      <c r="AB565" s="54">
        <f ca="1">H565*MCDA_Prioritisation!$D$5+I565*MCDA_Prioritisation!$E$5+J565*P565+K565*T565+L565*X565</f>
        <v>69.362899232173845</v>
      </c>
      <c r="AC565" s="54">
        <f t="shared" ca="1" si="118"/>
        <v>1</v>
      </c>
      <c r="AD565" s="54">
        <f t="shared" ca="1" si="119"/>
        <v>2</v>
      </c>
      <c r="AE565" s="54">
        <f t="shared" ca="1" si="120"/>
        <v>3</v>
      </c>
      <c r="AF565" s="54">
        <f t="shared" ca="1" si="121"/>
        <v>4</v>
      </c>
      <c r="AG565" s="54">
        <f t="shared" ca="1" si="122"/>
        <v>1</v>
      </c>
      <c r="AH565" s="54">
        <f t="shared" ca="1" si="123"/>
        <v>1</v>
      </c>
      <c r="AI565" s="54">
        <f t="shared" ca="1" si="124"/>
        <v>1</v>
      </c>
      <c r="AJ565" s="54">
        <f t="shared" ca="1" si="125"/>
        <v>1</v>
      </c>
    </row>
    <row r="566" spans="1:36" x14ac:dyDescent="0.2">
      <c r="A566" s="54">
        <v>543</v>
      </c>
      <c r="B566" s="54">
        <f ca="1">MAX(0.02,MCDA_Prioritisation!$B$9+(RAND()-0.5)*2*$B$6)</f>
        <v>0.26136546474226119</v>
      </c>
      <c r="C566" s="54">
        <f ca="1">MAX(0.02,MCDA_Prioritisation!$B$10+(RAND()-0.5)*2*$B$6)</f>
        <v>0.17609282597532022</v>
      </c>
      <c r="D566" s="54">
        <f ca="1">MAX(0.02,MCDA_Prioritisation!$B$11+(RAND()-0.5)*2*$B$6)</f>
        <v>0.17114429043509949</v>
      </c>
      <c r="E566" s="54">
        <f ca="1">MAX(0.02,MCDA_Prioritisation!$B$12+(RAND()-0.5)*2*$B$6)</f>
        <v>0.13023690607729529</v>
      </c>
      <c r="F566" s="54">
        <f ca="1">MAX(0.02,MCDA_Prioritisation!$B$13+(RAND()-0.5)*2*$B$6)</f>
        <v>7.3433497429932451E-2</v>
      </c>
      <c r="G566" s="54">
        <f t="shared" ca="1" si="112"/>
        <v>0.81227298465990871</v>
      </c>
      <c r="H566" s="54">
        <f t="shared" ca="1" si="113"/>
        <v>0.32177047578615769</v>
      </c>
      <c r="I566" s="54">
        <f t="shared" ca="1" si="114"/>
        <v>0.21679020391038695</v>
      </c>
      <c r="J566" s="54">
        <f t="shared" ca="1" si="115"/>
        <v>0.21069799644605444</v>
      </c>
      <c r="K566" s="54">
        <f t="shared" ca="1" si="116"/>
        <v>0.16033637525421862</v>
      </c>
      <c r="L566" s="54">
        <f t="shared" ca="1" si="117"/>
        <v>9.0404948603182197E-2</v>
      </c>
      <c r="M566" s="54">
        <f ca="1">MIN(100,MAX(0,MCDA_Prioritisation!$F$2+(RAND()-0.5)*2*$B$7))</f>
        <v>77.076728209304463</v>
      </c>
      <c r="N566" s="54">
        <f ca="1">MIN(100,MAX(0,MCDA_Prioritisation!$F$3+(RAND()-0.5)*2*$B$7))</f>
        <v>88.812001022926196</v>
      </c>
      <c r="O566" s="54">
        <f ca="1">MIN(100,MAX(0,MCDA_Prioritisation!$F$4+(RAND()-0.5)*2*$B$7))</f>
        <v>83.884349613424035</v>
      </c>
      <c r="P566" s="54">
        <f ca="1">MIN(100,MAX(0,MCDA_Prioritisation!$F$5+(RAND()-0.5)*2*$B$7))</f>
        <v>67.090552508590477</v>
      </c>
      <c r="Q566" s="54">
        <f ca="1">MIN(100,MAX(0,MCDA_Prioritisation!$G$2+(RAND()-0.5)*2*$B$7))</f>
        <v>83.464198748179797</v>
      </c>
      <c r="R566" s="54">
        <f ca="1">MIN(100,MAX(0,MCDA_Prioritisation!$G$3+(RAND()-0.5)*2*$B$7))</f>
        <v>90.09075578231446</v>
      </c>
      <c r="S566" s="54">
        <f ca="1">MIN(100,MAX(0,MCDA_Prioritisation!$G$4+(RAND()-0.5)*2*$B$7))</f>
        <v>80.91831211339391</v>
      </c>
      <c r="T566" s="54">
        <f ca="1">MIN(100,MAX(0,MCDA_Prioritisation!$G$5+(RAND()-0.5)*2*$B$7))</f>
        <v>75.39438001274894</v>
      </c>
      <c r="U566" s="54">
        <f ca="1">MIN(100,MAX(0,MCDA_Prioritisation!$H$2+(RAND()-0.5)*2*$B$7))</f>
        <v>58.510540079760666</v>
      </c>
      <c r="V566" s="54">
        <f ca="1">MIN(100,MAX(0,MCDA_Prioritisation!$H$3+(RAND()-0.5)*2*$B$7))</f>
        <v>57.706254352808116</v>
      </c>
      <c r="W566" s="54">
        <f ca="1">MIN(100,MAX(0,MCDA_Prioritisation!$H$4+(RAND()-0.5)*2*$B$7))</f>
        <v>89.484794594676003</v>
      </c>
      <c r="X566" s="54">
        <f ca="1">MIN(100,MAX(0,MCDA_Prioritisation!$H$5+(RAND()-0.5)*2*$B$7))</f>
        <v>83.245774800479126</v>
      </c>
      <c r="Y566" s="54">
        <f ca="1">H566*MCDA_Prioritisation!$D$2+I566*MCDA_Prioritisation!$E$2+J566*M566+K566*Q566+L566*U566</f>
        <v>88.767969635408022</v>
      </c>
      <c r="Z566" s="54">
        <f ca="1">H566*MCDA_Prioritisation!$D$3+I566*MCDA_Prioritisation!$E$3+J566*N566+K566*R566+L566*V566</f>
        <v>82.262549696065236</v>
      </c>
      <c r="AA566" s="54">
        <f ca="1">H566*MCDA_Prioritisation!$D$4+I566*MCDA_Prioritisation!$E$4+J566*O566+K566*S566+L566*W566</f>
        <v>72.969406095705523</v>
      </c>
      <c r="AB566" s="54">
        <f ca="1">H566*MCDA_Prioritisation!$D$5+I566*MCDA_Prioritisation!$E$5+J566*P566+K566*T566+L566*X566</f>
        <v>69.058476241647327</v>
      </c>
      <c r="AC566" s="54">
        <f t="shared" ca="1" si="118"/>
        <v>1</v>
      </c>
      <c r="AD566" s="54">
        <f t="shared" ca="1" si="119"/>
        <v>2</v>
      </c>
      <c r="AE566" s="54">
        <f t="shared" ca="1" si="120"/>
        <v>3</v>
      </c>
      <c r="AF566" s="54">
        <f t="shared" ca="1" si="121"/>
        <v>4</v>
      </c>
      <c r="AG566" s="54">
        <f t="shared" ca="1" si="122"/>
        <v>1</v>
      </c>
      <c r="AH566" s="54">
        <f t="shared" ca="1" si="123"/>
        <v>1</v>
      </c>
      <c r="AI566" s="54">
        <f t="shared" ca="1" si="124"/>
        <v>1</v>
      </c>
      <c r="AJ566" s="54">
        <f t="shared" ca="1" si="125"/>
        <v>1</v>
      </c>
    </row>
    <row r="567" spans="1:36" x14ac:dyDescent="0.2">
      <c r="A567" s="54">
        <v>544</v>
      </c>
      <c r="B567" s="54">
        <f ca="1">MAX(0.02,MCDA_Prioritisation!$B$9+(RAND()-0.5)*2*$B$6)</f>
        <v>0.14843707283156976</v>
      </c>
      <c r="C567" s="54">
        <f ca="1">MAX(0.02,MCDA_Prioritisation!$B$10+(RAND()-0.5)*2*$B$6)</f>
        <v>0.18493063141712746</v>
      </c>
      <c r="D567" s="54">
        <f ca="1">MAX(0.02,MCDA_Prioritisation!$B$11+(RAND()-0.5)*2*$B$6)</f>
        <v>0.30761286816694317</v>
      </c>
      <c r="E567" s="54">
        <f ca="1">MAX(0.02,MCDA_Prioritisation!$B$12+(RAND()-0.5)*2*$B$6)</f>
        <v>0.11466114585884024</v>
      </c>
      <c r="F567" s="54">
        <f ca="1">MAX(0.02,MCDA_Prioritisation!$B$13+(RAND()-0.5)*2*$B$6)</f>
        <v>0.20402483045944741</v>
      </c>
      <c r="G567" s="54">
        <f t="shared" ca="1" si="112"/>
        <v>0.95966654873392798</v>
      </c>
      <c r="H567" s="54">
        <f t="shared" ca="1" si="113"/>
        <v>0.15467567669978735</v>
      </c>
      <c r="I567" s="54">
        <f t="shared" ca="1" si="114"/>
        <v>0.19270300883270688</v>
      </c>
      <c r="J567" s="54">
        <f t="shared" ca="1" si="115"/>
        <v>0.32054140948517135</v>
      </c>
      <c r="K567" s="54">
        <f t="shared" ca="1" si="116"/>
        <v>0.11948019445932628</v>
      </c>
      <c r="L567" s="54">
        <f t="shared" ca="1" si="117"/>
        <v>0.21259971052300819</v>
      </c>
      <c r="M567" s="54">
        <f ca="1">MIN(100,MAX(0,MCDA_Prioritisation!$F$2+(RAND()-0.5)*2*$B$7))</f>
        <v>89.854353840279629</v>
      </c>
      <c r="N567" s="54">
        <f ca="1">MIN(100,MAX(0,MCDA_Prioritisation!$F$3+(RAND()-0.5)*2*$B$7))</f>
        <v>100</v>
      </c>
      <c r="O567" s="54">
        <f ca="1">MIN(100,MAX(0,MCDA_Prioritisation!$F$4+(RAND()-0.5)*2*$B$7))</f>
        <v>99.855115448676727</v>
      </c>
      <c r="P567" s="54">
        <f ca="1">MIN(100,MAX(0,MCDA_Prioritisation!$F$5+(RAND()-0.5)*2*$B$7))</f>
        <v>72.289744922462788</v>
      </c>
      <c r="Q567" s="54">
        <f ca="1">MIN(100,MAX(0,MCDA_Prioritisation!$G$2+(RAND()-0.5)*2*$B$7))</f>
        <v>79.023345961852101</v>
      </c>
      <c r="R567" s="54">
        <f ca="1">MIN(100,MAX(0,MCDA_Prioritisation!$G$3+(RAND()-0.5)*2*$B$7))</f>
        <v>92.433076131302229</v>
      </c>
      <c r="S567" s="54">
        <f ca="1">MIN(100,MAX(0,MCDA_Prioritisation!$G$4+(RAND()-0.5)*2*$B$7))</f>
        <v>78.308019926065526</v>
      </c>
      <c r="T567" s="54">
        <f ca="1">MIN(100,MAX(0,MCDA_Prioritisation!$G$5+(RAND()-0.5)*2*$B$7))</f>
        <v>79.950731169756224</v>
      </c>
      <c r="U567" s="54">
        <f ca="1">MIN(100,MAX(0,MCDA_Prioritisation!$H$2+(RAND()-0.5)*2*$B$7))</f>
        <v>71.498486999482054</v>
      </c>
      <c r="V567" s="54">
        <f ca="1">MIN(100,MAX(0,MCDA_Prioritisation!$H$3+(RAND()-0.5)*2*$B$7))</f>
        <v>57.516772015471105</v>
      </c>
      <c r="W567" s="54">
        <f ca="1">MIN(100,MAX(0,MCDA_Prioritisation!$H$4+(RAND()-0.5)*2*$B$7))</f>
        <v>85.304816996942108</v>
      </c>
      <c r="X567" s="54">
        <f ca="1">MIN(100,MAX(0,MCDA_Prioritisation!$H$5+(RAND()-0.5)*2*$B$7))</f>
        <v>80.67021277087521</v>
      </c>
      <c r="Y567" s="54">
        <f ca="1">H567*MCDA_Prioritisation!$D$2+I567*MCDA_Prioritisation!$E$2+J567*M567+K567*Q567+L567*U567</f>
        <v>88.182192162863629</v>
      </c>
      <c r="Z567" s="54">
        <f ca="1">H567*MCDA_Prioritisation!$D$3+I567*MCDA_Prioritisation!$E$3+J567*N567+K567*R567+L567*V567</f>
        <v>82.859041472563675</v>
      </c>
      <c r="AA567" s="54">
        <f ca="1">H567*MCDA_Prioritisation!$D$4+I567*MCDA_Prioritisation!$E$4+J567*O567+K567*S567+L567*W567</f>
        <v>80.781514356385543</v>
      </c>
      <c r="AB567" s="54">
        <f ca="1">H567*MCDA_Prioritisation!$D$5+I567*MCDA_Prioritisation!$E$5+J567*P567+K567*T567+L567*X567</f>
        <v>74.288969890947669</v>
      </c>
      <c r="AC567" s="54">
        <f t="shared" ca="1" si="118"/>
        <v>1</v>
      </c>
      <c r="AD567" s="54">
        <f t="shared" ca="1" si="119"/>
        <v>2</v>
      </c>
      <c r="AE567" s="54">
        <f t="shared" ca="1" si="120"/>
        <v>3</v>
      </c>
      <c r="AF567" s="54">
        <f t="shared" ca="1" si="121"/>
        <v>4</v>
      </c>
      <c r="AG567" s="54">
        <f t="shared" ca="1" si="122"/>
        <v>1</v>
      </c>
      <c r="AH567" s="54">
        <f t="shared" ca="1" si="123"/>
        <v>1</v>
      </c>
      <c r="AI567" s="54">
        <f t="shared" ca="1" si="124"/>
        <v>1</v>
      </c>
      <c r="AJ567" s="54">
        <f t="shared" ca="1" si="125"/>
        <v>1</v>
      </c>
    </row>
    <row r="568" spans="1:36" x14ac:dyDescent="0.2">
      <c r="A568" s="54">
        <v>545</v>
      </c>
      <c r="B568" s="54">
        <f ca="1">MAX(0.02,MCDA_Prioritisation!$B$9+(RAND()-0.5)*2*$B$6)</f>
        <v>0.22723930069641896</v>
      </c>
      <c r="C568" s="54">
        <f ca="1">MAX(0.02,MCDA_Prioritisation!$B$10+(RAND()-0.5)*2*$B$6)</f>
        <v>0.18465103289072282</v>
      </c>
      <c r="D568" s="54">
        <f ca="1">MAX(0.02,MCDA_Prioritisation!$B$11+(RAND()-0.5)*2*$B$6)</f>
        <v>0.32158635030033272</v>
      </c>
      <c r="E568" s="54">
        <f ca="1">MAX(0.02,MCDA_Prioritisation!$B$12+(RAND()-0.5)*2*$B$6)</f>
        <v>0.1420287433613211</v>
      </c>
      <c r="F568" s="54">
        <f ca="1">MAX(0.02,MCDA_Prioritisation!$B$13+(RAND()-0.5)*2*$B$6)</f>
        <v>0.22221678073373549</v>
      </c>
      <c r="G568" s="54">
        <f t="shared" ca="1" si="112"/>
        <v>1.0977222079825311</v>
      </c>
      <c r="H568" s="54">
        <f t="shared" ca="1" si="113"/>
        <v>0.20700984187434349</v>
      </c>
      <c r="I568" s="54">
        <f t="shared" ca="1" si="114"/>
        <v>0.16821289716829826</v>
      </c>
      <c r="J568" s="54">
        <f t="shared" ca="1" si="115"/>
        <v>0.29295786125286299</v>
      </c>
      <c r="K568" s="54">
        <f t="shared" ca="1" si="116"/>
        <v>0.1293849594446588</v>
      </c>
      <c r="L568" s="54">
        <f t="shared" ca="1" si="117"/>
        <v>0.20243444025983648</v>
      </c>
      <c r="M568" s="54">
        <f ca="1">MIN(100,MAX(0,MCDA_Prioritisation!$F$2+(RAND()-0.5)*2*$B$7))</f>
        <v>79.256463326579663</v>
      </c>
      <c r="N568" s="54">
        <f ca="1">MIN(100,MAX(0,MCDA_Prioritisation!$F$3+(RAND()-0.5)*2*$B$7))</f>
        <v>100</v>
      </c>
      <c r="O568" s="54">
        <f ca="1">MIN(100,MAX(0,MCDA_Prioritisation!$F$4+(RAND()-0.5)*2*$B$7))</f>
        <v>96.74046371563071</v>
      </c>
      <c r="P568" s="54">
        <f ca="1">MIN(100,MAX(0,MCDA_Prioritisation!$F$5+(RAND()-0.5)*2*$B$7))</f>
        <v>67.941480917640192</v>
      </c>
      <c r="Q568" s="54">
        <f ca="1">MIN(100,MAX(0,MCDA_Prioritisation!$G$2+(RAND()-0.5)*2*$B$7))</f>
        <v>83.997074579265814</v>
      </c>
      <c r="R568" s="54">
        <f ca="1">MIN(100,MAX(0,MCDA_Prioritisation!$G$3+(RAND()-0.5)*2*$B$7))</f>
        <v>100</v>
      </c>
      <c r="S568" s="54">
        <f ca="1">MIN(100,MAX(0,MCDA_Prioritisation!$G$4+(RAND()-0.5)*2*$B$7))</f>
        <v>93.908266807700869</v>
      </c>
      <c r="T568" s="54">
        <f ca="1">MIN(100,MAX(0,MCDA_Prioritisation!$G$5+(RAND()-0.5)*2*$B$7))</f>
        <v>79.509880113637152</v>
      </c>
      <c r="U568" s="54">
        <f ca="1">MIN(100,MAX(0,MCDA_Prioritisation!$H$2+(RAND()-0.5)*2*$B$7))</f>
        <v>69.937014842429278</v>
      </c>
      <c r="V568" s="54">
        <f ca="1">MIN(100,MAX(0,MCDA_Prioritisation!$H$3+(RAND()-0.5)*2*$B$7))</f>
        <v>68.547383536279568</v>
      </c>
      <c r="W568" s="54">
        <f ca="1">MIN(100,MAX(0,MCDA_Prioritisation!$H$4+(RAND()-0.5)*2*$B$7))</f>
        <v>73.835363836239551</v>
      </c>
      <c r="X568" s="54">
        <f ca="1">MIN(100,MAX(0,MCDA_Prioritisation!$H$5+(RAND()-0.5)*2*$B$7))</f>
        <v>69.426981978357304</v>
      </c>
      <c r="Y568" s="54">
        <f ca="1">H568*MCDA_Prioritisation!$D$2+I568*MCDA_Prioritisation!$E$2+J568*M568+K568*Q568+L568*U568</f>
        <v>85.766696431864261</v>
      </c>
      <c r="Z568" s="54">
        <f ca="1">H568*MCDA_Prioritisation!$D$3+I568*MCDA_Prioritisation!$E$3+J568*N568+K568*R568+L568*V568</f>
        <v>86.436304411318702</v>
      </c>
      <c r="AA568" s="54">
        <f ca="1">H568*MCDA_Prioritisation!$D$4+I568*MCDA_Prioritisation!$E$4+J568*O568+K568*S568+L568*W568</f>
        <v>79.028214585144298</v>
      </c>
      <c r="AB568" s="54">
        <f ca="1">H568*MCDA_Prioritisation!$D$5+I568*MCDA_Prioritisation!$E$5+J568*P568+K568*T568+L568*X568</f>
        <v>69.378192792712653</v>
      </c>
      <c r="AC568" s="54">
        <f t="shared" ca="1" si="118"/>
        <v>2</v>
      </c>
      <c r="AD568" s="54">
        <f t="shared" ca="1" si="119"/>
        <v>1</v>
      </c>
      <c r="AE568" s="54">
        <f t="shared" ca="1" si="120"/>
        <v>3</v>
      </c>
      <c r="AF568" s="54">
        <f t="shared" ca="1" si="121"/>
        <v>4</v>
      </c>
      <c r="AG568" s="54">
        <f t="shared" ca="1" si="122"/>
        <v>0</v>
      </c>
      <c r="AH568" s="54">
        <f t="shared" ca="1" si="123"/>
        <v>0</v>
      </c>
      <c r="AI568" s="54">
        <f t="shared" ca="1" si="124"/>
        <v>0</v>
      </c>
      <c r="AJ568" s="54">
        <f t="shared" ca="1" si="125"/>
        <v>1</v>
      </c>
    </row>
    <row r="569" spans="1:36" x14ac:dyDescent="0.2">
      <c r="A569" s="54">
        <v>546</v>
      </c>
      <c r="B569" s="54">
        <f ca="1">MAX(0.02,MCDA_Prioritisation!$B$9+(RAND()-0.5)*2*$B$6)</f>
        <v>0.26682046446687174</v>
      </c>
      <c r="C569" s="54">
        <f ca="1">MAX(0.02,MCDA_Prioritisation!$B$10+(RAND()-0.5)*2*$B$6)</f>
        <v>0.27030489752135711</v>
      </c>
      <c r="D569" s="54">
        <f ca="1">MAX(0.02,MCDA_Prioritisation!$B$11+(RAND()-0.5)*2*$B$6)</f>
        <v>0.20437975038970232</v>
      </c>
      <c r="E569" s="54">
        <f ca="1">MAX(0.02,MCDA_Prioritisation!$B$12+(RAND()-0.5)*2*$B$6)</f>
        <v>0.18167401652112886</v>
      </c>
      <c r="F569" s="54">
        <f ca="1">MAX(0.02,MCDA_Prioritisation!$B$13+(RAND()-0.5)*2*$B$6)</f>
        <v>7.6663985948680027E-2</v>
      </c>
      <c r="G569" s="54">
        <f t="shared" ca="1" si="112"/>
        <v>0.99984311484774013</v>
      </c>
      <c r="H569" s="54">
        <f t="shared" ca="1" si="113"/>
        <v>0.26686233120433517</v>
      </c>
      <c r="I569" s="54">
        <f t="shared" ca="1" si="114"/>
        <v>0.27034731100040643</v>
      </c>
      <c r="J569" s="54">
        <f t="shared" ca="1" si="115"/>
        <v>0.20441181956913915</v>
      </c>
      <c r="K569" s="54">
        <f t="shared" ca="1" si="116"/>
        <v>0.18170252294910774</v>
      </c>
      <c r="L569" s="54">
        <f t="shared" ca="1" si="117"/>
        <v>7.6676015277011442E-2</v>
      </c>
      <c r="M569" s="54">
        <f ca="1">MIN(100,MAX(0,MCDA_Prioritisation!$F$2+(RAND()-0.5)*2*$B$7))</f>
        <v>78.236869186232923</v>
      </c>
      <c r="N569" s="54">
        <f ca="1">MIN(100,MAX(0,MCDA_Prioritisation!$F$3+(RAND()-0.5)*2*$B$7))</f>
        <v>100</v>
      </c>
      <c r="O569" s="54">
        <f ca="1">MIN(100,MAX(0,MCDA_Prioritisation!$F$4+(RAND()-0.5)*2*$B$7))</f>
        <v>98.274133802599565</v>
      </c>
      <c r="P569" s="54">
        <f ca="1">MIN(100,MAX(0,MCDA_Prioritisation!$F$5+(RAND()-0.5)*2*$B$7))</f>
        <v>76.477271278425036</v>
      </c>
      <c r="Q569" s="54">
        <f ca="1">MIN(100,MAX(0,MCDA_Prioritisation!$G$2+(RAND()-0.5)*2*$B$7))</f>
        <v>76.790274159382776</v>
      </c>
      <c r="R569" s="54">
        <f ca="1">MIN(100,MAX(0,MCDA_Prioritisation!$G$3+(RAND()-0.5)*2*$B$7))</f>
        <v>86.545666350589769</v>
      </c>
      <c r="S569" s="54">
        <f ca="1">MIN(100,MAX(0,MCDA_Prioritisation!$G$4+(RAND()-0.5)*2*$B$7))</f>
        <v>83.742854253972226</v>
      </c>
      <c r="T569" s="54">
        <f ca="1">MIN(100,MAX(0,MCDA_Prioritisation!$G$5+(RAND()-0.5)*2*$B$7))</f>
        <v>66.128999862391126</v>
      </c>
      <c r="U569" s="54">
        <f ca="1">MIN(100,MAX(0,MCDA_Prioritisation!$H$2+(RAND()-0.5)*2*$B$7))</f>
        <v>62.958804455597146</v>
      </c>
      <c r="V569" s="54">
        <f ca="1">MIN(100,MAX(0,MCDA_Prioritisation!$H$3+(RAND()-0.5)*2*$B$7))</f>
        <v>50.053236560443963</v>
      </c>
      <c r="W569" s="54">
        <f ca="1">MIN(100,MAX(0,MCDA_Prioritisation!$H$4+(RAND()-0.5)*2*$B$7))</f>
        <v>72.779048074864278</v>
      </c>
      <c r="X569" s="54">
        <f ca="1">MIN(100,MAX(0,MCDA_Prioritisation!$H$5+(RAND()-0.5)*2*$B$7))</f>
        <v>69.428475548705308</v>
      </c>
      <c r="Y569" s="54">
        <f ca="1">H569*MCDA_Prioritisation!$D$2+I569*MCDA_Prioritisation!$E$2+J569*M569+K569*Q569+L569*U569</f>
        <v>88.493921813198014</v>
      </c>
      <c r="Z569" s="54">
        <f ca="1">H569*MCDA_Prioritisation!$D$3+I569*MCDA_Prioritisation!$E$3+J569*N569+K569*R569+L569*V569</f>
        <v>82.989177497312767</v>
      </c>
      <c r="AA569" s="54">
        <f ca="1">H569*MCDA_Prioritisation!$D$4+I569*MCDA_Prioritisation!$E$4+J569*O569+K569*S569+L569*W569</f>
        <v>74.214030737777477</v>
      </c>
      <c r="AB569" s="54">
        <f ca="1">H569*MCDA_Prioritisation!$D$5+I569*MCDA_Prioritisation!$E$5+J569*P569+K569*T569+L569*X569</f>
        <v>69.869869985543474</v>
      </c>
      <c r="AC569" s="54">
        <f t="shared" ca="1" si="118"/>
        <v>1</v>
      </c>
      <c r="AD569" s="54">
        <f t="shared" ca="1" si="119"/>
        <v>2</v>
      </c>
      <c r="AE569" s="54">
        <f t="shared" ca="1" si="120"/>
        <v>3</v>
      </c>
      <c r="AF569" s="54">
        <f t="shared" ca="1" si="121"/>
        <v>4</v>
      </c>
      <c r="AG569" s="54">
        <f t="shared" ca="1" si="122"/>
        <v>1</v>
      </c>
      <c r="AH569" s="54">
        <f t="shared" ca="1" si="123"/>
        <v>1</v>
      </c>
      <c r="AI569" s="54">
        <f t="shared" ca="1" si="124"/>
        <v>1</v>
      </c>
      <c r="AJ569" s="54">
        <f t="shared" ca="1" si="125"/>
        <v>1</v>
      </c>
    </row>
    <row r="570" spans="1:36" x14ac:dyDescent="0.2">
      <c r="A570" s="54">
        <v>547</v>
      </c>
      <c r="B570" s="54">
        <f ca="1">MAX(0.02,MCDA_Prioritisation!$B$9+(RAND()-0.5)*2*$B$6)</f>
        <v>0.17126517980874736</v>
      </c>
      <c r="C570" s="54">
        <f ca="1">MAX(0.02,MCDA_Prioritisation!$B$10+(RAND()-0.5)*2*$B$6)</f>
        <v>0.17694358787247377</v>
      </c>
      <c r="D570" s="54">
        <f ca="1">MAX(0.02,MCDA_Prioritisation!$B$11+(RAND()-0.5)*2*$B$6)</f>
        <v>0.18325775279413314</v>
      </c>
      <c r="E570" s="54">
        <f ca="1">MAX(0.02,MCDA_Prioritisation!$B$12+(RAND()-0.5)*2*$B$6)</f>
        <v>0.17291564915270469</v>
      </c>
      <c r="F570" s="54">
        <f ca="1">MAX(0.02,MCDA_Prioritisation!$B$13+(RAND()-0.5)*2*$B$6)</f>
        <v>9.3394064715551575E-2</v>
      </c>
      <c r="G570" s="54">
        <f t="shared" ca="1" si="112"/>
        <v>0.79777623434361056</v>
      </c>
      <c r="H570" s="54">
        <f t="shared" ca="1" si="113"/>
        <v>0.21467821731949671</v>
      </c>
      <c r="I570" s="54">
        <f t="shared" ca="1" si="114"/>
        <v>0.22179601278553795</v>
      </c>
      <c r="J570" s="54">
        <f t="shared" ca="1" si="115"/>
        <v>0.22971071950383787</v>
      </c>
      <c r="K570" s="54">
        <f t="shared" ca="1" si="116"/>
        <v>0.2167470547615086</v>
      </c>
      <c r="L570" s="54">
        <f t="shared" ca="1" si="117"/>
        <v>0.11706799562961884</v>
      </c>
      <c r="M570" s="54">
        <f ca="1">MIN(100,MAX(0,MCDA_Prioritisation!$F$2+(RAND()-0.5)*2*$B$7))</f>
        <v>78.069351319762333</v>
      </c>
      <c r="N570" s="54">
        <f ca="1">MIN(100,MAX(0,MCDA_Prioritisation!$F$3+(RAND()-0.5)*2*$B$7))</f>
        <v>85.032807348813037</v>
      </c>
      <c r="O570" s="54">
        <f ca="1">MIN(100,MAX(0,MCDA_Prioritisation!$F$4+(RAND()-0.5)*2*$B$7))</f>
        <v>98.65591387047408</v>
      </c>
      <c r="P570" s="54">
        <f ca="1">MIN(100,MAX(0,MCDA_Prioritisation!$F$5+(RAND()-0.5)*2*$B$7))</f>
        <v>68.619195460243958</v>
      </c>
      <c r="Q570" s="54">
        <f ca="1">MIN(100,MAX(0,MCDA_Prioritisation!$G$2+(RAND()-0.5)*2*$B$7))</f>
        <v>84.144908588472745</v>
      </c>
      <c r="R570" s="54">
        <f ca="1">MIN(100,MAX(0,MCDA_Prioritisation!$G$3+(RAND()-0.5)*2*$B$7))</f>
        <v>100</v>
      </c>
      <c r="S570" s="54">
        <f ca="1">MIN(100,MAX(0,MCDA_Prioritisation!$G$4+(RAND()-0.5)*2*$B$7))</f>
        <v>82.479236663911408</v>
      </c>
      <c r="T570" s="54">
        <f ca="1">MIN(100,MAX(0,MCDA_Prioritisation!$G$5+(RAND()-0.5)*2*$B$7))</f>
        <v>77.850395142764853</v>
      </c>
      <c r="U570" s="54">
        <f ca="1">MIN(100,MAX(0,MCDA_Prioritisation!$H$2+(RAND()-0.5)*2*$B$7))</f>
        <v>59.588345605748145</v>
      </c>
      <c r="V570" s="54">
        <f ca="1">MIN(100,MAX(0,MCDA_Prioritisation!$H$3+(RAND()-0.5)*2*$B$7))</f>
        <v>56.132981451644547</v>
      </c>
      <c r="W570" s="54">
        <f ca="1">MIN(100,MAX(0,MCDA_Prioritisation!$H$4+(RAND()-0.5)*2*$B$7))</f>
        <v>73.804869345971483</v>
      </c>
      <c r="X570" s="54">
        <f ca="1">MIN(100,MAX(0,MCDA_Prioritisation!$H$5+(RAND()-0.5)*2*$B$7))</f>
        <v>72.632747942735762</v>
      </c>
      <c r="Y570" s="54">
        <f ca="1">H570*MCDA_Prioritisation!$D$2+I570*MCDA_Prioritisation!$E$2+J570*M570+K570*Q570+L570*U570</f>
        <v>86.794839166041754</v>
      </c>
      <c r="Z570" s="54">
        <f ca="1">H570*MCDA_Prioritisation!$D$3+I570*MCDA_Prioritisation!$E$3+J570*N570+K570*R570+L570*V570</f>
        <v>82.671845224296959</v>
      </c>
      <c r="AA570" s="54">
        <f ca="1">H570*MCDA_Prioritisation!$D$4+I570*MCDA_Prioritisation!$E$4+J570*O570+K570*S570+L570*W570</f>
        <v>76.226534086802005</v>
      </c>
      <c r="AB570" s="54">
        <f ca="1">H570*MCDA_Prioritisation!$D$5+I570*MCDA_Prioritisation!$E$5+J570*P570+K570*T570+L570*X570</f>
        <v>71.184644596362332</v>
      </c>
      <c r="AC570" s="54">
        <f t="shared" ca="1" si="118"/>
        <v>1</v>
      </c>
      <c r="AD570" s="54">
        <f t="shared" ca="1" si="119"/>
        <v>2</v>
      </c>
      <c r="AE570" s="54">
        <f t="shared" ca="1" si="120"/>
        <v>3</v>
      </c>
      <c r="AF570" s="54">
        <f t="shared" ca="1" si="121"/>
        <v>4</v>
      </c>
      <c r="AG570" s="54">
        <f t="shared" ca="1" si="122"/>
        <v>1</v>
      </c>
      <c r="AH570" s="54">
        <f t="shared" ca="1" si="123"/>
        <v>1</v>
      </c>
      <c r="AI570" s="54">
        <f t="shared" ca="1" si="124"/>
        <v>1</v>
      </c>
      <c r="AJ570" s="54">
        <f t="shared" ca="1" si="125"/>
        <v>1</v>
      </c>
    </row>
    <row r="571" spans="1:36" x14ac:dyDescent="0.2">
      <c r="A571" s="54">
        <v>548</v>
      </c>
      <c r="B571" s="54">
        <f ca="1">MAX(0.02,MCDA_Prioritisation!$B$9+(RAND()-0.5)*2*$B$6)</f>
        <v>0.27536440248713373</v>
      </c>
      <c r="C571" s="54">
        <f ca="1">MAX(0.02,MCDA_Prioritisation!$B$10+(RAND()-0.5)*2*$B$6)</f>
        <v>0.25964515062998883</v>
      </c>
      <c r="D571" s="54">
        <f ca="1">MAX(0.02,MCDA_Prioritisation!$B$11+(RAND()-0.5)*2*$B$6)</f>
        <v>0.29654708517533751</v>
      </c>
      <c r="E571" s="54">
        <f ca="1">MAX(0.02,MCDA_Prioritisation!$B$12+(RAND()-0.5)*2*$B$6)</f>
        <v>8.673676167611398E-2</v>
      </c>
      <c r="F571" s="54">
        <f ca="1">MAX(0.02,MCDA_Prioritisation!$B$13+(RAND()-0.5)*2*$B$6)</f>
        <v>0.17692731139478327</v>
      </c>
      <c r="G571" s="54">
        <f t="shared" ca="1" si="112"/>
        <v>1.0952207113633574</v>
      </c>
      <c r="H571" s="54">
        <f t="shared" ca="1" si="113"/>
        <v>0.25142366249114612</v>
      </c>
      <c r="I571" s="54">
        <f t="shared" ca="1" si="114"/>
        <v>0.23707107429220931</v>
      </c>
      <c r="J571" s="54">
        <f t="shared" ca="1" si="115"/>
        <v>0.27076467975682134</v>
      </c>
      <c r="K571" s="54">
        <f t="shared" ca="1" si="116"/>
        <v>7.9195691586348788E-2</v>
      </c>
      <c r="L571" s="54">
        <f t="shared" ca="1" si="117"/>
        <v>0.16154489187347437</v>
      </c>
      <c r="M571" s="54">
        <f ca="1">MIN(100,MAX(0,MCDA_Prioritisation!$F$2+(RAND()-0.5)*2*$B$7))</f>
        <v>80.626103668909792</v>
      </c>
      <c r="N571" s="54">
        <f ca="1">MIN(100,MAX(0,MCDA_Prioritisation!$F$3+(RAND()-0.5)*2*$B$7))</f>
        <v>85.996695597994247</v>
      </c>
      <c r="O571" s="54">
        <f ca="1">MIN(100,MAX(0,MCDA_Prioritisation!$F$4+(RAND()-0.5)*2*$B$7))</f>
        <v>90.33367873118668</v>
      </c>
      <c r="P571" s="54">
        <f ca="1">MIN(100,MAX(0,MCDA_Prioritisation!$F$5+(RAND()-0.5)*2*$B$7))</f>
        <v>66.311861988494144</v>
      </c>
      <c r="Q571" s="54">
        <f ca="1">MIN(100,MAX(0,MCDA_Prioritisation!$G$2+(RAND()-0.5)*2*$B$7))</f>
        <v>75.237908094423915</v>
      </c>
      <c r="R571" s="54">
        <f ca="1">MIN(100,MAX(0,MCDA_Prioritisation!$G$3+(RAND()-0.5)*2*$B$7))</f>
        <v>85.697076381602514</v>
      </c>
      <c r="S571" s="54">
        <f ca="1">MIN(100,MAX(0,MCDA_Prioritisation!$G$4+(RAND()-0.5)*2*$B$7))</f>
        <v>77.047417580398999</v>
      </c>
      <c r="T571" s="54">
        <f ca="1">MIN(100,MAX(0,MCDA_Prioritisation!$G$5+(RAND()-0.5)*2*$B$7))</f>
        <v>61.923350293822942</v>
      </c>
      <c r="U571" s="54">
        <f ca="1">MIN(100,MAX(0,MCDA_Prioritisation!$H$2+(RAND()-0.5)*2*$B$7))</f>
        <v>59.320817791373088</v>
      </c>
      <c r="V571" s="54">
        <f ca="1">MIN(100,MAX(0,MCDA_Prioritisation!$H$3+(RAND()-0.5)*2*$B$7))</f>
        <v>54.957399865315011</v>
      </c>
      <c r="W571" s="54">
        <f ca="1">MIN(100,MAX(0,MCDA_Prioritisation!$H$4+(RAND()-0.5)*2*$B$7))</f>
        <v>71.550825829219264</v>
      </c>
      <c r="X571" s="54">
        <f ca="1">MIN(100,MAX(0,MCDA_Prioritisation!$H$5+(RAND()-0.5)*2*$B$7))</f>
        <v>81.335265138063875</v>
      </c>
      <c r="Y571" s="54">
        <f ca="1">H571*MCDA_Prioritisation!$D$2+I571*MCDA_Prioritisation!$E$2+J571*M571+K571*Q571+L571*U571</f>
        <v>86.221668079289671</v>
      </c>
      <c r="Z571" s="54">
        <f ca="1">H571*MCDA_Prioritisation!$D$3+I571*MCDA_Prioritisation!$E$3+J571*N571+K571*R571+L571*V571</f>
        <v>78.1649602862785</v>
      </c>
      <c r="AA571" s="54">
        <f ca="1">H571*MCDA_Prioritisation!$D$4+I571*MCDA_Prioritisation!$E$4+J571*O571+K571*S571+L571*W571</f>
        <v>72.558478878602543</v>
      </c>
      <c r="AB571" s="54">
        <f ca="1">H571*MCDA_Prioritisation!$D$5+I571*MCDA_Prioritisation!$E$5+J571*P571+K571*T571+L571*X571</f>
        <v>69.278326004859522</v>
      </c>
      <c r="AC571" s="54">
        <f t="shared" ca="1" si="118"/>
        <v>1</v>
      </c>
      <c r="AD571" s="54">
        <f t="shared" ca="1" si="119"/>
        <v>2</v>
      </c>
      <c r="AE571" s="54">
        <f t="shared" ca="1" si="120"/>
        <v>3</v>
      </c>
      <c r="AF571" s="54">
        <f t="shared" ca="1" si="121"/>
        <v>4</v>
      </c>
      <c r="AG571" s="54">
        <f t="shared" ca="1" si="122"/>
        <v>1</v>
      </c>
      <c r="AH571" s="54">
        <f t="shared" ca="1" si="123"/>
        <v>1</v>
      </c>
      <c r="AI571" s="54">
        <f t="shared" ca="1" si="124"/>
        <v>1</v>
      </c>
      <c r="AJ571" s="54">
        <f t="shared" ca="1" si="125"/>
        <v>1</v>
      </c>
    </row>
    <row r="572" spans="1:36" x14ac:dyDescent="0.2">
      <c r="A572" s="54">
        <v>549</v>
      </c>
      <c r="B572" s="54">
        <f ca="1">MAX(0.02,MCDA_Prioritisation!$B$9+(RAND()-0.5)*2*$B$6)</f>
        <v>0.21458966387059589</v>
      </c>
      <c r="C572" s="54">
        <f ca="1">MAX(0.02,MCDA_Prioritisation!$B$10+(RAND()-0.5)*2*$B$6)</f>
        <v>0.32103404949195063</v>
      </c>
      <c r="D572" s="54">
        <f ca="1">MAX(0.02,MCDA_Prioritisation!$B$11+(RAND()-0.5)*2*$B$6)</f>
        <v>0.32639846836816844</v>
      </c>
      <c r="E572" s="54">
        <f ca="1">MAX(0.02,MCDA_Prioritisation!$B$12+(RAND()-0.5)*2*$B$6)</f>
        <v>0.12850694572029916</v>
      </c>
      <c r="F572" s="54">
        <f ca="1">MAX(0.02,MCDA_Prioritisation!$B$13+(RAND()-0.5)*2*$B$6)</f>
        <v>0.20670889724671232</v>
      </c>
      <c r="G572" s="54">
        <f t="shared" ca="1" si="112"/>
        <v>1.1972380246977266</v>
      </c>
      <c r="H572" s="54">
        <f t="shared" ca="1" si="113"/>
        <v>0.17923726063142251</v>
      </c>
      <c r="I572" s="54">
        <f t="shared" ca="1" si="114"/>
        <v>0.26814555073374313</v>
      </c>
      <c r="J572" s="54">
        <f t="shared" ca="1" si="115"/>
        <v>0.27262621269532106</v>
      </c>
      <c r="K572" s="54">
        <f t="shared" ca="1" si="116"/>
        <v>0.10733617131208645</v>
      </c>
      <c r="L572" s="54">
        <f t="shared" ca="1" si="117"/>
        <v>0.17265480462742677</v>
      </c>
      <c r="M572" s="54">
        <f ca="1">MIN(100,MAX(0,MCDA_Prioritisation!$F$2+(RAND()-0.5)*2*$B$7))</f>
        <v>85.992205661591584</v>
      </c>
      <c r="N572" s="54">
        <f ca="1">MIN(100,MAX(0,MCDA_Prioritisation!$F$3+(RAND()-0.5)*2*$B$7))</f>
        <v>85.21168686607372</v>
      </c>
      <c r="O572" s="54">
        <f ca="1">MIN(100,MAX(0,MCDA_Prioritisation!$F$4+(RAND()-0.5)*2*$B$7))</f>
        <v>81.102158422210067</v>
      </c>
      <c r="P572" s="54">
        <f ca="1">MIN(100,MAX(0,MCDA_Prioritisation!$F$5+(RAND()-0.5)*2*$B$7))</f>
        <v>67.964321487887219</v>
      </c>
      <c r="Q572" s="54">
        <f ca="1">MIN(100,MAX(0,MCDA_Prioritisation!$G$2+(RAND()-0.5)*2*$B$7))</f>
        <v>76.640077753441403</v>
      </c>
      <c r="R572" s="54">
        <f ca="1">MIN(100,MAX(0,MCDA_Prioritisation!$G$3+(RAND()-0.5)*2*$B$7))</f>
        <v>92.81768767270863</v>
      </c>
      <c r="S572" s="54">
        <f ca="1">MIN(100,MAX(0,MCDA_Prioritisation!$G$4+(RAND()-0.5)*2*$B$7))</f>
        <v>78.026341220259013</v>
      </c>
      <c r="T572" s="54">
        <f ca="1">MIN(100,MAX(0,MCDA_Prioritisation!$G$5+(RAND()-0.5)*2*$B$7))</f>
        <v>63.838997545091253</v>
      </c>
      <c r="U572" s="54">
        <f ca="1">MIN(100,MAX(0,MCDA_Prioritisation!$H$2+(RAND()-0.5)*2*$B$7))</f>
        <v>72.348746215488219</v>
      </c>
      <c r="V572" s="54">
        <f ca="1">MIN(100,MAX(0,MCDA_Prioritisation!$H$3+(RAND()-0.5)*2*$B$7))</f>
        <v>52.112543418941698</v>
      </c>
      <c r="W572" s="54">
        <f ca="1">MIN(100,MAX(0,MCDA_Prioritisation!$H$4+(RAND()-0.5)*2*$B$7))</f>
        <v>87.689662508588597</v>
      </c>
      <c r="X572" s="54">
        <f ca="1">MIN(100,MAX(0,MCDA_Prioritisation!$H$5+(RAND()-0.5)*2*$B$7))</f>
        <v>67.625941059460544</v>
      </c>
      <c r="Y572" s="54">
        <f ca="1">H572*MCDA_Prioritisation!$D$2+I572*MCDA_Prioritisation!$E$2+J572*M572+K572*Q572+L572*U572</f>
        <v>88.899621645342833</v>
      </c>
      <c r="Z572" s="54">
        <f ca="1">H572*MCDA_Prioritisation!$D$3+I572*MCDA_Prioritisation!$E$3+J572*N572+K572*R572+L572*V572</f>
        <v>77.357380350758689</v>
      </c>
      <c r="AA572" s="54">
        <f ca="1">H572*MCDA_Prioritisation!$D$4+I572*MCDA_Prioritisation!$E$4+J572*O572+K572*S572+L572*W572</f>
        <v>72.732814683617832</v>
      </c>
      <c r="AB572" s="54">
        <f ca="1">H572*MCDA_Prioritisation!$D$5+I572*MCDA_Prioritisation!$E$5+J572*P572+K572*T572+L572*X572</f>
        <v>69.118813011033879</v>
      </c>
      <c r="AC572" s="54">
        <f t="shared" ca="1" si="118"/>
        <v>1</v>
      </c>
      <c r="AD572" s="54">
        <f t="shared" ca="1" si="119"/>
        <v>2</v>
      </c>
      <c r="AE572" s="54">
        <f t="shared" ca="1" si="120"/>
        <v>3</v>
      </c>
      <c r="AF572" s="54">
        <f t="shared" ca="1" si="121"/>
        <v>4</v>
      </c>
      <c r="AG572" s="54">
        <f t="shared" ca="1" si="122"/>
        <v>1</v>
      </c>
      <c r="AH572" s="54">
        <f t="shared" ca="1" si="123"/>
        <v>1</v>
      </c>
      <c r="AI572" s="54">
        <f t="shared" ca="1" si="124"/>
        <v>1</v>
      </c>
      <c r="AJ572" s="54">
        <f t="shared" ca="1" si="125"/>
        <v>1</v>
      </c>
    </row>
    <row r="573" spans="1:36" x14ac:dyDescent="0.2">
      <c r="A573" s="54">
        <v>550</v>
      </c>
      <c r="B573" s="54">
        <f ca="1">MAX(0.02,MCDA_Prioritisation!$B$9+(RAND()-0.5)*2*$B$6)</f>
        <v>0.17742945843603394</v>
      </c>
      <c r="C573" s="54">
        <f ca="1">MAX(0.02,MCDA_Prioritisation!$B$10+(RAND()-0.5)*2*$B$6)</f>
        <v>0.29722055719566171</v>
      </c>
      <c r="D573" s="54">
        <f ca="1">MAX(0.02,MCDA_Prioritisation!$B$11+(RAND()-0.5)*2*$B$6)</f>
        <v>0.21805987365996354</v>
      </c>
      <c r="E573" s="54">
        <f ca="1">MAX(0.02,MCDA_Prioritisation!$B$12+(RAND()-0.5)*2*$B$6)</f>
        <v>0.21104882795536511</v>
      </c>
      <c r="F573" s="54">
        <f ca="1">MAX(0.02,MCDA_Prioritisation!$B$13+(RAND()-0.5)*2*$B$6)</f>
        <v>0.20033540745333855</v>
      </c>
      <c r="G573" s="54">
        <f t="shared" ca="1" si="112"/>
        <v>1.1040941247003628</v>
      </c>
      <c r="H573" s="54">
        <f t="shared" ca="1" si="113"/>
        <v>0.16070138810328879</v>
      </c>
      <c r="I573" s="54">
        <f t="shared" ca="1" si="114"/>
        <v>0.26919856789956526</v>
      </c>
      <c r="J573" s="54">
        <f t="shared" ca="1" si="115"/>
        <v>0.19750116297298678</v>
      </c>
      <c r="K573" s="54">
        <f t="shared" ca="1" si="116"/>
        <v>0.19115111948688351</v>
      </c>
      <c r="L573" s="54">
        <f t="shared" ca="1" si="117"/>
        <v>0.18144776153727568</v>
      </c>
      <c r="M573" s="54">
        <f ca="1">MIN(100,MAX(0,MCDA_Prioritisation!$F$2+(RAND()-0.5)*2*$B$7))</f>
        <v>94.341290743693094</v>
      </c>
      <c r="N573" s="54">
        <f ca="1">MIN(100,MAX(0,MCDA_Prioritisation!$F$3+(RAND()-0.5)*2*$B$7))</f>
        <v>94.042187632866401</v>
      </c>
      <c r="O573" s="54">
        <f ca="1">MIN(100,MAX(0,MCDA_Prioritisation!$F$4+(RAND()-0.5)*2*$B$7))</f>
        <v>90.51040268002339</v>
      </c>
      <c r="P573" s="54">
        <f ca="1">MIN(100,MAX(0,MCDA_Prioritisation!$F$5+(RAND()-0.5)*2*$B$7))</f>
        <v>70.176391240135885</v>
      </c>
      <c r="Q573" s="54">
        <f ca="1">MIN(100,MAX(0,MCDA_Prioritisation!$G$2+(RAND()-0.5)*2*$B$7))</f>
        <v>82.710124736389133</v>
      </c>
      <c r="R573" s="54">
        <f ca="1">MIN(100,MAX(0,MCDA_Prioritisation!$G$3+(RAND()-0.5)*2*$B$7))</f>
        <v>98.412149718387369</v>
      </c>
      <c r="S573" s="54">
        <f ca="1">MIN(100,MAX(0,MCDA_Prioritisation!$G$4+(RAND()-0.5)*2*$B$7))</f>
        <v>85.092423951029829</v>
      </c>
      <c r="T573" s="54">
        <f ca="1">MIN(100,MAX(0,MCDA_Prioritisation!$G$5+(RAND()-0.5)*2*$B$7))</f>
        <v>61.57508041028148</v>
      </c>
      <c r="U573" s="54">
        <f ca="1">MIN(100,MAX(0,MCDA_Prioritisation!$H$2+(RAND()-0.5)*2*$B$7))</f>
        <v>69.516401383750605</v>
      </c>
      <c r="V573" s="54">
        <f ca="1">MIN(100,MAX(0,MCDA_Prioritisation!$H$3+(RAND()-0.5)*2*$B$7))</f>
        <v>51.22611776364532</v>
      </c>
      <c r="W573" s="54">
        <f ca="1">MIN(100,MAX(0,MCDA_Prioritisation!$H$4+(RAND()-0.5)*2*$B$7))</f>
        <v>75.996598751380958</v>
      </c>
      <c r="X573" s="54">
        <f ca="1">MIN(100,MAX(0,MCDA_Prioritisation!$H$5+(RAND()-0.5)*2*$B$7))</f>
        <v>71.216751642609282</v>
      </c>
      <c r="Y573" s="54">
        <f ca="1">H573*MCDA_Prioritisation!$D$2+I573*MCDA_Prioritisation!$E$2+J573*M573+K573*Q573+L573*U573</f>
        <v>90.046238596006333</v>
      </c>
      <c r="Z573" s="54">
        <f ca="1">H573*MCDA_Prioritisation!$D$3+I573*MCDA_Prioritisation!$E$3+J573*N573+K573*R573+L573*V573</f>
        <v>80.302769466590902</v>
      </c>
      <c r="AA573" s="54">
        <f ca="1">H573*MCDA_Prioritisation!$D$4+I573*MCDA_Prioritisation!$E$4+J573*O573+K573*S573+L573*W573</f>
        <v>73.804692833736993</v>
      </c>
      <c r="AB573" s="54">
        <f ca="1">H573*MCDA_Prioritisation!$D$5+I573*MCDA_Prioritisation!$E$5+J573*P573+K573*T573+L573*X573</f>
        <v>69.718706075434412</v>
      </c>
      <c r="AC573" s="54">
        <f t="shared" ca="1" si="118"/>
        <v>1</v>
      </c>
      <c r="AD573" s="54">
        <f t="shared" ca="1" si="119"/>
        <v>2</v>
      </c>
      <c r="AE573" s="54">
        <f t="shared" ca="1" si="120"/>
        <v>3</v>
      </c>
      <c r="AF573" s="54">
        <f t="shared" ca="1" si="121"/>
        <v>4</v>
      </c>
      <c r="AG573" s="54">
        <f t="shared" ca="1" si="122"/>
        <v>1</v>
      </c>
      <c r="AH573" s="54">
        <f t="shared" ca="1" si="123"/>
        <v>1</v>
      </c>
      <c r="AI573" s="54">
        <f t="shared" ca="1" si="124"/>
        <v>1</v>
      </c>
      <c r="AJ573" s="54">
        <f t="shared" ca="1" si="125"/>
        <v>1</v>
      </c>
    </row>
    <row r="574" spans="1:36" x14ac:dyDescent="0.2">
      <c r="A574" s="54">
        <v>551</v>
      </c>
      <c r="B574" s="54">
        <f ca="1">MAX(0.02,MCDA_Prioritisation!$B$9+(RAND()-0.5)*2*$B$6)</f>
        <v>0.17222355071080875</v>
      </c>
      <c r="C574" s="54">
        <f ca="1">MAX(0.02,MCDA_Prioritisation!$B$10+(RAND()-0.5)*2*$B$6)</f>
        <v>0.26508750628930344</v>
      </c>
      <c r="D574" s="54">
        <f ca="1">MAX(0.02,MCDA_Prioritisation!$B$11+(RAND()-0.5)*2*$B$6)</f>
        <v>0.31155361576773943</v>
      </c>
      <c r="E574" s="54">
        <f ca="1">MAX(0.02,MCDA_Prioritisation!$B$12+(RAND()-0.5)*2*$B$6)</f>
        <v>7.5209213585860413E-2</v>
      </c>
      <c r="F574" s="54">
        <f ca="1">MAX(0.02,MCDA_Prioritisation!$B$13+(RAND()-0.5)*2*$B$6)</f>
        <v>0.12602870458946624</v>
      </c>
      <c r="G574" s="54">
        <f t="shared" ca="1" si="112"/>
        <v>0.95010259094317828</v>
      </c>
      <c r="H574" s="54">
        <f t="shared" ca="1" si="113"/>
        <v>0.18126837286049327</v>
      </c>
      <c r="I574" s="54">
        <f t="shared" ca="1" si="114"/>
        <v>0.27900934995466953</v>
      </c>
      <c r="J574" s="54">
        <f t="shared" ca="1" si="115"/>
        <v>0.32791576271616774</v>
      </c>
      <c r="K574" s="54">
        <f t="shared" ca="1" si="116"/>
        <v>7.9159044826095384E-2</v>
      </c>
      <c r="L574" s="54">
        <f t="shared" ca="1" si="117"/>
        <v>0.1326474696425741</v>
      </c>
      <c r="M574" s="54">
        <f ca="1">MIN(100,MAX(0,MCDA_Prioritisation!$F$2+(RAND()-0.5)*2*$B$7))</f>
        <v>77.34737171681067</v>
      </c>
      <c r="N574" s="54">
        <f ca="1">MIN(100,MAX(0,MCDA_Prioritisation!$F$3+(RAND()-0.5)*2*$B$7))</f>
        <v>100</v>
      </c>
      <c r="O574" s="54">
        <f ca="1">MIN(100,MAX(0,MCDA_Prioritisation!$F$4+(RAND()-0.5)*2*$B$7))</f>
        <v>83.627200772700832</v>
      </c>
      <c r="P574" s="54">
        <f ca="1">MIN(100,MAX(0,MCDA_Prioritisation!$F$5+(RAND()-0.5)*2*$B$7))</f>
        <v>70.993412797404403</v>
      </c>
      <c r="Q574" s="54">
        <f ca="1">MIN(100,MAX(0,MCDA_Prioritisation!$G$2+(RAND()-0.5)*2*$B$7))</f>
        <v>83.046569236297231</v>
      </c>
      <c r="R574" s="54">
        <f ca="1">MIN(100,MAX(0,MCDA_Prioritisation!$G$3+(RAND()-0.5)*2*$B$7))</f>
        <v>100</v>
      </c>
      <c r="S574" s="54">
        <f ca="1">MIN(100,MAX(0,MCDA_Prioritisation!$G$4+(RAND()-0.5)*2*$B$7))</f>
        <v>86.73818872967486</v>
      </c>
      <c r="T574" s="54">
        <f ca="1">MIN(100,MAX(0,MCDA_Prioritisation!$G$5+(RAND()-0.5)*2*$B$7))</f>
        <v>69.541580705507997</v>
      </c>
      <c r="U574" s="54">
        <f ca="1">MIN(100,MAX(0,MCDA_Prioritisation!$H$2+(RAND()-0.5)*2*$B$7))</f>
        <v>63.842299815593471</v>
      </c>
      <c r="V574" s="54">
        <f ca="1">MIN(100,MAX(0,MCDA_Prioritisation!$H$3+(RAND()-0.5)*2*$B$7))</f>
        <v>68.523273887733424</v>
      </c>
      <c r="W574" s="54">
        <f ca="1">MIN(100,MAX(0,MCDA_Prioritisation!$H$4+(RAND()-0.5)*2*$B$7))</f>
        <v>71.911099309096372</v>
      </c>
      <c r="X574" s="54">
        <f ca="1">MIN(100,MAX(0,MCDA_Prioritisation!$H$5+(RAND()-0.5)*2*$B$7))</f>
        <v>71.027039234395062</v>
      </c>
      <c r="Y574" s="54">
        <f ca="1">H574*MCDA_Prioritisation!$D$2+I574*MCDA_Prioritisation!$E$2+J574*M574+K574*Q574+L574*U574</f>
        <v>86.433601295655706</v>
      </c>
      <c r="Z574" s="54">
        <f ca="1">H574*MCDA_Prioritisation!$D$3+I574*MCDA_Prioritisation!$E$3+J574*N574+K574*R574+L574*V574</f>
        <v>85.93079158047297</v>
      </c>
      <c r="AA574" s="54">
        <f ca="1">H574*MCDA_Prioritisation!$D$4+I574*MCDA_Prioritisation!$E$4+J574*O574+K574*S574+L574*W574</f>
        <v>71.668770554899709</v>
      </c>
      <c r="AB574" s="54">
        <f ca="1">H574*MCDA_Prioritisation!$D$5+I574*MCDA_Prioritisation!$E$5+J574*P574+K574*T574+L574*X574</f>
        <v>71.289391308955686</v>
      </c>
      <c r="AC574" s="54">
        <f t="shared" ca="1" si="118"/>
        <v>1</v>
      </c>
      <c r="AD574" s="54">
        <f t="shared" ca="1" si="119"/>
        <v>2</v>
      </c>
      <c r="AE574" s="54">
        <f t="shared" ca="1" si="120"/>
        <v>3</v>
      </c>
      <c r="AF574" s="54">
        <f t="shared" ca="1" si="121"/>
        <v>4</v>
      </c>
      <c r="AG574" s="54">
        <f t="shared" ca="1" si="122"/>
        <v>1</v>
      </c>
      <c r="AH574" s="54">
        <f t="shared" ca="1" si="123"/>
        <v>1</v>
      </c>
      <c r="AI574" s="54">
        <f t="shared" ca="1" si="124"/>
        <v>1</v>
      </c>
      <c r="AJ574" s="54">
        <f t="shared" ca="1" si="125"/>
        <v>1</v>
      </c>
    </row>
    <row r="575" spans="1:36" x14ac:dyDescent="0.2">
      <c r="A575" s="54">
        <v>552</v>
      </c>
      <c r="B575" s="54">
        <f ca="1">MAX(0.02,MCDA_Prioritisation!$B$9+(RAND()-0.5)*2*$B$6)</f>
        <v>0.18809867684639303</v>
      </c>
      <c r="C575" s="54">
        <f ca="1">MAX(0.02,MCDA_Prioritisation!$B$10+(RAND()-0.5)*2*$B$6)</f>
        <v>0.23866887066464498</v>
      </c>
      <c r="D575" s="54">
        <f ca="1">MAX(0.02,MCDA_Prioritisation!$B$11+(RAND()-0.5)*2*$B$6)</f>
        <v>0.29501114968830133</v>
      </c>
      <c r="E575" s="54">
        <f ca="1">MAX(0.02,MCDA_Prioritisation!$B$12+(RAND()-0.5)*2*$B$6)</f>
        <v>8.1765963217011364E-2</v>
      </c>
      <c r="F575" s="54">
        <f ca="1">MAX(0.02,MCDA_Prioritisation!$B$13+(RAND()-0.5)*2*$B$6)</f>
        <v>0.15975747051329445</v>
      </c>
      <c r="G575" s="54">
        <f t="shared" ca="1" si="112"/>
        <v>0.96330213092964523</v>
      </c>
      <c r="H575" s="54">
        <f t="shared" ca="1" si="113"/>
        <v>0.19526446667865913</v>
      </c>
      <c r="I575" s="54">
        <f t="shared" ca="1" si="114"/>
        <v>0.24776117793315269</v>
      </c>
      <c r="J575" s="54">
        <f t="shared" ca="1" si="115"/>
        <v>0.30624986721829173</v>
      </c>
      <c r="K575" s="54">
        <f t="shared" ca="1" si="116"/>
        <v>8.488091180500372E-2</v>
      </c>
      <c r="L575" s="54">
        <f t="shared" ca="1" si="117"/>
        <v>0.16584357636489266</v>
      </c>
      <c r="M575" s="54">
        <f ca="1">MIN(100,MAX(0,MCDA_Prioritisation!$F$2+(RAND()-0.5)*2*$B$7))</f>
        <v>87.814405342485216</v>
      </c>
      <c r="N575" s="54">
        <f ca="1">MIN(100,MAX(0,MCDA_Prioritisation!$F$3+(RAND()-0.5)*2*$B$7))</f>
        <v>94.520408243906758</v>
      </c>
      <c r="O575" s="54">
        <f ca="1">MIN(100,MAX(0,MCDA_Prioritisation!$F$4+(RAND()-0.5)*2*$B$7))</f>
        <v>90.235608628102995</v>
      </c>
      <c r="P575" s="54">
        <f ca="1">MIN(100,MAX(0,MCDA_Prioritisation!$F$5+(RAND()-0.5)*2*$B$7))</f>
        <v>81.999387808927651</v>
      </c>
      <c r="Q575" s="54">
        <f ca="1">MIN(100,MAX(0,MCDA_Prioritisation!$G$2+(RAND()-0.5)*2*$B$7))</f>
        <v>74.285531154755859</v>
      </c>
      <c r="R575" s="54">
        <f ca="1">MIN(100,MAX(0,MCDA_Prioritisation!$G$3+(RAND()-0.5)*2*$B$7))</f>
        <v>100</v>
      </c>
      <c r="S575" s="54">
        <f ca="1">MIN(100,MAX(0,MCDA_Prioritisation!$G$4+(RAND()-0.5)*2*$B$7))</f>
        <v>75.078895042960269</v>
      </c>
      <c r="T575" s="54">
        <f ca="1">MIN(100,MAX(0,MCDA_Prioritisation!$G$5+(RAND()-0.5)*2*$B$7))</f>
        <v>62.766907180726356</v>
      </c>
      <c r="U575" s="54">
        <f ca="1">MIN(100,MAX(0,MCDA_Prioritisation!$H$2+(RAND()-0.5)*2*$B$7))</f>
        <v>69.224190884549913</v>
      </c>
      <c r="V575" s="54">
        <f ca="1">MIN(100,MAX(0,MCDA_Prioritisation!$H$3+(RAND()-0.5)*2*$B$7))</f>
        <v>52.21807147154599</v>
      </c>
      <c r="W575" s="54">
        <f ca="1">MIN(100,MAX(0,MCDA_Prioritisation!$H$4+(RAND()-0.5)*2*$B$7))</f>
        <v>73.981558948037303</v>
      </c>
      <c r="X575" s="54">
        <f ca="1">MIN(100,MAX(0,MCDA_Prioritisation!$H$5+(RAND()-0.5)*2*$B$7))</f>
        <v>83.576767608658287</v>
      </c>
      <c r="Y575" s="54">
        <f ca="1">H575*MCDA_Prioritisation!$D$2+I575*MCDA_Prioritisation!$E$2+J575*M575+K575*Q575+L575*U575</f>
        <v>88.981525442764962</v>
      </c>
      <c r="Z575" s="54">
        <f ca="1">H575*MCDA_Prioritisation!$D$3+I575*MCDA_Prioritisation!$E$3+J575*N575+K575*R575+L575*V575</f>
        <v>81.179477344603924</v>
      </c>
      <c r="AA575" s="54">
        <f ca="1">H575*MCDA_Prioritisation!$D$4+I575*MCDA_Prioritisation!$E$4+J575*O575+K575*S575+L575*W575</f>
        <v>73.3880901970401</v>
      </c>
      <c r="AB575" s="54">
        <f ca="1">H575*MCDA_Prioritisation!$D$5+I575*MCDA_Prioritisation!$E$5+J575*P575+K575*T575+L575*X575</f>
        <v>75.498981991773377</v>
      </c>
      <c r="AC575" s="54">
        <f t="shared" ca="1" si="118"/>
        <v>1</v>
      </c>
      <c r="AD575" s="54">
        <f t="shared" ca="1" si="119"/>
        <v>2</v>
      </c>
      <c r="AE575" s="54">
        <f t="shared" ca="1" si="120"/>
        <v>4</v>
      </c>
      <c r="AF575" s="54">
        <f t="shared" ca="1" si="121"/>
        <v>3</v>
      </c>
      <c r="AG575" s="54">
        <f t="shared" ca="1" si="122"/>
        <v>1</v>
      </c>
      <c r="AH575" s="54">
        <f t="shared" ca="1" si="123"/>
        <v>1</v>
      </c>
      <c r="AI575" s="54">
        <f t="shared" ca="1" si="124"/>
        <v>0</v>
      </c>
      <c r="AJ575" s="54">
        <f t="shared" ca="1" si="125"/>
        <v>1</v>
      </c>
    </row>
    <row r="576" spans="1:36" x14ac:dyDescent="0.2">
      <c r="A576" s="54">
        <v>553</v>
      </c>
      <c r="B576" s="54">
        <f ca="1">MAX(0.02,MCDA_Prioritisation!$B$9+(RAND()-0.5)*2*$B$6)</f>
        <v>0.26763255424429122</v>
      </c>
      <c r="C576" s="54">
        <f ca="1">MAX(0.02,MCDA_Prioritisation!$B$10+(RAND()-0.5)*2*$B$6)</f>
        <v>0.20166332436377776</v>
      </c>
      <c r="D576" s="54">
        <f ca="1">MAX(0.02,MCDA_Prioritisation!$B$11+(RAND()-0.5)*2*$B$6)</f>
        <v>0.31348930379642082</v>
      </c>
      <c r="E576" s="54">
        <f ca="1">MAX(0.02,MCDA_Prioritisation!$B$12+(RAND()-0.5)*2*$B$6)</f>
        <v>0.18476024328359619</v>
      </c>
      <c r="F576" s="54">
        <f ca="1">MAX(0.02,MCDA_Prioritisation!$B$13+(RAND()-0.5)*2*$B$6)</f>
        <v>0.1978791746575933</v>
      </c>
      <c r="G576" s="54">
        <f t="shared" ca="1" si="112"/>
        <v>1.1654246003456792</v>
      </c>
      <c r="H576" s="54">
        <f t="shared" ca="1" si="113"/>
        <v>0.22964381751072369</v>
      </c>
      <c r="I576" s="54">
        <f t="shared" ca="1" si="114"/>
        <v>0.17303849970556823</v>
      </c>
      <c r="J576" s="54">
        <f t="shared" ca="1" si="115"/>
        <v>0.26899149348952822</v>
      </c>
      <c r="K576" s="54">
        <f t="shared" ca="1" si="116"/>
        <v>0.1585347033422789</v>
      </c>
      <c r="L576" s="54">
        <f t="shared" ca="1" si="117"/>
        <v>0.16979148595190108</v>
      </c>
      <c r="M576" s="54">
        <f ca="1">MIN(100,MAX(0,MCDA_Prioritisation!$F$2+(RAND()-0.5)*2*$B$7))</f>
        <v>76.903883540319043</v>
      </c>
      <c r="N576" s="54">
        <f ca="1">MIN(100,MAX(0,MCDA_Prioritisation!$F$3+(RAND()-0.5)*2*$B$7))</f>
        <v>93.955638099838012</v>
      </c>
      <c r="O576" s="54">
        <f ca="1">MIN(100,MAX(0,MCDA_Prioritisation!$F$4+(RAND()-0.5)*2*$B$7))</f>
        <v>96.051934937899958</v>
      </c>
      <c r="P576" s="54">
        <f ca="1">MIN(100,MAX(0,MCDA_Prioritisation!$F$5+(RAND()-0.5)*2*$B$7))</f>
        <v>71.984672619827791</v>
      </c>
      <c r="Q576" s="54">
        <f ca="1">MIN(100,MAX(0,MCDA_Prioritisation!$G$2+(RAND()-0.5)*2*$B$7))</f>
        <v>81.203722285879181</v>
      </c>
      <c r="R576" s="54">
        <f ca="1">MIN(100,MAX(0,MCDA_Prioritisation!$G$3+(RAND()-0.5)*2*$B$7))</f>
        <v>86.34473881924815</v>
      </c>
      <c r="S576" s="54">
        <f ca="1">MIN(100,MAX(0,MCDA_Prioritisation!$G$4+(RAND()-0.5)*2*$B$7))</f>
        <v>85.831790530793171</v>
      </c>
      <c r="T576" s="54">
        <f ca="1">MIN(100,MAX(0,MCDA_Prioritisation!$G$5+(RAND()-0.5)*2*$B$7))</f>
        <v>79.436565018950546</v>
      </c>
      <c r="U576" s="54">
        <f ca="1">MIN(100,MAX(0,MCDA_Prioritisation!$H$2+(RAND()-0.5)*2*$B$7))</f>
        <v>61.344860898846733</v>
      </c>
      <c r="V576" s="54">
        <f ca="1">MIN(100,MAX(0,MCDA_Prioritisation!$H$3+(RAND()-0.5)*2*$B$7))</f>
        <v>69.593247111830294</v>
      </c>
      <c r="W576" s="54">
        <f ca="1">MIN(100,MAX(0,MCDA_Prioritisation!$H$4+(RAND()-0.5)*2*$B$7))</f>
        <v>85.51909242552766</v>
      </c>
      <c r="X576" s="54">
        <f ca="1">MIN(100,MAX(0,MCDA_Prioritisation!$H$5+(RAND()-0.5)*2*$B$7))</f>
        <v>74.779710315640173</v>
      </c>
      <c r="Y576" s="54">
        <f ca="1">H576*MCDA_Prioritisation!$D$2+I576*MCDA_Prioritisation!$E$2+J576*M576+K576*Q576+L576*U576</f>
        <v>84.244165320692872</v>
      </c>
      <c r="Z576" s="54">
        <f ca="1">H576*MCDA_Prioritisation!$D$3+I576*MCDA_Prioritisation!$E$3+J576*N576+K576*R576+L576*V576</f>
        <v>83.433007773879879</v>
      </c>
      <c r="AA576" s="54">
        <f ca="1">H576*MCDA_Prioritisation!$D$4+I576*MCDA_Prioritisation!$E$4+J576*O576+K576*S576+L576*W576</f>
        <v>79.394393748294448</v>
      </c>
      <c r="AB576" s="54">
        <f ca="1">H576*MCDA_Prioritisation!$D$5+I576*MCDA_Prioritisation!$E$5+J576*P576+K576*T576+L576*X576</f>
        <v>71.393189704151084</v>
      </c>
      <c r="AC576" s="54">
        <f t="shared" ca="1" si="118"/>
        <v>1</v>
      </c>
      <c r="AD576" s="54">
        <f t="shared" ca="1" si="119"/>
        <v>2</v>
      </c>
      <c r="AE576" s="54">
        <f t="shared" ca="1" si="120"/>
        <v>3</v>
      </c>
      <c r="AF576" s="54">
        <f t="shared" ca="1" si="121"/>
        <v>4</v>
      </c>
      <c r="AG576" s="54">
        <f t="shared" ca="1" si="122"/>
        <v>1</v>
      </c>
      <c r="AH576" s="54">
        <f t="shared" ca="1" si="123"/>
        <v>1</v>
      </c>
      <c r="AI576" s="54">
        <f t="shared" ca="1" si="124"/>
        <v>1</v>
      </c>
      <c r="AJ576" s="54">
        <f t="shared" ca="1" si="125"/>
        <v>1</v>
      </c>
    </row>
    <row r="577" spans="1:36" x14ac:dyDescent="0.2">
      <c r="A577" s="54">
        <v>554</v>
      </c>
      <c r="B577" s="54">
        <f ca="1">MAX(0.02,MCDA_Prioritisation!$B$9+(RAND()-0.5)*2*$B$6)</f>
        <v>0.17782216993892963</v>
      </c>
      <c r="C577" s="54">
        <f ca="1">MAX(0.02,MCDA_Prioritisation!$B$10+(RAND()-0.5)*2*$B$6)</f>
        <v>0.20433146265777355</v>
      </c>
      <c r="D577" s="54">
        <f ca="1">MAX(0.02,MCDA_Prioritisation!$B$11+(RAND()-0.5)*2*$B$6)</f>
        <v>0.20987945789446938</v>
      </c>
      <c r="E577" s="54">
        <f ca="1">MAX(0.02,MCDA_Prioritisation!$B$12+(RAND()-0.5)*2*$B$6)</f>
        <v>0.16348928464929444</v>
      </c>
      <c r="F577" s="54">
        <f ca="1">MAX(0.02,MCDA_Prioritisation!$B$13+(RAND()-0.5)*2*$B$6)</f>
        <v>0.21008323647520022</v>
      </c>
      <c r="G577" s="54">
        <f t="shared" ca="1" si="112"/>
        <v>0.96560561161566727</v>
      </c>
      <c r="H577" s="54">
        <f t="shared" ca="1" si="113"/>
        <v>0.18415610659241574</v>
      </c>
      <c r="I577" s="54">
        <f t="shared" ca="1" si="114"/>
        <v>0.21160964704407917</v>
      </c>
      <c r="J577" s="54">
        <f t="shared" ca="1" si="115"/>
        <v>0.21735525909309453</v>
      </c>
      <c r="K577" s="54">
        <f t="shared" ca="1" si="116"/>
        <v>0.16931269110557617</v>
      </c>
      <c r="L577" s="54">
        <f t="shared" ca="1" si="117"/>
        <v>0.21756629616483428</v>
      </c>
      <c r="M577" s="54">
        <f ca="1">MIN(100,MAX(0,MCDA_Prioritisation!$F$2+(RAND()-0.5)*2*$B$7))</f>
        <v>75.307491898025006</v>
      </c>
      <c r="N577" s="54">
        <f ca="1">MIN(100,MAX(0,MCDA_Prioritisation!$F$3+(RAND()-0.5)*2*$B$7))</f>
        <v>100</v>
      </c>
      <c r="O577" s="54">
        <f ca="1">MIN(100,MAX(0,MCDA_Prioritisation!$F$4+(RAND()-0.5)*2*$B$7))</f>
        <v>81.540233012737801</v>
      </c>
      <c r="P577" s="54">
        <f ca="1">MIN(100,MAX(0,MCDA_Prioritisation!$F$5+(RAND()-0.5)*2*$B$7))</f>
        <v>70.409842382371124</v>
      </c>
      <c r="Q577" s="54">
        <f ca="1">MIN(100,MAX(0,MCDA_Prioritisation!$G$2+(RAND()-0.5)*2*$B$7))</f>
        <v>79.728521741618579</v>
      </c>
      <c r="R577" s="54">
        <f ca="1">MIN(100,MAX(0,MCDA_Prioritisation!$G$3+(RAND()-0.5)*2*$B$7))</f>
        <v>91.204828358007362</v>
      </c>
      <c r="S577" s="54">
        <f ca="1">MIN(100,MAX(0,MCDA_Prioritisation!$G$4+(RAND()-0.5)*2*$B$7))</f>
        <v>86.710802669962618</v>
      </c>
      <c r="T577" s="54">
        <f ca="1">MIN(100,MAX(0,MCDA_Prioritisation!$G$5+(RAND()-0.5)*2*$B$7))</f>
        <v>64.488563160161533</v>
      </c>
      <c r="U577" s="54">
        <f ca="1">MIN(100,MAX(0,MCDA_Prioritisation!$H$2+(RAND()-0.5)*2*$B$7))</f>
        <v>65.385785799640374</v>
      </c>
      <c r="V577" s="54">
        <f ca="1">MIN(100,MAX(0,MCDA_Prioritisation!$H$3+(RAND()-0.5)*2*$B$7))</f>
        <v>50.534436675546331</v>
      </c>
      <c r="W577" s="54">
        <f ca="1">MIN(100,MAX(0,MCDA_Prioritisation!$H$4+(RAND()-0.5)*2*$B$7))</f>
        <v>79.858939413801437</v>
      </c>
      <c r="X577" s="54">
        <f ca="1">MIN(100,MAX(0,MCDA_Prioritisation!$H$5+(RAND()-0.5)*2*$B$7))</f>
        <v>75.530099995023008</v>
      </c>
      <c r="Y577" s="54">
        <f ca="1">H577*MCDA_Prioritisation!$D$2+I577*MCDA_Prioritisation!$E$2+J577*M577+K577*Q577+L577*U577</f>
        <v>83.669848588993688</v>
      </c>
      <c r="Z577" s="54">
        <f ca="1">H577*MCDA_Prioritisation!$D$3+I577*MCDA_Prioritisation!$E$3+J577*N577+K577*R577+L577*V577</f>
        <v>79.656705215593291</v>
      </c>
      <c r="AA577" s="54">
        <f ca="1">H577*MCDA_Prioritisation!$D$4+I577*MCDA_Prioritisation!$E$4+J577*O577+K577*S577+L577*W577</f>
        <v>74.144944552001903</v>
      </c>
      <c r="AB577" s="54">
        <f ca="1">H577*MCDA_Prioritisation!$D$5+I577*MCDA_Prioritisation!$E$5+J577*P577+K577*T577+L577*X577</f>
        <v>70.224182628641316</v>
      </c>
      <c r="AC577" s="54">
        <f t="shared" ca="1" si="118"/>
        <v>1</v>
      </c>
      <c r="AD577" s="54">
        <f t="shared" ca="1" si="119"/>
        <v>2</v>
      </c>
      <c r="AE577" s="54">
        <f t="shared" ca="1" si="120"/>
        <v>3</v>
      </c>
      <c r="AF577" s="54">
        <f t="shared" ca="1" si="121"/>
        <v>4</v>
      </c>
      <c r="AG577" s="54">
        <f t="shared" ca="1" si="122"/>
        <v>1</v>
      </c>
      <c r="AH577" s="54">
        <f t="shared" ca="1" si="123"/>
        <v>1</v>
      </c>
      <c r="AI577" s="54">
        <f t="shared" ca="1" si="124"/>
        <v>1</v>
      </c>
      <c r="AJ577" s="54">
        <f t="shared" ca="1" si="125"/>
        <v>1</v>
      </c>
    </row>
    <row r="578" spans="1:36" x14ac:dyDescent="0.2">
      <c r="A578" s="54">
        <v>555</v>
      </c>
      <c r="B578" s="54">
        <f ca="1">MAX(0.02,MCDA_Prioritisation!$B$9+(RAND()-0.5)*2*$B$6)</f>
        <v>0.20309343199631466</v>
      </c>
      <c r="C578" s="54">
        <f ca="1">MAX(0.02,MCDA_Prioritisation!$B$10+(RAND()-0.5)*2*$B$6)</f>
        <v>0.32926391977868974</v>
      </c>
      <c r="D578" s="54">
        <f ca="1">MAX(0.02,MCDA_Prioritisation!$B$11+(RAND()-0.5)*2*$B$6)</f>
        <v>0.28731055042076736</v>
      </c>
      <c r="E578" s="54">
        <f ca="1">MAX(0.02,MCDA_Prioritisation!$B$12+(RAND()-0.5)*2*$B$6)</f>
        <v>0.15712725991904128</v>
      </c>
      <c r="F578" s="54">
        <f ca="1">MAX(0.02,MCDA_Prioritisation!$B$13+(RAND()-0.5)*2*$B$6)</f>
        <v>0.22872855243272167</v>
      </c>
      <c r="G578" s="54">
        <f t="shared" ca="1" si="112"/>
        <v>1.2055237145475348</v>
      </c>
      <c r="H578" s="54">
        <f t="shared" ca="1" si="113"/>
        <v>0.16846904755626566</v>
      </c>
      <c r="I578" s="54">
        <f t="shared" ca="1" si="114"/>
        <v>0.2731293593027917</v>
      </c>
      <c r="J578" s="54">
        <f t="shared" ca="1" si="115"/>
        <v>0.23832841026159546</v>
      </c>
      <c r="K578" s="54">
        <f t="shared" ca="1" si="116"/>
        <v>0.13033941848088432</v>
      </c>
      <c r="L578" s="54">
        <f t="shared" ca="1" si="117"/>
        <v>0.18973376439846279</v>
      </c>
      <c r="M578" s="54">
        <f ca="1">MIN(100,MAX(0,MCDA_Prioritisation!$F$2+(RAND()-0.5)*2*$B$7))</f>
        <v>84.554482974894967</v>
      </c>
      <c r="N578" s="54">
        <f ca="1">MIN(100,MAX(0,MCDA_Prioritisation!$F$3+(RAND()-0.5)*2*$B$7))</f>
        <v>100</v>
      </c>
      <c r="O578" s="54">
        <f ca="1">MIN(100,MAX(0,MCDA_Prioritisation!$F$4+(RAND()-0.5)*2*$B$7))</f>
        <v>85.697240999688333</v>
      </c>
      <c r="P578" s="54">
        <f ca="1">MIN(100,MAX(0,MCDA_Prioritisation!$F$5+(RAND()-0.5)*2*$B$7))</f>
        <v>67.518657723013291</v>
      </c>
      <c r="Q578" s="54">
        <f ca="1">MIN(100,MAX(0,MCDA_Prioritisation!$G$2+(RAND()-0.5)*2*$B$7))</f>
        <v>83.544075484565852</v>
      </c>
      <c r="R578" s="54">
        <f ca="1">MIN(100,MAX(0,MCDA_Prioritisation!$G$3+(RAND()-0.5)*2*$B$7))</f>
        <v>95.57390943954718</v>
      </c>
      <c r="S578" s="54">
        <f ca="1">MIN(100,MAX(0,MCDA_Prioritisation!$G$4+(RAND()-0.5)*2*$B$7))</f>
        <v>89.710206094449205</v>
      </c>
      <c r="T578" s="54">
        <f ca="1">MIN(100,MAX(0,MCDA_Prioritisation!$G$5+(RAND()-0.5)*2*$B$7))</f>
        <v>67.24196441213472</v>
      </c>
      <c r="U578" s="54">
        <f ca="1">MIN(100,MAX(0,MCDA_Prioritisation!$H$2+(RAND()-0.5)*2*$B$7))</f>
        <v>64.72213371831883</v>
      </c>
      <c r="V578" s="54">
        <f ca="1">MIN(100,MAX(0,MCDA_Prioritisation!$H$3+(RAND()-0.5)*2*$B$7))</f>
        <v>67.276127183761616</v>
      </c>
      <c r="W578" s="54">
        <f ca="1">MIN(100,MAX(0,MCDA_Prioritisation!$H$4+(RAND()-0.5)*2*$B$7))</f>
        <v>77.732603300664621</v>
      </c>
      <c r="X578" s="54">
        <f ca="1">MIN(100,MAX(0,MCDA_Prioritisation!$H$5+(RAND()-0.5)*2*$B$7))</f>
        <v>80.478060626836069</v>
      </c>
      <c r="Y578" s="54">
        <f ca="1">H578*MCDA_Prioritisation!$D$2+I578*MCDA_Prioritisation!$E$2+J578*M578+K578*Q578+L578*U578</f>
        <v>87.480636480262305</v>
      </c>
      <c r="Z578" s="54">
        <f ca="1">H578*MCDA_Prioritisation!$D$3+I578*MCDA_Prioritisation!$E$3+J578*N578+K578*R578+L578*V578</f>
        <v>83.642057342571093</v>
      </c>
      <c r="AA578" s="54">
        <f ca="1">H578*MCDA_Prioritisation!$D$4+I578*MCDA_Prioritisation!$E$4+J578*O578+K578*S578+L578*W578</f>
        <v>73.49452190859148</v>
      </c>
      <c r="AB578" s="54">
        <f ca="1">H578*MCDA_Prioritisation!$D$5+I578*MCDA_Prioritisation!$E$5+J578*P578+K578*T578+L578*X578</f>
        <v>72.034639021006171</v>
      </c>
      <c r="AC578" s="54">
        <f t="shared" ca="1" si="118"/>
        <v>1</v>
      </c>
      <c r="AD578" s="54">
        <f t="shared" ca="1" si="119"/>
        <v>2</v>
      </c>
      <c r="AE578" s="54">
        <f t="shared" ca="1" si="120"/>
        <v>3</v>
      </c>
      <c r="AF578" s="54">
        <f t="shared" ca="1" si="121"/>
        <v>4</v>
      </c>
      <c r="AG578" s="54">
        <f t="shared" ca="1" si="122"/>
        <v>1</v>
      </c>
      <c r="AH578" s="54">
        <f t="shared" ca="1" si="123"/>
        <v>1</v>
      </c>
      <c r="AI578" s="54">
        <f t="shared" ca="1" si="124"/>
        <v>1</v>
      </c>
      <c r="AJ578" s="54">
        <f t="shared" ca="1" si="125"/>
        <v>1</v>
      </c>
    </row>
    <row r="579" spans="1:36" x14ac:dyDescent="0.2">
      <c r="A579" s="54">
        <v>556</v>
      </c>
      <c r="B579" s="54">
        <f ca="1">MAX(0.02,MCDA_Prioritisation!$B$9+(RAND()-0.5)*2*$B$6)</f>
        <v>0.24942313095617391</v>
      </c>
      <c r="C579" s="54">
        <f ca="1">MAX(0.02,MCDA_Prioritisation!$B$10+(RAND()-0.5)*2*$B$6)</f>
        <v>0.18106478930880726</v>
      </c>
      <c r="D579" s="54">
        <f ca="1">MAX(0.02,MCDA_Prioritisation!$B$11+(RAND()-0.5)*2*$B$6)</f>
        <v>0.3257848334181177</v>
      </c>
      <c r="E579" s="54">
        <f ca="1">MAX(0.02,MCDA_Prioritisation!$B$12+(RAND()-0.5)*2*$B$6)</f>
        <v>0.19263511870739619</v>
      </c>
      <c r="F579" s="54">
        <f ca="1">MAX(0.02,MCDA_Prioritisation!$B$13+(RAND()-0.5)*2*$B$6)</f>
        <v>0.18114302228349591</v>
      </c>
      <c r="G579" s="54">
        <f t="shared" ca="1" si="112"/>
        <v>1.1300508946739911</v>
      </c>
      <c r="H579" s="54">
        <f t="shared" ca="1" si="113"/>
        <v>0.22071849341628999</v>
      </c>
      <c r="I579" s="54">
        <f t="shared" ca="1" si="114"/>
        <v>0.16022711026749173</v>
      </c>
      <c r="J579" s="54">
        <f t="shared" ca="1" si="115"/>
        <v>0.28829217777142996</v>
      </c>
      <c r="K579" s="54">
        <f t="shared" ca="1" si="116"/>
        <v>0.17046587867440216</v>
      </c>
      <c r="L579" s="54">
        <f t="shared" ca="1" si="117"/>
        <v>0.16029633987038605</v>
      </c>
      <c r="M579" s="54">
        <f ca="1">MIN(100,MAX(0,MCDA_Prioritisation!$F$2+(RAND()-0.5)*2*$B$7))</f>
        <v>90.019225132211503</v>
      </c>
      <c r="N579" s="54">
        <f ca="1">MIN(100,MAX(0,MCDA_Prioritisation!$F$3+(RAND()-0.5)*2*$B$7))</f>
        <v>96.591493272703588</v>
      </c>
      <c r="O579" s="54">
        <f ca="1">MIN(100,MAX(0,MCDA_Prioritisation!$F$4+(RAND()-0.5)*2*$B$7))</f>
        <v>91.380296892661974</v>
      </c>
      <c r="P579" s="54">
        <f ca="1">MIN(100,MAX(0,MCDA_Prioritisation!$F$5+(RAND()-0.5)*2*$B$7))</f>
        <v>65.005068003032036</v>
      </c>
      <c r="Q579" s="54">
        <f ca="1">MIN(100,MAX(0,MCDA_Prioritisation!$G$2+(RAND()-0.5)*2*$B$7))</f>
        <v>79.545320007899193</v>
      </c>
      <c r="R579" s="54">
        <f ca="1">MIN(100,MAX(0,MCDA_Prioritisation!$G$3+(RAND()-0.5)*2*$B$7))</f>
        <v>100</v>
      </c>
      <c r="S579" s="54">
        <f ca="1">MIN(100,MAX(0,MCDA_Prioritisation!$G$4+(RAND()-0.5)*2*$B$7))</f>
        <v>81.244833599480373</v>
      </c>
      <c r="T579" s="54">
        <f ca="1">MIN(100,MAX(0,MCDA_Prioritisation!$G$5+(RAND()-0.5)*2*$B$7))</f>
        <v>72.295928837248056</v>
      </c>
      <c r="U579" s="54">
        <f ca="1">MIN(100,MAX(0,MCDA_Prioritisation!$H$2+(RAND()-0.5)*2*$B$7))</f>
        <v>61.006547787720713</v>
      </c>
      <c r="V579" s="54">
        <f ca="1">MIN(100,MAX(0,MCDA_Prioritisation!$H$3+(RAND()-0.5)*2*$B$7))</f>
        <v>69.379111834556142</v>
      </c>
      <c r="W579" s="54">
        <f ca="1">MIN(100,MAX(0,MCDA_Prioritisation!$H$4+(RAND()-0.5)*2*$B$7))</f>
        <v>88.566222067164816</v>
      </c>
      <c r="X579" s="54">
        <f ca="1">MIN(100,MAX(0,MCDA_Prioritisation!$H$5+(RAND()-0.5)*2*$B$7))</f>
        <v>71.895423162921958</v>
      </c>
      <c r="Y579" s="54">
        <f ca="1">H579*MCDA_Prioritisation!$D$2+I579*MCDA_Prioritisation!$E$2+J579*M579+K579*Q579+L579*U579</f>
        <v>87.385288011122526</v>
      </c>
      <c r="Z579" s="54">
        <f ca="1">H579*MCDA_Prioritisation!$D$3+I579*MCDA_Prioritisation!$E$3+J579*N579+K579*R579+L579*V579</f>
        <v>86.957356945288666</v>
      </c>
      <c r="AA579" s="54">
        <f ca="1">H579*MCDA_Prioritisation!$D$4+I579*MCDA_Prioritisation!$E$4+J579*O579+K579*S579+L579*W579</f>
        <v>78.49973690307678</v>
      </c>
      <c r="AB579" s="54">
        <f ca="1">H579*MCDA_Prioritisation!$D$5+I579*MCDA_Prioritisation!$E$5+J579*P579+K579*T579+L579*X579</f>
        <v>67.777488642655214</v>
      </c>
      <c r="AC579" s="54">
        <f t="shared" ca="1" si="118"/>
        <v>1</v>
      </c>
      <c r="AD579" s="54">
        <f t="shared" ca="1" si="119"/>
        <v>2</v>
      </c>
      <c r="AE579" s="54">
        <f t="shared" ca="1" si="120"/>
        <v>3</v>
      </c>
      <c r="AF579" s="54">
        <f t="shared" ca="1" si="121"/>
        <v>4</v>
      </c>
      <c r="AG579" s="54">
        <f t="shared" ca="1" si="122"/>
        <v>1</v>
      </c>
      <c r="AH579" s="54">
        <f t="shared" ca="1" si="123"/>
        <v>1</v>
      </c>
      <c r="AI579" s="54">
        <f t="shared" ca="1" si="124"/>
        <v>1</v>
      </c>
      <c r="AJ579" s="54">
        <f t="shared" ca="1" si="125"/>
        <v>1</v>
      </c>
    </row>
    <row r="580" spans="1:36" x14ac:dyDescent="0.2">
      <c r="A580" s="54">
        <v>557</v>
      </c>
      <c r="B580" s="54">
        <f ca="1">MAX(0.02,MCDA_Prioritisation!$B$9+(RAND()-0.5)*2*$B$6)</f>
        <v>0.20825698201185219</v>
      </c>
      <c r="C580" s="54">
        <f ca="1">MAX(0.02,MCDA_Prioritisation!$B$10+(RAND()-0.5)*2*$B$6)</f>
        <v>0.24913785199753055</v>
      </c>
      <c r="D580" s="54">
        <f ca="1">MAX(0.02,MCDA_Prioritisation!$B$11+(RAND()-0.5)*2*$B$6)</f>
        <v>0.29778678259605551</v>
      </c>
      <c r="E580" s="54">
        <f ca="1">MAX(0.02,MCDA_Prioritisation!$B$12+(RAND()-0.5)*2*$B$6)</f>
        <v>0.17338310593997347</v>
      </c>
      <c r="F580" s="54">
        <f ca="1">MAX(0.02,MCDA_Prioritisation!$B$13+(RAND()-0.5)*2*$B$6)</f>
        <v>0.19794164369093714</v>
      </c>
      <c r="G580" s="54">
        <f t="shared" ca="1" si="112"/>
        <v>1.1265063662363488</v>
      </c>
      <c r="H580" s="54">
        <f t="shared" ca="1" si="113"/>
        <v>0.18486977815104369</v>
      </c>
      <c r="I580" s="54">
        <f t="shared" ca="1" si="114"/>
        <v>0.22115973727685059</v>
      </c>
      <c r="J580" s="54">
        <f t="shared" ca="1" si="115"/>
        <v>0.26434540586837463</v>
      </c>
      <c r="K580" s="54">
        <f t="shared" ca="1" si="116"/>
        <v>0.15391222911526495</v>
      </c>
      <c r="L580" s="54">
        <f t="shared" ca="1" si="117"/>
        <v>0.17571284958846617</v>
      </c>
      <c r="M580" s="54">
        <f ca="1">MIN(100,MAX(0,MCDA_Prioritisation!$F$2+(RAND()-0.5)*2*$B$7))</f>
        <v>94.865273852954658</v>
      </c>
      <c r="N580" s="54">
        <f ca="1">MIN(100,MAX(0,MCDA_Prioritisation!$F$3+(RAND()-0.5)*2*$B$7))</f>
        <v>96.633834310314995</v>
      </c>
      <c r="O580" s="54">
        <f ca="1">MIN(100,MAX(0,MCDA_Prioritisation!$F$4+(RAND()-0.5)*2*$B$7))</f>
        <v>91.085931594334426</v>
      </c>
      <c r="P580" s="54">
        <f ca="1">MIN(100,MAX(0,MCDA_Prioritisation!$F$5+(RAND()-0.5)*2*$B$7))</f>
        <v>82.990095746246865</v>
      </c>
      <c r="Q580" s="54">
        <f ca="1">MIN(100,MAX(0,MCDA_Prioritisation!$G$2+(RAND()-0.5)*2*$B$7))</f>
        <v>81.793762256139175</v>
      </c>
      <c r="R580" s="54">
        <f ca="1">MIN(100,MAX(0,MCDA_Prioritisation!$G$3+(RAND()-0.5)*2*$B$7))</f>
        <v>96.318775304135983</v>
      </c>
      <c r="S580" s="54">
        <f ca="1">MIN(100,MAX(0,MCDA_Prioritisation!$G$4+(RAND()-0.5)*2*$B$7))</f>
        <v>79.333938601156845</v>
      </c>
      <c r="T580" s="54">
        <f ca="1">MIN(100,MAX(0,MCDA_Prioritisation!$G$5+(RAND()-0.5)*2*$B$7))</f>
        <v>66.640992506332609</v>
      </c>
      <c r="U580" s="54">
        <f ca="1">MIN(100,MAX(0,MCDA_Prioritisation!$H$2+(RAND()-0.5)*2*$B$7))</f>
        <v>66.430975632266879</v>
      </c>
      <c r="V580" s="54">
        <f ca="1">MIN(100,MAX(0,MCDA_Prioritisation!$H$3+(RAND()-0.5)*2*$B$7))</f>
        <v>55.560578781152145</v>
      </c>
      <c r="W580" s="54">
        <f ca="1">MIN(100,MAX(0,MCDA_Prioritisation!$H$4+(RAND()-0.5)*2*$B$7))</f>
        <v>87.818727397913321</v>
      </c>
      <c r="X580" s="54">
        <f ca="1">MIN(100,MAX(0,MCDA_Prioritisation!$H$5+(RAND()-0.5)*2*$B$7))</f>
        <v>83.14808680510663</v>
      </c>
      <c r="Y580" s="54">
        <f ca="1">H580*MCDA_Prioritisation!$D$2+I580*MCDA_Prioritisation!$E$2+J580*M580+K580*Q580+L580*U580</f>
        <v>89.941987168117208</v>
      </c>
      <c r="Z580" s="54">
        <f ca="1">H580*MCDA_Prioritisation!$D$3+I580*MCDA_Prioritisation!$E$3+J580*N580+K580*R580+L580*V580</f>
        <v>82.373434000825213</v>
      </c>
      <c r="AA580" s="54">
        <f ca="1">H580*MCDA_Prioritisation!$D$4+I580*MCDA_Prioritisation!$E$4+J580*O580+K580*S580+L580*W580</f>
        <v>76.655992700888774</v>
      </c>
      <c r="AB580" s="54">
        <f ca="1">H580*MCDA_Prioritisation!$D$5+I580*MCDA_Prioritisation!$E$5+J580*P580+K580*T580+L580*X580</f>
        <v>75.214752859004832</v>
      </c>
      <c r="AC580" s="54">
        <f t="shared" ca="1" si="118"/>
        <v>1</v>
      </c>
      <c r="AD580" s="54">
        <f t="shared" ca="1" si="119"/>
        <v>2</v>
      </c>
      <c r="AE580" s="54">
        <f t="shared" ca="1" si="120"/>
        <v>3</v>
      </c>
      <c r="AF580" s="54">
        <f t="shared" ca="1" si="121"/>
        <v>4</v>
      </c>
      <c r="AG580" s="54">
        <f t="shared" ca="1" si="122"/>
        <v>1</v>
      </c>
      <c r="AH580" s="54">
        <f t="shared" ca="1" si="123"/>
        <v>1</v>
      </c>
      <c r="AI580" s="54">
        <f t="shared" ca="1" si="124"/>
        <v>1</v>
      </c>
      <c r="AJ580" s="54">
        <f t="shared" ca="1" si="125"/>
        <v>1</v>
      </c>
    </row>
    <row r="581" spans="1:36" x14ac:dyDescent="0.2">
      <c r="A581" s="54">
        <v>558</v>
      </c>
      <c r="B581" s="54">
        <f ca="1">MAX(0.02,MCDA_Prioritisation!$B$9+(RAND()-0.5)*2*$B$6)</f>
        <v>0.19254781291688489</v>
      </c>
      <c r="C581" s="54">
        <f ca="1">MAX(0.02,MCDA_Prioritisation!$B$10+(RAND()-0.5)*2*$B$6)</f>
        <v>0.2339786855186122</v>
      </c>
      <c r="D581" s="54">
        <f ca="1">MAX(0.02,MCDA_Prioritisation!$B$11+(RAND()-0.5)*2*$B$6)</f>
        <v>0.21408329432732706</v>
      </c>
      <c r="E581" s="54">
        <f ca="1">MAX(0.02,MCDA_Prioritisation!$B$12+(RAND()-0.5)*2*$B$6)</f>
        <v>0.19118622761155241</v>
      </c>
      <c r="F581" s="54">
        <f ca="1">MAX(0.02,MCDA_Prioritisation!$B$13+(RAND()-0.5)*2*$B$6)</f>
        <v>0.18695311427802086</v>
      </c>
      <c r="G581" s="54">
        <f t="shared" ca="1" si="112"/>
        <v>1.0187491346523974</v>
      </c>
      <c r="H581" s="54">
        <f t="shared" ca="1" si="113"/>
        <v>0.18900414868335885</v>
      </c>
      <c r="I581" s="54">
        <f t="shared" ca="1" si="114"/>
        <v>0.22967252443207914</v>
      </c>
      <c r="J581" s="54">
        <f t="shared" ca="1" si="115"/>
        <v>0.2101432894962639</v>
      </c>
      <c r="K581" s="54">
        <f t="shared" ca="1" si="116"/>
        <v>0.18766762209499807</v>
      </c>
      <c r="L581" s="54">
        <f t="shared" ca="1" si="117"/>
        <v>0.18351241529330012</v>
      </c>
      <c r="M581" s="54">
        <f ca="1">MIN(100,MAX(0,MCDA_Prioritisation!$F$2+(RAND()-0.5)*2*$B$7))</f>
        <v>77.543400813249079</v>
      </c>
      <c r="N581" s="54">
        <f ca="1">MIN(100,MAX(0,MCDA_Prioritisation!$F$3+(RAND()-0.5)*2*$B$7))</f>
        <v>88.369223767434477</v>
      </c>
      <c r="O581" s="54">
        <f ca="1">MIN(100,MAX(0,MCDA_Prioritisation!$F$4+(RAND()-0.5)*2*$B$7))</f>
        <v>95.471750935654484</v>
      </c>
      <c r="P581" s="54">
        <f ca="1">MIN(100,MAX(0,MCDA_Prioritisation!$F$5+(RAND()-0.5)*2*$B$7))</f>
        <v>67.418386991302114</v>
      </c>
      <c r="Q581" s="54">
        <f ca="1">MIN(100,MAX(0,MCDA_Prioritisation!$G$2+(RAND()-0.5)*2*$B$7))</f>
        <v>87.265280618598112</v>
      </c>
      <c r="R581" s="54">
        <f ca="1">MIN(100,MAX(0,MCDA_Prioritisation!$G$3+(RAND()-0.5)*2*$B$7))</f>
        <v>86.420688209205835</v>
      </c>
      <c r="S581" s="54">
        <f ca="1">MIN(100,MAX(0,MCDA_Prioritisation!$G$4+(RAND()-0.5)*2*$B$7))</f>
        <v>81.025978286108625</v>
      </c>
      <c r="T581" s="54">
        <f ca="1">MIN(100,MAX(0,MCDA_Prioritisation!$G$5+(RAND()-0.5)*2*$B$7))</f>
        <v>60.981137176500866</v>
      </c>
      <c r="U581" s="54">
        <f ca="1">MIN(100,MAX(0,MCDA_Prioritisation!$H$2+(RAND()-0.5)*2*$B$7))</f>
        <v>63.755593625355317</v>
      </c>
      <c r="V581" s="54">
        <f ca="1">MIN(100,MAX(0,MCDA_Prioritisation!$H$3+(RAND()-0.5)*2*$B$7))</f>
        <v>67.734887334144148</v>
      </c>
      <c r="W581" s="54">
        <f ca="1">MIN(100,MAX(0,MCDA_Prioritisation!$H$4+(RAND()-0.5)*2*$B$7))</f>
        <v>83.441671724030513</v>
      </c>
      <c r="X581" s="54">
        <f ca="1">MIN(100,MAX(0,MCDA_Prioritisation!$H$5+(RAND()-0.5)*2*$B$7))</f>
        <v>73.600027232754854</v>
      </c>
      <c r="Y581" s="54">
        <f ca="1">H581*MCDA_Prioritisation!$D$2+I581*MCDA_Prioritisation!$E$2+J581*M581+K581*Q581+L581*U581</f>
        <v>86.23970331695935</v>
      </c>
      <c r="Z581" s="54">
        <f ca="1">H581*MCDA_Prioritisation!$D$3+I581*MCDA_Prioritisation!$E$3+J581*N581+K581*R581+L581*V581</f>
        <v>80.440578727339826</v>
      </c>
      <c r="AA581" s="54">
        <f ca="1">H581*MCDA_Prioritisation!$D$4+I581*MCDA_Prioritisation!$E$4+J581*O581+K581*S581+L581*W581</f>
        <v>76.27001325880461</v>
      </c>
      <c r="AB581" s="54">
        <f ca="1">H581*MCDA_Prioritisation!$D$5+I581*MCDA_Prioritisation!$E$5+J581*P581+K581*T581+L581*X581</f>
        <v>68.463160128669259</v>
      </c>
      <c r="AC581" s="54">
        <f t="shared" ca="1" si="118"/>
        <v>1</v>
      </c>
      <c r="AD581" s="54">
        <f t="shared" ca="1" si="119"/>
        <v>2</v>
      </c>
      <c r="AE581" s="54">
        <f t="shared" ca="1" si="120"/>
        <v>3</v>
      </c>
      <c r="AF581" s="54">
        <f t="shared" ca="1" si="121"/>
        <v>4</v>
      </c>
      <c r="AG581" s="54">
        <f t="shared" ca="1" si="122"/>
        <v>1</v>
      </c>
      <c r="AH581" s="54">
        <f t="shared" ca="1" si="123"/>
        <v>1</v>
      </c>
      <c r="AI581" s="54">
        <f t="shared" ca="1" si="124"/>
        <v>1</v>
      </c>
      <c r="AJ581" s="54">
        <f t="shared" ca="1" si="125"/>
        <v>1</v>
      </c>
    </row>
    <row r="582" spans="1:36" x14ac:dyDescent="0.2">
      <c r="A582" s="54">
        <v>559</v>
      </c>
      <c r="B582" s="54">
        <f ca="1">MAX(0.02,MCDA_Prioritisation!$B$9+(RAND()-0.5)*2*$B$6)</f>
        <v>0.13604692698233029</v>
      </c>
      <c r="C582" s="54">
        <f ca="1">MAX(0.02,MCDA_Prioritisation!$B$10+(RAND()-0.5)*2*$B$6)</f>
        <v>0.2546430995229394</v>
      </c>
      <c r="D582" s="54">
        <f ca="1">MAX(0.02,MCDA_Prioritisation!$B$11+(RAND()-0.5)*2*$B$6)</f>
        <v>0.30702546653162938</v>
      </c>
      <c r="E582" s="54">
        <f ca="1">MAX(0.02,MCDA_Prioritisation!$B$12+(RAND()-0.5)*2*$B$6)</f>
        <v>0.19386995660746079</v>
      </c>
      <c r="F582" s="54">
        <f ca="1">MAX(0.02,MCDA_Prioritisation!$B$13+(RAND()-0.5)*2*$B$6)</f>
        <v>0.17438227123331454</v>
      </c>
      <c r="G582" s="54">
        <f t="shared" ca="1" si="112"/>
        <v>1.0659677208776743</v>
      </c>
      <c r="H582" s="54">
        <f t="shared" ca="1" si="113"/>
        <v>0.12762762353658777</v>
      </c>
      <c r="I582" s="54">
        <f t="shared" ca="1" si="114"/>
        <v>0.23888443762000283</v>
      </c>
      <c r="J582" s="54">
        <f t="shared" ca="1" si="115"/>
        <v>0.28802510668788089</v>
      </c>
      <c r="K582" s="54">
        <f t="shared" ca="1" si="116"/>
        <v>0.18187225824046171</v>
      </c>
      <c r="L582" s="54">
        <f t="shared" ca="1" si="117"/>
        <v>0.16359057391506684</v>
      </c>
      <c r="M582" s="54">
        <f ca="1">MIN(100,MAX(0,MCDA_Prioritisation!$F$2+(RAND()-0.5)*2*$B$7))</f>
        <v>88.1256757693927</v>
      </c>
      <c r="N582" s="54">
        <f ca="1">MIN(100,MAX(0,MCDA_Prioritisation!$F$3+(RAND()-0.5)*2*$B$7))</f>
        <v>100</v>
      </c>
      <c r="O582" s="54">
        <f ca="1">MIN(100,MAX(0,MCDA_Prioritisation!$F$4+(RAND()-0.5)*2*$B$7))</f>
        <v>85.544333099461113</v>
      </c>
      <c r="P582" s="54">
        <f ca="1">MIN(100,MAX(0,MCDA_Prioritisation!$F$5+(RAND()-0.5)*2*$B$7))</f>
        <v>80.065556889155602</v>
      </c>
      <c r="Q582" s="54">
        <f ca="1">MIN(100,MAX(0,MCDA_Prioritisation!$G$2+(RAND()-0.5)*2*$B$7))</f>
        <v>84.866141272208239</v>
      </c>
      <c r="R582" s="54">
        <f ca="1">MIN(100,MAX(0,MCDA_Prioritisation!$G$3+(RAND()-0.5)*2*$B$7))</f>
        <v>97.506453172595883</v>
      </c>
      <c r="S582" s="54">
        <f ca="1">MIN(100,MAX(0,MCDA_Prioritisation!$G$4+(RAND()-0.5)*2*$B$7))</f>
        <v>94.842272204051099</v>
      </c>
      <c r="T582" s="54">
        <f ca="1">MIN(100,MAX(0,MCDA_Prioritisation!$G$5+(RAND()-0.5)*2*$B$7))</f>
        <v>69.256441295470552</v>
      </c>
      <c r="U582" s="54">
        <f ca="1">MIN(100,MAX(0,MCDA_Prioritisation!$H$2+(RAND()-0.5)*2*$B$7))</f>
        <v>70.580021591019928</v>
      </c>
      <c r="V582" s="54">
        <f ca="1">MIN(100,MAX(0,MCDA_Prioritisation!$H$3+(RAND()-0.5)*2*$B$7))</f>
        <v>62.290821605266665</v>
      </c>
      <c r="W582" s="54">
        <f ca="1">MIN(100,MAX(0,MCDA_Prioritisation!$H$4+(RAND()-0.5)*2*$B$7))</f>
        <v>73.35827675621394</v>
      </c>
      <c r="X582" s="54">
        <f ca="1">MIN(100,MAX(0,MCDA_Prioritisation!$H$5+(RAND()-0.5)*2*$B$7))</f>
        <v>66.439724768552253</v>
      </c>
      <c r="Y582" s="54">
        <f ca="1">H582*MCDA_Prioritisation!$D$2+I582*MCDA_Prioritisation!$E$2+J582*M582+K582*Q582+L582*U582</f>
        <v>89.014636281423307</v>
      </c>
      <c r="Z582" s="54">
        <f ca="1">H582*MCDA_Prioritisation!$D$3+I582*MCDA_Prioritisation!$E$3+J582*N582+K582*R582+L582*V582</f>
        <v>85.254085300800398</v>
      </c>
      <c r="AA582" s="54">
        <f ca="1">H582*MCDA_Prioritisation!$D$4+I582*MCDA_Prioritisation!$E$4+J582*O582+K582*S582+L582*W582</f>
        <v>75.806114150973713</v>
      </c>
      <c r="AB582" s="54">
        <f ca="1">H582*MCDA_Prioritisation!$D$5+I582*MCDA_Prioritisation!$E$5+J582*P582+K582*T582+L582*X582</f>
        <v>73.387587858963471</v>
      </c>
      <c r="AC582" s="54">
        <f t="shared" ca="1" si="118"/>
        <v>1</v>
      </c>
      <c r="AD582" s="54">
        <f t="shared" ca="1" si="119"/>
        <v>2</v>
      </c>
      <c r="AE582" s="54">
        <f t="shared" ca="1" si="120"/>
        <v>3</v>
      </c>
      <c r="AF582" s="54">
        <f t="shared" ca="1" si="121"/>
        <v>4</v>
      </c>
      <c r="AG582" s="54">
        <f t="shared" ca="1" si="122"/>
        <v>1</v>
      </c>
      <c r="AH582" s="54">
        <f t="shared" ca="1" si="123"/>
        <v>1</v>
      </c>
      <c r="AI582" s="54">
        <f t="shared" ca="1" si="124"/>
        <v>1</v>
      </c>
      <c r="AJ582" s="54">
        <f t="shared" ca="1" si="125"/>
        <v>1</v>
      </c>
    </row>
    <row r="583" spans="1:36" x14ac:dyDescent="0.2">
      <c r="A583" s="54">
        <v>560</v>
      </c>
      <c r="B583" s="54">
        <f ca="1">MAX(0.02,MCDA_Prioritisation!$B$9+(RAND()-0.5)*2*$B$6)</f>
        <v>0.19750186955630225</v>
      </c>
      <c r="C583" s="54">
        <f ca="1">MAX(0.02,MCDA_Prioritisation!$B$10+(RAND()-0.5)*2*$B$6)</f>
        <v>0.19094706755848512</v>
      </c>
      <c r="D583" s="54">
        <f ca="1">MAX(0.02,MCDA_Prioritisation!$B$11+(RAND()-0.5)*2*$B$6)</f>
        <v>0.27243658760233203</v>
      </c>
      <c r="E583" s="54">
        <f ca="1">MAX(0.02,MCDA_Prioritisation!$B$12+(RAND()-0.5)*2*$B$6)</f>
        <v>0.11326765066620392</v>
      </c>
      <c r="F583" s="54">
        <f ca="1">MAX(0.02,MCDA_Prioritisation!$B$13+(RAND()-0.5)*2*$B$6)</f>
        <v>0.13766829984754544</v>
      </c>
      <c r="G583" s="54">
        <f t="shared" ca="1" si="112"/>
        <v>0.91182147523086876</v>
      </c>
      <c r="H583" s="54">
        <f t="shared" ca="1" si="113"/>
        <v>0.216601467415862</v>
      </c>
      <c r="I583" s="54">
        <f t="shared" ca="1" si="114"/>
        <v>0.20941277733137206</v>
      </c>
      <c r="J583" s="54">
        <f t="shared" ca="1" si="115"/>
        <v>0.29878281549944019</v>
      </c>
      <c r="K583" s="54">
        <f t="shared" ca="1" si="116"/>
        <v>0.12422130180419923</v>
      </c>
      <c r="L583" s="54">
        <f t="shared" ca="1" si="117"/>
        <v>0.1509816379491265</v>
      </c>
      <c r="M583" s="54">
        <f ca="1">MIN(100,MAX(0,MCDA_Prioritisation!$F$2+(RAND()-0.5)*2*$B$7))</f>
        <v>89.695742632545944</v>
      </c>
      <c r="N583" s="54">
        <f ca="1">MIN(100,MAX(0,MCDA_Prioritisation!$F$3+(RAND()-0.5)*2*$B$7))</f>
        <v>90.295865310098321</v>
      </c>
      <c r="O583" s="54">
        <f ca="1">MIN(100,MAX(0,MCDA_Prioritisation!$F$4+(RAND()-0.5)*2*$B$7))</f>
        <v>82.74927804005182</v>
      </c>
      <c r="P583" s="54">
        <f ca="1">MIN(100,MAX(0,MCDA_Prioritisation!$F$5+(RAND()-0.5)*2*$B$7))</f>
        <v>81.122577253001083</v>
      </c>
      <c r="Q583" s="54">
        <f ca="1">MIN(100,MAX(0,MCDA_Prioritisation!$G$2+(RAND()-0.5)*2*$B$7))</f>
        <v>86.630578604385434</v>
      </c>
      <c r="R583" s="54">
        <f ca="1">MIN(100,MAX(0,MCDA_Prioritisation!$G$3+(RAND()-0.5)*2*$B$7))</f>
        <v>100</v>
      </c>
      <c r="S583" s="54">
        <f ca="1">MIN(100,MAX(0,MCDA_Prioritisation!$G$4+(RAND()-0.5)*2*$B$7))</f>
        <v>77.642312850878085</v>
      </c>
      <c r="T583" s="54">
        <f ca="1">MIN(100,MAX(0,MCDA_Prioritisation!$G$5+(RAND()-0.5)*2*$B$7))</f>
        <v>66.170607161357054</v>
      </c>
      <c r="U583" s="54">
        <f ca="1">MIN(100,MAX(0,MCDA_Prioritisation!$H$2+(RAND()-0.5)*2*$B$7))</f>
        <v>67.148246722596141</v>
      </c>
      <c r="V583" s="54">
        <f ca="1">MIN(100,MAX(0,MCDA_Prioritisation!$H$3+(RAND()-0.5)*2*$B$7))</f>
        <v>52.707519088575765</v>
      </c>
      <c r="W583" s="54">
        <f ca="1">MIN(100,MAX(0,MCDA_Prioritisation!$H$4+(RAND()-0.5)*2*$B$7))</f>
        <v>77.401587468901809</v>
      </c>
      <c r="X583" s="54">
        <f ca="1">MIN(100,MAX(0,MCDA_Prioritisation!$H$5+(RAND()-0.5)*2*$B$7))</f>
        <v>83.439386272938577</v>
      </c>
      <c r="Y583" s="54">
        <f ca="1">H583*MCDA_Prioritisation!$D$2+I583*MCDA_Prioritisation!$E$2+J583*M583+K583*Q583+L583*U583</f>
        <v>90.300486522666048</v>
      </c>
      <c r="Z583" s="54">
        <f ca="1">H583*MCDA_Prioritisation!$D$3+I583*MCDA_Prioritisation!$E$3+J583*N583+K583*R583+L583*V583</f>
        <v>81.519154410725349</v>
      </c>
      <c r="AA583" s="54">
        <f ca="1">H583*MCDA_Prioritisation!$D$4+I583*MCDA_Prioritisation!$E$4+J583*O583+K583*S583+L583*W583</f>
        <v>72.560477911183597</v>
      </c>
      <c r="AB583" s="54">
        <f ca="1">H583*MCDA_Prioritisation!$D$5+I583*MCDA_Prioritisation!$E$5+J583*P583+K583*T583+L583*X583</f>
        <v>74.161672644799495</v>
      </c>
      <c r="AC583" s="54">
        <f t="shared" ca="1" si="118"/>
        <v>1</v>
      </c>
      <c r="AD583" s="54">
        <f t="shared" ca="1" si="119"/>
        <v>2</v>
      </c>
      <c r="AE583" s="54">
        <f t="shared" ca="1" si="120"/>
        <v>4</v>
      </c>
      <c r="AF583" s="54">
        <f t="shared" ca="1" si="121"/>
        <v>3</v>
      </c>
      <c r="AG583" s="54">
        <f t="shared" ca="1" si="122"/>
        <v>1</v>
      </c>
      <c r="AH583" s="54">
        <f t="shared" ca="1" si="123"/>
        <v>1</v>
      </c>
      <c r="AI583" s="54">
        <f t="shared" ca="1" si="124"/>
        <v>0</v>
      </c>
      <c r="AJ583" s="54">
        <f t="shared" ca="1" si="125"/>
        <v>1</v>
      </c>
    </row>
    <row r="584" spans="1:36" x14ac:dyDescent="0.2">
      <c r="A584" s="54">
        <v>561</v>
      </c>
      <c r="B584" s="54">
        <f ca="1">MAX(0.02,MCDA_Prioritisation!$B$9+(RAND()-0.5)*2*$B$6)</f>
        <v>0.22754036531716565</v>
      </c>
      <c r="C584" s="54">
        <f ca="1">MAX(0.02,MCDA_Prioritisation!$B$10+(RAND()-0.5)*2*$B$6)</f>
        <v>0.22213398292268927</v>
      </c>
      <c r="D584" s="54">
        <f ca="1">MAX(0.02,MCDA_Prioritisation!$B$11+(RAND()-0.5)*2*$B$6)</f>
        <v>0.29684867948082533</v>
      </c>
      <c r="E584" s="54">
        <f ca="1">MAX(0.02,MCDA_Prioritisation!$B$12+(RAND()-0.5)*2*$B$6)</f>
        <v>0.10931640945649501</v>
      </c>
      <c r="F584" s="54">
        <f ca="1">MAX(0.02,MCDA_Prioritisation!$B$13+(RAND()-0.5)*2*$B$6)</f>
        <v>0.12987672125190963</v>
      </c>
      <c r="G584" s="54">
        <f t="shared" ca="1" si="112"/>
        <v>0.98571615842908489</v>
      </c>
      <c r="H584" s="54">
        <f t="shared" ca="1" si="113"/>
        <v>0.23083761321290699</v>
      </c>
      <c r="I584" s="54">
        <f t="shared" ca="1" si="114"/>
        <v>0.22535288787058083</v>
      </c>
      <c r="J584" s="54">
        <f t="shared" ca="1" si="115"/>
        <v>0.30115026211389984</v>
      </c>
      <c r="K584" s="54">
        <f t="shared" ca="1" si="116"/>
        <v>0.1109004945507947</v>
      </c>
      <c r="L584" s="54">
        <f t="shared" ca="1" si="117"/>
        <v>0.13175874225181763</v>
      </c>
      <c r="M584" s="54">
        <f ca="1">MIN(100,MAX(0,MCDA_Prioritisation!$F$2+(RAND()-0.5)*2*$B$7))</f>
        <v>79.109545080220059</v>
      </c>
      <c r="N584" s="54">
        <f ca="1">MIN(100,MAX(0,MCDA_Prioritisation!$F$3+(RAND()-0.5)*2*$B$7))</f>
        <v>100</v>
      </c>
      <c r="O584" s="54">
        <f ca="1">MIN(100,MAX(0,MCDA_Prioritisation!$F$4+(RAND()-0.5)*2*$B$7))</f>
        <v>81.857993163267551</v>
      </c>
      <c r="P584" s="54">
        <f ca="1">MIN(100,MAX(0,MCDA_Prioritisation!$F$5+(RAND()-0.5)*2*$B$7))</f>
        <v>70.223999483812321</v>
      </c>
      <c r="Q584" s="54">
        <f ca="1">MIN(100,MAX(0,MCDA_Prioritisation!$G$2+(RAND()-0.5)*2*$B$7))</f>
        <v>87.40242537158953</v>
      </c>
      <c r="R584" s="54">
        <f ca="1">MIN(100,MAX(0,MCDA_Prioritisation!$G$3+(RAND()-0.5)*2*$B$7))</f>
        <v>91.857310127424839</v>
      </c>
      <c r="S584" s="54">
        <f ca="1">MIN(100,MAX(0,MCDA_Prioritisation!$G$4+(RAND()-0.5)*2*$B$7))</f>
        <v>79.180685904060326</v>
      </c>
      <c r="T584" s="54">
        <f ca="1">MIN(100,MAX(0,MCDA_Prioritisation!$G$5+(RAND()-0.5)*2*$B$7))</f>
        <v>73.872605368988403</v>
      </c>
      <c r="U584" s="54">
        <f ca="1">MIN(100,MAX(0,MCDA_Prioritisation!$H$2+(RAND()-0.5)*2*$B$7))</f>
        <v>63.054286830153302</v>
      </c>
      <c r="V584" s="54">
        <f ca="1">MIN(100,MAX(0,MCDA_Prioritisation!$H$3+(RAND()-0.5)*2*$B$7))</f>
        <v>67.906980018550215</v>
      </c>
      <c r="W584" s="54">
        <f ca="1">MIN(100,MAX(0,MCDA_Prioritisation!$H$4+(RAND()-0.5)*2*$B$7))</f>
        <v>80.942852628262145</v>
      </c>
      <c r="X584" s="54">
        <f ca="1">MIN(100,MAX(0,MCDA_Prioritisation!$H$5+(RAND()-0.5)*2*$B$7))</f>
        <v>72.673657718625037</v>
      </c>
      <c r="Y584" s="54">
        <f ca="1">H584*MCDA_Prioritisation!$D$2+I584*MCDA_Prioritisation!$E$2+J584*M584+K584*Q584+L584*U584</f>
        <v>87.443836069942975</v>
      </c>
      <c r="Z584" s="54">
        <f ca="1">H584*MCDA_Prioritisation!$D$3+I584*MCDA_Prioritisation!$E$3+J584*N584+K584*R584+L584*V584</f>
        <v>85.81316432315208</v>
      </c>
      <c r="AA584" s="54">
        <f ca="1">H584*MCDA_Prioritisation!$D$4+I584*MCDA_Prioritisation!$E$4+J584*O584+K584*S584+L584*W584</f>
        <v>72.463811863486711</v>
      </c>
      <c r="AB584" s="54">
        <f ca="1">H584*MCDA_Prioritisation!$D$5+I584*MCDA_Prioritisation!$E$5+J584*P584+K584*T584+L584*X584</f>
        <v>70.117914989182196</v>
      </c>
      <c r="AC584" s="54">
        <f t="shared" ca="1" si="118"/>
        <v>1</v>
      </c>
      <c r="AD584" s="54">
        <f t="shared" ca="1" si="119"/>
        <v>2</v>
      </c>
      <c r="AE584" s="54">
        <f t="shared" ca="1" si="120"/>
        <v>3</v>
      </c>
      <c r="AF584" s="54">
        <f t="shared" ca="1" si="121"/>
        <v>4</v>
      </c>
      <c r="AG584" s="54">
        <f t="shared" ca="1" si="122"/>
        <v>1</v>
      </c>
      <c r="AH584" s="54">
        <f t="shared" ca="1" si="123"/>
        <v>1</v>
      </c>
      <c r="AI584" s="54">
        <f t="shared" ca="1" si="124"/>
        <v>1</v>
      </c>
      <c r="AJ584" s="54">
        <f t="shared" ca="1" si="125"/>
        <v>1</v>
      </c>
    </row>
    <row r="585" spans="1:36" x14ac:dyDescent="0.2">
      <c r="A585" s="54">
        <v>562</v>
      </c>
      <c r="B585" s="54">
        <f ca="1">MAX(0.02,MCDA_Prioritisation!$B$9+(RAND()-0.5)*2*$B$6)</f>
        <v>0.20210916254211372</v>
      </c>
      <c r="C585" s="54">
        <f ca="1">MAX(0.02,MCDA_Prioritisation!$B$10+(RAND()-0.5)*2*$B$6)</f>
        <v>0.28626035833590679</v>
      </c>
      <c r="D585" s="54">
        <f ca="1">MAX(0.02,MCDA_Prioritisation!$B$11+(RAND()-0.5)*2*$B$6)</f>
        <v>0.19038538228546481</v>
      </c>
      <c r="E585" s="54">
        <f ca="1">MAX(0.02,MCDA_Prioritisation!$B$12+(RAND()-0.5)*2*$B$6)</f>
        <v>0.17456601748454212</v>
      </c>
      <c r="F585" s="54">
        <f ca="1">MAX(0.02,MCDA_Prioritisation!$B$13+(RAND()-0.5)*2*$B$6)</f>
        <v>0.2024927848262365</v>
      </c>
      <c r="G585" s="54">
        <f t="shared" ca="1" si="112"/>
        <v>1.055813705474264</v>
      </c>
      <c r="H585" s="54">
        <f t="shared" ca="1" si="113"/>
        <v>0.1914250227044815</v>
      </c>
      <c r="I585" s="54">
        <f t="shared" ca="1" si="114"/>
        <v>0.27112771585714612</v>
      </c>
      <c r="J585" s="54">
        <f t="shared" ca="1" si="115"/>
        <v>0.18032099914818311</v>
      </c>
      <c r="K585" s="54">
        <f t="shared" ca="1" si="116"/>
        <v>0.16533789680834679</v>
      </c>
      <c r="L585" s="54">
        <f t="shared" ca="1" si="117"/>
        <v>0.19178836548184244</v>
      </c>
      <c r="M585" s="54">
        <f ca="1">MIN(100,MAX(0,MCDA_Prioritisation!$F$2+(RAND()-0.5)*2*$B$7))</f>
        <v>80.475598291742614</v>
      </c>
      <c r="N585" s="54">
        <f ca="1">MIN(100,MAX(0,MCDA_Prioritisation!$F$3+(RAND()-0.5)*2*$B$7))</f>
        <v>100</v>
      </c>
      <c r="O585" s="54">
        <f ca="1">MIN(100,MAX(0,MCDA_Prioritisation!$F$4+(RAND()-0.5)*2*$B$7))</f>
        <v>83.001648030428427</v>
      </c>
      <c r="P585" s="54">
        <f ca="1">MIN(100,MAX(0,MCDA_Prioritisation!$F$5+(RAND()-0.5)*2*$B$7))</f>
        <v>65.078171506049529</v>
      </c>
      <c r="Q585" s="54">
        <f ca="1">MIN(100,MAX(0,MCDA_Prioritisation!$G$2+(RAND()-0.5)*2*$B$7))</f>
        <v>79.700011559886292</v>
      </c>
      <c r="R585" s="54">
        <f ca="1">MIN(100,MAX(0,MCDA_Prioritisation!$G$3+(RAND()-0.5)*2*$B$7))</f>
        <v>100</v>
      </c>
      <c r="S585" s="54">
        <f ca="1">MIN(100,MAX(0,MCDA_Prioritisation!$G$4+(RAND()-0.5)*2*$B$7))</f>
        <v>83.440387182946665</v>
      </c>
      <c r="T585" s="54">
        <f ca="1">MIN(100,MAX(0,MCDA_Prioritisation!$G$5+(RAND()-0.5)*2*$B$7))</f>
        <v>78.114832268091405</v>
      </c>
      <c r="U585" s="54">
        <f ca="1">MIN(100,MAX(0,MCDA_Prioritisation!$H$2+(RAND()-0.5)*2*$B$7))</f>
        <v>57.638497510540546</v>
      </c>
      <c r="V585" s="54">
        <f ca="1">MIN(100,MAX(0,MCDA_Prioritisation!$H$3+(RAND()-0.5)*2*$B$7))</f>
        <v>52.846265497987602</v>
      </c>
      <c r="W585" s="54">
        <f ca="1">MIN(100,MAX(0,MCDA_Prioritisation!$H$4+(RAND()-0.5)*2*$B$7))</f>
        <v>86.457842239334795</v>
      </c>
      <c r="X585" s="54">
        <f ca="1">MIN(100,MAX(0,MCDA_Prioritisation!$H$5+(RAND()-0.5)*2*$B$7))</f>
        <v>70.714552832861671</v>
      </c>
      <c r="Y585" s="54">
        <f ca="1">H585*MCDA_Prioritisation!$D$2+I585*MCDA_Prioritisation!$E$2+J585*M585+K585*Q585+L585*U585</f>
        <v>84.998539660465951</v>
      </c>
      <c r="Z585" s="54">
        <f ca="1">H585*MCDA_Prioritisation!$D$3+I585*MCDA_Prioritisation!$E$3+J585*N585+K585*R585+L585*V585</f>
        <v>81.14950975203277</v>
      </c>
      <c r="AA585" s="54">
        <f ca="1">H585*MCDA_Prioritisation!$D$4+I585*MCDA_Prioritisation!$E$4+J585*O585+K585*S585+L585*W585</f>
        <v>73.462904246848552</v>
      </c>
      <c r="AB585" s="54">
        <f ca="1">H585*MCDA_Prioritisation!$D$5+I585*MCDA_Prioritisation!$E$5+J585*P585+K585*T585+L585*X585</f>
        <v>71.171961009420414</v>
      </c>
      <c r="AC585" s="54">
        <f t="shared" ca="1" si="118"/>
        <v>1</v>
      </c>
      <c r="AD585" s="54">
        <f t="shared" ca="1" si="119"/>
        <v>2</v>
      </c>
      <c r="AE585" s="54">
        <f t="shared" ca="1" si="120"/>
        <v>3</v>
      </c>
      <c r="AF585" s="54">
        <f t="shared" ca="1" si="121"/>
        <v>4</v>
      </c>
      <c r="AG585" s="54">
        <f t="shared" ca="1" si="122"/>
        <v>1</v>
      </c>
      <c r="AH585" s="54">
        <f t="shared" ca="1" si="123"/>
        <v>1</v>
      </c>
      <c r="AI585" s="54">
        <f t="shared" ca="1" si="124"/>
        <v>1</v>
      </c>
      <c r="AJ585" s="54">
        <f t="shared" ca="1" si="125"/>
        <v>1</v>
      </c>
    </row>
    <row r="586" spans="1:36" x14ac:dyDescent="0.2">
      <c r="A586" s="54">
        <v>563</v>
      </c>
      <c r="B586" s="54">
        <f ca="1">MAX(0.02,MCDA_Prioritisation!$B$9+(RAND()-0.5)*2*$B$6)</f>
        <v>0.15041756507025225</v>
      </c>
      <c r="C586" s="54">
        <f ca="1">MAX(0.02,MCDA_Prioritisation!$B$10+(RAND()-0.5)*2*$B$6)</f>
        <v>0.24306419729248421</v>
      </c>
      <c r="D586" s="54">
        <f ca="1">MAX(0.02,MCDA_Prioritisation!$B$11+(RAND()-0.5)*2*$B$6)</f>
        <v>0.25955085237993136</v>
      </c>
      <c r="E586" s="54">
        <f ca="1">MAX(0.02,MCDA_Prioritisation!$B$12+(RAND()-0.5)*2*$B$6)</f>
        <v>0.22909142257379195</v>
      </c>
      <c r="F586" s="54">
        <f ca="1">MAX(0.02,MCDA_Prioritisation!$B$13+(RAND()-0.5)*2*$B$6)</f>
        <v>0.11024599427833728</v>
      </c>
      <c r="G586" s="54">
        <f t="shared" ca="1" si="112"/>
        <v>0.99237003159479709</v>
      </c>
      <c r="H586" s="54">
        <f t="shared" ca="1" si="113"/>
        <v>0.1515740704387479</v>
      </c>
      <c r="I586" s="54">
        <f t="shared" ca="1" si="114"/>
        <v>0.24493302856180141</v>
      </c>
      <c r="J586" s="54">
        <f t="shared" ca="1" si="115"/>
        <v>0.2615464434801783</v>
      </c>
      <c r="K586" s="54">
        <f t="shared" ca="1" si="116"/>
        <v>0.23085282231430199</v>
      </c>
      <c r="L586" s="54">
        <f t="shared" ca="1" si="117"/>
        <v>0.11109363520497034</v>
      </c>
      <c r="M586" s="54">
        <f ca="1">MIN(100,MAX(0,MCDA_Prioritisation!$F$2+(RAND()-0.5)*2*$B$7))</f>
        <v>92.74279401031697</v>
      </c>
      <c r="N586" s="54">
        <f ca="1">MIN(100,MAX(0,MCDA_Prioritisation!$F$3+(RAND()-0.5)*2*$B$7))</f>
        <v>100</v>
      </c>
      <c r="O586" s="54">
        <f ca="1">MIN(100,MAX(0,MCDA_Prioritisation!$F$4+(RAND()-0.5)*2*$B$7))</f>
        <v>92.106713096429687</v>
      </c>
      <c r="P586" s="54">
        <f ca="1">MIN(100,MAX(0,MCDA_Prioritisation!$F$5+(RAND()-0.5)*2*$B$7))</f>
        <v>70.559825365330767</v>
      </c>
      <c r="Q586" s="54">
        <f ca="1">MIN(100,MAX(0,MCDA_Prioritisation!$G$2+(RAND()-0.5)*2*$B$7))</f>
        <v>74.361993454672785</v>
      </c>
      <c r="R586" s="54">
        <f ca="1">MIN(100,MAX(0,MCDA_Prioritisation!$G$3+(RAND()-0.5)*2*$B$7))</f>
        <v>89.165680543107484</v>
      </c>
      <c r="S586" s="54">
        <f ca="1">MIN(100,MAX(0,MCDA_Prioritisation!$G$4+(RAND()-0.5)*2*$B$7))</f>
        <v>94.808986639473375</v>
      </c>
      <c r="T586" s="54">
        <f ca="1">MIN(100,MAX(0,MCDA_Prioritisation!$G$5+(RAND()-0.5)*2*$B$7))</f>
        <v>60.163689868794442</v>
      </c>
      <c r="U586" s="54">
        <f ca="1">MIN(100,MAX(0,MCDA_Prioritisation!$H$2+(RAND()-0.5)*2*$B$7))</f>
        <v>69.105453317593629</v>
      </c>
      <c r="V586" s="54">
        <f ca="1">MIN(100,MAX(0,MCDA_Prioritisation!$H$3+(RAND()-0.5)*2*$B$7))</f>
        <v>61.074852917219907</v>
      </c>
      <c r="W586" s="54">
        <f ca="1">MIN(100,MAX(0,MCDA_Prioritisation!$H$4+(RAND()-0.5)*2*$B$7))</f>
        <v>80.916853369658909</v>
      </c>
      <c r="X586" s="54">
        <f ca="1">MIN(100,MAX(0,MCDA_Prioritisation!$H$5+(RAND()-0.5)*2*$B$7))</f>
        <v>66.211943426987943</v>
      </c>
      <c r="Y586" s="54">
        <f ca="1">H586*MCDA_Prioritisation!$D$2+I586*MCDA_Prioritisation!$E$2+J586*M586+K586*Q586+L586*U586</f>
        <v>88.751109915335846</v>
      </c>
      <c r="Z586" s="54">
        <f ca="1">H586*MCDA_Prioritisation!$D$3+I586*MCDA_Prioritisation!$E$3+J586*N586+K586*R586+L586*V586</f>
        <v>84.584226623395267</v>
      </c>
      <c r="AA586" s="54">
        <f ca="1">H586*MCDA_Prioritisation!$D$4+I586*MCDA_Prioritisation!$E$4+J586*O586+K586*S586+L586*W586</f>
        <v>78.881163365714869</v>
      </c>
      <c r="AB586" s="54">
        <f ca="1">H586*MCDA_Prioritisation!$D$5+I586*MCDA_Prioritisation!$E$5+J586*P586+K586*T586+L586*X586</f>
        <v>68.34092417383485</v>
      </c>
      <c r="AC586" s="54">
        <f t="shared" ca="1" si="118"/>
        <v>1</v>
      </c>
      <c r="AD586" s="54">
        <f t="shared" ca="1" si="119"/>
        <v>2</v>
      </c>
      <c r="AE586" s="54">
        <f t="shared" ca="1" si="120"/>
        <v>3</v>
      </c>
      <c r="AF586" s="54">
        <f t="shared" ca="1" si="121"/>
        <v>4</v>
      </c>
      <c r="AG586" s="54">
        <f t="shared" ca="1" si="122"/>
        <v>1</v>
      </c>
      <c r="AH586" s="54">
        <f t="shared" ca="1" si="123"/>
        <v>1</v>
      </c>
      <c r="AI586" s="54">
        <f t="shared" ca="1" si="124"/>
        <v>1</v>
      </c>
      <c r="AJ586" s="54">
        <f t="shared" ca="1" si="125"/>
        <v>1</v>
      </c>
    </row>
    <row r="587" spans="1:36" x14ac:dyDescent="0.2">
      <c r="A587" s="54">
        <v>564</v>
      </c>
      <c r="B587" s="54">
        <f ca="1">MAX(0.02,MCDA_Prioritisation!$B$9+(RAND()-0.5)*2*$B$6)</f>
        <v>0.16345948362122317</v>
      </c>
      <c r="C587" s="54">
        <f ca="1">MAX(0.02,MCDA_Prioritisation!$B$10+(RAND()-0.5)*2*$B$6)</f>
        <v>0.26409606423824883</v>
      </c>
      <c r="D587" s="54">
        <f ca="1">MAX(0.02,MCDA_Prioritisation!$B$11+(RAND()-0.5)*2*$B$6)</f>
        <v>0.21088577191472357</v>
      </c>
      <c r="E587" s="54">
        <f ca="1">MAX(0.02,MCDA_Prioritisation!$B$12+(RAND()-0.5)*2*$B$6)</f>
        <v>0.14370994500135395</v>
      </c>
      <c r="F587" s="54">
        <f ca="1">MAX(0.02,MCDA_Prioritisation!$B$13+(RAND()-0.5)*2*$B$6)</f>
        <v>0.11202307114269329</v>
      </c>
      <c r="G587" s="54">
        <f t="shared" ca="1" si="112"/>
        <v>0.8941743359182428</v>
      </c>
      <c r="H587" s="54">
        <f t="shared" ca="1" si="113"/>
        <v>0.18280493753308616</v>
      </c>
      <c r="I587" s="54">
        <f t="shared" ca="1" si="114"/>
        <v>0.29535187225771148</v>
      </c>
      <c r="J587" s="54">
        <f t="shared" ca="1" si="115"/>
        <v>0.23584413401684293</v>
      </c>
      <c r="K587" s="54">
        <f t="shared" ca="1" si="116"/>
        <v>0.16071803811476626</v>
      </c>
      <c r="L587" s="54">
        <f t="shared" ca="1" si="117"/>
        <v>0.12528101807759323</v>
      </c>
      <c r="M587" s="54">
        <f ca="1">MIN(100,MAX(0,MCDA_Prioritisation!$F$2+(RAND()-0.5)*2*$B$7))</f>
        <v>88.936728328168982</v>
      </c>
      <c r="N587" s="54">
        <f ca="1">MIN(100,MAX(0,MCDA_Prioritisation!$F$3+(RAND()-0.5)*2*$B$7))</f>
        <v>87.203959032750319</v>
      </c>
      <c r="O587" s="54">
        <f ca="1">MIN(100,MAX(0,MCDA_Prioritisation!$F$4+(RAND()-0.5)*2*$B$7))</f>
        <v>96.352062510036177</v>
      </c>
      <c r="P587" s="54">
        <f ca="1">MIN(100,MAX(0,MCDA_Prioritisation!$F$5+(RAND()-0.5)*2*$B$7))</f>
        <v>74.970248599624256</v>
      </c>
      <c r="Q587" s="54">
        <f ca="1">MIN(100,MAX(0,MCDA_Prioritisation!$G$2+(RAND()-0.5)*2*$B$7))</f>
        <v>89.751871153069118</v>
      </c>
      <c r="R587" s="54">
        <f ca="1">MIN(100,MAX(0,MCDA_Prioritisation!$G$3+(RAND()-0.5)*2*$B$7))</f>
        <v>99.744396931845571</v>
      </c>
      <c r="S587" s="54">
        <f ca="1">MIN(100,MAX(0,MCDA_Prioritisation!$G$4+(RAND()-0.5)*2*$B$7))</f>
        <v>92.721530850083781</v>
      </c>
      <c r="T587" s="54">
        <f ca="1">MIN(100,MAX(0,MCDA_Prioritisation!$G$5+(RAND()-0.5)*2*$B$7))</f>
        <v>68.414849295385622</v>
      </c>
      <c r="U587" s="54">
        <f ca="1">MIN(100,MAX(0,MCDA_Prioritisation!$H$2+(RAND()-0.5)*2*$B$7))</f>
        <v>67.987230505263184</v>
      </c>
      <c r="V587" s="54">
        <f ca="1">MIN(100,MAX(0,MCDA_Prioritisation!$H$3+(RAND()-0.5)*2*$B$7))</f>
        <v>63.779087919968518</v>
      </c>
      <c r="W587" s="54">
        <f ca="1">MIN(100,MAX(0,MCDA_Prioritisation!$H$4+(RAND()-0.5)*2*$B$7))</f>
        <v>72.928152627490974</v>
      </c>
      <c r="X587" s="54">
        <f ca="1">MIN(100,MAX(0,MCDA_Prioritisation!$H$5+(RAND()-0.5)*2*$B$7))</f>
        <v>76.644730038701084</v>
      </c>
      <c r="Y587" s="54">
        <f ca="1">H587*MCDA_Prioritisation!$D$2+I587*MCDA_Prioritisation!$E$2+J587*M587+K587*Q587+L587*U587</f>
        <v>91.733140756753926</v>
      </c>
      <c r="Z587" s="54">
        <f ca="1">H587*MCDA_Prioritisation!$D$3+I587*MCDA_Prioritisation!$E$3+J587*N587+K587*R587+L587*V587</f>
        <v>82.044284961121718</v>
      </c>
      <c r="AA587" s="54">
        <f ca="1">H587*MCDA_Prioritisation!$D$4+I587*MCDA_Prioritisation!$E$4+J587*O587+K587*S587+L587*W587</f>
        <v>75.602167816064892</v>
      </c>
      <c r="AB587" s="54">
        <f ca="1">H587*MCDA_Prioritisation!$D$5+I587*MCDA_Prioritisation!$E$5+J587*P587+K587*T587+L587*X587</f>
        <v>72.817865687456177</v>
      </c>
      <c r="AC587" s="54">
        <f t="shared" ca="1" si="118"/>
        <v>1</v>
      </c>
      <c r="AD587" s="54">
        <f t="shared" ca="1" si="119"/>
        <v>2</v>
      </c>
      <c r="AE587" s="54">
        <f t="shared" ca="1" si="120"/>
        <v>3</v>
      </c>
      <c r="AF587" s="54">
        <f t="shared" ca="1" si="121"/>
        <v>4</v>
      </c>
      <c r="AG587" s="54">
        <f t="shared" ca="1" si="122"/>
        <v>1</v>
      </c>
      <c r="AH587" s="54">
        <f t="shared" ca="1" si="123"/>
        <v>1</v>
      </c>
      <c r="AI587" s="54">
        <f t="shared" ca="1" si="124"/>
        <v>1</v>
      </c>
      <c r="AJ587" s="54">
        <f t="shared" ca="1" si="125"/>
        <v>1</v>
      </c>
    </row>
    <row r="588" spans="1:36" x14ac:dyDescent="0.2">
      <c r="A588" s="54">
        <v>565</v>
      </c>
      <c r="B588" s="54">
        <f ca="1">MAX(0.02,MCDA_Prioritisation!$B$9+(RAND()-0.5)*2*$B$6)</f>
        <v>0.1527120924174501</v>
      </c>
      <c r="C588" s="54">
        <f ca="1">MAX(0.02,MCDA_Prioritisation!$B$10+(RAND()-0.5)*2*$B$6)</f>
        <v>0.19611932217846717</v>
      </c>
      <c r="D588" s="54">
        <f ca="1">MAX(0.02,MCDA_Prioritisation!$B$11+(RAND()-0.5)*2*$B$6)</f>
        <v>0.30026729372347166</v>
      </c>
      <c r="E588" s="54">
        <f ca="1">MAX(0.02,MCDA_Prioritisation!$B$12+(RAND()-0.5)*2*$B$6)</f>
        <v>0.12844470075449754</v>
      </c>
      <c r="F588" s="54">
        <f ca="1">MAX(0.02,MCDA_Prioritisation!$B$13+(RAND()-0.5)*2*$B$6)</f>
        <v>9.7487547054732976E-2</v>
      </c>
      <c r="G588" s="54">
        <f t="shared" ca="1" si="112"/>
        <v>0.87503095612861936</v>
      </c>
      <c r="H588" s="54">
        <f t="shared" ca="1" si="113"/>
        <v>0.17452193130754015</v>
      </c>
      <c r="I588" s="54">
        <f t="shared" ca="1" si="114"/>
        <v>0.22412843889106926</v>
      </c>
      <c r="J588" s="54">
        <f t="shared" ca="1" si="115"/>
        <v>0.34315048127204301</v>
      </c>
      <c r="K588" s="54">
        <f t="shared" ca="1" si="116"/>
        <v>0.14678875056349169</v>
      </c>
      <c r="L588" s="54">
        <f t="shared" ca="1" si="117"/>
        <v>0.11141039796585601</v>
      </c>
      <c r="M588" s="54">
        <f ca="1">MIN(100,MAX(0,MCDA_Prioritisation!$F$2+(RAND()-0.5)*2*$B$7))</f>
        <v>89.279818080146896</v>
      </c>
      <c r="N588" s="54">
        <f ca="1">MIN(100,MAX(0,MCDA_Prioritisation!$F$3+(RAND()-0.5)*2*$B$7))</f>
        <v>91.113827008482758</v>
      </c>
      <c r="O588" s="54">
        <f ca="1">MIN(100,MAX(0,MCDA_Prioritisation!$F$4+(RAND()-0.5)*2*$B$7))</f>
        <v>89.760292396833037</v>
      </c>
      <c r="P588" s="54">
        <f ca="1">MIN(100,MAX(0,MCDA_Prioritisation!$F$5+(RAND()-0.5)*2*$B$7))</f>
        <v>81.272148742865525</v>
      </c>
      <c r="Q588" s="54">
        <f ca="1">MIN(100,MAX(0,MCDA_Prioritisation!$G$2+(RAND()-0.5)*2*$B$7))</f>
        <v>83.09118858622071</v>
      </c>
      <c r="R588" s="54">
        <f ca="1">MIN(100,MAX(0,MCDA_Prioritisation!$G$3+(RAND()-0.5)*2*$B$7))</f>
        <v>95.198395727079799</v>
      </c>
      <c r="S588" s="54">
        <f ca="1">MIN(100,MAX(0,MCDA_Prioritisation!$G$4+(RAND()-0.5)*2*$B$7))</f>
        <v>83.830276439818689</v>
      </c>
      <c r="T588" s="54">
        <f ca="1">MIN(100,MAX(0,MCDA_Prioritisation!$G$5+(RAND()-0.5)*2*$B$7))</f>
        <v>64.918492482762332</v>
      </c>
      <c r="U588" s="54">
        <f ca="1">MIN(100,MAX(0,MCDA_Prioritisation!$H$2+(RAND()-0.5)*2*$B$7))</f>
        <v>67.844054087122899</v>
      </c>
      <c r="V588" s="54">
        <f ca="1">MIN(100,MAX(0,MCDA_Prioritisation!$H$3+(RAND()-0.5)*2*$B$7))</f>
        <v>54.867288928967682</v>
      </c>
      <c r="W588" s="54">
        <f ca="1">MIN(100,MAX(0,MCDA_Prioritisation!$H$4+(RAND()-0.5)*2*$B$7))</f>
        <v>87.212340882520735</v>
      </c>
      <c r="X588" s="54">
        <f ca="1">MIN(100,MAX(0,MCDA_Prioritisation!$H$5+(RAND()-0.5)*2*$B$7))</f>
        <v>81.042901098600879</v>
      </c>
      <c r="Y588" s="54">
        <f ca="1">H588*MCDA_Prioritisation!$D$2+I588*MCDA_Prioritisation!$E$2+J588*M588+K588*Q588+L588*U588</f>
        <v>90.25683438281402</v>
      </c>
      <c r="Z588" s="54">
        <f ca="1">H588*MCDA_Prioritisation!$D$3+I588*MCDA_Prioritisation!$E$3+J588*N588+K588*R588+L588*V588</f>
        <v>82.905508926799328</v>
      </c>
      <c r="AA588" s="54">
        <f ca="1">H588*MCDA_Prioritisation!$D$4+I588*MCDA_Prioritisation!$E$4+J588*O588+K588*S588+L588*W588</f>
        <v>77.200859605743474</v>
      </c>
      <c r="AB588" s="54">
        <f ca="1">H588*MCDA_Prioritisation!$D$5+I588*MCDA_Prioritisation!$E$5+J588*P588+K588*T588+L588*X588</f>
        <v>74.556974195890504</v>
      </c>
      <c r="AC588" s="54">
        <f t="shared" ca="1" si="118"/>
        <v>1</v>
      </c>
      <c r="AD588" s="54">
        <f t="shared" ca="1" si="119"/>
        <v>2</v>
      </c>
      <c r="AE588" s="54">
        <f t="shared" ca="1" si="120"/>
        <v>3</v>
      </c>
      <c r="AF588" s="54">
        <f t="shared" ca="1" si="121"/>
        <v>4</v>
      </c>
      <c r="AG588" s="54">
        <f t="shared" ca="1" si="122"/>
        <v>1</v>
      </c>
      <c r="AH588" s="54">
        <f t="shared" ca="1" si="123"/>
        <v>1</v>
      </c>
      <c r="AI588" s="54">
        <f t="shared" ca="1" si="124"/>
        <v>1</v>
      </c>
      <c r="AJ588" s="54">
        <f t="shared" ca="1" si="125"/>
        <v>1</v>
      </c>
    </row>
    <row r="589" spans="1:36" x14ac:dyDescent="0.2">
      <c r="A589" s="54">
        <v>566</v>
      </c>
      <c r="B589" s="54">
        <f ca="1">MAX(0.02,MCDA_Prioritisation!$B$9+(RAND()-0.5)*2*$B$6)</f>
        <v>0.16244506352624122</v>
      </c>
      <c r="C589" s="54">
        <f ca="1">MAX(0.02,MCDA_Prioritisation!$B$10+(RAND()-0.5)*2*$B$6)</f>
        <v>0.22914558394464821</v>
      </c>
      <c r="D589" s="54">
        <f ca="1">MAX(0.02,MCDA_Prioritisation!$B$11+(RAND()-0.5)*2*$B$6)</f>
        <v>0.17135928170268086</v>
      </c>
      <c r="E589" s="54">
        <f ca="1">MAX(0.02,MCDA_Prioritisation!$B$12+(RAND()-0.5)*2*$B$6)</f>
        <v>0.22992463023626736</v>
      </c>
      <c r="F589" s="54">
        <f ca="1">MAX(0.02,MCDA_Prioritisation!$B$13+(RAND()-0.5)*2*$B$6)</f>
        <v>0.15089365481143174</v>
      </c>
      <c r="G589" s="54">
        <f t="shared" ca="1" si="112"/>
        <v>0.94376821422126933</v>
      </c>
      <c r="H589" s="54">
        <f t="shared" ca="1" si="113"/>
        <v>0.17212389766726716</v>
      </c>
      <c r="I589" s="54">
        <f t="shared" ca="1" si="114"/>
        <v>0.2427985817828405</v>
      </c>
      <c r="J589" s="54">
        <f t="shared" ca="1" si="115"/>
        <v>0.18156924456718898</v>
      </c>
      <c r="K589" s="54">
        <f t="shared" ca="1" si="116"/>
        <v>0.24362404536582627</v>
      </c>
      <c r="L589" s="54">
        <f t="shared" ca="1" si="117"/>
        <v>0.15988423061687715</v>
      </c>
      <c r="M589" s="54">
        <f ca="1">MIN(100,MAX(0,MCDA_Prioritisation!$F$2+(RAND()-0.5)*2*$B$7))</f>
        <v>88.983119394547685</v>
      </c>
      <c r="N589" s="54">
        <f ca="1">MIN(100,MAX(0,MCDA_Prioritisation!$F$3+(RAND()-0.5)*2*$B$7))</f>
        <v>87.965570976027394</v>
      </c>
      <c r="O589" s="54">
        <f ca="1">MIN(100,MAX(0,MCDA_Prioritisation!$F$4+(RAND()-0.5)*2*$B$7))</f>
        <v>98.285871643943281</v>
      </c>
      <c r="P589" s="54">
        <f ca="1">MIN(100,MAX(0,MCDA_Prioritisation!$F$5+(RAND()-0.5)*2*$B$7))</f>
        <v>80.968822341264215</v>
      </c>
      <c r="Q589" s="54">
        <f ca="1">MIN(100,MAX(0,MCDA_Prioritisation!$G$2+(RAND()-0.5)*2*$B$7))</f>
        <v>75.089487832605599</v>
      </c>
      <c r="R589" s="54">
        <f ca="1">MIN(100,MAX(0,MCDA_Prioritisation!$G$3+(RAND()-0.5)*2*$B$7))</f>
        <v>100</v>
      </c>
      <c r="S589" s="54">
        <f ca="1">MIN(100,MAX(0,MCDA_Prioritisation!$G$4+(RAND()-0.5)*2*$B$7))</f>
        <v>82.876318235445879</v>
      </c>
      <c r="T589" s="54">
        <f ca="1">MIN(100,MAX(0,MCDA_Prioritisation!$G$5+(RAND()-0.5)*2*$B$7))</f>
        <v>71.15756639146656</v>
      </c>
      <c r="U589" s="54">
        <f ca="1">MIN(100,MAX(0,MCDA_Prioritisation!$H$2+(RAND()-0.5)*2*$B$7))</f>
        <v>60.290493510301836</v>
      </c>
      <c r="V589" s="54">
        <f ca="1">MIN(100,MAX(0,MCDA_Prioritisation!$H$3+(RAND()-0.5)*2*$B$7))</f>
        <v>66.816256932493303</v>
      </c>
      <c r="W589" s="54">
        <f ca="1">MIN(100,MAX(0,MCDA_Prioritisation!$H$4+(RAND()-0.5)*2*$B$7))</f>
        <v>82.088950666293883</v>
      </c>
      <c r="X589" s="54">
        <f ca="1">MIN(100,MAX(0,MCDA_Prioritisation!$H$5+(RAND()-0.5)*2*$B$7))</f>
        <v>75.807508728981503</v>
      </c>
      <c r="Y589" s="54">
        <f ca="1">H589*MCDA_Prioritisation!$D$2+I589*MCDA_Prioritisation!$E$2+J589*M589+K589*Q589+L589*U589</f>
        <v>85.581949671344574</v>
      </c>
      <c r="Z589" s="54">
        <f ca="1">H589*MCDA_Prioritisation!$D$3+I589*MCDA_Prioritisation!$E$3+J589*N589+K589*R589+L589*V589</f>
        <v>83.718275931310757</v>
      </c>
      <c r="AA589" s="54">
        <f ca="1">H589*MCDA_Prioritisation!$D$4+I589*MCDA_Prioritisation!$E$4+J589*O589+K589*S589+L589*W589</f>
        <v>76.390339491226527</v>
      </c>
      <c r="AB589" s="54">
        <f ca="1">H589*MCDA_Prioritisation!$D$5+I589*MCDA_Prioritisation!$E$5+J589*P589+K589*T589+L589*X589</f>
        <v>73.710349793186538</v>
      </c>
      <c r="AC589" s="54">
        <f t="shared" ca="1" si="118"/>
        <v>1</v>
      </c>
      <c r="AD589" s="54">
        <f t="shared" ca="1" si="119"/>
        <v>2</v>
      </c>
      <c r="AE589" s="54">
        <f t="shared" ca="1" si="120"/>
        <v>3</v>
      </c>
      <c r="AF589" s="54">
        <f t="shared" ca="1" si="121"/>
        <v>4</v>
      </c>
      <c r="AG589" s="54">
        <f t="shared" ca="1" si="122"/>
        <v>1</v>
      </c>
      <c r="AH589" s="54">
        <f t="shared" ca="1" si="123"/>
        <v>1</v>
      </c>
      <c r="AI589" s="54">
        <f t="shared" ca="1" si="124"/>
        <v>1</v>
      </c>
      <c r="AJ589" s="54">
        <f t="shared" ca="1" si="125"/>
        <v>1</v>
      </c>
    </row>
    <row r="590" spans="1:36" x14ac:dyDescent="0.2">
      <c r="A590" s="54">
        <v>567</v>
      </c>
      <c r="B590" s="54">
        <f ca="1">MAX(0.02,MCDA_Prioritisation!$B$9+(RAND()-0.5)*2*$B$6)</f>
        <v>0.16363824488593062</v>
      </c>
      <c r="C590" s="54">
        <f ca="1">MAX(0.02,MCDA_Prioritisation!$B$10+(RAND()-0.5)*2*$B$6)</f>
        <v>0.17869111034127572</v>
      </c>
      <c r="D590" s="54">
        <f ca="1">MAX(0.02,MCDA_Prioritisation!$B$11+(RAND()-0.5)*2*$B$6)</f>
        <v>0.30879348847770749</v>
      </c>
      <c r="E590" s="54">
        <f ca="1">MAX(0.02,MCDA_Prioritisation!$B$12+(RAND()-0.5)*2*$B$6)</f>
        <v>0.13986672752793461</v>
      </c>
      <c r="F590" s="54">
        <f ca="1">MAX(0.02,MCDA_Prioritisation!$B$13+(RAND()-0.5)*2*$B$6)</f>
        <v>0.17313018066292266</v>
      </c>
      <c r="G590" s="54">
        <f t="shared" ca="1" si="112"/>
        <v>0.96411975189577104</v>
      </c>
      <c r="H590" s="54">
        <f t="shared" ca="1" si="113"/>
        <v>0.16972813238621545</v>
      </c>
      <c r="I590" s="54">
        <f t="shared" ca="1" si="114"/>
        <v>0.18534119852841024</v>
      </c>
      <c r="J590" s="54">
        <f t="shared" ca="1" si="115"/>
        <v>0.32028540839508751</v>
      </c>
      <c r="K590" s="54">
        <f t="shared" ca="1" si="116"/>
        <v>0.14507194490405514</v>
      </c>
      <c r="L590" s="54">
        <f t="shared" ca="1" si="117"/>
        <v>0.1795733157862317</v>
      </c>
      <c r="M590" s="54">
        <f ca="1">MIN(100,MAX(0,MCDA_Prioritisation!$F$2+(RAND()-0.5)*2*$B$7))</f>
        <v>83.959168857953827</v>
      </c>
      <c r="N590" s="54">
        <f ca="1">MIN(100,MAX(0,MCDA_Prioritisation!$F$3+(RAND()-0.5)*2*$B$7))</f>
        <v>97.321480046252105</v>
      </c>
      <c r="O590" s="54">
        <f ca="1">MIN(100,MAX(0,MCDA_Prioritisation!$F$4+(RAND()-0.5)*2*$B$7))</f>
        <v>98.479064175251082</v>
      </c>
      <c r="P590" s="54">
        <f ca="1">MIN(100,MAX(0,MCDA_Prioritisation!$F$5+(RAND()-0.5)*2*$B$7))</f>
        <v>66.325522491224632</v>
      </c>
      <c r="Q590" s="54">
        <f ca="1">MIN(100,MAX(0,MCDA_Prioritisation!$G$2+(RAND()-0.5)*2*$B$7))</f>
        <v>71.777684594683237</v>
      </c>
      <c r="R590" s="54">
        <f ca="1">MIN(100,MAX(0,MCDA_Prioritisation!$G$3+(RAND()-0.5)*2*$B$7))</f>
        <v>100</v>
      </c>
      <c r="S590" s="54">
        <f ca="1">MIN(100,MAX(0,MCDA_Prioritisation!$G$4+(RAND()-0.5)*2*$B$7))</f>
        <v>90.804655562820358</v>
      </c>
      <c r="T590" s="54">
        <f ca="1">MIN(100,MAX(0,MCDA_Prioritisation!$G$5+(RAND()-0.5)*2*$B$7))</f>
        <v>61.384138394880289</v>
      </c>
      <c r="U590" s="54">
        <f ca="1">MIN(100,MAX(0,MCDA_Prioritisation!$H$2+(RAND()-0.5)*2*$B$7))</f>
        <v>55.963902747727538</v>
      </c>
      <c r="V590" s="54">
        <f ca="1">MIN(100,MAX(0,MCDA_Prioritisation!$H$3+(RAND()-0.5)*2*$B$7))</f>
        <v>64.069208494980515</v>
      </c>
      <c r="W590" s="54">
        <f ca="1">MIN(100,MAX(0,MCDA_Prioritisation!$H$4+(RAND()-0.5)*2*$B$7))</f>
        <v>83.762836751745908</v>
      </c>
      <c r="X590" s="54">
        <f ca="1">MIN(100,MAX(0,MCDA_Prioritisation!$H$5+(RAND()-0.5)*2*$B$7))</f>
        <v>74.719318227643228</v>
      </c>
      <c r="Y590" s="54">
        <f ca="1">H590*MCDA_Prioritisation!$D$2+I590*MCDA_Prioritisation!$E$2+J590*M590+K590*Q590+L590*U590</f>
        <v>82.860381663252596</v>
      </c>
      <c r="Z590" s="54">
        <f ca="1">H590*MCDA_Prioritisation!$D$3+I590*MCDA_Prioritisation!$E$3+J590*N590+K590*R590+L590*V590</f>
        <v>85.496026878901873</v>
      </c>
      <c r="AA590" s="54">
        <f ca="1">H590*MCDA_Prioritisation!$D$4+I590*MCDA_Prioritisation!$E$4+J590*O590+K590*S590+L590*W590</f>
        <v>81.684574906954794</v>
      </c>
      <c r="AB590" s="54">
        <f ca="1">H590*MCDA_Prioritisation!$D$5+I590*MCDA_Prioritisation!$E$5+J590*P590+K590*T590+L590*X590</f>
        <v>68.159790659199416</v>
      </c>
      <c r="AC590" s="54">
        <f t="shared" ca="1" si="118"/>
        <v>2</v>
      </c>
      <c r="AD590" s="54">
        <f t="shared" ca="1" si="119"/>
        <v>1</v>
      </c>
      <c r="AE590" s="54">
        <f t="shared" ca="1" si="120"/>
        <v>3</v>
      </c>
      <c r="AF590" s="54">
        <f t="shared" ca="1" si="121"/>
        <v>4</v>
      </c>
      <c r="AG590" s="54">
        <f t="shared" ca="1" si="122"/>
        <v>0</v>
      </c>
      <c r="AH590" s="54">
        <f t="shared" ca="1" si="123"/>
        <v>0</v>
      </c>
      <c r="AI590" s="54">
        <f t="shared" ca="1" si="124"/>
        <v>0</v>
      </c>
      <c r="AJ590" s="54">
        <f t="shared" ca="1" si="125"/>
        <v>1</v>
      </c>
    </row>
    <row r="591" spans="1:36" x14ac:dyDescent="0.2">
      <c r="A591" s="54">
        <v>568</v>
      </c>
      <c r="B591" s="54">
        <f ca="1">MAX(0.02,MCDA_Prioritisation!$B$9+(RAND()-0.5)*2*$B$6)</f>
        <v>0.26860988174290573</v>
      </c>
      <c r="C591" s="54">
        <f ca="1">MAX(0.02,MCDA_Prioritisation!$B$10+(RAND()-0.5)*2*$B$6)</f>
        <v>0.27415285123607303</v>
      </c>
      <c r="D591" s="54">
        <f ca="1">MAX(0.02,MCDA_Prioritisation!$B$11+(RAND()-0.5)*2*$B$6)</f>
        <v>0.22590794500672218</v>
      </c>
      <c r="E591" s="54">
        <f ca="1">MAX(0.02,MCDA_Prioritisation!$B$12+(RAND()-0.5)*2*$B$6)</f>
        <v>7.8023687695006991E-2</v>
      </c>
      <c r="F591" s="54">
        <f ca="1">MAX(0.02,MCDA_Prioritisation!$B$13+(RAND()-0.5)*2*$B$6)</f>
        <v>0.19193514493811803</v>
      </c>
      <c r="G591" s="54">
        <f t="shared" ca="1" si="112"/>
        <v>1.0386295106188261</v>
      </c>
      <c r="H591" s="54">
        <f t="shared" ca="1" si="113"/>
        <v>0.25861953564449097</v>
      </c>
      <c r="I591" s="54">
        <f t="shared" ca="1" si="114"/>
        <v>0.26395634673689367</v>
      </c>
      <c r="J591" s="54">
        <f t="shared" ca="1" si="115"/>
        <v>0.21750580230685329</v>
      </c>
      <c r="K591" s="54">
        <f t="shared" ca="1" si="116"/>
        <v>7.5121770465119628E-2</v>
      </c>
      <c r="L591" s="54">
        <f t="shared" ca="1" si="117"/>
        <v>0.18479654484664229</v>
      </c>
      <c r="M591" s="54">
        <f ca="1">MIN(100,MAX(0,MCDA_Prioritisation!$F$2+(RAND()-0.5)*2*$B$7))</f>
        <v>94.846455612319915</v>
      </c>
      <c r="N591" s="54">
        <f ca="1">MIN(100,MAX(0,MCDA_Prioritisation!$F$3+(RAND()-0.5)*2*$B$7))</f>
        <v>94.717341351362606</v>
      </c>
      <c r="O591" s="54">
        <f ca="1">MIN(100,MAX(0,MCDA_Prioritisation!$F$4+(RAND()-0.5)*2*$B$7))</f>
        <v>85.867027672984264</v>
      </c>
      <c r="P591" s="54">
        <f ca="1">MIN(100,MAX(0,MCDA_Prioritisation!$F$5+(RAND()-0.5)*2*$B$7))</f>
        <v>70.717803415449538</v>
      </c>
      <c r="Q591" s="54">
        <f ca="1">MIN(100,MAX(0,MCDA_Prioritisation!$G$2+(RAND()-0.5)*2*$B$7))</f>
        <v>73.918503882572878</v>
      </c>
      <c r="R591" s="54">
        <f ca="1">MIN(100,MAX(0,MCDA_Prioritisation!$G$3+(RAND()-0.5)*2*$B$7))</f>
        <v>94.942718564367539</v>
      </c>
      <c r="S591" s="54">
        <f ca="1">MIN(100,MAX(0,MCDA_Prioritisation!$G$4+(RAND()-0.5)*2*$B$7))</f>
        <v>79.483490391273122</v>
      </c>
      <c r="T591" s="54">
        <f ca="1">MIN(100,MAX(0,MCDA_Prioritisation!$G$5+(RAND()-0.5)*2*$B$7))</f>
        <v>67.492984630369861</v>
      </c>
      <c r="U591" s="54">
        <f ca="1">MIN(100,MAX(0,MCDA_Prioritisation!$H$2+(RAND()-0.5)*2*$B$7))</f>
        <v>60.365179249122534</v>
      </c>
      <c r="V591" s="54">
        <f ca="1">MIN(100,MAX(0,MCDA_Prioritisation!$H$3+(RAND()-0.5)*2*$B$7))</f>
        <v>53.592943045253641</v>
      </c>
      <c r="W591" s="54">
        <f ca="1">MIN(100,MAX(0,MCDA_Prioritisation!$H$4+(RAND()-0.5)*2*$B$7))</f>
        <v>86.103676473268337</v>
      </c>
      <c r="X591" s="54">
        <f ca="1">MIN(100,MAX(0,MCDA_Prioritisation!$H$5+(RAND()-0.5)*2*$B$7))</f>
        <v>72.310178549612075</v>
      </c>
      <c r="Y591" s="54">
        <f ca="1">H591*MCDA_Prioritisation!$D$2+I591*MCDA_Prioritisation!$E$2+J591*M591+K591*Q591+L591*U591</f>
        <v>89.595408098135223</v>
      </c>
      <c r="Z591" s="54">
        <f ca="1">H591*MCDA_Prioritisation!$D$3+I591*MCDA_Prioritisation!$E$3+J591*N591+K591*R591+L591*V591</f>
        <v>79.436982340686285</v>
      </c>
      <c r="AA591" s="54">
        <f ca="1">H591*MCDA_Prioritisation!$D$4+I591*MCDA_Prioritisation!$E$4+J591*O591+K591*S591+L591*W591</f>
        <v>72.965542231754711</v>
      </c>
      <c r="AB591" s="54">
        <f ca="1">H591*MCDA_Prioritisation!$D$5+I591*MCDA_Prioritisation!$E$5+J591*P591+K591*T591+L591*X591</f>
        <v>69.737187358939863</v>
      </c>
      <c r="AC591" s="54">
        <f t="shared" ca="1" si="118"/>
        <v>1</v>
      </c>
      <c r="AD591" s="54">
        <f t="shared" ca="1" si="119"/>
        <v>2</v>
      </c>
      <c r="AE591" s="54">
        <f t="shared" ca="1" si="120"/>
        <v>3</v>
      </c>
      <c r="AF591" s="54">
        <f t="shared" ca="1" si="121"/>
        <v>4</v>
      </c>
      <c r="AG591" s="54">
        <f t="shared" ca="1" si="122"/>
        <v>1</v>
      </c>
      <c r="AH591" s="54">
        <f t="shared" ca="1" si="123"/>
        <v>1</v>
      </c>
      <c r="AI591" s="54">
        <f t="shared" ca="1" si="124"/>
        <v>1</v>
      </c>
      <c r="AJ591" s="54">
        <f t="shared" ca="1" si="125"/>
        <v>1</v>
      </c>
    </row>
    <row r="592" spans="1:36" x14ac:dyDescent="0.2">
      <c r="A592" s="54">
        <v>569</v>
      </c>
      <c r="B592" s="54">
        <f ca="1">MAX(0.02,MCDA_Prioritisation!$B$9+(RAND()-0.5)*2*$B$6)</f>
        <v>0.24833841610767177</v>
      </c>
      <c r="C592" s="54">
        <f ca="1">MAX(0.02,MCDA_Prioritisation!$B$10+(RAND()-0.5)*2*$B$6)</f>
        <v>0.22048083708312161</v>
      </c>
      <c r="D592" s="54">
        <f ca="1">MAX(0.02,MCDA_Prioritisation!$B$11+(RAND()-0.5)*2*$B$6)</f>
        <v>0.21365976138008921</v>
      </c>
      <c r="E592" s="54">
        <f ca="1">MAX(0.02,MCDA_Prioritisation!$B$12+(RAND()-0.5)*2*$B$6)</f>
        <v>0.13817771151721608</v>
      </c>
      <c r="F592" s="54">
        <f ca="1">MAX(0.02,MCDA_Prioritisation!$B$13+(RAND()-0.5)*2*$B$6)</f>
        <v>0.10354384493946577</v>
      </c>
      <c r="G592" s="54">
        <f t="shared" ca="1" si="112"/>
        <v>0.92420057102756437</v>
      </c>
      <c r="H592" s="54">
        <f t="shared" ca="1" si="113"/>
        <v>0.26870619202448542</v>
      </c>
      <c r="I592" s="54">
        <f t="shared" ca="1" si="114"/>
        <v>0.23856383992273658</v>
      </c>
      <c r="J592" s="54">
        <f t="shared" ca="1" si="115"/>
        <v>0.23118332543609388</v>
      </c>
      <c r="K592" s="54">
        <f t="shared" ca="1" si="116"/>
        <v>0.14951052385044991</v>
      </c>
      <c r="L592" s="54">
        <f t="shared" ca="1" si="117"/>
        <v>0.1120361187662343</v>
      </c>
      <c r="M592" s="54">
        <f ca="1">MIN(100,MAX(0,MCDA_Prioritisation!$F$2+(RAND()-0.5)*2*$B$7))</f>
        <v>85.727792513738137</v>
      </c>
      <c r="N592" s="54">
        <f ca="1">MIN(100,MAX(0,MCDA_Prioritisation!$F$3+(RAND()-0.5)*2*$B$7))</f>
        <v>95.490097993135478</v>
      </c>
      <c r="O592" s="54">
        <f ca="1">MIN(100,MAX(0,MCDA_Prioritisation!$F$4+(RAND()-0.5)*2*$B$7))</f>
        <v>92.042712301143524</v>
      </c>
      <c r="P592" s="54">
        <f ca="1">MIN(100,MAX(0,MCDA_Prioritisation!$F$5+(RAND()-0.5)*2*$B$7))</f>
        <v>74.545658970653477</v>
      </c>
      <c r="Q592" s="54">
        <f ca="1">MIN(100,MAX(0,MCDA_Prioritisation!$G$2+(RAND()-0.5)*2*$B$7))</f>
        <v>73.208405882443103</v>
      </c>
      <c r="R592" s="54">
        <f ca="1">MIN(100,MAX(0,MCDA_Prioritisation!$G$3+(RAND()-0.5)*2*$B$7))</f>
        <v>98.663183851981842</v>
      </c>
      <c r="S592" s="54">
        <f ca="1">MIN(100,MAX(0,MCDA_Prioritisation!$G$4+(RAND()-0.5)*2*$B$7))</f>
        <v>78.799909854530384</v>
      </c>
      <c r="T592" s="54">
        <f ca="1">MIN(100,MAX(0,MCDA_Prioritisation!$G$5+(RAND()-0.5)*2*$B$7))</f>
        <v>66.536422140262204</v>
      </c>
      <c r="U592" s="54">
        <f ca="1">MIN(100,MAX(0,MCDA_Prioritisation!$H$2+(RAND()-0.5)*2*$B$7))</f>
        <v>61.310576890315296</v>
      </c>
      <c r="V592" s="54">
        <f ca="1">MIN(100,MAX(0,MCDA_Prioritisation!$H$3+(RAND()-0.5)*2*$B$7))</f>
        <v>57.025993973961199</v>
      </c>
      <c r="W592" s="54">
        <f ca="1">MIN(100,MAX(0,MCDA_Prioritisation!$H$4+(RAND()-0.5)*2*$B$7))</f>
        <v>82.25054110373496</v>
      </c>
      <c r="X592" s="54">
        <f ca="1">MIN(100,MAX(0,MCDA_Prioritisation!$H$5+(RAND()-0.5)*2*$B$7))</f>
        <v>74.40422477851827</v>
      </c>
      <c r="Y592" s="54">
        <f ca="1">H592*MCDA_Prioritisation!$D$2+I592*MCDA_Prioritisation!$E$2+J592*M592+K592*Q592+L592*U592</f>
        <v>88.360265538193786</v>
      </c>
      <c r="Z592" s="54">
        <f ca="1">H592*MCDA_Prioritisation!$D$3+I592*MCDA_Prioritisation!$E$3+J592*N592+K592*R592+L592*V592</f>
        <v>84.050043057807699</v>
      </c>
      <c r="AA592" s="54">
        <f ca="1">H592*MCDA_Prioritisation!$D$4+I592*MCDA_Prioritisation!$E$4+J592*O592+K592*S592+L592*W592</f>
        <v>73.998880188236541</v>
      </c>
      <c r="AB592" s="54">
        <f ca="1">H592*MCDA_Prioritisation!$D$5+I592*MCDA_Prioritisation!$E$5+J592*P592+K592*T592+L592*X592</f>
        <v>69.840439648640981</v>
      </c>
      <c r="AC592" s="54">
        <f t="shared" ca="1" si="118"/>
        <v>1</v>
      </c>
      <c r="AD592" s="54">
        <f t="shared" ca="1" si="119"/>
        <v>2</v>
      </c>
      <c r="AE592" s="54">
        <f t="shared" ca="1" si="120"/>
        <v>3</v>
      </c>
      <c r="AF592" s="54">
        <f t="shared" ca="1" si="121"/>
        <v>4</v>
      </c>
      <c r="AG592" s="54">
        <f t="shared" ca="1" si="122"/>
        <v>1</v>
      </c>
      <c r="AH592" s="54">
        <f t="shared" ca="1" si="123"/>
        <v>1</v>
      </c>
      <c r="AI592" s="54">
        <f t="shared" ca="1" si="124"/>
        <v>1</v>
      </c>
      <c r="AJ592" s="54">
        <f t="shared" ca="1" si="125"/>
        <v>1</v>
      </c>
    </row>
    <row r="593" spans="1:36" x14ac:dyDescent="0.2">
      <c r="A593" s="54">
        <v>570</v>
      </c>
      <c r="B593" s="54">
        <f ca="1">MAX(0.02,MCDA_Prioritisation!$B$9+(RAND()-0.5)*2*$B$6)</f>
        <v>0.19619097876850375</v>
      </c>
      <c r="C593" s="54">
        <f ca="1">MAX(0.02,MCDA_Prioritisation!$B$10+(RAND()-0.5)*2*$B$6)</f>
        <v>0.18825174076020751</v>
      </c>
      <c r="D593" s="54">
        <f ca="1">MAX(0.02,MCDA_Prioritisation!$B$11+(RAND()-0.5)*2*$B$6)</f>
        <v>0.22178118952729645</v>
      </c>
      <c r="E593" s="54">
        <f ca="1">MAX(0.02,MCDA_Prioritisation!$B$12+(RAND()-0.5)*2*$B$6)</f>
        <v>0.13158546282155256</v>
      </c>
      <c r="F593" s="54">
        <f ca="1">MAX(0.02,MCDA_Prioritisation!$B$13+(RAND()-0.5)*2*$B$6)</f>
        <v>0.21085712253040267</v>
      </c>
      <c r="G593" s="54">
        <f t="shared" ca="1" si="112"/>
        <v>0.94866649440796291</v>
      </c>
      <c r="H593" s="54">
        <f t="shared" ca="1" si="113"/>
        <v>0.20680711285259551</v>
      </c>
      <c r="I593" s="54">
        <f t="shared" ca="1" si="114"/>
        <v>0.19843827295459646</v>
      </c>
      <c r="J593" s="54">
        <f t="shared" ca="1" si="115"/>
        <v>0.23378204124907362</v>
      </c>
      <c r="K593" s="54">
        <f t="shared" ca="1" si="116"/>
        <v>0.13870571333255685</v>
      </c>
      <c r="L593" s="54">
        <f t="shared" ca="1" si="117"/>
        <v>0.22226685961117759</v>
      </c>
      <c r="M593" s="54">
        <f ca="1">MIN(100,MAX(0,MCDA_Prioritisation!$F$2+(RAND()-0.5)*2*$B$7))</f>
        <v>93.854919680881125</v>
      </c>
      <c r="N593" s="54">
        <f ca="1">MIN(100,MAX(0,MCDA_Prioritisation!$F$3+(RAND()-0.5)*2*$B$7))</f>
        <v>92.850150183949268</v>
      </c>
      <c r="O593" s="54">
        <f ca="1">MIN(100,MAX(0,MCDA_Prioritisation!$F$4+(RAND()-0.5)*2*$B$7))</f>
        <v>94.905627334951646</v>
      </c>
      <c r="P593" s="54">
        <f ca="1">MIN(100,MAX(0,MCDA_Prioritisation!$F$5+(RAND()-0.5)*2*$B$7))</f>
        <v>73.692139003637465</v>
      </c>
      <c r="Q593" s="54">
        <f ca="1">MIN(100,MAX(0,MCDA_Prioritisation!$G$2+(RAND()-0.5)*2*$B$7))</f>
        <v>76.823069091859438</v>
      </c>
      <c r="R593" s="54">
        <f ca="1">MIN(100,MAX(0,MCDA_Prioritisation!$G$3+(RAND()-0.5)*2*$B$7))</f>
        <v>85.012170111769407</v>
      </c>
      <c r="S593" s="54">
        <f ca="1">MIN(100,MAX(0,MCDA_Prioritisation!$G$4+(RAND()-0.5)*2*$B$7))</f>
        <v>78.582768586301853</v>
      </c>
      <c r="T593" s="54">
        <f ca="1">MIN(100,MAX(0,MCDA_Prioritisation!$G$5+(RAND()-0.5)*2*$B$7))</f>
        <v>64.440478825276855</v>
      </c>
      <c r="U593" s="54">
        <f ca="1">MIN(100,MAX(0,MCDA_Prioritisation!$H$2+(RAND()-0.5)*2*$B$7))</f>
        <v>62.962831821013417</v>
      </c>
      <c r="V593" s="54">
        <f ca="1">MIN(100,MAX(0,MCDA_Prioritisation!$H$3+(RAND()-0.5)*2*$B$7))</f>
        <v>60.851922225043381</v>
      </c>
      <c r="W593" s="54">
        <f ca="1">MIN(100,MAX(0,MCDA_Prioritisation!$H$4+(RAND()-0.5)*2*$B$7))</f>
        <v>89.416893620711477</v>
      </c>
      <c r="X593" s="54">
        <f ca="1">MIN(100,MAX(0,MCDA_Prioritisation!$H$5+(RAND()-0.5)*2*$B$7))</f>
        <v>77.391472246664819</v>
      </c>
      <c r="Y593" s="54">
        <f ca="1">H593*MCDA_Prioritisation!$D$2+I593*MCDA_Prioritisation!$E$2+J593*M593+K593*Q593+L593*U593</f>
        <v>87.116482784849481</v>
      </c>
      <c r="Z593" s="54">
        <f ca="1">H593*MCDA_Prioritisation!$D$3+I593*MCDA_Prioritisation!$E$3+J593*N593+K593*R593+L593*V593</f>
        <v>79.529899388343182</v>
      </c>
      <c r="AA593" s="54">
        <f ca="1">H593*MCDA_Prioritisation!$D$4+I593*MCDA_Prioritisation!$E$4+J593*O593+K593*S593+L593*W593</f>
        <v>78.186259798220448</v>
      </c>
      <c r="AB593" s="54">
        <f ca="1">H593*MCDA_Prioritisation!$D$5+I593*MCDA_Prioritisation!$E$5+J593*P593+K593*T593+L593*X593</f>
        <v>71.031047067503806</v>
      </c>
      <c r="AC593" s="54">
        <f t="shared" ca="1" si="118"/>
        <v>1</v>
      </c>
      <c r="AD593" s="54">
        <f t="shared" ca="1" si="119"/>
        <v>2</v>
      </c>
      <c r="AE593" s="54">
        <f t="shared" ca="1" si="120"/>
        <v>3</v>
      </c>
      <c r="AF593" s="54">
        <f t="shared" ca="1" si="121"/>
        <v>4</v>
      </c>
      <c r="AG593" s="54">
        <f t="shared" ca="1" si="122"/>
        <v>1</v>
      </c>
      <c r="AH593" s="54">
        <f t="shared" ca="1" si="123"/>
        <v>1</v>
      </c>
      <c r="AI593" s="54">
        <f t="shared" ca="1" si="124"/>
        <v>1</v>
      </c>
      <c r="AJ593" s="54">
        <f t="shared" ca="1" si="125"/>
        <v>1</v>
      </c>
    </row>
    <row r="594" spans="1:36" x14ac:dyDescent="0.2">
      <c r="A594" s="54">
        <v>571</v>
      </c>
      <c r="B594" s="54">
        <f ca="1">MAX(0.02,MCDA_Prioritisation!$B$9+(RAND()-0.5)*2*$B$6)</f>
        <v>0.22682228721502495</v>
      </c>
      <c r="C594" s="54">
        <f ca="1">MAX(0.02,MCDA_Prioritisation!$B$10+(RAND()-0.5)*2*$B$6)</f>
        <v>0.3207727622909517</v>
      </c>
      <c r="D594" s="54">
        <f ca="1">MAX(0.02,MCDA_Prioritisation!$B$11+(RAND()-0.5)*2*$B$6)</f>
        <v>0.19373775066854892</v>
      </c>
      <c r="E594" s="54">
        <f ca="1">MAX(0.02,MCDA_Prioritisation!$B$12+(RAND()-0.5)*2*$B$6)</f>
        <v>7.6772169015641017E-2</v>
      </c>
      <c r="F594" s="54">
        <f ca="1">MAX(0.02,MCDA_Prioritisation!$B$13+(RAND()-0.5)*2*$B$6)</f>
        <v>0.14007783697349557</v>
      </c>
      <c r="G594" s="54">
        <f t="shared" ca="1" si="112"/>
        <v>0.95818280616366214</v>
      </c>
      <c r="H594" s="54">
        <f t="shared" ca="1" si="113"/>
        <v>0.2367213080384607</v>
      </c>
      <c r="I594" s="54">
        <f t="shared" ca="1" si="114"/>
        <v>0.33477198737811853</v>
      </c>
      <c r="J594" s="54">
        <f t="shared" ca="1" si="115"/>
        <v>0.20219288993947737</v>
      </c>
      <c r="K594" s="54">
        <f t="shared" ca="1" si="116"/>
        <v>8.0122674422659149E-2</v>
      </c>
      <c r="L594" s="54">
        <f t="shared" ca="1" si="117"/>
        <v>0.14619114022128427</v>
      </c>
      <c r="M594" s="54">
        <f ca="1">MIN(100,MAX(0,MCDA_Prioritisation!$F$2+(RAND()-0.5)*2*$B$7))</f>
        <v>85.646664815511755</v>
      </c>
      <c r="N594" s="54">
        <f ca="1">MIN(100,MAX(0,MCDA_Prioritisation!$F$3+(RAND()-0.5)*2*$B$7))</f>
        <v>98.3673167796874</v>
      </c>
      <c r="O594" s="54">
        <f ca="1">MIN(100,MAX(0,MCDA_Prioritisation!$F$4+(RAND()-0.5)*2*$B$7))</f>
        <v>84.336783787514875</v>
      </c>
      <c r="P594" s="54">
        <f ca="1">MIN(100,MAX(0,MCDA_Prioritisation!$F$5+(RAND()-0.5)*2*$B$7))</f>
        <v>78.03241188894178</v>
      </c>
      <c r="Q594" s="54">
        <f ca="1">MIN(100,MAX(0,MCDA_Prioritisation!$G$2+(RAND()-0.5)*2*$B$7))</f>
        <v>89.308621199848645</v>
      </c>
      <c r="R594" s="54">
        <f ca="1">MIN(100,MAX(0,MCDA_Prioritisation!$G$3+(RAND()-0.5)*2*$B$7))</f>
        <v>100</v>
      </c>
      <c r="S594" s="54">
        <f ca="1">MIN(100,MAX(0,MCDA_Prioritisation!$G$4+(RAND()-0.5)*2*$B$7))</f>
        <v>86.571442605112821</v>
      </c>
      <c r="T594" s="54">
        <f ca="1">MIN(100,MAX(0,MCDA_Prioritisation!$G$5+(RAND()-0.5)*2*$B$7))</f>
        <v>74.149351443786713</v>
      </c>
      <c r="U594" s="54">
        <f ca="1">MIN(100,MAX(0,MCDA_Prioritisation!$H$2+(RAND()-0.5)*2*$B$7))</f>
        <v>72.574954653637974</v>
      </c>
      <c r="V594" s="54">
        <f ca="1">MIN(100,MAX(0,MCDA_Prioritisation!$H$3+(RAND()-0.5)*2*$B$7))</f>
        <v>56.840555906025415</v>
      </c>
      <c r="W594" s="54">
        <f ca="1">MIN(100,MAX(0,MCDA_Prioritisation!$H$4+(RAND()-0.5)*2*$B$7))</f>
        <v>74.24062065777197</v>
      </c>
      <c r="X594" s="54">
        <f ca="1">MIN(100,MAX(0,MCDA_Prioritisation!$H$5+(RAND()-0.5)*2*$B$7))</f>
        <v>78.589393853188454</v>
      </c>
      <c r="Y594" s="54">
        <f ca="1">H594*MCDA_Prioritisation!$D$2+I594*MCDA_Prioritisation!$E$2+J594*M594+K594*Q594+L594*U594</f>
        <v>92.231937166239405</v>
      </c>
      <c r="Z594" s="54">
        <f ca="1">H594*MCDA_Prioritisation!$D$3+I594*MCDA_Prioritisation!$E$3+J594*N594+K594*R594+L594*V594</f>
        <v>81.246772911798743</v>
      </c>
      <c r="AA594" s="54">
        <f ca="1">H594*MCDA_Prioritisation!$D$4+I594*MCDA_Prioritisation!$E$4+J594*O594+K594*S594+L594*W594</f>
        <v>69.586125059441315</v>
      </c>
      <c r="AB594" s="54">
        <f ca="1">H594*MCDA_Prioritisation!$D$5+I594*MCDA_Prioritisation!$E$5+J594*P594+K594*T594+L594*X594</f>
        <v>73.923191130579866</v>
      </c>
      <c r="AC594" s="54">
        <f t="shared" ca="1" si="118"/>
        <v>1</v>
      </c>
      <c r="AD594" s="54">
        <f t="shared" ca="1" si="119"/>
        <v>2</v>
      </c>
      <c r="AE594" s="54">
        <f t="shared" ca="1" si="120"/>
        <v>4</v>
      </c>
      <c r="AF594" s="54">
        <f t="shared" ca="1" si="121"/>
        <v>3</v>
      </c>
      <c r="AG594" s="54">
        <f t="shared" ca="1" si="122"/>
        <v>1</v>
      </c>
      <c r="AH594" s="54">
        <f t="shared" ca="1" si="123"/>
        <v>1</v>
      </c>
      <c r="AI594" s="54">
        <f t="shared" ca="1" si="124"/>
        <v>0</v>
      </c>
      <c r="AJ594" s="54">
        <f t="shared" ca="1" si="125"/>
        <v>1</v>
      </c>
    </row>
    <row r="595" spans="1:36" x14ac:dyDescent="0.2">
      <c r="A595" s="54">
        <v>572</v>
      </c>
      <c r="B595" s="54">
        <f ca="1">MAX(0.02,MCDA_Prioritisation!$B$9+(RAND()-0.5)*2*$B$6)</f>
        <v>0.24299821034294361</v>
      </c>
      <c r="C595" s="54">
        <f ca="1">MAX(0.02,MCDA_Prioritisation!$B$10+(RAND()-0.5)*2*$B$6)</f>
        <v>0.18518658272526525</v>
      </c>
      <c r="D595" s="54">
        <f ca="1">MAX(0.02,MCDA_Prioritisation!$B$11+(RAND()-0.5)*2*$B$6)</f>
        <v>0.19656984156845073</v>
      </c>
      <c r="E595" s="54">
        <f ca="1">MAX(0.02,MCDA_Prioritisation!$B$12+(RAND()-0.5)*2*$B$6)</f>
        <v>7.0537212728908005E-2</v>
      </c>
      <c r="F595" s="54">
        <f ca="1">MAX(0.02,MCDA_Prioritisation!$B$13+(RAND()-0.5)*2*$B$6)</f>
        <v>0.12159753982000274</v>
      </c>
      <c r="G595" s="54">
        <f t="shared" ca="1" si="112"/>
        <v>0.81688938718557036</v>
      </c>
      <c r="H595" s="54">
        <f t="shared" ca="1" si="113"/>
        <v>0.29746770389580596</v>
      </c>
      <c r="I595" s="54">
        <f t="shared" ca="1" si="114"/>
        <v>0.22669725623843484</v>
      </c>
      <c r="J595" s="54">
        <f t="shared" ca="1" si="115"/>
        <v>0.2406321402285479</v>
      </c>
      <c r="K595" s="54">
        <f t="shared" ca="1" si="116"/>
        <v>8.6348548329082744E-2</v>
      </c>
      <c r="L595" s="54">
        <f t="shared" ca="1" si="117"/>
        <v>0.14885435130812855</v>
      </c>
      <c r="M595" s="54">
        <f ca="1">MIN(100,MAX(0,MCDA_Prioritisation!$F$2+(RAND()-0.5)*2*$B$7))</f>
        <v>86.182022012518615</v>
      </c>
      <c r="N595" s="54">
        <f ca="1">MIN(100,MAX(0,MCDA_Prioritisation!$F$3+(RAND()-0.5)*2*$B$7))</f>
        <v>100</v>
      </c>
      <c r="O595" s="54">
        <f ca="1">MIN(100,MAX(0,MCDA_Prioritisation!$F$4+(RAND()-0.5)*2*$B$7))</f>
        <v>89.151192542375924</v>
      </c>
      <c r="P595" s="54">
        <f ca="1">MIN(100,MAX(0,MCDA_Prioritisation!$F$5+(RAND()-0.5)*2*$B$7))</f>
        <v>65.480338858014193</v>
      </c>
      <c r="Q595" s="54">
        <f ca="1">MIN(100,MAX(0,MCDA_Prioritisation!$G$2+(RAND()-0.5)*2*$B$7))</f>
        <v>79.519498682253953</v>
      </c>
      <c r="R595" s="54">
        <f ca="1">MIN(100,MAX(0,MCDA_Prioritisation!$G$3+(RAND()-0.5)*2*$B$7))</f>
        <v>99.16042756288843</v>
      </c>
      <c r="S595" s="54">
        <f ca="1">MIN(100,MAX(0,MCDA_Prioritisation!$G$4+(RAND()-0.5)*2*$B$7))</f>
        <v>77.567973082778977</v>
      </c>
      <c r="T595" s="54">
        <f ca="1">MIN(100,MAX(0,MCDA_Prioritisation!$G$5+(RAND()-0.5)*2*$B$7))</f>
        <v>71.033092891085275</v>
      </c>
      <c r="U595" s="54">
        <f ca="1">MIN(100,MAX(0,MCDA_Prioritisation!$H$2+(RAND()-0.5)*2*$B$7))</f>
        <v>60.653270821819845</v>
      </c>
      <c r="V595" s="54">
        <f ca="1">MIN(100,MAX(0,MCDA_Prioritisation!$H$3+(RAND()-0.5)*2*$B$7))</f>
        <v>57.015625911864319</v>
      </c>
      <c r="W595" s="54">
        <f ca="1">MIN(100,MAX(0,MCDA_Prioritisation!$H$4+(RAND()-0.5)*2*$B$7))</f>
        <v>72.622828810440012</v>
      </c>
      <c r="X595" s="54">
        <f ca="1">MIN(100,MAX(0,MCDA_Prioritisation!$H$5+(RAND()-0.5)*2*$B$7))</f>
        <v>76.47727158911735</v>
      </c>
      <c r="Y595" s="54">
        <f ca="1">H595*MCDA_Prioritisation!$D$2+I595*MCDA_Prioritisation!$E$2+J595*M595+K595*Q595+L595*U595</f>
        <v>89.049556977487541</v>
      </c>
      <c r="Z595" s="54">
        <f ca="1">H595*MCDA_Prioritisation!$D$3+I595*MCDA_Prioritisation!$E$3+J595*N595+K595*R595+L595*V595</f>
        <v>83.597407287524462</v>
      </c>
      <c r="AA595" s="54">
        <f ca="1">H595*MCDA_Prioritisation!$D$4+I595*MCDA_Prioritisation!$E$4+J595*O595+K595*S595+L595*W595</f>
        <v>72.039955301877995</v>
      </c>
      <c r="AB595" s="54">
        <f ca="1">H595*MCDA_Prioritisation!$D$5+I595*MCDA_Prioritisation!$E$5+J595*P595+K595*T595+L595*X595</f>
        <v>68.125794632013154</v>
      </c>
      <c r="AC595" s="54">
        <f t="shared" ca="1" si="118"/>
        <v>1</v>
      </c>
      <c r="AD595" s="54">
        <f t="shared" ca="1" si="119"/>
        <v>2</v>
      </c>
      <c r="AE595" s="54">
        <f t="shared" ca="1" si="120"/>
        <v>3</v>
      </c>
      <c r="AF595" s="54">
        <f t="shared" ca="1" si="121"/>
        <v>4</v>
      </c>
      <c r="AG595" s="54">
        <f t="shared" ca="1" si="122"/>
        <v>1</v>
      </c>
      <c r="AH595" s="54">
        <f t="shared" ca="1" si="123"/>
        <v>1</v>
      </c>
      <c r="AI595" s="54">
        <f t="shared" ca="1" si="124"/>
        <v>1</v>
      </c>
      <c r="AJ595" s="54">
        <f t="shared" ca="1" si="125"/>
        <v>1</v>
      </c>
    </row>
    <row r="596" spans="1:36" x14ac:dyDescent="0.2">
      <c r="A596" s="54">
        <v>573</v>
      </c>
      <c r="B596" s="54">
        <f ca="1">MAX(0.02,MCDA_Prioritisation!$B$9+(RAND()-0.5)*2*$B$6)</f>
        <v>0.2051810809714753</v>
      </c>
      <c r="C596" s="54">
        <f ca="1">MAX(0.02,MCDA_Prioritisation!$B$10+(RAND()-0.5)*2*$B$6)</f>
        <v>0.17503594337034675</v>
      </c>
      <c r="D596" s="54">
        <f ca="1">MAX(0.02,MCDA_Prioritisation!$B$11+(RAND()-0.5)*2*$B$6)</f>
        <v>0.32840699219785341</v>
      </c>
      <c r="E596" s="54">
        <f ca="1">MAX(0.02,MCDA_Prioritisation!$B$12+(RAND()-0.5)*2*$B$6)</f>
        <v>0.21225846966083778</v>
      </c>
      <c r="F596" s="54">
        <f ca="1">MAX(0.02,MCDA_Prioritisation!$B$13+(RAND()-0.5)*2*$B$6)</f>
        <v>0.21891322792567169</v>
      </c>
      <c r="G596" s="54">
        <f t="shared" ca="1" si="112"/>
        <v>1.1397957141261847</v>
      </c>
      <c r="H596" s="54">
        <f t="shared" ca="1" si="113"/>
        <v>0.18001566283198014</v>
      </c>
      <c r="I596" s="54">
        <f t="shared" ca="1" si="114"/>
        <v>0.15356782026903537</v>
      </c>
      <c r="J596" s="54">
        <f t="shared" ca="1" si="115"/>
        <v>0.28812794093512101</v>
      </c>
      <c r="K596" s="54">
        <f t="shared" ca="1" si="116"/>
        <v>0.18622501122805504</v>
      </c>
      <c r="L596" s="54">
        <f t="shared" ca="1" si="117"/>
        <v>0.19206356473580863</v>
      </c>
      <c r="M596" s="54">
        <f ca="1">MIN(100,MAX(0,MCDA_Prioritisation!$F$2+(RAND()-0.5)*2*$B$7))</f>
        <v>80.440758688076627</v>
      </c>
      <c r="N596" s="54">
        <f ca="1">MIN(100,MAX(0,MCDA_Prioritisation!$F$3+(RAND()-0.5)*2*$B$7))</f>
        <v>85.092903753107464</v>
      </c>
      <c r="O596" s="54">
        <f ca="1">MIN(100,MAX(0,MCDA_Prioritisation!$F$4+(RAND()-0.5)*2*$B$7))</f>
        <v>93.414937728314698</v>
      </c>
      <c r="P596" s="54">
        <f ca="1">MIN(100,MAX(0,MCDA_Prioritisation!$F$5+(RAND()-0.5)*2*$B$7))</f>
        <v>69.036165585082642</v>
      </c>
      <c r="Q596" s="54">
        <f ca="1">MIN(100,MAX(0,MCDA_Prioritisation!$G$2+(RAND()-0.5)*2*$B$7))</f>
        <v>86.383246269586436</v>
      </c>
      <c r="R596" s="54">
        <f ca="1">MIN(100,MAX(0,MCDA_Prioritisation!$G$3+(RAND()-0.5)*2*$B$7))</f>
        <v>87.345554698230217</v>
      </c>
      <c r="S596" s="54">
        <f ca="1">MIN(100,MAX(0,MCDA_Prioritisation!$G$4+(RAND()-0.5)*2*$B$7))</f>
        <v>82.204007718618499</v>
      </c>
      <c r="T596" s="54">
        <f ca="1">MIN(100,MAX(0,MCDA_Prioritisation!$G$5+(RAND()-0.5)*2*$B$7))</f>
        <v>67.760040737339025</v>
      </c>
      <c r="U596" s="54">
        <f ca="1">MIN(100,MAX(0,MCDA_Prioritisation!$H$2+(RAND()-0.5)*2*$B$7))</f>
        <v>56.115936085419534</v>
      </c>
      <c r="V596" s="54">
        <f ca="1">MIN(100,MAX(0,MCDA_Prioritisation!$H$3+(RAND()-0.5)*2*$B$7))</f>
        <v>60.105808795548718</v>
      </c>
      <c r="W596" s="54">
        <f ca="1">MIN(100,MAX(0,MCDA_Prioritisation!$H$4+(RAND()-0.5)*2*$B$7))</f>
        <v>71.120194819897108</v>
      </c>
      <c r="X596" s="54">
        <f ca="1">MIN(100,MAX(0,MCDA_Prioritisation!$H$5+(RAND()-0.5)*2*$B$7))</f>
        <v>69.500925561435267</v>
      </c>
      <c r="Y596" s="54">
        <f ca="1">H596*MCDA_Prioritisation!$D$2+I596*MCDA_Prioritisation!$E$2+J596*M596+K596*Q596+L596*U596</f>
        <v>83.400126207678056</v>
      </c>
      <c r="Z596" s="54">
        <f ca="1">H596*MCDA_Prioritisation!$D$3+I596*MCDA_Prioritisation!$E$3+J596*N596+K596*R596+L596*V596</f>
        <v>79.229074645212989</v>
      </c>
      <c r="AA596" s="54">
        <f ca="1">H596*MCDA_Prioritisation!$D$4+I596*MCDA_Prioritisation!$E$4+J596*O596+K596*S596+L596*W596</f>
        <v>76.795153142010861</v>
      </c>
      <c r="AB596" s="54">
        <f ca="1">H596*MCDA_Prioritisation!$D$5+I596*MCDA_Prioritisation!$E$5+J596*P596+K596*T596+L596*X596</f>
        <v>68.326607203186271</v>
      </c>
      <c r="AC596" s="54">
        <f t="shared" ca="1" si="118"/>
        <v>1</v>
      </c>
      <c r="AD596" s="54">
        <f t="shared" ca="1" si="119"/>
        <v>2</v>
      </c>
      <c r="AE596" s="54">
        <f t="shared" ca="1" si="120"/>
        <v>3</v>
      </c>
      <c r="AF596" s="54">
        <f t="shared" ca="1" si="121"/>
        <v>4</v>
      </c>
      <c r="AG596" s="54">
        <f t="shared" ca="1" si="122"/>
        <v>1</v>
      </c>
      <c r="AH596" s="54">
        <f t="shared" ca="1" si="123"/>
        <v>1</v>
      </c>
      <c r="AI596" s="54">
        <f t="shared" ca="1" si="124"/>
        <v>1</v>
      </c>
      <c r="AJ596" s="54">
        <f t="shared" ca="1" si="125"/>
        <v>1</v>
      </c>
    </row>
    <row r="597" spans="1:36" x14ac:dyDescent="0.2">
      <c r="A597" s="54">
        <v>574</v>
      </c>
      <c r="B597" s="54">
        <f ca="1">MAX(0.02,MCDA_Prioritisation!$B$9+(RAND()-0.5)*2*$B$6)</f>
        <v>0.24057501018335206</v>
      </c>
      <c r="C597" s="54">
        <f ca="1">MAX(0.02,MCDA_Prioritisation!$B$10+(RAND()-0.5)*2*$B$6)</f>
        <v>0.27686155421410302</v>
      </c>
      <c r="D597" s="54">
        <f ca="1">MAX(0.02,MCDA_Prioritisation!$B$11+(RAND()-0.5)*2*$B$6)</f>
        <v>0.21996978792096533</v>
      </c>
      <c r="E597" s="54">
        <f ca="1">MAX(0.02,MCDA_Prioritisation!$B$12+(RAND()-0.5)*2*$B$6)</f>
        <v>0.15564357637300344</v>
      </c>
      <c r="F597" s="54">
        <f ca="1">MAX(0.02,MCDA_Prioritisation!$B$13+(RAND()-0.5)*2*$B$6)</f>
        <v>8.2765742040485396E-2</v>
      </c>
      <c r="G597" s="54">
        <f t="shared" ca="1" si="112"/>
        <v>0.97581567073190922</v>
      </c>
      <c r="H597" s="54">
        <f t="shared" ca="1" si="113"/>
        <v>0.24653735064831364</v>
      </c>
      <c r="I597" s="54">
        <f t="shared" ca="1" si="114"/>
        <v>0.28372320973944126</v>
      </c>
      <c r="J597" s="54">
        <f t="shared" ca="1" si="115"/>
        <v>0.22542145460318064</v>
      </c>
      <c r="K597" s="54">
        <f t="shared" ca="1" si="116"/>
        <v>0.15950100110225038</v>
      </c>
      <c r="L597" s="54">
        <f t="shared" ca="1" si="117"/>
        <v>8.481698390681415E-2</v>
      </c>
      <c r="M597" s="54">
        <f ca="1">MIN(100,MAX(0,MCDA_Prioritisation!$F$2+(RAND()-0.5)*2*$B$7))</f>
        <v>80.784928653828601</v>
      </c>
      <c r="N597" s="54">
        <f ca="1">MIN(100,MAX(0,MCDA_Prioritisation!$F$3+(RAND()-0.5)*2*$B$7))</f>
        <v>95.631088260790136</v>
      </c>
      <c r="O597" s="54">
        <f ca="1">MIN(100,MAX(0,MCDA_Prioritisation!$F$4+(RAND()-0.5)*2*$B$7))</f>
        <v>99.362056500299204</v>
      </c>
      <c r="P597" s="54">
        <f ca="1">MIN(100,MAX(0,MCDA_Prioritisation!$F$5+(RAND()-0.5)*2*$B$7))</f>
        <v>73.031135580447653</v>
      </c>
      <c r="Q597" s="54">
        <f ca="1">MIN(100,MAX(0,MCDA_Prioritisation!$G$2+(RAND()-0.5)*2*$B$7))</f>
        <v>71.121278138639511</v>
      </c>
      <c r="R597" s="54">
        <f ca="1">MIN(100,MAX(0,MCDA_Prioritisation!$G$3+(RAND()-0.5)*2*$B$7))</f>
        <v>89.809832781967089</v>
      </c>
      <c r="S597" s="54">
        <f ca="1">MIN(100,MAX(0,MCDA_Prioritisation!$G$4+(RAND()-0.5)*2*$B$7))</f>
        <v>92.623214464741793</v>
      </c>
      <c r="T597" s="54">
        <f ca="1">MIN(100,MAX(0,MCDA_Prioritisation!$G$5+(RAND()-0.5)*2*$B$7))</f>
        <v>68.830880686886587</v>
      </c>
      <c r="U597" s="54">
        <f ca="1">MIN(100,MAX(0,MCDA_Prioritisation!$H$2+(RAND()-0.5)*2*$B$7))</f>
        <v>69.526506999370042</v>
      </c>
      <c r="V597" s="54">
        <f ca="1">MIN(100,MAX(0,MCDA_Prioritisation!$H$3+(RAND()-0.5)*2*$B$7))</f>
        <v>51.595048298465322</v>
      </c>
      <c r="W597" s="54">
        <f ca="1">MIN(100,MAX(0,MCDA_Prioritisation!$H$4+(RAND()-0.5)*2*$B$7))</f>
        <v>77.039817515492501</v>
      </c>
      <c r="X597" s="54">
        <f ca="1">MIN(100,MAX(0,MCDA_Prioritisation!$H$5+(RAND()-0.5)*2*$B$7))</f>
        <v>72.314597226431744</v>
      </c>
      <c r="Y597" s="54">
        <f ca="1">H597*MCDA_Prioritisation!$D$2+I597*MCDA_Prioritisation!$E$2+J597*M597+K597*Q597+L597*U597</f>
        <v>88.477655853982853</v>
      </c>
      <c r="Z597" s="54">
        <f ca="1">H597*MCDA_Prioritisation!$D$3+I597*MCDA_Prioritisation!$E$3+J597*N597+K597*R597+L597*V597</f>
        <v>82.439194099746601</v>
      </c>
      <c r="AA597" s="54">
        <f ca="1">H597*MCDA_Prioritisation!$D$4+I597*MCDA_Prioritisation!$E$4+J597*O597+K597*S597+L597*W597</f>
        <v>76.349342948353609</v>
      </c>
      <c r="AB597" s="54">
        <f ca="1">H597*MCDA_Prioritisation!$D$5+I597*MCDA_Prioritisation!$E$5+J597*P597+K597*T597+L597*X597</f>
        <v>70.518617116515628</v>
      </c>
      <c r="AC597" s="54">
        <f t="shared" ca="1" si="118"/>
        <v>1</v>
      </c>
      <c r="AD597" s="54">
        <f t="shared" ca="1" si="119"/>
        <v>2</v>
      </c>
      <c r="AE597" s="54">
        <f t="shared" ca="1" si="120"/>
        <v>3</v>
      </c>
      <c r="AF597" s="54">
        <f t="shared" ca="1" si="121"/>
        <v>4</v>
      </c>
      <c r="AG597" s="54">
        <f t="shared" ca="1" si="122"/>
        <v>1</v>
      </c>
      <c r="AH597" s="54">
        <f t="shared" ca="1" si="123"/>
        <v>1</v>
      </c>
      <c r="AI597" s="54">
        <f t="shared" ca="1" si="124"/>
        <v>1</v>
      </c>
      <c r="AJ597" s="54">
        <f t="shared" ca="1" si="125"/>
        <v>1</v>
      </c>
    </row>
    <row r="598" spans="1:36" x14ac:dyDescent="0.2">
      <c r="A598" s="54">
        <v>575</v>
      </c>
      <c r="B598" s="54">
        <f ca="1">MAX(0.02,MCDA_Prioritisation!$B$9+(RAND()-0.5)*2*$B$6)</f>
        <v>0.23753921275984999</v>
      </c>
      <c r="C598" s="54">
        <f ca="1">MAX(0.02,MCDA_Prioritisation!$B$10+(RAND()-0.5)*2*$B$6)</f>
        <v>0.18228449166124827</v>
      </c>
      <c r="D598" s="54">
        <f ca="1">MAX(0.02,MCDA_Prioritisation!$B$11+(RAND()-0.5)*2*$B$6)</f>
        <v>0.29955429316000604</v>
      </c>
      <c r="E598" s="54">
        <f ca="1">MAX(0.02,MCDA_Prioritisation!$B$12+(RAND()-0.5)*2*$B$6)</f>
        <v>0.13050946205779998</v>
      </c>
      <c r="F598" s="54">
        <f ca="1">MAX(0.02,MCDA_Prioritisation!$B$13+(RAND()-0.5)*2*$B$6)</f>
        <v>0.13461986172515919</v>
      </c>
      <c r="G598" s="54">
        <f t="shared" ca="1" si="112"/>
        <v>0.98450732136406349</v>
      </c>
      <c r="H598" s="54">
        <f t="shared" ca="1" si="113"/>
        <v>0.2412772435564344</v>
      </c>
      <c r="I598" s="54">
        <f t="shared" ca="1" si="114"/>
        <v>0.18515300770814769</v>
      </c>
      <c r="J598" s="54">
        <f t="shared" ca="1" si="115"/>
        <v>0.30426822295741268</v>
      </c>
      <c r="K598" s="54">
        <f t="shared" ca="1" si="116"/>
        <v>0.13256322144661689</v>
      </c>
      <c r="L598" s="54">
        <f t="shared" ca="1" si="117"/>
        <v>0.13673830433138828</v>
      </c>
      <c r="M598" s="54">
        <f ca="1">MIN(100,MAX(0,MCDA_Prioritisation!$F$2+(RAND()-0.5)*2*$B$7))</f>
        <v>75.07811761627039</v>
      </c>
      <c r="N598" s="54">
        <f ca="1">MIN(100,MAX(0,MCDA_Prioritisation!$F$3+(RAND()-0.5)*2*$B$7))</f>
        <v>85.178581211318345</v>
      </c>
      <c r="O598" s="54">
        <f ca="1">MIN(100,MAX(0,MCDA_Prioritisation!$F$4+(RAND()-0.5)*2*$B$7))</f>
        <v>96.588982797589566</v>
      </c>
      <c r="P598" s="54">
        <f ca="1">MIN(100,MAX(0,MCDA_Prioritisation!$F$5+(RAND()-0.5)*2*$B$7))</f>
        <v>66.607294805277036</v>
      </c>
      <c r="Q598" s="54">
        <f ca="1">MIN(100,MAX(0,MCDA_Prioritisation!$G$2+(RAND()-0.5)*2*$B$7))</f>
        <v>75.979775070771325</v>
      </c>
      <c r="R598" s="54">
        <f ca="1">MIN(100,MAX(0,MCDA_Prioritisation!$G$3+(RAND()-0.5)*2*$B$7))</f>
        <v>100</v>
      </c>
      <c r="S598" s="54">
        <f ca="1">MIN(100,MAX(0,MCDA_Prioritisation!$G$4+(RAND()-0.5)*2*$B$7))</f>
        <v>80.505734130350035</v>
      </c>
      <c r="T598" s="54">
        <f ca="1">MIN(100,MAX(0,MCDA_Prioritisation!$G$5+(RAND()-0.5)*2*$B$7))</f>
        <v>69.927947692006015</v>
      </c>
      <c r="U598" s="54">
        <f ca="1">MIN(100,MAX(0,MCDA_Prioritisation!$H$2+(RAND()-0.5)*2*$B$7))</f>
        <v>55.033534538175317</v>
      </c>
      <c r="V598" s="54">
        <f ca="1">MIN(100,MAX(0,MCDA_Prioritisation!$H$3+(RAND()-0.5)*2*$B$7))</f>
        <v>66.955673407832805</v>
      </c>
      <c r="W598" s="54">
        <f ca="1">MIN(100,MAX(0,MCDA_Prioritisation!$H$4+(RAND()-0.5)*2*$B$7))</f>
        <v>76.757599741070749</v>
      </c>
      <c r="X598" s="54">
        <f ca="1">MIN(100,MAX(0,MCDA_Prioritisation!$H$5+(RAND()-0.5)*2*$B$7))</f>
        <v>73.85778210297417</v>
      </c>
      <c r="Y598" s="54">
        <f ca="1">H598*MCDA_Prioritisation!$D$2+I598*MCDA_Prioritisation!$E$2+J598*M598+K598*Q598+L598*U598</f>
        <v>83.084226498832209</v>
      </c>
      <c r="Z598" s="54">
        <f ca="1">H598*MCDA_Prioritisation!$D$3+I598*MCDA_Prioritisation!$E$3+J598*N598+K598*R598+L598*V598</f>
        <v>82.881404691067559</v>
      </c>
      <c r="AA598" s="54">
        <f ca="1">H598*MCDA_Prioritisation!$D$4+I598*MCDA_Prioritisation!$E$4+J598*O598+K598*S598+L598*W598</f>
        <v>77.457145482090809</v>
      </c>
      <c r="AB598" s="54">
        <f ca="1">H598*MCDA_Prioritisation!$D$5+I598*MCDA_Prioritisation!$E$5+J598*P598+K598*T598+L598*X598</f>
        <v>68.011234262656146</v>
      </c>
      <c r="AC598" s="54">
        <f t="shared" ca="1" si="118"/>
        <v>1</v>
      </c>
      <c r="AD598" s="54">
        <f t="shared" ca="1" si="119"/>
        <v>2</v>
      </c>
      <c r="AE598" s="54">
        <f t="shared" ca="1" si="120"/>
        <v>3</v>
      </c>
      <c r="AF598" s="54">
        <f t="shared" ca="1" si="121"/>
        <v>4</v>
      </c>
      <c r="AG598" s="54">
        <f t="shared" ca="1" si="122"/>
        <v>1</v>
      </c>
      <c r="AH598" s="54">
        <f t="shared" ca="1" si="123"/>
        <v>1</v>
      </c>
      <c r="AI598" s="54">
        <f t="shared" ca="1" si="124"/>
        <v>1</v>
      </c>
      <c r="AJ598" s="54">
        <f t="shared" ca="1" si="125"/>
        <v>1</v>
      </c>
    </row>
    <row r="599" spans="1:36" x14ac:dyDescent="0.2">
      <c r="A599" s="54">
        <v>576</v>
      </c>
      <c r="B599" s="54">
        <f ca="1">MAX(0.02,MCDA_Prioritisation!$B$9+(RAND()-0.5)*2*$B$6)</f>
        <v>0.13260627387445095</v>
      </c>
      <c r="C599" s="54">
        <f ca="1">MAX(0.02,MCDA_Prioritisation!$B$10+(RAND()-0.5)*2*$B$6)</f>
        <v>0.26986152416116782</v>
      </c>
      <c r="D599" s="54">
        <f ca="1">MAX(0.02,MCDA_Prioritisation!$B$11+(RAND()-0.5)*2*$B$6)</f>
        <v>0.26408149608079995</v>
      </c>
      <c r="E599" s="54">
        <f ca="1">MAX(0.02,MCDA_Prioritisation!$B$12+(RAND()-0.5)*2*$B$6)</f>
        <v>0.22961723919053334</v>
      </c>
      <c r="F599" s="54">
        <f ca="1">MAX(0.02,MCDA_Prioritisation!$B$13+(RAND()-0.5)*2*$B$6)</f>
        <v>0.13964902650204433</v>
      </c>
      <c r="G599" s="54">
        <f t="shared" ca="1" si="112"/>
        <v>1.0358155598089964</v>
      </c>
      <c r="H599" s="54">
        <f t="shared" ca="1" si="113"/>
        <v>0.12802112559392664</v>
      </c>
      <c r="I599" s="54">
        <f t="shared" ca="1" si="114"/>
        <v>0.26053047920126832</v>
      </c>
      <c r="J599" s="54">
        <f t="shared" ca="1" si="115"/>
        <v>0.25495030807366553</v>
      </c>
      <c r="K599" s="54">
        <f t="shared" ca="1" si="116"/>
        <v>0.22167772729044019</v>
      </c>
      <c r="L599" s="54">
        <f t="shared" ca="1" si="117"/>
        <v>0.13482035984069934</v>
      </c>
      <c r="M599" s="54">
        <f ca="1">MIN(100,MAX(0,MCDA_Prioritisation!$F$2+(RAND()-0.5)*2*$B$7))</f>
        <v>88.597851266071402</v>
      </c>
      <c r="N599" s="54">
        <f ca="1">MIN(100,MAX(0,MCDA_Prioritisation!$F$3+(RAND()-0.5)*2*$B$7))</f>
        <v>88.464435142100115</v>
      </c>
      <c r="O599" s="54">
        <f ca="1">MIN(100,MAX(0,MCDA_Prioritisation!$F$4+(RAND()-0.5)*2*$B$7))</f>
        <v>85.288034911816482</v>
      </c>
      <c r="P599" s="54">
        <f ca="1">MIN(100,MAX(0,MCDA_Prioritisation!$F$5+(RAND()-0.5)*2*$B$7))</f>
        <v>71.83699849382829</v>
      </c>
      <c r="Q599" s="54">
        <f ca="1">MIN(100,MAX(0,MCDA_Prioritisation!$G$2+(RAND()-0.5)*2*$B$7))</f>
        <v>74.841831331827152</v>
      </c>
      <c r="R599" s="54">
        <f ca="1">MIN(100,MAX(0,MCDA_Prioritisation!$G$3+(RAND()-0.5)*2*$B$7))</f>
        <v>100</v>
      </c>
      <c r="S599" s="54">
        <f ca="1">MIN(100,MAX(0,MCDA_Prioritisation!$G$4+(RAND()-0.5)*2*$B$7))</f>
        <v>80.188496221910867</v>
      </c>
      <c r="T599" s="54">
        <f ca="1">MIN(100,MAX(0,MCDA_Prioritisation!$G$5+(RAND()-0.5)*2*$B$7))</f>
        <v>73.635063049168807</v>
      </c>
      <c r="U599" s="54">
        <f ca="1">MIN(100,MAX(0,MCDA_Prioritisation!$H$2+(RAND()-0.5)*2*$B$7))</f>
        <v>69.530507788291231</v>
      </c>
      <c r="V599" s="54">
        <f ca="1">MIN(100,MAX(0,MCDA_Prioritisation!$H$3+(RAND()-0.5)*2*$B$7))</f>
        <v>63.173821842659748</v>
      </c>
      <c r="W599" s="54">
        <f ca="1">MIN(100,MAX(0,MCDA_Prioritisation!$H$4+(RAND()-0.5)*2*$B$7))</f>
        <v>80.779257676105402</v>
      </c>
      <c r="X599" s="54">
        <f ca="1">MIN(100,MAX(0,MCDA_Prioritisation!$H$5+(RAND()-0.5)*2*$B$7))</f>
        <v>72.723018515789875</v>
      </c>
      <c r="Y599" s="54">
        <f ca="1">H599*MCDA_Prioritisation!$D$2+I599*MCDA_Prioritisation!$E$2+J599*M599+K599*Q599+L599*U599</f>
        <v>87.408105110287082</v>
      </c>
      <c r="Z599" s="54">
        <f ca="1">H599*MCDA_Prioritisation!$D$3+I599*MCDA_Prioritisation!$E$3+J599*N599+K599*R599+L599*V599</f>
        <v>83.375238065472999</v>
      </c>
      <c r="AA599" s="54">
        <f ca="1">H599*MCDA_Prioritisation!$D$4+I599*MCDA_Prioritisation!$E$4+J599*O599+K599*S599+L599*W599</f>
        <v>73.536294972906219</v>
      </c>
      <c r="AB599" s="54">
        <f ca="1">H599*MCDA_Prioritisation!$D$5+I599*MCDA_Prioritisation!$E$5+J599*P599+K599*T599+L599*X599</f>
        <v>73.145741846533923</v>
      </c>
      <c r="AC599" s="54">
        <f t="shared" ca="1" si="118"/>
        <v>1</v>
      </c>
      <c r="AD599" s="54">
        <f t="shared" ca="1" si="119"/>
        <v>2</v>
      </c>
      <c r="AE599" s="54">
        <f t="shared" ca="1" si="120"/>
        <v>3</v>
      </c>
      <c r="AF599" s="54">
        <f t="shared" ca="1" si="121"/>
        <v>4</v>
      </c>
      <c r="AG599" s="54">
        <f t="shared" ca="1" si="122"/>
        <v>1</v>
      </c>
      <c r="AH599" s="54">
        <f t="shared" ca="1" si="123"/>
        <v>1</v>
      </c>
      <c r="AI599" s="54">
        <f t="shared" ca="1" si="124"/>
        <v>1</v>
      </c>
      <c r="AJ599" s="54">
        <f t="shared" ca="1" si="125"/>
        <v>1</v>
      </c>
    </row>
    <row r="600" spans="1:36" x14ac:dyDescent="0.2">
      <c r="A600" s="54">
        <v>577</v>
      </c>
      <c r="B600" s="54">
        <f ca="1">MAX(0.02,MCDA_Prioritisation!$B$9+(RAND()-0.5)*2*$B$6)</f>
        <v>0.17513109117738798</v>
      </c>
      <c r="C600" s="54">
        <f ca="1">MAX(0.02,MCDA_Prioritisation!$B$10+(RAND()-0.5)*2*$B$6)</f>
        <v>0.23112830646958052</v>
      </c>
      <c r="D600" s="54">
        <f ca="1">MAX(0.02,MCDA_Prioritisation!$B$11+(RAND()-0.5)*2*$B$6)</f>
        <v>0.21377955720673708</v>
      </c>
      <c r="E600" s="54">
        <f ca="1">MAX(0.02,MCDA_Prioritisation!$B$12+(RAND()-0.5)*2*$B$6)</f>
        <v>7.406320350432162E-2</v>
      </c>
      <c r="F600" s="54">
        <f ca="1">MAX(0.02,MCDA_Prioritisation!$B$13+(RAND()-0.5)*2*$B$6)</f>
        <v>9.8905059522835265E-2</v>
      </c>
      <c r="G600" s="54">
        <f t="shared" ref="G600:G663" ca="1" si="126">SUM(B600:F600)</f>
        <v>0.79300721788086237</v>
      </c>
      <c r="H600" s="54">
        <f t="shared" ref="H600:H663" ca="1" si="127">B600/$G600</f>
        <v>0.22084425870093258</v>
      </c>
      <c r="I600" s="54">
        <f t="shared" ref="I600:I663" ca="1" si="128">C600/$G600</f>
        <v>0.29145801104713798</v>
      </c>
      <c r="J600" s="54">
        <f t="shared" ref="J600:J663" ca="1" si="129">D600/$G600</f>
        <v>0.26958084666368609</v>
      </c>
      <c r="K600" s="54">
        <f t="shared" ref="K600:K663" ca="1" si="130">E600/$G600</f>
        <v>9.3395371232861235E-2</v>
      </c>
      <c r="L600" s="54">
        <f t="shared" ref="L600:L663" ca="1" si="131">F600/$G600</f>
        <v>0.12472151235538223</v>
      </c>
      <c r="M600" s="54">
        <f ca="1">MIN(100,MAX(0,MCDA_Prioritisation!$F$2+(RAND()-0.5)*2*$B$7))</f>
        <v>82.959922300867092</v>
      </c>
      <c r="N600" s="54">
        <f ca="1">MIN(100,MAX(0,MCDA_Prioritisation!$F$3+(RAND()-0.5)*2*$B$7))</f>
        <v>100</v>
      </c>
      <c r="O600" s="54">
        <f ca="1">MIN(100,MAX(0,MCDA_Prioritisation!$F$4+(RAND()-0.5)*2*$B$7))</f>
        <v>82.32899877582058</v>
      </c>
      <c r="P600" s="54">
        <f ca="1">MIN(100,MAX(0,MCDA_Prioritisation!$F$5+(RAND()-0.5)*2*$B$7))</f>
        <v>74.536144687836583</v>
      </c>
      <c r="Q600" s="54">
        <f ca="1">MIN(100,MAX(0,MCDA_Prioritisation!$G$2+(RAND()-0.5)*2*$B$7))</f>
        <v>79.272934503792683</v>
      </c>
      <c r="R600" s="54">
        <f ca="1">MIN(100,MAX(0,MCDA_Prioritisation!$G$3+(RAND()-0.5)*2*$B$7))</f>
        <v>100</v>
      </c>
      <c r="S600" s="54">
        <f ca="1">MIN(100,MAX(0,MCDA_Prioritisation!$G$4+(RAND()-0.5)*2*$B$7))</f>
        <v>84.947410410039893</v>
      </c>
      <c r="T600" s="54">
        <f ca="1">MIN(100,MAX(0,MCDA_Prioritisation!$G$5+(RAND()-0.5)*2*$B$7))</f>
        <v>63.210453893066614</v>
      </c>
      <c r="U600" s="54">
        <f ca="1">MIN(100,MAX(0,MCDA_Prioritisation!$H$2+(RAND()-0.5)*2*$B$7))</f>
        <v>71.076350537987125</v>
      </c>
      <c r="V600" s="54">
        <f ca="1">MIN(100,MAX(0,MCDA_Prioritisation!$H$3+(RAND()-0.5)*2*$B$7))</f>
        <v>67.902397328656463</v>
      </c>
      <c r="W600" s="54">
        <f ca="1">MIN(100,MAX(0,MCDA_Prioritisation!$H$4+(RAND()-0.5)*2*$B$7))</f>
        <v>75.49640865285599</v>
      </c>
      <c r="X600" s="54">
        <f ca="1">MIN(100,MAX(0,MCDA_Prioritisation!$H$5+(RAND()-0.5)*2*$B$7))</f>
        <v>73.556183970914063</v>
      </c>
      <c r="Y600" s="54">
        <f ca="1">H600*MCDA_Prioritisation!$D$2+I600*MCDA_Prioritisation!$E$2+J600*M600+K600*Q600+L600*U600</f>
        <v>89.863108146327463</v>
      </c>
      <c r="Z600" s="54">
        <f ca="1">H600*MCDA_Prioritisation!$D$3+I600*MCDA_Prioritisation!$E$3+J600*N600+K600*R600+L600*V600</f>
        <v>85.264547914182984</v>
      </c>
      <c r="AA600" s="54">
        <f ca="1">H600*MCDA_Prioritisation!$D$4+I600*MCDA_Prioritisation!$E$4+J600*O600+K600*S600+L600*W600</f>
        <v>70.8200480042793</v>
      </c>
      <c r="AB600" s="54">
        <f ca="1">H600*MCDA_Prioritisation!$D$5+I600*MCDA_Prioritisation!$E$5+J600*P600+K600*T600+L600*X600</f>
        <v>71.401593960456893</v>
      </c>
      <c r="AC600" s="54">
        <f t="shared" ref="AC600:AC663" ca="1" si="132">SUMPRODUCT(--($Y600:$AB600&gt;Y600))+1</f>
        <v>1</v>
      </c>
      <c r="AD600" s="54">
        <f t="shared" ref="AD600:AD663" ca="1" si="133">SUMPRODUCT(--($Y600:$AB600&gt;Z600))+1</f>
        <v>2</v>
      </c>
      <c r="AE600" s="54">
        <f t="shared" ref="AE600:AE663" ca="1" si="134">SUMPRODUCT(--($Y600:$AB600&gt;AA600))+1</f>
        <v>4</v>
      </c>
      <c r="AF600" s="54">
        <f t="shared" ref="AF600:AF663" ca="1" si="135">SUMPRODUCT(--($Y600:$AB600&gt;AB600))+1</f>
        <v>3</v>
      </c>
      <c r="AG600" s="54">
        <f t="shared" ref="AG600:AG663" ca="1" si="136">IF(AC600=1,1,0)</f>
        <v>1</v>
      </c>
      <c r="AH600" s="54">
        <f t="shared" ref="AH600:AH663" ca="1" si="137">IF(AD600=2,1,0)</f>
        <v>1</v>
      </c>
      <c r="AI600" s="54">
        <f t="shared" ref="AI600:AI663" ca="1" si="138">IF(AND(AC600=1,AD600=2,AE600=3,AF600=4),1,0)</f>
        <v>0</v>
      </c>
      <c r="AJ600" s="54">
        <f t="shared" ref="AJ600:AJ663" ca="1" si="139">IF(AND(AC600&lt;=2,AD600&lt;=2),1,0)</f>
        <v>1</v>
      </c>
    </row>
    <row r="601" spans="1:36" x14ac:dyDescent="0.2">
      <c r="A601" s="54">
        <v>578</v>
      </c>
      <c r="B601" s="54">
        <f ca="1">MAX(0.02,MCDA_Prioritisation!$B$9+(RAND()-0.5)*2*$B$6)</f>
        <v>0.27240903942726763</v>
      </c>
      <c r="C601" s="54">
        <f ca="1">MAX(0.02,MCDA_Prioritisation!$B$10+(RAND()-0.5)*2*$B$6)</f>
        <v>0.32675671379279903</v>
      </c>
      <c r="D601" s="54">
        <f ca="1">MAX(0.02,MCDA_Prioritisation!$B$11+(RAND()-0.5)*2*$B$6)</f>
        <v>0.27649479447606795</v>
      </c>
      <c r="E601" s="54">
        <f ca="1">MAX(0.02,MCDA_Prioritisation!$B$12+(RAND()-0.5)*2*$B$6)</f>
        <v>0.1060358145597293</v>
      </c>
      <c r="F601" s="54">
        <f ca="1">MAX(0.02,MCDA_Prioritisation!$B$13+(RAND()-0.5)*2*$B$6)</f>
        <v>0.19878343727226883</v>
      </c>
      <c r="G601" s="54">
        <f t="shared" ca="1" si="126"/>
        <v>1.1804797995281329</v>
      </c>
      <c r="H601" s="54">
        <f t="shared" ca="1" si="127"/>
        <v>0.23076128836440599</v>
      </c>
      <c r="I601" s="54">
        <f t="shared" ca="1" si="128"/>
        <v>0.27679991976432955</v>
      </c>
      <c r="J601" s="54">
        <f t="shared" ca="1" si="129"/>
        <v>0.23422238532721171</v>
      </c>
      <c r="K601" s="54">
        <f t="shared" ca="1" si="130"/>
        <v>8.9824336343675218E-2</v>
      </c>
      <c r="L601" s="54">
        <f t="shared" ca="1" si="131"/>
        <v>0.16839207020037744</v>
      </c>
      <c r="M601" s="54">
        <f ca="1">MIN(100,MAX(0,MCDA_Prioritisation!$F$2+(RAND()-0.5)*2*$B$7))</f>
        <v>87.449358281327164</v>
      </c>
      <c r="N601" s="54">
        <f ca="1">MIN(100,MAX(0,MCDA_Prioritisation!$F$3+(RAND()-0.5)*2*$B$7))</f>
        <v>85.575433575605572</v>
      </c>
      <c r="O601" s="54">
        <f ca="1">MIN(100,MAX(0,MCDA_Prioritisation!$F$4+(RAND()-0.5)*2*$B$7))</f>
        <v>99.293943451345172</v>
      </c>
      <c r="P601" s="54">
        <f ca="1">MIN(100,MAX(0,MCDA_Prioritisation!$F$5+(RAND()-0.5)*2*$B$7))</f>
        <v>79.788489432130376</v>
      </c>
      <c r="Q601" s="54">
        <f ca="1">MIN(100,MAX(0,MCDA_Prioritisation!$G$2+(RAND()-0.5)*2*$B$7))</f>
        <v>82.100344965584441</v>
      </c>
      <c r="R601" s="54">
        <f ca="1">MIN(100,MAX(0,MCDA_Prioritisation!$G$3+(RAND()-0.5)*2*$B$7))</f>
        <v>91.374372877165186</v>
      </c>
      <c r="S601" s="54">
        <f ca="1">MIN(100,MAX(0,MCDA_Prioritisation!$G$4+(RAND()-0.5)*2*$B$7))</f>
        <v>87.986138103967392</v>
      </c>
      <c r="T601" s="54">
        <f ca="1">MIN(100,MAX(0,MCDA_Prioritisation!$G$5+(RAND()-0.5)*2*$B$7))</f>
        <v>75.168569482235469</v>
      </c>
      <c r="U601" s="54">
        <f ca="1">MIN(100,MAX(0,MCDA_Prioritisation!$H$2+(RAND()-0.5)*2*$B$7))</f>
        <v>70.636574622245305</v>
      </c>
      <c r="V601" s="54">
        <f ca="1">MIN(100,MAX(0,MCDA_Prioritisation!$H$3+(RAND()-0.5)*2*$B$7))</f>
        <v>56.37916860898985</v>
      </c>
      <c r="W601" s="54">
        <f ca="1">MIN(100,MAX(0,MCDA_Prioritisation!$H$4+(RAND()-0.5)*2*$B$7))</f>
        <v>76.886673027751257</v>
      </c>
      <c r="X601" s="54">
        <f ca="1">MIN(100,MAX(0,MCDA_Prioritisation!$H$5+(RAND()-0.5)*2*$B$7))</f>
        <v>77.385896391236898</v>
      </c>
      <c r="Y601" s="54">
        <f ca="1">H601*MCDA_Prioritisation!$D$2+I601*MCDA_Prioritisation!$E$2+J601*M601+K601*Q601+L601*U601</f>
        <v>90.507966137483706</v>
      </c>
      <c r="Z601" s="54">
        <f ca="1">H601*MCDA_Prioritisation!$D$3+I601*MCDA_Prioritisation!$E$3+J601*N601+K601*R601+L601*V601</f>
        <v>78.04383998043437</v>
      </c>
      <c r="AA601" s="54">
        <f ca="1">H601*MCDA_Prioritisation!$D$4+I601*MCDA_Prioritisation!$E$4+J601*O601+K601*S601+L601*W601</f>
        <v>75.274303798251822</v>
      </c>
      <c r="AB601" s="54">
        <f ca="1">H601*MCDA_Prioritisation!$D$5+I601*MCDA_Prioritisation!$E$5+J601*P601+K601*T601+L601*X601</f>
        <v>73.995606087374867</v>
      </c>
      <c r="AC601" s="54">
        <f t="shared" ca="1" si="132"/>
        <v>1</v>
      </c>
      <c r="AD601" s="54">
        <f t="shared" ca="1" si="133"/>
        <v>2</v>
      </c>
      <c r="AE601" s="54">
        <f t="shared" ca="1" si="134"/>
        <v>3</v>
      </c>
      <c r="AF601" s="54">
        <f t="shared" ca="1" si="135"/>
        <v>4</v>
      </c>
      <c r="AG601" s="54">
        <f t="shared" ca="1" si="136"/>
        <v>1</v>
      </c>
      <c r="AH601" s="54">
        <f t="shared" ca="1" si="137"/>
        <v>1</v>
      </c>
      <c r="AI601" s="54">
        <f t="shared" ca="1" si="138"/>
        <v>1</v>
      </c>
      <c r="AJ601" s="54">
        <f t="shared" ca="1" si="139"/>
        <v>1</v>
      </c>
    </row>
    <row r="602" spans="1:36" x14ac:dyDescent="0.2">
      <c r="A602" s="54">
        <v>579</v>
      </c>
      <c r="B602" s="54">
        <f ca="1">MAX(0.02,MCDA_Prioritisation!$B$9+(RAND()-0.5)*2*$B$6)</f>
        <v>0.131425567645785</v>
      </c>
      <c r="C602" s="54">
        <f ca="1">MAX(0.02,MCDA_Prioritisation!$B$10+(RAND()-0.5)*2*$B$6)</f>
        <v>0.28677184263658584</v>
      </c>
      <c r="D602" s="54">
        <f ca="1">MAX(0.02,MCDA_Prioritisation!$B$11+(RAND()-0.5)*2*$B$6)</f>
        <v>0.31083624461309745</v>
      </c>
      <c r="E602" s="54">
        <f ca="1">MAX(0.02,MCDA_Prioritisation!$B$12+(RAND()-0.5)*2*$B$6)</f>
        <v>0.17862062708841225</v>
      </c>
      <c r="F602" s="54">
        <f ca="1">MAX(0.02,MCDA_Prioritisation!$B$13+(RAND()-0.5)*2*$B$6)</f>
        <v>0.16573103590469743</v>
      </c>
      <c r="G602" s="54">
        <f t="shared" ca="1" si="126"/>
        <v>1.0733853178885782</v>
      </c>
      <c r="H602" s="54">
        <f t="shared" ca="1" si="127"/>
        <v>0.12244025091037021</v>
      </c>
      <c r="I602" s="54">
        <f t="shared" ca="1" si="128"/>
        <v>0.26716579578402055</v>
      </c>
      <c r="J602" s="54">
        <f t="shared" ca="1" si="129"/>
        <v>0.28958496024944097</v>
      </c>
      <c r="K602" s="54">
        <f t="shared" ca="1" si="130"/>
        <v>0.16640867367160486</v>
      </c>
      <c r="L602" s="54">
        <f t="shared" ca="1" si="131"/>
        <v>0.15440031938456325</v>
      </c>
      <c r="M602" s="54">
        <f ca="1">MIN(100,MAX(0,MCDA_Prioritisation!$F$2+(RAND()-0.5)*2*$B$7))</f>
        <v>88.175407941758891</v>
      </c>
      <c r="N602" s="54">
        <f ca="1">MIN(100,MAX(0,MCDA_Prioritisation!$F$3+(RAND()-0.5)*2*$B$7))</f>
        <v>100</v>
      </c>
      <c r="O602" s="54">
        <f ca="1">MIN(100,MAX(0,MCDA_Prioritisation!$F$4+(RAND()-0.5)*2*$B$7))</f>
        <v>97.940468342282188</v>
      </c>
      <c r="P602" s="54">
        <f ca="1">MIN(100,MAX(0,MCDA_Prioritisation!$F$5+(RAND()-0.5)*2*$B$7))</f>
        <v>81.189407168766195</v>
      </c>
      <c r="Q602" s="54">
        <f ca="1">MIN(100,MAX(0,MCDA_Prioritisation!$G$2+(RAND()-0.5)*2*$B$7))</f>
        <v>84.202073972555226</v>
      </c>
      <c r="R602" s="54">
        <f ca="1">MIN(100,MAX(0,MCDA_Prioritisation!$G$3+(RAND()-0.5)*2*$B$7))</f>
        <v>89.321660780907493</v>
      </c>
      <c r="S602" s="54">
        <f ca="1">MIN(100,MAX(0,MCDA_Prioritisation!$G$4+(RAND()-0.5)*2*$B$7))</f>
        <v>91.879185028958432</v>
      </c>
      <c r="T602" s="54">
        <f ca="1">MIN(100,MAX(0,MCDA_Prioritisation!$G$5+(RAND()-0.5)*2*$B$7))</f>
        <v>62.440297904353642</v>
      </c>
      <c r="U602" s="54">
        <f ca="1">MIN(100,MAX(0,MCDA_Prioritisation!$H$2+(RAND()-0.5)*2*$B$7))</f>
        <v>73.588686042026097</v>
      </c>
      <c r="V602" s="54">
        <f ca="1">MIN(100,MAX(0,MCDA_Prioritisation!$H$3+(RAND()-0.5)*2*$B$7))</f>
        <v>60.181772004071071</v>
      </c>
      <c r="W602" s="54">
        <f ca="1">MIN(100,MAX(0,MCDA_Prioritisation!$H$4+(RAND()-0.5)*2*$B$7))</f>
        <v>78.416976384294244</v>
      </c>
      <c r="X602" s="54">
        <f ca="1">MIN(100,MAX(0,MCDA_Prioritisation!$H$5+(RAND()-0.5)*2*$B$7))</f>
        <v>81.46812804950288</v>
      </c>
      <c r="Y602" s="54">
        <f ca="1">H602*MCDA_Prioritisation!$D$2+I602*MCDA_Prioritisation!$E$2+J602*M602+K602*Q602+L602*U602</f>
        <v>89.868948751382021</v>
      </c>
      <c r="Z602" s="54">
        <f ca="1">H602*MCDA_Prioritisation!$D$3+I602*MCDA_Prioritisation!$E$3+J602*N602+K602*R602+L602*V602</f>
        <v>83.245610565342488</v>
      </c>
      <c r="AA602" s="54">
        <f ca="1">H602*MCDA_Prioritisation!$D$4+I602*MCDA_Prioritisation!$E$4+J602*O602+K602*S602+L602*W602</f>
        <v>78.857885215417497</v>
      </c>
      <c r="AB602" s="54">
        <f ca="1">H602*MCDA_Prioritisation!$D$5+I602*MCDA_Prioritisation!$E$5+J602*P602+K602*T602+L602*X602</f>
        <v>75.445383308623917</v>
      </c>
      <c r="AC602" s="54">
        <f t="shared" ca="1" si="132"/>
        <v>1</v>
      </c>
      <c r="AD602" s="54">
        <f t="shared" ca="1" si="133"/>
        <v>2</v>
      </c>
      <c r="AE602" s="54">
        <f t="shared" ca="1" si="134"/>
        <v>3</v>
      </c>
      <c r="AF602" s="54">
        <f t="shared" ca="1" si="135"/>
        <v>4</v>
      </c>
      <c r="AG602" s="54">
        <f t="shared" ca="1" si="136"/>
        <v>1</v>
      </c>
      <c r="AH602" s="54">
        <f t="shared" ca="1" si="137"/>
        <v>1</v>
      </c>
      <c r="AI602" s="54">
        <f t="shared" ca="1" si="138"/>
        <v>1</v>
      </c>
      <c r="AJ602" s="54">
        <f t="shared" ca="1" si="139"/>
        <v>1</v>
      </c>
    </row>
    <row r="603" spans="1:36" x14ac:dyDescent="0.2">
      <c r="A603" s="54">
        <v>580</v>
      </c>
      <c r="B603" s="54">
        <f ca="1">MAX(0.02,MCDA_Prioritisation!$B$9+(RAND()-0.5)*2*$B$6)</f>
        <v>0.182402408070511</v>
      </c>
      <c r="C603" s="54">
        <f ca="1">MAX(0.02,MCDA_Prioritisation!$B$10+(RAND()-0.5)*2*$B$6)</f>
        <v>0.20908135452334131</v>
      </c>
      <c r="D603" s="54">
        <f ca="1">MAX(0.02,MCDA_Prioritisation!$B$11+(RAND()-0.5)*2*$B$6)</f>
        <v>0.20881908796704585</v>
      </c>
      <c r="E603" s="54">
        <f ca="1">MAX(0.02,MCDA_Prioritisation!$B$12+(RAND()-0.5)*2*$B$6)</f>
        <v>0.13506023892897154</v>
      </c>
      <c r="F603" s="54">
        <f ca="1">MAX(0.02,MCDA_Prioritisation!$B$13+(RAND()-0.5)*2*$B$6)</f>
        <v>0.13511542807431906</v>
      </c>
      <c r="G603" s="54">
        <f t="shared" ca="1" si="126"/>
        <v>0.87047851756418881</v>
      </c>
      <c r="H603" s="54">
        <f t="shared" ca="1" si="127"/>
        <v>0.20954268760235167</v>
      </c>
      <c r="I603" s="54">
        <f t="shared" ca="1" si="128"/>
        <v>0.24019128594741423</v>
      </c>
      <c r="J603" s="54">
        <f t="shared" ca="1" si="129"/>
        <v>0.23988999585121593</v>
      </c>
      <c r="K603" s="54">
        <f t="shared" ca="1" si="130"/>
        <v>0.1551563148357791</v>
      </c>
      <c r="L603" s="54">
        <f t="shared" ca="1" si="131"/>
        <v>0.15521971576323904</v>
      </c>
      <c r="M603" s="54">
        <f ca="1">MIN(100,MAX(0,MCDA_Prioritisation!$F$2+(RAND()-0.5)*2*$B$7))</f>
        <v>90.141708788534814</v>
      </c>
      <c r="N603" s="54">
        <f ca="1">MIN(100,MAX(0,MCDA_Prioritisation!$F$3+(RAND()-0.5)*2*$B$7))</f>
        <v>85.925119399457088</v>
      </c>
      <c r="O603" s="54">
        <f ca="1">MIN(100,MAX(0,MCDA_Prioritisation!$F$4+(RAND()-0.5)*2*$B$7))</f>
        <v>88.807045642406521</v>
      </c>
      <c r="P603" s="54">
        <f ca="1">MIN(100,MAX(0,MCDA_Prioritisation!$F$5+(RAND()-0.5)*2*$B$7))</f>
        <v>71.868548574824445</v>
      </c>
      <c r="Q603" s="54">
        <f ca="1">MIN(100,MAX(0,MCDA_Prioritisation!$G$2+(RAND()-0.5)*2*$B$7))</f>
        <v>89.421252473565175</v>
      </c>
      <c r="R603" s="54">
        <f ca="1">MIN(100,MAX(0,MCDA_Prioritisation!$G$3+(RAND()-0.5)*2*$B$7))</f>
        <v>99.990298220447627</v>
      </c>
      <c r="S603" s="54">
        <f ca="1">MIN(100,MAX(0,MCDA_Prioritisation!$G$4+(RAND()-0.5)*2*$B$7))</f>
        <v>92.688254671497461</v>
      </c>
      <c r="T603" s="54">
        <f ca="1">MIN(100,MAX(0,MCDA_Prioritisation!$G$5+(RAND()-0.5)*2*$B$7))</f>
        <v>62.27380533087296</v>
      </c>
      <c r="U603" s="54">
        <f ca="1">MIN(100,MAX(0,MCDA_Prioritisation!$H$2+(RAND()-0.5)*2*$B$7))</f>
        <v>66.150425939363032</v>
      </c>
      <c r="V603" s="54">
        <f ca="1">MIN(100,MAX(0,MCDA_Prioritisation!$H$3+(RAND()-0.5)*2*$B$7))</f>
        <v>61.950126840764774</v>
      </c>
      <c r="W603" s="54">
        <f ca="1">MIN(100,MAX(0,MCDA_Prioritisation!$H$4+(RAND()-0.5)*2*$B$7))</f>
        <v>83.779383404127884</v>
      </c>
      <c r="X603" s="54">
        <f ca="1">MIN(100,MAX(0,MCDA_Prioritisation!$H$5+(RAND()-0.5)*2*$B$7))</f>
        <v>70.582819314995419</v>
      </c>
      <c r="Y603" s="54">
        <f ca="1">H603*MCDA_Prioritisation!$D$2+I603*MCDA_Prioritisation!$E$2+J603*M603+K603*Q603+L603*U603</f>
        <v>90.739613816003029</v>
      </c>
      <c r="Z603" s="54">
        <f ca="1">H603*MCDA_Prioritisation!$D$3+I603*MCDA_Prioritisation!$E$3+J603*N603+K603*R603+L603*V603</f>
        <v>81.524409553479174</v>
      </c>
      <c r="AA603" s="54">
        <f ca="1">H603*MCDA_Prioritisation!$D$4+I603*MCDA_Prioritisation!$E$4+J603*O603+K603*S603+L603*W603</f>
        <v>76.381965729629741</v>
      </c>
      <c r="AB603" s="54">
        <f ca="1">H603*MCDA_Prioritisation!$D$5+I603*MCDA_Prioritisation!$E$5+J603*P603+K603*T603+L603*X603</f>
        <v>69.178133308415809</v>
      </c>
      <c r="AC603" s="54">
        <f t="shared" ca="1" si="132"/>
        <v>1</v>
      </c>
      <c r="AD603" s="54">
        <f t="shared" ca="1" si="133"/>
        <v>2</v>
      </c>
      <c r="AE603" s="54">
        <f t="shared" ca="1" si="134"/>
        <v>3</v>
      </c>
      <c r="AF603" s="54">
        <f t="shared" ca="1" si="135"/>
        <v>4</v>
      </c>
      <c r="AG603" s="54">
        <f t="shared" ca="1" si="136"/>
        <v>1</v>
      </c>
      <c r="AH603" s="54">
        <f t="shared" ca="1" si="137"/>
        <v>1</v>
      </c>
      <c r="AI603" s="54">
        <f t="shared" ca="1" si="138"/>
        <v>1</v>
      </c>
      <c r="AJ603" s="54">
        <f t="shared" ca="1" si="139"/>
        <v>1</v>
      </c>
    </row>
    <row r="604" spans="1:36" x14ac:dyDescent="0.2">
      <c r="A604" s="54">
        <v>581</v>
      </c>
      <c r="B604" s="54">
        <f ca="1">MAX(0.02,MCDA_Prioritisation!$B$9+(RAND()-0.5)*2*$B$6)</f>
        <v>0.16837817976815608</v>
      </c>
      <c r="C604" s="54">
        <f ca="1">MAX(0.02,MCDA_Prioritisation!$B$10+(RAND()-0.5)*2*$B$6)</f>
        <v>0.2557319783267058</v>
      </c>
      <c r="D604" s="54">
        <f ca="1">MAX(0.02,MCDA_Prioritisation!$B$11+(RAND()-0.5)*2*$B$6)</f>
        <v>0.25667717986989974</v>
      </c>
      <c r="E604" s="54">
        <f ca="1">MAX(0.02,MCDA_Prioritisation!$B$12+(RAND()-0.5)*2*$B$6)</f>
        <v>0.20593023277378153</v>
      </c>
      <c r="F604" s="54">
        <f ca="1">MAX(0.02,MCDA_Prioritisation!$B$13+(RAND()-0.5)*2*$B$6)</f>
        <v>0.13143865627871476</v>
      </c>
      <c r="G604" s="54">
        <f t="shared" ca="1" si="126"/>
        <v>1.0181562270172577</v>
      </c>
      <c r="H604" s="54">
        <f t="shared" ca="1" si="127"/>
        <v>0.16537558313759848</v>
      </c>
      <c r="I604" s="54">
        <f t="shared" ca="1" si="128"/>
        <v>0.2511716488498883</v>
      </c>
      <c r="J604" s="54">
        <f t="shared" ca="1" si="129"/>
        <v>0.25209999512731857</v>
      </c>
      <c r="K604" s="54">
        <f t="shared" ca="1" si="130"/>
        <v>0.20225799077717668</v>
      </c>
      <c r="L604" s="54">
        <f t="shared" ca="1" si="131"/>
        <v>0.12909478210801817</v>
      </c>
      <c r="M604" s="54">
        <f ca="1">MIN(100,MAX(0,MCDA_Prioritisation!$F$2+(RAND()-0.5)*2*$B$7))</f>
        <v>81.529384379257735</v>
      </c>
      <c r="N604" s="54">
        <f ca="1">MIN(100,MAX(0,MCDA_Prioritisation!$F$3+(RAND()-0.5)*2*$B$7))</f>
        <v>94.040946094782612</v>
      </c>
      <c r="O604" s="54">
        <f ca="1">MIN(100,MAX(0,MCDA_Prioritisation!$F$4+(RAND()-0.5)*2*$B$7))</f>
        <v>95.584295607022113</v>
      </c>
      <c r="P604" s="54">
        <f ca="1">MIN(100,MAX(0,MCDA_Prioritisation!$F$5+(RAND()-0.5)*2*$B$7))</f>
        <v>80.903614095481117</v>
      </c>
      <c r="Q604" s="54">
        <f ca="1">MIN(100,MAX(0,MCDA_Prioritisation!$G$2+(RAND()-0.5)*2*$B$7))</f>
        <v>74.413939619987303</v>
      </c>
      <c r="R604" s="54">
        <f ca="1">MIN(100,MAX(0,MCDA_Prioritisation!$G$3+(RAND()-0.5)*2*$B$7))</f>
        <v>91.718571070519616</v>
      </c>
      <c r="S604" s="54">
        <f ca="1">MIN(100,MAX(0,MCDA_Prioritisation!$G$4+(RAND()-0.5)*2*$B$7))</f>
        <v>78.943394753810253</v>
      </c>
      <c r="T604" s="54">
        <f ca="1">MIN(100,MAX(0,MCDA_Prioritisation!$G$5+(RAND()-0.5)*2*$B$7))</f>
        <v>67.707893428361871</v>
      </c>
      <c r="U604" s="54">
        <f ca="1">MIN(100,MAX(0,MCDA_Prioritisation!$H$2+(RAND()-0.5)*2*$B$7))</f>
        <v>72.808618470506573</v>
      </c>
      <c r="V604" s="54">
        <f ca="1">MIN(100,MAX(0,MCDA_Prioritisation!$H$3+(RAND()-0.5)*2*$B$7))</f>
        <v>66.578766066351378</v>
      </c>
      <c r="W604" s="54">
        <f ca="1">MIN(100,MAX(0,MCDA_Prioritisation!$H$4+(RAND()-0.5)*2*$B$7))</f>
        <v>89.026787537505911</v>
      </c>
      <c r="X604" s="54">
        <f ca="1">MIN(100,MAX(0,MCDA_Prioritisation!$H$5+(RAND()-0.5)*2*$B$7))</f>
        <v>81.084099460233716</v>
      </c>
      <c r="Y604" s="54">
        <f ca="1">H604*MCDA_Prioritisation!$D$2+I604*MCDA_Prioritisation!$E$2+J604*M604+K604*Q604+L604*U604</f>
        <v>86.658307253881475</v>
      </c>
      <c r="Z604" s="54">
        <f ca="1">H604*MCDA_Prioritisation!$D$3+I604*MCDA_Prioritisation!$E$3+J604*N604+K604*R604+L604*V604</f>
        <v>83.573839516558451</v>
      </c>
      <c r="AA604" s="54">
        <f ca="1">H604*MCDA_Prioritisation!$D$4+I604*MCDA_Prioritisation!$E$4+J604*O604+K604*S604+L604*W604</f>
        <v>76.772681791892182</v>
      </c>
      <c r="AB604" s="54">
        <f ca="1">H604*MCDA_Prioritisation!$D$5+I604*MCDA_Prioritisation!$E$5+J604*P604+K604*T604+L604*X604</f>
        <v>74.456505875556445</v>
      </c>
      <c r="AC604" s="54">
        <f t="shared" ca="1" si="132"/>
        <v>1</v>
      </c>
      <c r="AD604" s="54">
        <f t="shared" ca="1" si="133"/>
        <v>2</v>
      </c>
      <c r="AE604" s="54">
        <f t="shared" ca="1" si="134"/>
        <v>3</v>
      </c>
      <c r="AF604" s="54">
        <f t="shared" ca="1" si="135"/>
        <v>4</v>
      </c>
      <c r="AG604" s="54">
        <f t="shared" ca="1" si="136"/>
        <v>1</v>
      </c>
      <c r="AH604" s="54">
        <f t="shared" ca="1" si="137"/>
        <v>1</v>
      </c>
      <c r="AI604" s="54">
        <f t="shared" ca="1" si="138"/>
        <v>1</v>
      </c>
      <c r="AJ604" s="54">
        <f t="shared" ca="1" si="139"/>
        <v>1</v>
      </c>
    </row>
    <row r="605" spans="1:36" x14ac:dyDescent="0.2">
      <c r="A605" s="54">
        <v>582</v>
      </c>
      <c r="B605" s="54">
        <f ca="1">MAX(0.02,MCDA_Prioritisation!$B$9+(RAND()-0.5)*2*$B$6)</f>
        <v>0.2111772429527603</v>
      </c>
      <c r="C605" s="54">
        <f ca="1">MAX(0.02,MCDA_Prioritisation!$B$10+(RAND()-0.5)*2*$B$6)</f>
        <v>0.19170564891490835</v>
      </c>
      <c r="D605" s="54">
        <f ca="1">MAX(0.02,MCDA_Prioritisation!$B$11+(RAND()-0.5)*2*$B$6)</f>
        <v>0.21251753600610729</v>
      </c>
      <c r="E605" s="54">
        <f ca="1">MAX(0.02,MCDA_Prioritisation!$B$12+(RAND()-0.5)*2*$B$6)</f>
        <v>0.18095799373599289</v>
      </c>
      <c r="F605" s="54">
        <f ca="1">MAX(0.02,MCDA_Prioritisation!$B$13+(RAND()-0.5)*2*$B$6)</f>
        <v>0.22410742741503309</v>
      </c>
      <c r="G605" s="54">
        <f t="shared" ca="1" si="126"/>
        <v>1.0204658490248018</v>
      </c>
      <c r="H605" s="54">
        <f t="shared" ca="1" si="127"/>
        <v>0.20694199923943538</v>
      </c>
      <c r="I605" s="54">
        <f t="shared" ca="1" si="128"/>
        <v>0.18786091577499628</v>
      </c>
      <c r="J605" s="54">
        <f t="shared" ca="1" si="129"/>
        <v>0.20825541218179677</v>
      </c>
      <c r="K605" s="54">
        <f t="shared" ca="1" si="130"/>
        <v>0.17732880910118023</v>
      </c>
      <c r="L605" s="54">
        <f t="shared" ca="1" si="131"/>
        <v>0.21961286370259148</v>
      </c>
      <c r="M605" s="54">
        <f ca="1">MIN(100,MAX(0,MCDA_Prioritisation!$F$2+(RAND()-0.5)*2*$B$7))</f>
        <v>82.657568403275278</v>
      </c>
      <c r="N605" s="54">
        <f ca="1">MIN(100,MAX(0,MCDA_Prioritisation!$F$3+(RAND()-0.5)*2*$B$7))</f>
        <v>87.771718737691501</v>
      </c>
      <c r="O605" s="54">
        <f ca="1">MIN(100,MAX(0,MCDA_Prioritisation!$F$4+(RAND()-0.5)*2*$B$7))</f>
        <v>97.378046540162359</v>
      </c>
      <c r="P605" s="54">
        <f ca="1">MIN(100,MAX(0,MCDA_Prioritisation!$F$5+(RAND()-0.5)*2*$B$7))</f>
        <v>76.220889345033456</v>
      </c>
      <c r="Q605" s="54">
        <f ca="1">MIN(100,MAX(0,MCDA_Prioritisation!$G$2+(RAND()-0.5)*2*$B$7))</f>
        <v>73.574505727979329</v>
      </c>
      <c r="R605" s="54">
        <f ca="1">MIN(100,MAX(0,MCDA_Prioritisation!$G$3+(RAND()-0.5)*2*$B$7))</f>
        <v>100</v>
      </c>
      <c r="S605" s="54">
        <f ca="1">MIN(100,MAX(0,MCDA_Prioritisation!$G$4+(RAND()-0.5)*2*$B$7))</f>
        <v>80.146621417671398</v>
      </c>
      <c r="T605" s="54">
        <f ca="1">MIN(100,MAX(0,MCDA_Prioritisation!$G$5+(RAND()-0.5)*2*$B$7))</f>
        <v>63.329103688208903</v>
      </c>
      <c r="U605" s="54">
        <f ca="1">MIN(100,MAX(0,MCDA_Prioritisation!$H$2+(RAND()-0.5)*2*$B$7))</f>
        <v>59.85199979399696</v>
      </c>
      <c r="V605" s="54">
        <f ca="1">MIN(100,MAX(0,MCDA_Prioritisation!$H$3+(RAND()-0.5)*2*$B$7))</f>
        <v>68.85976288154572</v>
      </c>
      <c r="W605" s="54">
        <f ca="1">MIN(100,MAX(0,MCDA_Prioritisation!$H$4+(RAND()-0.5)*2*$B$7))</f>
        <v>75.37360899918896</v>
      </c>
      <c r="X605" s="54">
        <f ca="1">MIN(100,MAX(0,MCDA_Prioritisation!$H$5+(RAND()-0.5)*2*$B$7))</f>
        <v>81.374619760592381</v>
      </c>
      <c r="Y605" s="54">
        <f ca="1">H605*MCDA_Prioritisation!$D$2+I605*MCDA_Prioritisation!$E$2+J605*M605+K605*Q605+L605*U605</f>
        <v>82.885326033249441</v>
      </c>
      <c r="Z605" s="54">
        <f ca="1">H605*MCDA_Prioritisation!$D$3+I605*MCDA_Prioritisation!$E$3+J605*N605+K605*R605+L605*V605</f>
        <v>82.88299479406362</v>
      </c>
      <c r="AA605" s="54">
        <f ca="1">H605*MCDA_Prioritisation!$D$4+I605*MCDA_Prioritisation!$E$4+J605*O605+K605*S605+L605*W605</f>
        <v>75.702007609014302</v>
      </c>
      <c r="AB605" s="54">
        <f ca="1">H605*MCDA_Prioritisation!$D$5+I605*MCDA_Prioritisation!$E$5+J605*P605+K605*T605+L605*X605</f>
        <v>71.755426485535651</v>
      </c>
      <c r="AC605" s="54">
        <f t="shared" ca="1" si="132"/>
        <v>1</v>
      </c>
      <c r="AD605" s="54">
        <f t="shared" ca="1" si="133"/>
        <v>2</v>
      </c>
      <c r="AE605" s="54">
        <f t="shared" ca="1" si="134"/>
        <v>3</v>
      </c>
      <c r="AF605" s="54">
        <f t="shared" ca="1" si="135"/>
        <v>4</v>
      </c>
      <c r="AG605" s="54">
        <f t="shared" ca="1" si="136"/>
        <v>1</v>
      </c>
      <c r="AH605" s="54">
        <f t="shared" ca="1" si="137"/>
        <v>1</v>
      </c>
      <c r="AI605" s="54">
        <f t="shared" ca="1" si="138"/>
        <v>1</v>
      </c>
      <c r="AJ605" s="54">
        <f t="shared" ca="1" si="139"/>
        <v>1</v>
      </c>
    </row>
    <row r="606" spans="1:36" x14ac:dyDescent="0.2">
      <c r="A606" s="54">
        <v>583</v>
      </c>
      <c r="B606" s="54">
        <f ca="1">MAX(0.02,MCDA_Prioritisation!$B$9+(RAND()-0.5)*2*$B$6)</f>
        <v>0.18148727955070698</v>
      </c>
      <c r="C606" s="54">
        <f ca="1">MAX(0.02,MCDA_Prioritisation!$B$10+(RAND()-0.5)*2*$B$6)</f>
        <v>0.2275369572506018</v>
      </c>
      <c r="D606" s="54">
        <f ca="1">MAX(0.02,MCDA_Prioritisation!$B$11+(RAND()-0.5)*2*$B$6)</f>
        <v>0.31543924843811233</v>
      </c>
      <c r="E606" s="54">
        <f ca="1">MAX(0.02,MCDA_Prioritisation!$B$12+(RAND()-0.5)*2*$B$6)</f>
        <v>0.11546750342411595</v>
      </c>
      <c r="F606" s="54">
        <f ca="1">MAX(0.02,MCDA_Prioritisation!$B$13+(RAND()-0.5)*2*$B$6)</f>
        <v>0.13797383755872913</v>
      </c>
      <c r="G606" s="54">
        <f t="shared" ca="1" si="126"/>
        <v>0.97790482622226627</v>
      </c>
      <c r="H606" s="54">
        <f t="shared" ca="1" si="127"/>
        <v>0.18558787592020437</v>
      </c>
      <c r="I606" s="54">
        <f t="shared" ca="1" si="128"/>
        <v>0.23267801850369979</v>
      </c>
      <c r="J606" s="54">
        <f t="shared" ca="1" si="129"/>
        <v>0.3225664093066013</v>
      </c>
      <c r="K606" s="54">
        <f t="shared" ca="1" si="130"/>
        <v>0.1180764224982683</v>
      </c>
      <c r="L606" s="54">
        <f t="shared" ca="1" si="131"/>
        <v>0.14109127377122618</v>
      </c>
      <c r="M606" s="54">
        <f ca="1">MIN(100,MAX(0,MCDA_Prioritisation!$F$2+(RAND()-0.5)*2*$B$7))</f>
        <v>80.415427370490264</v>
      </c>
      <c r="N606" s="54">
        <f ca="1">MIN(100,MAX(0,MCDA_Prioritisation!$F$3+(RAND()-0.5)*2*$B$7))</f>
        <v>97.546639945936349</v>
      </c>
      <c r="O606" s="54">
        <f ca="1">MIN(100,MAX(0,MCDA_Prioritisation!$F$4+(RAND()-0.5)*2*$B$7))</f>
        <v>82.58657585110825</v>
      </c>
      <c r="P606" s="54">
        <f ca="1">MIN(100,MAX(0,MCDA_Prioritisation!$F$5+(RAND()-0.5)*2*$B$7))</f>
        <v>76.018529053937087</v>
      </c>
      <c r="Q606" s="54">
        <f ca="1">MIN(100,MAX(0,MCDA_Prioritisation!$G$2+(RAND()-0.5)*2*$B$7))</f>
        <v>74.204515296807671</v>
      </c>
      <c r="R606" s="54">
        <f ca="1">MIN(100,MAX(0,MCDA_Prioritisation!$G$3+(RAND()-0.5)*2*$B$7))</f>
        <v>100</v>
      </c>
      <c r="S606" s="54">
        <f ca="1">MIN(100,MAX(0,MCDA_Prioritisation!$G$4+(RAND()-0.5)*2*$B$7))</f>
        <v>76.398539529004921</v>
      </c>
      <c r="T606" s="54">
        <f ca="1">MIN(100,MAX(0,MCDA_Prioritisation!$G$5+(RAND()-0.5)*2*$B$7))</f>
        <v>79.779167490636411</v>
      </c>
      <c r="U606" s="54">
        <f ca="1">MIN(100,MAX(0,MCDA_Prioritisation!$H$2+(RAND()-0.5)*2*$B$7))</f>
        <v>66.906281430182347</v>
      </c>
      <c r="V606" s="54">
        <f ca="1">MIN(100,MAX(0,MCDA_Prioritisation!$H$3+(RAND()-0.5)*2*$B$7))</f>
        <v>64.457484808633751</v>
      </c>
      <c r="W606" s="54">
        <f ca="1">MIN(100,MAX(0,MCDA_Prioritisation!$H$4+(RAND()-0.5)*2*$B$7))</f>
        <v>74.304244440191155</v>
      </c>
      <c r="X606" s="54">
        <f ca="1">MIN(100,MAX(0,MCDA_Prioritisation!$H$5+(RAND()-0.5)*2*$B$7))</f>
        <v>84.51579920753889</v>
      </c>
      <c r="Y606" s="54">
        <f ca="1">H606*MCDA_Prioritisation!$D$2+I606*MCDA_Prioritisation!$E$2+J606*M606+K606*Q606+L606*U606</f>
        <v>85.967601271890885</v>
      </c>
      <c r="Z606" s="54">
        <f ca="1">H606*MCDA_Prioritisation!$D$3+I606*MCDA_Prioritisation!$E$3+J606*N606+K606*R606+L606*V606</f>
        <v>85.509131742604851</v>
      </c>
      <c r="AA606" s="54">
        <f ca="1">H606*MCDA_Prioritisation!$D$4+I606*MCDA_Prioritisation!$E$4+J606*O606+K606*S606+L606*W606</f>
        <v>71.758978919674817</v>
      </c>
      <c r="AB606" s="54">
        <f ca="1">H606*MCDA_Prioritisation!$D$5+I606*MCDA_Prioritisation!$E$5+J606*P606+K606*T606+L606*X606</f>
        <v>75.28185216492534</v>
      </c>
      <c r="AC606" s="54">
        <f t="shared" ca="1" si="132"/>
        <v>1</v>
      </c>
      <c r="AD606" s="54">
        <f t="shared" ca="1" si="133"/>
        <v>2</v>
      </c>
      <c r="AE606" s="54">
        <f t="shared" ca="1" si="134"/>
        <v>4</v>
      </c>
      <c r="AF606" s="54">
        <f t="shared" ca="1" si="135"/>
        <v>3</v>
      </c>
      <c r="AG606" s="54">
        <f t="shared" ca="1" si="136"/>
        <v>1</v>
      </c>
      <c r="AH606" s="54">
        <f t="shared" ca="1" si="137"/>
        <v>1</v>
      </c>
      <c r="AI606" s="54">
        <f t="shared" ca="1" si="138"/>
        <v>0</v>
      </c>
      <c r="AJ606" s="54">
        <f t="shared" ca="1" si="139"/>
        <v>1</v>
      </c>
    </row>
    <row r="607" spans="1:36" x14ac:dyDescent="0.2">
      <c r="A607" s="54">
        <v>584</v>
      </c>
      <c r="B607" s="54">
        <f ca="1">MAX(0.02,MCDA_Prioritisation!$B$9+(RAND()-0.5)*2*$B$6)</f>
        <v>0.18238836695810226</v>
      </c>
      <c r="C607" s="54">
        <f ca="1">MAX(0.02,MCDA_Prioritisation!$B$10+(RAND()-0.5)*2*$B$6)</f>
        <v>0.18006101211351005</v>
      </c>
      <c r="D607" s="54">
        <f ca="1">MAX(0.02,MCDA_Prioritisation!$B$11+(RAND()-0.5)*2*$B$6)</f>
        <v>0.23112394829456145</v>
      </c>
      <c r="E607" s="54">
        <f ca="1">MAX(0.02,MCDA_Prioritisation!$B$12+(RAND()-0.5)*2*$B$6)</f>
        <v>7.1170574477301921E-2</v>
      </c>
      <c r="F607" s="54">
        <f ca="1">MAX(0.02,MCDA_Prioritisation!$B$13+(RAND()-0.5)*2*$B$6)</f>
        <v>0.17722509720616317</v>
      </c>
      <c r="G607" s="54">
        <f t="shared" ca="1" si="126"/>
        <v>0.84196899904963896</v>
      </c>
      <c r="H607" s="54">
        <f t="shared" ca="1" si="127"/>
        <v>0.21662123803129407</v>
      </c>
      <c r="I607" s="54">
        <f t="shared" ca="1" si="128"/>
        <v>0.21385705687115733</v>
      </c>
      <c r="J607" s="54">
        <f t="shared" ca="1" si="129"/>
        <v>0.27450410710541534</v>
      </c>
      <c r="K607" s="54">
        <f t="shared" ca="1" si="130"/>
        <v>8.4528735093138505E-2</v>
      </c>
      <c r="L607" s="54">
        <f t="shared" ca="1" si="131"/>
        <v>0.2104888628989946</v>
      </c>
      <c r="M607" s="54">
        <f ca="1">MIN(100,MAX(0,MCDA_Prioritisation!$F$2+(RAND()-0.5)*2*$B$7))</f>
        <v>85.45776660910812</v>
      </c>
      <c r="N607" s="54">
        <f ca="1">MIN(100,MAX(0,MCDA_Prioritisation!$F$3+(RAND()-0.5)*2*$B$7))</f>
        <v>93.313892166423685</v>
      </c>
      <c r="O607" s="54">
        <f ca="1">MIN(100,MAX(0,MCDA_Prioritisation!$F$4+(RAND()-0.5)*2*$B$7))</f>
        <v>93.083062402673391</v>
      </c>
      <c r="P607" s="54">
        <f ca="1">MIN(100,MAX(0,MCDA_Prioritisation!$F$5+(RAND()-0.5)*2*$B$7))</f>
        <v>81.030476829645067</v>
      </c>
      <c r="Q607" s="54">
        <f ca="1">MIN(100,MAX(0,MCDA_Prioritisation!$G$2+(RAND()-0.5)*2*$B$7))</f>
        <v>71.684176048734201</v>
      </c>
      <c r="R607" s="54">
        <f ca="1">MIN(100,MAX(0,MCDA_Prioritisation!$G$3+(RAND()-0.5)*2*$B$7))</f>
        <v>87.638759763919751</v>
      </c>
      <c r="S607" s="54">
        <f ca="1">MIN(100,MAX(0,MCDA_Prioritisation!$G$4+(RAND()-0.5)*2*$B$7))</f>
        <v>89.175991262431239</v>
      </c>
      <c r="T607" s="54">
        <f ca="1">MIN(100,MAX(0,MCDA_Prioritisation!$G$5+(RAND()-0.5)*2*$B$7))</f>
        <v>63.16754368676969</v>
      </c>
      <c r="U607" s="54">
        <f ca="1">MIN(100,MAX(0,MCDA_Prioritisation!$H$2+(RAND()-0.5)*2*$B$7))</f>
        <v>67.96830028949276</v>
      </c>
      <c r="V607" s="54">
        <f ca="1">MIN(100,MAX(0,MCDA_Prioritisation!$H$3+(RAND()-0.5)*2*$B$7))</f>
        <v>69.47259843445346</v>
      </c>
      <c r="W607" s="54">
        <f ca="1">MIN(100,MAX(0,MCDA_Prioritisation!$H$4+(RAND()-0.5)*2*$B$7))</f>
        <v>72.838613232092399</v>
      </c>
      <c r="X607" s="54">
        <f ca="1">MIN(100,MAX(0,MCDA_Prioritisation!$H$5+(RAND()-0.5)*2*$B$7))</f>
        <v>81.769558420712187</v>
      </c>
      <c r="Y607" s="54">
        <f ca="1">H607*MCDA_Prioritisation!$D$2+I607*MCDA_Prioritisation!$E$2+J607*M607+K607*Q607+L607*U607</f>
        <v>86.872280377207431</v>
      </c>
      <c r="Z607" s="54">
        <f ca="1">H607*MCDA_Prioritisation!$D$3+I607*MCDA_Prioritisation!$E$3+J607*N607+K607*R607+L607*V607</f>
        <v>82.131500424990477</v>
      </c>
      <c r="AA607" s="54">
        <f ca="1">H607*MCDA_Prioritisation!$D$4+I607*MCDA_Prioritisation!$E$4+J607*O607+K607*S607+L607*W607</f>
        <v>75.170493509484743</v>
      </c>
      <c r="AB607" s="54">
        <f ca="1">H607*MCDA_Prioritisation!$D$5+I607*MCDA_Prioritisation!$E$5+J607*P607+K607*T607+L607*X607</f>
        <v>74.275051919581472</v>
      </c>
      <c r="AC607" s="54">
        <f t="shared" ca="1" si="132"/>
        <v>1</v>
      </c>
      <c r="AD607" s="54">
        <f t="shared" ca="1" si="133"/>
        <v>2</v>
      </c>
      <c r="AE607" s="54">
        <f t="shared" ca="1" si="134"/>
        <v>3</v>
      </c>
      <c r="AF607" s="54">
        <f t="shared" ca="1" si="135"/>
        <v>4</v>
      </c>
      <c r="AG607" s="54">
        <f t="shared" ca="1" si="136"/>
        <v>1</v>
      </c>
      <c r="AH607" s="54">
        <f t="shared" ca="1" si="137"/>
        <v>1</v>
      </c>
      <c r="AI607" s="54">
        <f t="shared" ca="1" si="138"/>
        <v>1</v>
      </c>
      <c r="AJ607" s="54">
        <f t="shared" ca="1" si="139"/>
        <v>1</v>
      </c>
    </row>
    <row r="608" spans="1:36" x14ac:dyDescent="0.2">
      <c r="A608" s="54">
        <v>585</v>
      </c>
      <c r="B608" s="54">
        <f ca="1">MAX(0.02,MCDA_Prioritisation!$B$9+(RAND()-0.5)*2*$B$6)</f>
        <v>0.17459917363149297</v>
      </c>
      <c r="C608" s="54">
        <f ca="1">MAX(0.02,MCDA_Prioritisation!$B$10+(RAND()-0.5)*2*$B$6)</f>
        <v>0.24009371901861862</v>
      </c>
      <c r="D608" s="54">
        <f ca="1">MAX(0.02,MCDA_Prioritisation!$B$11+(RAND()-0.5)*2*$B$6)</f>
        <v>0.27198574569846801</v>
      </c>
      <c r="E608" s="54">
        <f ca="1">MAX(0.02,MCDA_Prioritisation!$B$12+(RAND()-0.5)*2*$B$6)</f>
        <v>0.15198756273513803</v>
      </c>
      <c r="F608" s="54">
        <f ca="1">MAX(0.02,MCDA_Prioritisation!$B$13+(RAND()-0.5)*2*$B$6)</f>
        <v>0.21142244827700604</v>
      </c>
      <c r="G608" s="54">
        <f t="shared" ca="1" si="126"/>
        <v>1.0500886493607235</v>
      </c>
      <c r="H608" s="54">
        <f t="shared" ca="1" si="127"/>
        <v>0.16627088935566156</v>
      </c>
      <c r="I608" s="54">
        <f t="shared" ca="1" si="128"/>
        <v>0.22864138105366977</v>
      </c>
      <c r="J608" s="54">
        <f t="shared" ca="1" si="129"/>
        <v>0.25901217565207318</v>
      </c>
      <c r="K608" s="54">
        <f t="shared" ca="1" si="130"/>
        <v>0.1447378398268237</v>
      </c>
      <c r="L608" s="54">
        <f t="shared" ca="1" si="131"/>
        <v>0.2013377141117719</v>
      </c>
      <c r="M608" s="54">
        <f ca="1">MIN(100,MAX(0,MCDA_Prioritisation!$F$2+(RAND()-0.5)*2*$B$7))</f>
        <v>86.079712282787185</v>
      </c>
      <c r="N608" s="54">
        <f ca="1">MIN(100,MAX(0,MCDA_Prioritisation!$F$3+(RAND()-0.5)*2*$B$7))</f>
        <v>89.869695234240766</v>
      </c>
      <c r="O608" s="54">
        <f ca="1">MIN(100,MAX(0,MCDA_Prioritisation!$F$4+(RAND()-0.5)*2*$B$7))</f>
        <v>86.252969873042773</v>
      </c>
      <c r="P608" s="54">
        <f ca="1">MIN(100,MAX(0,MCDA_Prioritisation!$F$5+(RAND()-0.5)*2*$B$7))</f>
        <v>74.390364298902469</v>
      </c>
      <c r="Q608" s="54">
        <f ca="1">MIN(100,MAX(0,MCDA_Prioritisation!$G$2+(RAND()-0.5)*2*$B$7))</f>
        <v>73.18559157804809</v>
      </c>
      <c r="R608" s="54">
        <f ca="1">MIN(100,MAX(0,MCDA_Prioritisation!$G$3+(RAND()-0.5)*2*$B$7))</f>
        <v>90.83980179326295</v>
      </c>
      <c r="S608" s="54">
        <f ca="1">MIN(100,MAX(0,MCDA_Prioritisation!$G$4+(RAND()-0.5)*2*$B$7))</f>
        <v>90.338658330427393</v>
      </c>
      <c r="T608" s="54">
        <f ca="1">MIN(100,MAX(0,MCDA_Prioritisation!$G$5+(RAND()-0.5)*2*$B$7))</f>
        <v>72.717259859362059</v>
      </c>
      <c r="U608" s="54">
        <f ca="1">MIN(100,MAX(0,MCDA_Prioritisation!$H$2+(RAND()-0.5)*2*$B$7))</f>
        <v>68.830776932503738</v>
      </c>
      <c r="V608" s="54">
        <f ca="1">MIN(100,MAX(0,MCDA_Prioritisation!$H$3+(RAND()-0.5)*2*$B$7))</f>
        <v>69.08183969730328</v>
      </c>
      <c r="W608" s="54">
        <f ca="1">MIN(100,MAX(0,MCDA_Prioritisation!$H$4+(RAND()-0.5)*2*$B$7))</f>
        <v>72.51867806749587</v>
      </c>
      <c r="X608" s="54">
        <f ca="1">MIN(100,MAX(0,MCDA_Prioritisation!$H$5+(RAND()-0.5)*2*$B$7))</f>
        <v>82.799066700500987</v>
      </c>
      <c r="Y608" s="54">
        <f ca="1">H608*MCDA_Prioritisation!$D$2+I608*MCDA_Prioritisation!$E$2+J608*M608+K608*Q608+L608*U608</f>
        <v>86.237876318384778</v>
      </c>
      <c r="Z608" s="54">
        <f ca="1">H608*MCDA_Prioritisation!$D$3+I608*MCDA_Prioritisation!$E$3+J608*N608+K608*R608+L608*V608</f>
        <v>81.49409592821047</v>
      </c>
      <c r="AA608" s="54">
        <f ca="1">H608*MCDA_Prioritisation!$D$4+I608*MCDA_Prioritisation!$E$4+J608*O608+K608*S608+L608*W608</f>
        <v>74.06621186743628</v>
      </c>
      <c r="AB608" s="54">
        <f ca="1">H608*MCDA_Prioritisation!$D$5+I608*MCDA_Prioritisation!$E$5+J608*P608+K608*T608+L608*X608</f>
        <v>74.515161027470754</v>
      </c>
      <c r="AC608" s="54">
        <f t="shared" ca="1" si="132"/>
        <v>1</v>
      </c>
      <c r="AD608" s="54">
        <f t="shared" ca="1" si="133"/>
        <v>2</v>
      </c>
      <c r="AE608" s="54">
        <f t="shared" ca="1" si="134"/>
        <v>4</v>
      </c>
      <c r="AF608" s="54">
        <f t="shared" ca="1" si="135"/>
        <v>3</v>
      </c>
      <c r="AG608" s="54">
        <f t="shared" ca="1" si="136"/>
        <v>1</v>
      </c>
      <c r="AH608" s="54">
        <f t="shared" ca="1" si="137"/>
        <v>1</v>
      </c>
      <c r="AI608" s="54">
        <f t="shared" ca="1" si="138"/>
        <v>0</v>
      </c>
      <c r="AJ608" s="54">
        <f t="shared" ca="1" si="139"/>
        <v>1</v>
      </c>
    </row>
    <row r="609" spans="1:36" x14ac:dyDescent="0.2">
      <c r="A609" s="54">
        <v>586</v>
      </c>
      <c r="B609" s="54">
        <f ca="1">MAX(0.02,MCDA_Prioritisation!$B$9+(RAND()-0.5)*2*$B$6)</f>
        <v>0.22626639652296271</v>
      </c>
      <c r="C609" s="54">
        <f ca="1">MAX(0.02,MCDA_Prioritisation!$B$10+(RAND()-0.5)*2*$B$6)</f>
        <v>0.24582338523312558</v>
      </c>
      <c r="D609" s="54">
        <f ca="1">MAX(0.02,MCDA_Prioritisation!$B$11+(RAND()-0.5)*2*$B$6)</f>
        <v>0.23063918127363567</v>
      </c>
      <c r="E609" s="54">
        <f ca="1">MAX(0.02,MCDA_Prioritisation!$B$12+(RAND()-0.5)*2*$B$6)</f>
        <v>0.10173483617186281</v>
      </c>
      <c r="F609" s="54">
        <f ca="1">MAX(0.02,MCDA_Prioritisation!$B$13+(RAND()-0.5)*2*$B$6)</f>
        <v>0.11371142648237145</v>
      </c>
      <c r="G609" s="54">
        <f t="shared" ca="1" si="126"/>
        <v>0.91817522568395826</v>
      </c>
      <c r="H609" s="54">
        <f t="shared" ca="1" si="127"/>
        <v>0.24643051804672089</v>
      </c>
      <c r="I609" s="54">
        <f t="shared" ca="1" si="128"/>
        <v>0.26773036165292868</v>
      </c>
      <c r="J609" s="54">
        <f t="shared" ca="1" si="129"/>
        <v>0.25119299107839699</v>
      </c>
      <c r="K609" s="54">
        <f t="shared" ca="1" si="130"/>
        <v>0.1108011121690628</v>
      </c>
      <c r="L609" s="54">
        <f t="shared" ca="1" si="131"/>
        <v>0.12384501705289057</v>
      </c>
      <c r="M609" s="54">
        <f ca="1">MIN(100,MAX(0,MCDA_Prioritisation!$F$2+(RAND()-0.5)*2*$B$7))</f>
        <v>77.577642045877226</v>
      </c>
      <c r="N609" s="54">
        <f ca="1">MIN(100,MAX(0,MCDA_Prioritisation!$F$3+(RAND()-0.5)*2*$B$7))</f>
        <v>91.28338025526952</v>
      </c>
      <c r="O609" s="54">
        <f ca="1">MIN(100,MAX(0,MCDA_Prioritisation!$F$4+(RAND()-0.5)*2*$B$7))</f>
        <v>89.405686252953657</v>
      </c>
      <c r="P609" s="54">
        <f ca="1">MIN(100,MAX(0,MCDA_Prioritisation!$F$5+(RAND()-0.5)*2*$B$7))</f>
        <v>82.185409109627599</v>
      </c>
      <c r="Q609" s="54">
        <f ca="1">MIN(100,MAX(0,MCDA_Prioritisation!$G$2+(RAND()-0.5)*2*$B$7))</f>
        <v>78.316683038261658</v>
      </c>
      <c r="R609" s="54">
        <f ca="1">MIN(100,MAX(0,MCDA_Prioritisation!$G$3+(RAND()-0.5)*2*$B$7))</f>
        <v>96.207806204108138</v>
      </c>
      <c r="S609" s="54">
        <f ca="1">MIN(100,MAX(0,MCDA_Prioritisation!$G$4+(RAND()-0.5)*2*$B$7))</f>
        <v>83.337044000646429</v>
      </c>
      <c r="T609" s="54">
        <f ca="1">MIN(100,MAX(0,MCDA_Prioritisation!$G$5+(RAND()-0.5)*2*$B$7))</f>
        <v>69.179454977472844</v>
      </c>
      <c r="U609" s="54">
        <f ca="1">MIN(100,MAX(0,MCDA_Prioritisation!$H$2+(RAND()-0.5)*2*$B$7))</f>
        <v>60.593995935875931</v>
      </c>
      <c r="V609" s="54">
        <f ca="1">MIN(100,MAX(0,MCDA_Prioritisation!$H$3+(RAND()-0.5)*2*$B$7))</f>
        <v>60.507028550903051</v>
      </c>
      <c r="W609" s="54">
        <f ca="1">MIN(100,MAX(0,MCDA_Prioritisation!$H$4+(RAND()-0.5)*2*$B$7))</f>
        <v>88.315800197486368</v>
      </c>
      <c r="X609" s="54">
        <f ca="1">MIN(100,MAX(0,MCDA_Prioritisation!$H$5+(RAND()-0.5)*2*$B$7))</f>
        <v>65.092077481796707</v>
      </c>
      <c r="Y609" s="54">
        <f ca="1">H609*MCDA_Prioritisation!$D$2+I609*MCDA_Prioritisation!$E$2+J609*M609+K609*Q609+L609*U609</f>
        <v>87.084887958290778</v>
      </c>
      <c r="Z609" s="54">
        <f ca="1">H609*MCDA_Prioritisation!$D$3+I609*MCDA_Prioritisation!$E$3+J609*N609+K609*R609+L609*V609</f>
        <v>82.091718635314692</v>
      </c>
      <c r="AA609" s="54">
        <f ca="1">H609*MCDA_Prioritisation!$D$4+I609*MCDA_Prioritisation!$E$4+J609*O609+K609*S609+L609*W609</f>
        <v>74.392837573105879</v>
      </c>
      <c r="AB609" s="54">
        <f ca="1">H609*MCDA_Prioritisation!$D$5+I609*MCDA_Prioritisation!$E$5+J609*P609+K609*T609+L609*X609</f>
        <v>71.964097260963769</v>
      </c>
      <c r="AC609" s="54">
        <f t="shared" ca="1" si="132"/>
        <v>1</v>
      </c>
      <c r="AD609" s="54">
        <f t="shared" ca="1" si="133"/>
        <v>2</v>
      </c>
      <c r="AE609" s="54">
        <f t="shared" ca="1" si="134"/>
        <v>3</v>
      </c>
      <c r="AF609" s="54">
        <f t="shared" ca="1" si="135"/>
        <v>4</v>
      </c>
      <c r="AG609" s="54">
        <f t="shared" ca="1" si="136"/>
        <v>1</v>
      </c>
      <c r="AH609" s="54">
        <f t="shared" ca="1" si="137"/>
        <v>1</v>
      </c>
      <c r="AI609" s="54">
        <f t="shared" ca="1" si="138"/>
        <v>1</v>
      </c>
      <c r="AJ609" s="54">
        <f t="shared" ca="1" si="139"/>
        <v>1</v>
      </c>
    </row>
    <row r="610" spans="1:36" x14ac:dyDescent="0.2">
      <c r="A610" s="54">
        <v>587</v>
      </c>
      <c r="B610" s="54">
        <f ca="1">MAX(0.02,MCDA_Prioritisation!$B$9+(RAND()-0.5)*2*$B$6)</f>
        <v>0.14040681995275195</v>
      </c>
      <c r="C610" s="54">
        <f ca="1">MAX(0.02,MCDA_Prioritisation!$B$10+(RAND()-0.5)*2*$B$6)</f>
        <v>0.30777527971940999</v>
      </c>
      <c r="D610" s="54">
        <f ca="1">MAX(0.02,MCDA_Prioritisation!$B$11+(RAND()-0.5)*2*$B$6)</f>
        <v>0.29698814819190844</v>
      </c>
      <c r="E610" s="54">
        <f ca="1">MAX(0.02,MCDA_Prioritisation!$B$12+(RAND()-0.5)*2*$B$6)</f>
        <v>0.22067639897850405</v>
      </c>
      <c r="F610" s="54">
        <f ca="1">MAX(0.02,MCDA_Prioritisation!$B$13+(RAND()-0.5)*2*$B$6)</f>
        <v>0.19871369322782473</v>
      </c>
      <c r="G610" s="54">
        <f t="shared" ca="1" si="126"/>
        <v>1.1645603400703992</v>
      </c>
      <c r="H610" s="54">
        <f t="shared" ca="1" si="127"/>
        <v>0.12056637610058417</v>
      </c>
      <c r="I610" s="54">
        <f t="shared" ca="1" si="128"/>
        <v>0.2642845279282004</v>
      </c>
      <c r="J610" s="54">
        <f t="shared" ca="1" si="129"/>
        <v>0.25502169185493223</v>
      </c>
      <c r="K610" s="54">
        <f t="shared" ca="1" si="130"/>
        <v>0.18949331467458685</v>
      </c>
      <c r="L610" s="54">
        <f t="shared" ca="1" si="131"/>
        <v>0.17063408944169628</v>
      </c>
      <c r="M610" s="54">
        <f ca="1">MIN(100,MAX(0,MCDA_Prioritisation!$F$2+(RAND()-0.5)*2*$B$7))</f>
        <v>78.139495845926106</v>
      </c>
      <c r="N610" s="54">
        <f ca="1">MIN(100,MAX(0,MCDA_Prioritisation!$F$3+(RAND()-0.5)*2*$B$7))</f>
        <v>87.454245823297185</v>
      </c>
      <c r="O610" s="54">
        <f ca="1">MIN(100,MAX(0,MCDA_Prioritisation!$F$4+(RAND()-0.5)*2*$B$7))</f>
        <v>98.827744976919817</v>
      </c>
      <c r="P610" s="54">
        <f ca="1">MIN(100,MAX(0,MCDA_Prioritisation!$F$5+(RAND()-0.5)*2*$B$7))</f>
        <v>67.500153366275512</v>
      </c>
      <c r="Q610" s="54">
        <f ca="1">MIN(100,MAX(0,MCDA_Prioritisation!$G$2+(RAND()-0.5)*2*$B$7))</f>
        <v>82.138604396710377</v>
      </c>
      <c r="R610" s="54">
        <f ca="1">MIN(100,MAX(0,MCDA_Prioritisation!$G$3+(RAND()-0.5)*2*$B$7))</f>
        <v>96.41639276958459</v>
      </c>
      <c r="S610" s="54">
        <f ca="1">MIN(100,MAX(0,MCDA_Prioritisation!$G$4+(RAND()-0.5)*2*$B$7))</f>
        <v>83.405574327492459</v>
      </c>
      <c r="T610" s="54">
        <f ca="1">MIN(100,MAX(0,MCDA_Prioritisation!$G$5+(RAND()-0.5)*2*$B$7))</f>
        <v>63.154436571901158</v>
      </c>
      <c r="U610" s="54">
        <f ca="1">MIN(100,MAX(0,MCDA_Prioritisation!$H$2+(RAND()-0.5)*2*$B$7))</f>
        <v>73.928168741293518</v>
      </c>
      <c r="V610" s="54">
        <f ca="1">MIN(100,MAX(0,MCDA_Prioritisation!$H$3+(RAND()-0.5)*2*$B$7))</f>
        <v>64.67979836385193</v>
      </c>
      <c r="W610" s="54">
        <f ca="1">MIN(100,MAX(0,MCDA_Prioritisation!$H$4+(RAND()-0.5)*2*$B$7))</f>
        <v>72.928433814822924</v>
      </c>
      <c r="X610" s="54">
        <f ca="1">MIN(100,MAX(0,MCDA_Prioritisation!$H$5+(RAND()-0.5)*2*$B$7))</f>
        <v>78.195408460440646</v>
      </c>
      <c r="Y610" s="54">
        <f ca="1">H610*MCDA_Prioritisation!$D$2+I610*MCDA_Prioritisation!$E$2+J610*M610+K610*Q610+L610*U610</f>
        <v>86.591739001337928</v>
      </c>
      <c r="Z610" s="54">
        <f ca="1">H610*MCDA_Prioritisation!$D$3+I610*MCDA_Prioritisation!$E$3+J610*N610+K610*R610+L610*V610</f>
        <v>81.367383216168577</v>
      </c>
      <c r="AA610" s="54">
        <f ca="1">H610*MCDA_Prioritisation!$D$4+I610*MCDA_Prioritisation!$E$4+J610*O610+K610*S610+L610*W610</f>
        <v>76.26314774152489</v>
      </c>
      <c r="AB610" s="54">
        <f ca="1">H610*MCDA_Prioritisation!$D$5+I610*MCDA_Prioritisation!$E$5+J610*P610+K610*T610+L610*X610</f>
        <v>71.1472430617968</v>
      </c>
      <c r="AC610" s="54">
        <f t="shared" ca="1" si="132"/>
        <v>1</v>
      </c>
      <c r="AD610" s="54">
        <f t="shared" ca="1" si="133"/>
        <v>2</v>
      </c>
      <c r="AE610" s="54">
        <f t="shared" ca="1" si="134"/>
        <v>3</v>
      </c>
      <c r="AF610" s="54">
        <f t="shared" ca="1" si="135"/>
        <v>4</v>
      </c>
      <c r="AG610" s="54">
        <f t="shared" ca="1" si="136"/>
        <v>1</v>
      </c>
      <c r="AH610" s="54">
        <f t="shared" ca="1" si="137"/>
        <v>1</v>
      </c>
      <c r="AI610" s="54">
        <f t="shared" ca="1" si="138"/>
        <v>1</v>
      </c>
      <c r="AJ610" s="54">
        <f t="shared" ca="1" si="139"/>
        <v>1</v>
      </c>
    </row>
    <row r="611" spans="1:36" x14ac:dyDescent="0.2">
      <c r="A611" s="54">
        <v>588</v>
      </c>
      <c r="B611" s="54">
        <f ca="1">MAX(0.02,MCDA_Prioritisation!$B$9+(RAND()-0.5)*2*$B$6)</f>
        <v>0.1602618508037314</v>
      </c>
      <c r="C611" s="54">
        <f ca="1">MAX(0.02,MCDA_Prioritisation!$B$10+(RAND()-0.5)*2*$B$6)</f>
        <v>0.20587241969948653</v>
      </c>
      <c r="D611" s="54">
        <f ca="1">MAX(0.02,MCDA_Prioritisation!$B$11+(RAND()-0.5)*2*$B$6)</f>
        <v>0.28359194006573574</v>
      </c>
      <c r="E611" s="54">
        <f ca="1">MAX(0.02,MCDA_Prioritisation!$B$12+(RAND()-0.5)*2*$B$6)</f>
        <v>0.17270030732694361</v>
      </c>
      <c r="F611" s="54">
        <f ca="1">MAX(0.02,MCDA_Prioritisation!$B$13+(RAND()-0.5)*2*$B$6)</f>
        <v>0.1830620428481004</v>
      </c>
      <c r="G611" s="54">
        <f t="shared" ca="1" si="126"/>
        <v>1.0054885607439976</v>
      </c>
      <c r="H611" s="54">
        <f t="shared" ca="1" si="127"/>
        <v>0.15938704532366615</v>
      </c>
      <c r="I611" s="54">
        <f t="shared" ca="1" si="128"/>
        <v>0.20474864432784201</v>
      </c>
      <c r="J611" s="54">
        <f t="shared" ca="1" si="129"/>
        <v>0.28204392485171159</v>
      </c>
      <c r="K611" s="54">
        <f t="shared" ca="1" si="130"/>
        <v>0.17175760527713649</v>
      </c>
      <c r="L611" s="54">
        <f t="shared" ca="1" si="131"/>
        <v>0.18206278021964381</v>
      </c>
      <c r="M611" s="54">
        <f ca="1">MIN(100,MAX(0,MCDA_Prioritisation!$F$2+(RAND()-0.5)*2*$B$7))</f>
        <v>90.596090573793418</v>
      </c>
      <c r="N611" s="54">
        <f ca="1">MIN(100,MAX(0,MCDA_Prioritisation!$F$3+(RAND()-0.5)*2*$B$7))</f>
        <v>93.288385442768359</v>
      </c>
      <c r="O611" s="54">
        <f ca="1">MIN(100,MAX(0,MCDA_Prioritisation!$F$4+(RAND()-0.5)*2*$B$7))</f>
        <v>93.946259678276533</v>
      </c>
      <c r="P611" s="54">
        <f ca="1">MIN(100,MAX(0,MCDA_Prioritisation!$F$5+(RAND()-0.5)*2*$B$7))</f>
        <v>69.922939709842822</v>
      </c>
      <c r="Q611" s="54">
        <f ca="1">MIN(100,MAX(0,MCDA_Prioritisation!$G$2+(RAND()-0.5)*2*$B$7))</f>
        <v>75.429095384747043</v>
      </c>
      <c r="R611" s="54">
        <f ca="1">MIN(100,MAX(0,MCDA_Prioritisation!$G$3+(RAND()-0.5)*2*$B$7))</f>
        <v>95.548016625230858</v>
      </c>
      <c r="S611" s="54">
        <f ca="1">MIN(100,MAX(0,MCDA_Prioritisation!$G$4+(RAND()-0.5)*2*$B$7))</f>
        <v>76.474863857723562</v>
      </c>
      <c r="T611" s="54">
        <f ca="1">MIN(100,MAX(0,MCDA_Prioritisation!$G$5+(RAND()-0.5)*2*$B$7))</f>
        <v>73.925570916400957</v>
      </c>
      <c r="U611" s="54">
        <f ca="1">MIN(100,MAX(0,MCDA_Prioritisation!$H$2+(RAND()-0.5)*2*$B$7))</f>
        <v>65.350158487377399</v>
      </c>
      <c r="V611" s="54">
        <f ca="1">MIN(100,MAX(0,MCDA_Prioritisation!$H$3+(RAND()-0.5)*2*$B$7))</f>
        <v>59.099856718296664</v>
      </c>
      <c r="W611" s="54">
        <f ca="1">MIN(100,MAX(0,MCDA_Prioritisation!$H$4+(RAND()-0.5)*2*$B$7))</f>
        <v>85.304358540028744</v>
      </c>
      <c r="X611" s="54">
        <f ca="1">MIN(100,MAX(0,MCDA_Prioritisation!$H$5+(RAND()-0.5)*2*$B$7))</f>
        <v>81.895855226125505</v>
      </c>
      <c r="Y611" s="54">
        <f ca="1">H611*MCDA_Prioritisation!$D$2+I611*MCDA_Prioritisation!$E$2+J611*M611+K611*Q611+L611*U611</f>
        <v>86.818998260315823</v>
      </c>
      <c r="Z611" s="54">
        <f ca="1">H611*MCDA_Prioritisation!$D$3+I611*MCDA_Prioritisation!$E$3+J611*N611+K611*R611+L611*V611</f>
        <v>82.303139599444378</v>
      </c>
      <c r="AA611" s="54">
        <f ca="1">H611*MCDA_Prioritisation!$D$4+I611*MCDA_Prioritisation!$E$4+J611*O611+K611*S611+L611*W611</f>
        <v>77.429744701534261</v>
      </c>
      <c r="AB611" s="54">
        <f ca="1">H611*MCDA_Prioritisation!$D$5+I611*MCDA_Prioritisation!$E$5+J611*P611+K611*T611+L611*X611</f>
        <v>73.005915366500986</v>
      </c>
      <c r="AC611" s="54">
        <f t="shared" ca="1" si="132"/>
        <v>1</v>
      </c>
      <c r="AD611" s="54">
        <f t="shared" ca="1" si="133"/>
        <v>2</v>
      </c>
      <c r="AE611" s="54">
        <f t="shared" ca="1" si="134"/>
        <v>3</v>
      </c>
      <c r="AF611" s="54">
        <f t="shared" ca="1" si="135"/>
        <v>4</v>
      </c>
      <c r="AG611" s="54">
        <f t="shared" ca="1" si="136"/>
        <v>1</v>
      </c>
      <c r="AH611" s="54">
        <f t="shared" ca="1" si="137"/>
        <v>1</v>
      </c>
      <c r="AI611" s="54">
        <f t="shared" ca="1" si="138"/>
        <v>1</v>
      </c>
      <c r="AJ611" s="54">
        <f t="shared" ca="1" si="139"/>
        <v>1</v>
      </c>
    </row>
    <row r="612" spans="1:36" x14ac:dyDescent="0.2">
      <c r="A612" s="54">
        <v>589</v>
      </c>
      <c r="B612" s="54">
        <f ca="1">MAX(0.02,MCDA_Prioritisation!$B$9+(RAND()-0.5)*2*$B$6)</f>
        <v>0.25130422508919281</v>
      </c>
      <c r="C612" s="54">
        <f ca="1">MAX(0.02,MCDA_Prioritisation!$B$10+(RAND()-0.5)*2*$B$6)</f>
        <v>0.26969325163010743</v>
      </c>
      <c r="D612" s="54">
        <f ca="1">MAX(0.02,MCDA_Prioritisation!$B$11+(RAND()-0.5)*2*$B$6)</f>
        <v>0.31685590156475552</v>
      </c>
      <c r="E612" s="54">
        <f ca="1">MAX(0.02,MCDA_Prioritisation!$B$12+(RAND()-0.5)*2*$B$6)</f>
        <v>0.21345129701685284</v>
      </c>
      <c r="F612" s="54">
        <f ca="1">MAX(0.02,MCDA_Prioritisation!$B$13+(RAND()-0.5)*2*$B$6)</f>
        <v>0.18784611575077051</v>
      </c>
      <c r="G612" s="54">
        <f t="shared" ca="1" si="126"/>
        <v>1.239150791051679</v>
      </c>
      <c r="H612" s="54">
        <f t="shared" ca="1" si="127"/>
        <v>0.20280358686282929</v>
      </c>
      <c r="I612" s="54">
        <f t="shared" ca="1" si="128"/>
        <v>0.21764361010593086</v>
      </c>
      <c r="J612" s="54">
        <f t="shared" ca="1" si="129"/>
        <v>0.2557040707659452</v>
      </c>
      <c r="K612" s="54">
        <f t="shared" ca="1" si="130"/>
        <v>0.17225611165183108</v>
      </c>
      <c r="L612" s="54">
        <f t="shared" ca="1" si="131"/>
        <v>0.15159262061346362</v>
      </c>
      <c r="M612" s="54">
        <f ca="1">MIN(100,MAX(0,MCDA_Prioritisation!$F$2+(RAND()-0.5)*2*$B$7))</f>
        <v>85.186716406772206</v>
      </c>
      <c r="N612" s="54">
        <f ca="1">MIN(100,MAX(0,MCDA_Prioritisation!$F$3+(RAND()-0.5)*2*$B$7))</f>
        <v>97.995160221946634</v>
      </c>
      <c r="O612" s="54">
        <f ca="1">MIN(100,MAX(0,MCDA_Prioritisation!$F$4+(RAND()-0.5)*2*$B$7))</f>
        <v>84.05250088858196</v>
      </c>
      <c r="P612" s="54">
        <f ca="1">MIN(100,MAX(0,MCDA_Prioritisation!$F$5+(RAND()-0.5)*2*$B$7))</f>
        <v>70.183285185310325</v>
      </c>
      <c r="Q612" s="54">
        <f ca="1">MIN(100,MAX(0,MCDA_Prioritisation!$G$2+(RAND()-0.5)*2*$B$7))</f>
        <v>75.613145816000468</v>
      </c>
      <c r="R612" s="54">
        <f ca="1">MIN(100,MAX(0,MCDA_Prioritisation!$G$3+(RAND()-0.5)*2*$B$7))</f>
        <v>91.95464760567549</v>
      </c>
      <c r="S612" s="54">
        <f ca="1">MIN(100,MAX(0,MCDA_Prioritisation!$G$4+(RAND()-0.5)*2*$B$7))</f>
        <v>75.780615981978116</v>
      </c>
      <c r="T612" s="54">
        <f ca="1">MIN(100,MAX(0,MCDA_Prioritisation!$G$5+(RAND()-0.5)*2*$B$7))</f>
        <v>76.227433954996599</v>
      </c>
      <c r="U612" s="54">
        <f ca="1">MIN(100,MAX(0,MCDA_Prioritisation!$H$2+(RAND()-0.5)*2*$B$7))</f>
        <v>69.18181506485638</v>
      </c>
      <c r="V612" s="54">
        <f ca="1">MIN(100,MAX(0,MCDA_Prioritisation!$H$3+(RAND()-0.5)*2*$B$7))</f>
        <v>52.81304447093045</v>
      </c>
      <c r="W612" s="54">
        <f ca="1">MIN(100,MAX(0,MCDA_Prioritisation!$H$4+(RAND()-0.5)*2*$B$7))</f>
        <v>71.408492644954293</v>
      </c>
      <c r="X612" s="54">
        <f ca="1">MIN(100,MAX(0,MCDA_Prioritisation!$H$5+(RAND()-0.5)*2*$B$7))</f>
        <v>65.613525339125687</v>
      </c>
      <c r="Y612" s="54">
        <f ca="1">H612*MCDA_Prioritisation!$D$2+I612*MCDA_Prioritisation!$E$2+J612*M612+K612*Q612+L612*U612</f>
        <v>87.33958898977653</v>
      </c>
      <c r="Z612" s="54">
        <f ca="1">H612*MCDA_Prioritisation!$D$3+I612*MCDA_Prioritisation!$E$3+J612*N612+K612*R612+L612*V612</f>
        <v>82.456597914819042</v>
      </c>
      <c r="AA612" s="54">
        <f ca="1">H612*MCDA_Prioritisation!$D$4+I612*MCDA_Prioritisation!$E$4+J612*O612+K612*S612+L612*W612</f>
        <v>71.364760646990945</v>
      </c>
      <c r="AB612" s="54">
        <f ca="1">H612*MCDA_Prioritisation!$D$5+I612*MCDA_Prioritisation!$E$5+J612*P612+K612*T612+L612*X612</f>
        <v>70.089149213182566</v>
      </c>
      <c r="AC612" s="54">
        <f t="shared" ca="1" si="132"/>
        <v>1</v>
      </c>
      <c r="AD612" s="54">
        <f t="shared" ca="1" si="133"/>
        <v>2</v>
      </c>
      <c r="AE612" s="54">
        <f t="shared" ca="1" si="134"/>
        <v>3</v>
      </c>
      <c r="AF612" s="54">
        <f t="shared" ca="1" si="135"/>
        <v>4</v>
      </c>
      <c r="AG612" s="54">
        <f t="shared" ca="1" si="136"/>
        <v>1</v>
      </c>
      <c r="AH612" s="54">
        <f t="shared" ca="1" si="137"/>
        <v>1</v>
      </c>
      <c r="AI612" s="54">
        <f t="shared" ca="1" si="138"/>
        <v>1</v>
      </c>
      <c r="AJ612" s="54">
        <f t="shared" ca="1" si="139"/>
        <v>1</v>
      </c>
    </row>
    <row r="613" spans="1:36" x14ac:dyDescent="0.2">
      <c r="A613" s="54">
        <v>590</v>
      </c>
      <c r="B613" s="54">
        <f ca="1">MAX(0.02,MCDA_Prioritisation!$B$9+(RAND()-0.5)*2*$B$6)</f>
        <v>0.20596134864523574</v>
      </c>
      <c r="C613" s="54">
        <f ca="1">MAX(0.02,MCDA_Prioritisation!$B$10+(RAND()-0.5)*2*$B$6)</f>
        <v>0.22559460505637338</v>
      </c>
      <c r="D613" s="54">
        <f ca="1">MAX(0.02,MCDA_Prioritisation!$B$11+(RAND()-0.5)*2*$B$6)</f>
        <v>0.19079223333116568</v>
      </c>
      <c r="E613" s="54">
        <f ca="1">MAX(0.02,MCDA_Prioritisation!$B$12+(RAND()-0.5)*2*$B$6)</f>
        <v>0.18177643371628091</v>
      </c>
      <c r="F613" s="54">
        <f ca="1">MAX(0.02,MCDA_Prioritisation!$B$13+(RAND()-0.5)*2*$B$6)</f>
        <v>0.12403802751109295</v>
      </c>
      <c r="G613" s="54">
        <f t="shared" ca="1" si="126"/>
        <v>0.92816264826014871</v>
      </c>
      <c r="H613" s="54">
        <f t="shared" ca="1" si="127"/>
        <v>0.22190221620242162</v>
      </c>
      <c r="I613" s="54">
        <f t="shared" ca="1" si="128"/>
        <v>0.24305503510538051</v>
      </c>
      <c r="J613" s="54">
        <f t="shared" ca="1" si="129"/>
        <v>0.20555905119518422</v>
      </c>
      <c r="K613" s="54">
        <f t="shared" ca="1" si="130"/>
        <v>0.19584545236443512</v>
      </c>
      <c r="L613" s="54">
        <f t="shared" ca="1" si="131"/>
        <v>0.13363824513257846</v>
      </c>
      <c r="M613" s="54">
        <f ca="1">MIN(100,MAX(0,MCDA_Prioritisation!$F$2+(RAND()-0.5)*2*$B$7))</f>
        <v>89.255273505486869</v>
      </c>
      <c r="N613" s="54">
        <f ca="1">MIN(100,MAX(0,MCDA_Prioritisation!$F$3+(RAND()-0.5)*2*$B$7))</f>
        <v>85.460317548303223</v>
      </c>
      <c r="O613" s="54">
        <f ca="1">MIN(100,MAX(0,MCDA_Prioritisation!$F$4+(RAND()-0.5)*2*$B$7))</f>
        <v>97.421688801001963</v>
      </c>
      <c r="P613" s="54">
        <f ca="1">MIN(100,MAX(0,MCDA_Prioritisation!$F$5+(RAND()-0.5)*2*$B$7))</f>
        <v>83.219717663132016</v>
      </c>
      <c r="Q613" s="54">
        <f ca="1">MIN(100,MAX(0,MCDA_Prioritisation!$G$2+(RAND()-0.5)*2*$B$7))</f>
        <v>72.762236924335426</v>
      </c>
      <c r="R613" s="54">
        <f ca="1">MIN(100,MAX(0,MCDA_Prioritisation!$G$3+(RAND()-0.5)*2*$B$7))</f>
        <v>86.07968250270423</v>
      </c>
      <c r="S613" s="54">
        <f ca="1">MIN(100,MAX(0,MCDA_Prioritisation!$G$4+(RAND()-0.5)*2*$B$7))</f>
        <v>79.337993151050753</v>
      </c>
      <c r="T613" s="54">
        <f ca="1">MIN(100,MAX(0,MCDA_Prioritisation!$G$5+(RAND()-0.5)*2*$B$7))</f>
        <v>66.536468422748669</v>
      </c>
      <c r="U613" s="54">
        <f ca="1">MIN(100,MAX(0,MCDA_Prioritisation!$H$2+(RAND()-0.5)*2*$B$7))</f>
        <v>59.622220120647867</v>
      </c>
      <c r="V613" s="54">
        <f ca="1">MIN(100,MAX(0,MCDA_Prioritisation!$H$3+(RAND()-0.5)*2*$B$7))</f>
        <v>67.744531302935314</v>
      </c>
      <c r="W613" s="54">
        <f ca="1">MIN(100,MAX(0,MCDA_Prioritisation!$H$4+(RAND()-0.5)*2*$B$7))</f>
        <v>81.92880908951787</v>
      </c>
      <c r="X613" s="54">
        <f ca="1">MIN(100,MAX(0,MCDA_Prioritisation!$H$5+(RAND()-0.5)*2*$B$7))</f>
        <v>65.407996898045184</v>
      </c>
      <c r="Y613" s="54">
        <f ca="1">H613*MCDA_Prioritisation!$D$2+I613*MCDA_Prioritisation!$E$2+J613*M613+K613*Q613+L613*U613</f>
        <v>87.060916540061143</v>
      </c>
      <c r="Z613" s="54">
        <f ca="1">H613*MCDA_Prioritisation!$D$3+I613*MCDA_Prioritisation!$E$3+J613*N613+K613*R613+L613*V613</f>
        <v>80.548998576566575</v>
      </c>
      <c r="AA613" s="54">
        <f ca="1">H613*MCDA_Prioritisation!$D$4+I613*MCDA_Prioritisation!$E$4+J613*O613+K613*S613+L613*W613</f>
        <v>75.222230577863854</v>
      </c>
      <c r="AB613" s="54">
        <f ca="1">H613*MCDA_Prioritisation!$D$5+I613*MCDA_Prioritisation!$E$5+J613*P613+K613*T613+L613*X613</f>
        <v>71.094817323158182</v>
      </c>
      <c r="AC613" s="54">
        <f t="shared" ca="1" si="132"/>
        <v>1</v>
      </c>
      <c r="AD613" s="54">
        <f t="shared" ca="1" si="133"/>
        <v>2</v>
      </c>
      <c r="AE613" s="54">
        <f t="shared" ca="1" si="134"/>
        <v>3</v>
      </c>
      <c r="AF613" s="54">
        <f t="shared" ca="1" si="135"/>
        <v>4</v>
      </c>
      <c r="AG613" s="54">
        <f t="shared" ca="1" si="136"/>
        <v>1</v>
      </c>
      <c r="AH613" s="54">
        <f t="shared" ca="1" si="137"/>
        <v>1</v>
      </c>
      <c r="AI613" s="54">
        <f t="shared" ca="1" si="138"/>
        <v>1</v>
      </c>
      <c r="AJ613" s="54">
        <f t="shared" ca="1" si="139"/>
        <v>1</v>
      </c>
    </row>
    <row r="614" spans="1:36" x14ac:dyDescent="0.2">
      <c r="A614" s="54">
        <v>591</v>
      </c>
      <c r="B614" s="54">
        <f ca="1">MAX(0.02,MCDA_Prioritisation!$B$9+(RAND()-0.5)*2*$B$6)</f>
        <v>0.21496722717879693</v>
      </c>
      <c r="C614" s="54">
        <f ca="1">MAX(0.02,MCDA_Prioritisation!$B$10+(RAND()-0.5)*2*$B$6)</f>
        <v>0.27840126485315392</v>
      </c>
      <c r="D614" s="54">
        <f ca="1">MAX(0.02,MCDA_Prioritisation!$B$11+(RAND()-0.5)*2*$B$6)</f>
        <v>0.21507627398750648</v>
      </c>
      <c r="E614" s="54">
        <f ca="1">MAX(0.02,MCDA_Prioritisation!$B$12+(RAND()-0.5)*2*$B$6)</f>
        <v>0.1998500856632546</v>
      </c>
      <c r="F614" s="54">
        <f ca="1">MAX(0.02,MCDA_Prioritisation!$B$13+(RAND()-0.5)*2*$B$6)</f>
        <v>0.1375227841666764</v>
      </c>
      <c r="G614" s="54">
        <f t="shared" ca="1" si="126"/>
        <v>1.0458176358493882</v>
      </c>
      <c r="H614" s="54">
        <f t="shared" ca="1" si="127"/>
        <v>0.20554943788474714</v>
      </c>
      <c r="I614" s="54">
        <f t="shared" ca="1" si="128"/>
        <v>0.26620440821601082</v>
      </c>
      <c r="J614" s="54">
        <f t="shared" ca="1" si="129"/>
        <v>0.20565370731468555</v>
      </c>
      <c r="K614" s="54">
        <f t="shared" ca="1" si="130"/>
        <v>0.19109458361824344</v>
      </c>
      <c r="L614" s="54">
        <f t="shared" ca="1" si="131"/>
        <v>0.13149786296631311</v>
      </c>
      <c r="M614" s="54">
        <f ca="1">MIN(100,MAX(0,MCDA_Prioritisation!$F$2+(RAND()-0.5)*2*$B$7))</f>
        <v>91.182498339989635</v>
      </c>
      <c r="N614" s="54">
        <f ca="1">MIN(100,MAX(0,MCDA_Prioritisation!$F$3+(RAND()-0.5)*2*$B$7))</f>
        <v>92.559695374891007</v>
      </c>
      <c r="O614" s="54">
        <f ca="1">MIN(100,MAX(0,MCDA_Prioritisation!$F$4+(RAND()-0.5)*2*$B$7))</f>
        <v>89.04142757489042</v>
      </c>
      <c r="P614" s="54">
        <f ca="1">MIN(100,MAX(0,MCDA_Prioritisation!$F$5+(RAND()-0.5)*2*$B$7))</f>
        <v>65.834757376812149</v>
      </c>
      <c r="Q614" s="54">
        <f ca="1">MIN(100,MAX(0,MCDA_Prioritisation!$G$2+(RAND()-0.5)*2*$B$7))</f>
        <v>74.892987990122577</v>
      </c>
      <c r="R614" s="54">
        <f ca="1">MIN(100,MAX(0,MCDA_Prioritisation!$G$3+(RAND()-0.5)*2*$B$7))</f>
        <v>96.846047767157643</v>
      </c>
      <c r="S614" s="54">
        <f ca="1">MIN(100,MAX(0,MCDA_Prioritisation!$G$4+(RAND()-0.5)*2*$B$7))</f>
        <v>82.215836038311252</v>
      </c>
      <c r="T614" s="54">
        <f ca="1">MIN(100,MAX(0,MCDA_Prioritisation!$G$5+(RAND()-0.5)*2*$B$7))</f>
        <v>72.083822320514244</v>
      </c>
      <c r="U614" s="54">
        <f ca="1">MIN(100,MAX(0,MCDA_Prioritisation!$H$2+(RAND()-0.5)*2*$B$7))</f>
        <v>74.463203532450336</v>
      </c>
      <c r="V614" s="54">
        <f ca="1">MIN(100,MAX(0,MCDA_Prioritisation!$H$3+(RAND()-0.5)*2*$B$7))</f>
        <v>55.315340542230267</v>
      </c>
      <c r="W614" s="54">
        <f ca="1">MIN(100,MAX(0,MCDA_Prioritisation!$H$4+(RAND()-0.5)*2*$B$7))</f>
        <v>85.237585096897931</v>
      </c>
      <c r="X614" s="54">
        <f ca="1">MIN(100,MAX(0,MCDA_Prioritisation!$H$5+(RAND()-0.5)*2*$B$7))</f>
        <v>81.864421798667038</v>
      </c>
      <c r="Y614" s="54">
        <f ca="1">H614*MCDA_Prioritisation!$D$2+I614*MCDA_Prioritisation!$E$2+J614*M614+K614*Q614+L614*U614</f>
        <v>90.030799925951243</v>
      </c>
      <c r="Z614" s="54">
        <f ca="1">H614*MCDA_Prioritisation!$D$3+I614*MCDA_Prioritisation!$E$3+J614*N614+K614*R614+L614*V614</f>
        <v>82.140540525773559</v>
      </c>
      <c r="AA614" s="54">
        <f ca="1">H614*MCDA_Prioritisation!$D$4+I614*MCDA_Prioritisation!$E$4+J614*O614+K614*S614+L614*W614</f>
        <v>74.064755883976005</v>
      </c>
      <c r="AB614" s="54">
        <f ca="1">H614*MCDA_Prioritisation!$D$5+I614*MCDA_Prioritisation!$E$5+J614*P614+K614*T614+L614*X614</f>
        <v>71.374076465156193</v>
      </c>
      <c r="AC614" s="54">
        <f t="shared" ca="1" si="132"/>
        <v>1</v>
      </c>
      <c r="AD614" s="54">
        <f t="shared" ca="1" si="133"/>
        <v>2</v>
      </c>
      <c r="AE614" s="54">
        <f t="shared" ca="1" si="134"/>
        <v>3</v>
      </c>
      <c r="AF614" s="54">
        <f t="shared" ca="1" si="135"/>
        <v>4</v>
      </c>
      <c r="AG614" s="54">
        <f t="shared" ca="1" si="136"/>
        <v>1</v>
      </c>
      <c r="AH614" s="54">
        <f t="shared" ca="1" si="137"/>
        <v>1</v>
      </c>
      <c r="AI614" s="54">
        <f t="shared" ca="1" si="138"/>
        <v>1</v>
      </c>
      <c r="AJ614" s="54">
        <f t="shared" ca="1" si="139"/>
        <v>1</v>
      </c>
    </row>
    <row r="615" spans="1:36" x14ac:dyDescent="0.2">
      <c r="A615" s="54">
        <v>592</v>
      </c>
      <c r="B615" s="54">
        <f ca="1">MAX(0.02,MCDA_Prioritisation!$B$9+(RAND()-0.5)*2*$B$6)</f>
        <v>0.19459094450999473</v>
      </c>
      <c r="C615" s="54">
        <f ca="1">MAX(0.02,MCDA_Prioritisation!$B$10+(RAND()-0.5)*2*$B$6)</f>
        <v>0.21270482044458239</v>
      </c>
      <c r="D615" s="54">
        <f ca="1">MAX(0.02,MCDA_Prioritisation!$B$11+(RAND()-0.5)*2*$B$6)</f>
        <v>0.20269149517234886</v>
      </c>
      <c r="E615" s="54">
        <f ca="1">MAX(0.02,MCDA_Prioritisation!$B$12+(RAND()-0.5)*2*$B$6)</f>
        <v>0.12702975336455355</v>
      </c>
      <c r="F615" s="54">
        <f ca="1">MAX(0.02,MCDA_Prioritisation!$B$13+(RAND()-0.5)*2*$B$6)</f>
        <v>0.1911769569461074</v>
      </c>
      <c r="G615" s="54">
        <f t="shared" ca="1" si="126"/>
        <v>0.92819397043758689</v>
      </c>
      <c r="H615" s="54">
        <f t="shared" ca="1" si="127"/>
        <v>0.20964469788384529</v>
      </c>
      <c r="I615" s="54">
        <f t="shared" ca="1" si="128"/>
        <v>0.22915988168324886</v>
      </c>
      <c r="J615" s="54">
        <f t="shared" ca="1" si="129"/>
        <v>0.21837191538401415</v>
      </c>
      <c r="K615" s="54">
        <f t="shared" ca="1" si="130"/>
        <v>0.13685690427903421</v>
      </c>
      <c r="L615" s="54">
        <f t="shared" ca="1" si="131"/>
        <v>0.20596660076985751</v>
      </c>
      <c r="M615" s="54">
        <f ca="1">MIN(100,MAX(0,MCDA_Prioritisation!$F$2+(RAND()-0.5)*2*$B$7))</f>
        <v>83.65610166177845</v>
      </c>
      <c r="N615" s="54">
        <f ca="1">MIN(100,MAX(0,MCDA_Prioritisation!$F$3+(RAND()-0.5)*2*$B$7))</f>
        <v>96.019809181142705</v>
      </c>
      <c r="O615" s="54">
        <f ca="1">MIN(100,MAX(0,MCDA_Prioritisation!$F$4+(RAND()-0.5)*2*$B$7))</f>
        <v>99.24535747665378</v>
      </c>
      <c r="P615" s="54">
        <f ca="1">MIN(100,MAX(0,MCDA_Prioritisation!$F$5+(RAND()-0.5)*2*$B$7))</f>
        <v>84.644259343268359</v>
      </c>
      <c r="Q615" s="54">
        <f ca="1">MIN(100,MAX(0,MCDA_Prioritisation!$G$2+(RAND()-0.5)*2*$B$7))</f>
        <v>74.826344181734939</v>
      </c>
      <c r="R615" s="54">
        <f ca="1">MIN(100,MAX(0,MCDA_Prioritisation!$G$3+(RAND()-0.5)*2*$B$7))</f>
        <v>85.058970605929929</v>
      </c>
      <c r="S615" s="54">
        <f ca="1">MIN(100,MAX(0,MCDA_Prioritisation!$G$4+(RAND()-0.5)*2*$B$7))</f>
        <v>75.77650250090862</v>
      </c>
      <c r="T615" s="54">
        <f ca="1">MIN(100,MAX(0,MCDA_Prioritisation!$G$5+(RAND()-0.5)*2*$B$7))</f>
        <v>67.693649257573895</v>
      </c>
      <c r="U615" s="54">
        <f ca="1">MIN(100,MAX(0,MCDA_Prioritisation!$H$2+(RAND()-0.5)*2*$B$7))</f>
        <v>68.58803862415715</v>
      </c>
      <c r="V615" s="54">
        <f ca="1">MIN(100,MAX(0,MCDA_Prioritisation!$H$3+(RAND()-0.5)*2*$B$7))</f>
        <v>50.137015912196539</v>
      </c>
      <c r="W615" s="54">
        <f ca="1">MIN(100,MAX(0,MCDA_Prioritisation!$H$4+(RAND()-0.5)*2*$B$7))</f>
        <v>71.527827751633652</v>
      </c>
      <c r="X615" s="54">
        <f ca="1">MIN(100,MAX(0,MCDA_Prioritisation!$H$5+(RAND()-0.5)*2*$B$7))</f>
        <v>71.361852142962803</v>
      </c>
      <c r="Y615" s="54">
        <f ca="1">H615*MCDA_Prioritisation!$D$2+I615*MCDA_Prioritisation!$E$2+J615*M615+K615*Q615+L615*U615</f>
        <v>86.515948102270897</v>
      </c>
      <c r="Z615" s="54">
        <f ca="1">H615*MCDA_Prioritisation!$D$3+I615*MCDA_Prioritisation!$E$3+J615*N615+K615*R615+L615*V615</f>
        <v>77.923944960144638</v>
      </c>
      <c r="AA615" s="54">
        <f ca="1">H615*MCDA_Prioritisation!$D$4+I615*MCDA_Prioritisation!$E$4+J615*O615+K615*S615+L615*W615</f>
        <v>73.873334150148949</v>
      </c>
      <c r="AB615" s="54">
        <f ca="1">H615*MCDA_Prioritisation!$D$5+I615*MCDA_Prioritisation!$E$5+J615*P615+K615*T615+L615*X615</f>
        <v>72.843772090846201</v>
      </c>
      <c r="AC615" s="54">
        <f t="shared" ca="1" si="132"/>
        <v>1</v>
      </c>
      <c r="AD615" s="54">
        <f t="shared" ca="1" si="133"/>
        <v>2</v>
      </c>
      <c r="AE615" s="54">
        <f t="shared" ca="1" si="134"/>
        <v>3</v>
      </c>
      <c r="AF615" s="54">
        <f t="shared" ca="1" si="135"/>
        <v>4</v>
      </c>
      <c r="AG615" s="54">
        <f t="shared" ca="1" si="136"/>
        <v>1</v>
      </c>
      <c r="AH615" s="54">
        <f t="shared" ca="1" si="137"/>
        <v>1</v>
      </c>
      <c r="AI615" s="54">
        <f t="shared" ca="1" si="138"/>
        <v>1</v>
      </c>
      <c r="AJ615" s="54">
        <f t="shared" ca="1" si="139"/>
        <v>1</v>
      </c>
    </row>
    <row r="616" spans="1:36" x14ac:dyDescent="0.2">
      <c r="A616" s="54">
        <v>593</v>
      </c>
      <c r="B616" s="54">
        <f ca="1">MAX(0.02,MCDA_Prioritisation!$B$9+(RAND()-0.5)*2*$B$6)</f>
        <v>0.12189942995770958</v>
      </c>
      <c r="C616" s="54">
        <f ca="1">MAX(0.02,MCDA_Prioritisation!$B$10+(RAND()-0.5)*2*$B$6)</f>
        <v>0.25681597330268008</v>
      </c>
      <c r="D616" s="54">
        <f ca="1">MAX(0.02,MCDA_Prioritisation!$B$11+(RAND()-0.5)*2*$B$6)</f>
        <v>0.20739969377869188</v>
      </c>
      <c r="E616" s="54">
        <f ca="1">MAX(0.02,MCDA_Prioritisation!$B$12+(RAND()-0.5)*2*$B$6)</f>
        <v>0.14767773791178787</v>
      </c>
      <c r="F616" s="54">
        <f ca="1">MAX(0.02,MCDA_Prioritisation!$B$13+(RAND()-0.5)*2*$B$6)</f>
        <v>0.12447630397900633</v>
      </c>
      <c r="G616" s="54">
        <f t="shared" ca="1" si="126"/>
        <v>0.85826913892987577</v>
      </c>
      <c r="H616" s="54">
        <f t="shared" ca="1" si="127"/>
        <v>0.14202937566845134</v>
      </c>
      <c r="I616" s="54">
        <f t="shared" ca="1" si="128"/>
        <v>0.29922545464338668</v>
      </c>
      <c r="J616" s="54">
        <f t="shared" ca="1" si="129"/>
        <v>0.24164878401346937</v>
      </c>
      <c r="K616" s="54">
        <f t="shared" ca="1" si="130"/>
        <v>0.17206460213158586</v>
      </c>
      <c r="L616" s="54">
        <f t="shared" ca="1" si="131"/>
        <v>0.14503178354310672</v>
      </c>
      <c r="M616" s="54">
        <f ca="1">MIN(100,MAX(0,MCDA_Prioritisation!$F$2+(RAND()-0.5)*2*$B$7))</f>
        <v>94.362682570186251</v>
      </c>
      <c r="N616" s="54">
        <f ca="1">MIN(100,MAX(0,MCDA_Prioritisation!$F$3+(RAND()-0.5)*2*$B$7))</f>
        <v>96.270680088660924</v>
      </c>
      <c r="O616" s="54">
        <f ca="1">MIN(100,MAX(0,MCDA_Prioritisation!$F$4+(RAND()-0.5)*2*$B$7))</f>
        <v>91.012852078399433</v>
      </c>
      <c r="P616" s="54">
        <f ca="1">MIN(100,MAX(0,MCDA_Prioritisation!$F$5+(RAND()-0.5)*2*$B$7))</f>
        <v>68.15653365695691</v>
      </c>
      <c r="Q616" s="54">
        <f ca="1">MIN(100,MAX(0,MCDA_Prioritisation!$G$2+(RAND()-0.5)*2*$B$7))</f>
        <v>80.913862618842529</v>
      </c>
      <c r="R616" s="54">
        <f ca="1">MIN(100,MAX(0,MCDA_Prioritisation!$G$3+(RAND()-0.5)*2*$B$7))</f>
        <v>93.712724659732729</v>
      </c>
      <c r="S616" s="54">
        <f ca="1">MIN(100,MAX(0,MCDA_Prioritisation!$G$4+(RAND()-0.5)*2*$B$7))</f>
        <v>92.125825335251392</v>
      </c>
      <c r="T616" s="54">
        <f ca="1">MIN(100,MAX(0,MCDA_Prioritisation!$G$5+(RAND()-0.5)*2*$B$7))</f>
        <v>67.748876695212729</v>
      </c>
      <c r="U616" s="54">
        <f ca="1">MIN(100,MAX(0,MCDA_Prioritisation!$H$2+(RAND()-0.5)*2*$B$7))</f>
        <v>55.768410410103151</v>
      </c>
      <c r="V616" s="54">
        <f ca="1">MIN(100,MAX(0,MCDA_Prioritisation!$H$3+(RAND()-0.5)*2*$B$7))</f>
        <v>60.271762784027715</v>
      </c>
      <c r="W616" s="54">
        <f ca="1">MIN(100,MAX(0,MCDA_Prioritisation!$H$4+(RAND()-0.5)*2*$B$7))</f>
        <v>83.67071817721235</v>
      </c>
      <c r="X616" s="54">
        <f ca="1">MIN(100,MAX(0,MCDA_Prioritisation!$H$5+(RAND()-0.5)*2*$B$7))</f>
        <v>66.115599073457872</v>
      </c>
      <c r="Y616" s="54">
        <f ca="1">H616*MCDA_Prioritisation!$D$2+I616*MCDA_Prioritisation!$E$2+J616*M616+K616*Q616+L616*U616</f>
        <v>88.938714136100472</v>
      </c>
      <c r="Z616" s="54">
        <f ca="1">H616*MCDA_Prioritisation!$D$3+I616*MCDA_Prioritisation!$E$3+J616*N616+K616*R616+L616*V616</f>
        <v>82.304426478951598</v>
      </c>
      <c r="AA616" s="54">
        <f ca="1">H616*MCDA_Prioritisation!$D$4+I616*MCDA_Prioritisation!$E$4+J616*O616+K616*S616+L616*W616</f>
        <v>76.191131226941479</v>
      </c>
      <c r="AB616" s="54">
        <f ca="1">H616*MCDA_Prioritisation!$D$5+I616*MCDA_Prioritisation!$E$5+J616*P616+K616*T616+L616*X616</f>
        <v>70.416466246391678</v>
      </c>
      <c r="AC616" s="54">
        <f t="shared" ca="1" si="132"/>
        <v>1</v>
      </c>
      <c r="AD616" s="54">
        <f t="shared" ca="1" si="133"/>
        <v>2</v>
      </c>
      <c r="AE616" s="54">
        <f t="shared" ca="1" si="134"/>
        <v>3</v>
      </c>
      <c r="AF616" s="54">
        <f t="shared" ca="1" si="135"/>
        <v>4</v>
      </c>
      <c r="AG616" s="54">
        <f t="shared" ca="1" si="136"/>
        <v>1</v>
      </c>
      <c r="AH616" s="54">
        <f t="shared" ca="1" si="137"/>
        <v>1</v>
      </c>
      <c r="AI616" s="54">
        <f t="shared" ca="1" si="138"/>
        <v>1</v>
      </c>
      <c r="AJ616" s="54">
        <f t="shared" ca="1" si="139"/>
        <v>1</v>
      </c>
    </row>
    <row r="617" spans="1:36" x14ac:dyDescent="0.2">
      <c r="A617" s="54">
        <v>594</v>
      </c>
      <c r="B617" s="54">
        <f ca="1">MAX(0.02,MCDA_Prioritisation!$B$9+(RAND()-0.5)*2*$B$6)</f>
        <v>0.13830505219344796</v>
      </c>
      <c r="C617" s="54">
        <f ca="1">MAX(0.02,MCDA_Prioritisation!$B$10+(RAND()-0.5)*2*$B$6)</f>
        <v>0.18253925743287752</v>
      </c>
      <c r="D617" s="54">
        <f ca="1">MAX(0.02,MCDA_Prioritisation!$B$11+(RAND()-0.5)*2*$B$6)</f>
        <v>0.23902339592341859</v>
      </c>
      <c r="E617" s="54">
        <f ca="1">MAX(0.02,MCDA_Prioritisation!$B$12+(RAND()-0.5)*2*$B$6)</f>
        <v>0.10706055688816463</v>
      </c>
      <c r="F617" s="54">
        <f ca="1">MAX(0.02,MCDA_Prioritisation!$B$13+(RAND()-0.5)*2*$B$6)</f>
        <v>0.16596426819640861</v>
      </c>
      <c r="G617" s="54">
        <f t="shared" ca="1" si="126"/>
        <v>0.83289253063431734</v>
      </c>
      <c r="H617" s="54">
        <f t="shared" ca="1" si="127"/>
        <v>0.16605389904039253</v>
      </c>
      <c r="I617" s="54">
        <f t="shared" ca="1" si="128"/>
        <v>0.2191630381099211</v>
      </c>
      <c r="J617" s="54">
        <f t="shared" ca="1" si="129"/>
        <v>0.28697987691327026</v>
      </c>
      <c r="K617" s="54">
        <f t="shared" ca="1" si="130"/>
        <v>0.12854066155045124</v>
      </c>
      <c r="L617" s="54">
        <f t="shared" ca="1" si="131"/>
        <v>0.19926252438596481</v>
      </c>
      <c r="M617" s="54">
        <f ca="1">MIN(100,MAX(0,MCDA_Prioritisation!$F$2+(RAND()-0.5)*2*$B$7))</f>
        <v>91.436306966666422</v>
      </c>
      <c r="N617" s="54">
        <f ca="1">MIN(100,MAX(0,MCDA_Prioritisation!$F$3+(RAND()-0.5)*2*$B$7))</f>
        <v>97.937776479917005</v>
      </c>
      <c r="O617" s="54">
        <f ca="1">MIN(100,MAX(0,MCDA_Prioritisation!$F$4+(RAND()-0.5)*2*$B$7))</f>
        <v>92.65957524281734</v>
      </c>
      <c r="P617" s="54">
        <f ca="1">MIN(100,MAX(0,MCDA_Prioritisation!$F$5+(RAND()-0.5)*2*$B$7))</f>
        <v>82.380728093115579</v>
      </c>
      <c r="Q617" s="54">
        <f ca="1">MIN(100,MAX(0,MCDA_Prioritisation!$G$2+(RAND()-0.5)*2*$B$7))</f>
        <v>86.182313168431619</v>
      </c>
      <c r="R617" s="54">
        <f ca="1">MIN(100,MAX(0,MCDA_Prioritisation!$G$3+(RAND()-0.5)*2*$B$7))</f>
        <v>87.010462501869696</v>
      </c>
      <c r="S617" s="54">
        <f ca="1">MIN(100,MAX(0,MCDA_Prioritisation!$G$4+(RAND()-0.5)*2*$B$7))</f>
        <v>87.319653477537088</v>
      </c>
      <c r="T617" s="54">
        <f ca="1">MIN(100,MAX(0,MCDA_Prioritisation!$G$5+(RAND()-0.5)*2*$B$7))</f>
        <v>76.135975167684833</v>
      </c>
      <c r="U617" s="54">
        <f ca="1">MIN(100,MAX(0,MCDA_Prioritisation!$H$2+(RAND()-0.5)*2*$B$7))</f>
        <v>71.673729277845567</v>
      </c>
      <c r="V617" s="54">
        <f ca="1">MIN(100,MAX(0,MCDA_Prioritisation!$H$3+(RAND()-0.5)*2*$B$7))</f>
        <v>53.461119247441822</v>
      </c>
      <c r="W617" s="54">
        <f ca="1">MIN(100,MAX(0,MCDA_Prioritisation!$H$4+(RAND()-0.5)*2*$B$7))</f>
        <v>71.006897586389897</v>
      </c>
      <c r="X617" s="54">
        <f ca="1">MIN(100,MAX(0,MCDA_Prioritisation!$H$5+(RAND()-0.5)*2*$B$7))</f>
        <v>82.171308734630685</v>
      </c>
      <c r="Y617" s="54">
        <f ca="1">H617*MCDA_Prioritisation!$D$2+I617*MCDA_Prioritisation!$E$2+J617*M617+K617*Q617+L617*U617</f>
        <v>90.121893610407398</v>
      </c>
      <c r="Z617" s="54">
        <f ca="1">H617*MCDA_Prioritisation!$D$3+I617*MCDA_Prioritisation!$E$3+J617*N617+K617*R617+L617*V617</f>
        <v>80.395066996190636</v>
      </c>
      <c r="AA617" s="54">
        <f ca="1">H617*MCDA_Prioritisation!$D$4+I617*MCDA_Prioritisation!$E$4+J617*O617+K617*S617+L617*W617</f>
        <v>75.481938082147806</v>
      </c>
      <c r="AB617" s="54">
        <f ca="1">H617*MCDA_Prioritisation!$D$5+I617*MCDA_Prioritisation!$E$5+J617*P617+K617*T617+L617*X617</f>
        <v>77.044919798335826</v>
      </c>
      <c r="AC617" s="54">
        <f t="shared" ca="1" si="132"/>
        <v>1</v>
      </c>
      <c r="AD617" s="54">
        <f t="shared" ca="1" si="133"/>
        <v>2</v>
      </c>
      <c r="AE617" s="54">
        <f t="shared" ca="1" si="134"/>
        <v>4</v>
      </c>
      <c r="AF617" s="54">
        <f t="shared" ca="1" si="135"/>
        <v>3</v>
      </c>
      <c r="AG617" s="54">
        <f t="shared" ca="1" si="136"/>
        <v>1</v>
      </c>
      <c r="AH617" s="54">
        <f t="shared" ca="1" si="137"/>
        <v>1</v>
      </c>
      <c r="AI617" s="54">
        <f t="shared" ca="1" si="138"/>
        <v>0</v>
      </c>
      <c r="AJ617" s="54">
        <f t="shared" ca="1" si="139"/>
        <v>1</v>
      </c>
    </row>
    <row r="618" spans="1:36" x14ac:dyDescent="0.2">
      <c r="A618" s="54">
        <v>595</v>
      </c>
      <c r="B618" s="54">
        <f ca="1">MAX(0.02,MCDA_Prioritisation!$B$9+(RAND()-0.5)*2*$B$6)</f>
        <v>0.21480560835629775</v>
      </c>
      <c r="C618" s="54">
        <f ca="1">MAX(0.02,MCDA_Prioritisation!$B$10+(RAND()-0.5)*2*$B$6)</f>
        <v>0.18853118623338491</v>
      </c>
      <c r="D618" s="54">
        <f ca="1">MAX(0.02,MCDA_Prioritisation!$B$11+(RAND()-0.5)*2*$B$6)</f>
        <v>0.20855996429933343</v>
      </c>
      <c r="E618" s="54">
        <f ca="1">MAX(0.02,MCDA_Prioritisation!$B$12+(RAND()-0.5)*2*$B$6)</f>
        <v>0.19201111271586788</v>
      </c>
      <c r="F618" s="54">
        <f ca="1">MAX(0.02,MCDA_Prioritisation!$B$13+(RAND()-0.5)*2*$B$6)</f>
        <v>0.11032838525391275</v>
      </c>
      <c r="G618" s="54">
        <f t="shared" ca="1" si="126"/>
        <v>0.91423625685879673</v>
      </c>
      <c r="H618" s="54">
        <f t="shared" ca="1" si="127"/>
        <v>0.23495634388242639</v>
      </c>
      <c r="I618" s="54">
        <f t="shared" ca="1" si="128"/>
        <v>0.20621714006525499</v>
      </c>
      <c r="J618" s="54">
        <f t="shared" ca="1" si="129"/>
        <v>0.22812480114923445</v>
      </c>
      <c r="K618" s="54">
        <f t="shared" ca="1" si="130"/>
        <v>0.21002351555777762</v>
      </c>
      <c r="L618" s="54">
        <f t="shared" ca="1" si="131"/>
        <v>0.12067819934530655</v>
      </c>
      <c r="M618" s="54">
        <f ca="1">MIN(100,MAX(0,MCDA_Prioritisation!$F$2+(RAND()-0.5)*2*$B$7))</f>
        <v>93.666884033715633</v>
      </c>
      <c r="N618" s="54">
        <f ca="1">MIN(100,MAX(0,MCDA_Prioritisation!$F$3+(RAND()-0.5)*2*$B$7))</f>
        <v>92.124372229779553</v>
      </c>
      <c r="O618" s="54">
        <f ca="1">MIN(100,MAX(0,MCDA_Prioritisation!$F$4+(RAND()-0.5)*2*$B$7))</f>
        <v>89.415144501590817</v>
      </c>
      <c r="P618" s="54">
        <f ca="1">MIN(100,MAX(0,MCDA_Prioritisation!$F$5+(RAND()-0.5)*2*$B$7))</f>
        <v>81.575347951955223</v>
      </c>
      <c r="Q618" s="54">
        <f ca="1">MIN(100,MAX(0,MCDA_Prioritisation!$G$2+(RAND()-0.5)*2*$B$7))</f>
        <v>88.243523695632632</v>
      </c>
      <c r="R618" s="54">
        <f ca="1">MIN(100,MAX(0,MCDA_Prioritisation!$G$3+(RAND()-0.5)*2*$B$7))</f>
        <v>98.535414197004755</v>
      </c>
      <c r="S618" s="54">
        <f ca="1">MIN(100,MAX(0,MCDA_Prioritisation!$G$4+(RAND()-0.5)*2*$B$7))</f>
        <v>75.133955815354398</v>
      </c>
      <c r="T618" s="54">
        <f ca="1">MIN(100,MAX(0,MCDA_Prioritisation!$G$5+(RAND()-0.5)*2*$B$7))</f>
        <v>62.121897215047774</v>
      </c>
      <c r="U618" s="54">
        <f ca="1">MIN(100,MAX(0,MCDA_Prioritisation!$H$2+(RAND()-0.5)*2*$B$7))</f>
        <v>69.145470244572309</v>
      </c>
      <c r="V618" s="54">
        <f ca="1">MIN(100,MAX(0,MCDA_Prioritisation!$H$3+(RAND()-0.5)*2*$B$7))</f>
        <v>53.983688292725496</v>
      </c>
      <c r="W618" s="54">
        <f ca="1">MIN(100,MAX(0,MCDA_Prioritisation!$H$4+(RAND()-0.5)*2*$B$7))</f>
        <v>71.026099309867959</v>
      </c>
      <c r="X618" s="54">
        <f ca="1">MIN(100,MAX(0,MCDA_Prioritisation!$H$5+(RAND()-0.5)*2*$B$7))</f>
        <v>67.518850860576833</v>
      </c>
      <c r="Y618" s="54">
        <f ca="1">H618*MCDA_Prioritisation!$D$2+I618*MCDA_Prioritisation!$E$2+J618*M618+K618*Q618+L618*U618</f>
        <v>92.362653602990193</v>
      </c>
      <c r="Z618" s="54">
        <f ca="1">H618*MCDA_Prioritisation!$D$3+I618*MCDA_Prioritisation!$E$3+J618*N618+K618*R618+L618*V618</f>
        <v>83.75731449565987</v>
      </c>
      <c r="AA618" s="54">
        <f ca="1">H618*MCDA_Prioritisation!$D$4+I618*MCDA_Prioritisation!$E$4+J618*O618+K618*S618+L618*W618</f>
        <v>72.358197581884141</v>
      </c>
      <c r="AB618" s="54">
        <f ca="1">H618*MCDA_Prioritisation!$D$5+I618*MCDA_Prioritisation!$E$5+J618*P618+K618*T618+L618*X618</f>
        <v>69.615976419222505</v>
      </c>
      <c r="AC618" s="54">
        <f t="shared" ca="1" si="132"/>
        <v>1</v>
      </c>
      <c r="AD618" s="54">
        <f t="shared" ca="1" si="133"/>
        <v>2</v>
      </c>
      <c r="AE618" s="54">
        <f t="shared" ca="1" si="134"/>
        <v>3</v>
      </c>
      <c r="AF618" s="54">
        <f t="shared" ca="1" si="135"/>
        <v>4</v>
      </c>
      <c r="AG618" s="54">
        <f t="shared" ca="1" si="136"/>
        <v>1</v>
      </c>
      <c r="AH618" s="54">
        <f t="shared" ca="1" si="137"/>
        <v>1</v>
      </c>
      <c r="AI618" s="54">
        <f t="shared" ca="1" si="138"/>
        <v>1</v>
      </c>
      <c r="AJ618" s="54">
        <f t="shared" ca="1" si="139"/>
        <v>1</v>
      </c>
    </row>
    <row r="619" spans="1:36" x14ac:dyDescent="0.2">
      <c r="A619" s="54">
        <v>596</v>
      </c>
      <c r="B619" s="54">
        <f ca="1">MAX(0.02,MCDA_Prioritisation!$B$9+(RAND()-0.5)*2*$B$6)</f>
        <v>0.12111410892225709</v>
      </c>
      <c r="C619" s="54">
        <f ca="1">MAX(0.02,MCDA_Prioritisation!$B$10+(RAND()-0.5)*2*$B$6)</f>
        <v>0.23624626877817106</v>
      </c>
      <c r="D619" s="54">
        <f ca="1">MAX(0.02,MCDA_Prioritisation!$B$11+(RAND()-0.5)*2*$B$6)</f>
        <v>0.24905113225691744</v>
      </c>
      <c r="E619" s="54">
        <f ca="1">MAX(0.02,MCDA_Prioritisation!$B$12+(RAND()-0.5)*2*$B$6)</f>
        <v>9.8500900212103143E-2</v>
      </c>
      <c r="F619" s="54">
        <f ca="1">MAX(0.02,MCDA_Prioritisation!$B$13+(RAND()-0.5)*2*$B$6)</f>
        <v>0.14063762073350999</v>
      </c>
      <c r="G619" s="54">
        <f t="shared" ca="1" si="126"/>
        <v>0.84555003090295866</v>
      </c>
      <c r="H619" s="54">
        <f t="shared" ca="1" si="127"/>
        <v>0.1432370699495096</v>
      </c>
      <c r="I619" s="54">
        <f t="shared" ca="1" si="128"/>
        <v>0.27939951527869361</v>
      </c>
      <c r="J619" s="54">
        <f t="shared" ca="1" si="129"/>
        <v>0.29454334238620627</v>
      </c>
      <c r="K619" s="54">
        <f t="shared" ca="1" si="130"/>
        <v>0.11649328438544851</v>
      </c>
      <c r="L619" s="54">
        <f t="shared" ca="1" si="131"/>
        <v>0.16632678800014208</v>
      </c>
      <c r="M619" s="54">
        <f ca="1">MIN(100,MAX(0,MCDA_Prioritisation!$F$2+(RAND()-0.5)*2*$B$7))</f>
        <v>84.421285757259142</v>
      </c>
      <c r="N619" s="54">
        <f ca="1">MIN(100,MAX(0,MCDA_Prioritisation!$F$3+(RAND()-0.5)*2*$B$7))</f>
        <v>96.285571148171059</v>
      </c>
      <c r="O619" s="54">
        <f ca="1">MIN(100,MAX(0,MCDA_Prioritisation!$F$4+(RAND()-0.5)*2*$B$7))</f>
        <v>91.265527583912586</v>
      </c>
      <c r="P619" s="54">
        <f ca="1">MIN(100,MAX(0,MCDA_Prioritisation!$F$5+(RAND()-0.5)*2*$B$7))</f>
        <v>73.651023789250218</v>
      </c>
      <c r="Q619" s="54">
        <f ca="1">MIN(100,MAX(0,MCDA_Prioritisation!$G$2+(RAND()-0.5)*2*$B$7))</f>
        <v>77.334842277684842</v>
      </c>
      <c r="R619" s="54">
        <f ca="1">MIN(100,MAX(0,MCDA_Prioritisation!$G$3+(RAND()-0.5)*2*$B$7))</f>
        <v>98.313340917177598</v>
      </c>
      <c r="S619" s="54">
        <f ca="1">MIN(100,MAX(0,MCDA_Prioritisation!$G$4+(RAND()-0.5)*2*$B$7))</f>
        <v>81.096178567624804</v>
      </c>
      <c r="T619" s="54">
        <f ca="1">MIN(100,MAX(0,MCDA_Prioritisation!$G$5+(RAND()-0.5)*2*$B$7))</f>
        <v>75.047164798137771</v>
      </c>
      <c r="U619" s="54">
        <f ca="1">MIN(100,MAX(0,MCDA_Prioritisation!$H$2+(RAND()-0.5)*2*$B$7))</f>
        <v>69.632935264824582</v>
      </c>
      <c r="V619" s="54">
        <f ca="1">MIN(100,MAX(0,MCDA_Prioritisation!$H$3+(RAND()-0.5)*2*$B$7))</f>
        <v>69.604116521216554</v>
      </c>
      <c r="W619" s="54">
        <f ca="1">MIN(100,MAX(0,MCDA_Prioritisation!$H$4+(RAND()-0.5)*2*$B$7))</f>
        <v>71.740658492530955</v>
      </c>
      <c r="X619" s="54">
        <f ca="1">MIN(100,MAX(0,MCDA_Prioritisation!$H$5+(RAND()-0.5)*2*$B$7))</f>
        <v>70.756436136020682</v>
      </c>
      <c r="Y619" s="54">
        <f ca="1">H619*MCDA_Prioritisation!$D$2+I619*MCDA_Prioritisation!$E$2+J619*M619+K619*Q619+L619*U619</f>
        <v>87.720198434282693</v>
      </c>
      <c r="Z619" s="54">
        <f ca="1">H619*MCDA_Prioritisation!$D$3+I619*MCDA_Prioritisation!$E$3+J619*N619+K619*R619+L619*V619</f>
        <v>84.228578990442102</v>
      </c>
      <c r="AA619" s="54">
        <f ca="1">H619*MCDA_Prioritisation!$D$4+I619*MCDA_Prioritisation!$E$4+J619*O619+K619*S619+L619*W619</f>
        <v>73.475368106148863</v>
      </c>
      <c r="AB619" s="54">
        <f ca="1">H619*MCDA_Prioritisation!$D$5+I619*MCDA_Prioritisation!$E$5+J619*P619+K619*T619+L619*X619</f>
        <v>73.301994363432698</v>
      </c>
      <c r="AC619" s="54">
        <f t="shared" ca="1" si="132"/>
        <v>1</v>
      </c>
      <c r="AD619" s="54">
        <f t="shared" ca="1" si="133"/>
        <v>2</v>
      </c>
      <c r="AE619" s="54">
        <f t="shared" ca="1" si="134"/>
        <v>3</v>
      </c>
      <c r="AF619" s="54">
        <f t="shared" ca="1" si="135"/>
        <v>4</v>
      </c>
      <c r="AG619" s="54">
        <f t="shared" ca="1" si="136"/>
        <v>1</v>
      </c>
      <c r="AH619" s="54">
        <f t="shared" ca="1" si="137"/>
        <v>1</v>
      </c>
      <c r="AI619" s="54">
        <f t="shared" ca="1" si="138"/>
        <v>1</v>
      </c>
      <c r="AJ619" s="54">
        <f t="shared" ca="1" si="139"/>
        <v>1</v>
      </c>
    </row>
    <row r="620" spans="1:36" x14ac:dyDescent="0.2">
      <c r="A620" s="54">
        <v>597</v>
      </c>
      <c r="B620" s="54">
        <f ca="1">MAX(0.02,MCDA_Prioritisation!$B$9+(RAND()-0.5)*2*$B$6)</f>
        <v>0.2726659220238663</v>
      </c>
      <c r="C620" s="54">
        <f ca="1">MAX(0.02,MCDA_Prioritisation!$B$10+(RAND()-0.5)*2*$B$6)</f>
        <v>0.23697069678758814</v>
      </c>
      <c r="D620" s="54">
        <f ca="1">MAX(0.02,MCDA_Prioritisation!$B$11+(RAND()-0.5)*2*$B$6)</f>
        <v>0.26596586831137309</v>
      </c>
      <c r="E620" s="54">
        <f ca="1">MAX(0.02,MCDA_Prioritisation!$B$12+(RAND()-0.5)*2*$B$6)</f>
        <v>0.21149802465238235</v>
      </c>
      <c r="F620" s="54">
        <f ca="1">MAX(0.02,MCDA_Prioritisation!$B$13+(RAND()-0.5)*2*$B$6)</f>
        <v>7.4471115106671745E-2</v>
      </c>
      <c r="G620" s="54">
        <f t="shared" ca="1" si="126"/>
        <v>1.0615716268818816</v>
      </c>
      <c r="H620" s="54">
        <f t="shared" ca="1" si="127"/>
        <v>0.25685117717846201</v>
      </c>
      <c r="I620" s="54">
        <f t="shared" ca="1" si="128"/>
        <v>0.22322629089441109</v>
      </c>
      <c r="J620" s="54">
        <f t="shared" ca="1" si="129"/>
        <v>0.25053972956359588</v>
      </c>
      <c r="K620" s="54">
        <f t="shared" ca="1" si="130"/>
        <v>0.19923104508134637</v>
      </c>
      <c r="L620" s="54">
        <f t="shared" ca="1" si="131"/>
        <v>7.0151757282184743E-2</v>
      </c>
      <c r="M620" s="54">
        <f ca="1">MIN(100,MAX(0,MCDA_Prioritisation!$F$2+(RAND()-0.5)*2*$B$7))</f>
        <v>85.644636694629128</v>
      </c>
      <c r="N620" s="54">
        <f ca="1">MIN(100,MAX(0,MCDA_Prioritisation!$F$3+(RAND()-0.5)*2*$B$7))</f>
        <v>97.885574049830922</v>
      </c>
      <c r="O620" s="54">
        <f ca="1">MIN(100,MAX(0,MCDA_Prioritisation!$F$4+(RAND()-0.5)*2*$B$7))</f>
        <v>86.617056286234728</v>
      </c>
      <c r="P620" s="54">
        <f ca="1">MIN(100,MAX(0,MCDA_Prioritisation!$F$5+(RAND()-0.5)*2*$B$7))</f>
        <v>83.927561370033231</v>
      </c>
      <c r="Q620" s="54">
        <f ca="1">MIN(100,MAX(0,MCDA_Prioritisation!$G$2+(RAND()-0.5)*2*$B$7))</f>
        <v>73.02682081364604</v>
      </c>
      <c r="R620" s="54">
        <f ca="1">MIN(100,MAX(0,MCDA_Prioritisation!$G$3+(RAND()-0.5)*2*$B$7))</f>
        <v>96.423177851183993</v>
      </c>
      <c r="S620" s="54">
        <f ca="1">MIN(100,MAX(0,MCDA_Prioritisation!$G$4+(RAND()-0.5)*2*$B$7))</f>
        <v>81.80006255887163</v>
      </c>
      <c r="T620" s="54">
        <f ca="1">MIN(100,MAX(0,MCDA_Prioritisation!$G$5+(RAND()-0.5)*2*$B$7))</f>
        <v>76.072504733677732</v>
      </c>
      <c r="U620" s="54">
        <f ca="1">MIN(100,MAX(0,MCDA_Prioritisation!$H$2+(RAND()-0.5)*2*$B$7))</f>
        <v>72.099547279290363</v>
      </c>
      <c r="V620" s="54">
        <f ca="1">MIN(100,MAX(0,MCDA_Prioritisation!$H$3+(RAND()-0.5)*2*$B$7))</f>
        <v>58.020209219397415</v>
      </c>
      <c r="W620" s="54">
        <f ca="1">MIN(100,MAX(0,MCDA_Prioritisation!$H$4+(RAND()-0.5)*2*$B$7))</f>
        <v>75.513960447309955</v>
      </c>
      <c r="X620" s="54">
        <f ca="1">MIN(100,MAX(0,MCDA_Prioritisation!$H$5+(RAND()-0.5)*2*$B$7))</f>
        <v>66.86733116050226</v>
      </c>
      <c r="Y620" s="54">
        <f ca="1">H620*MCDA_Prioritisation!$D$2+I620*MCDA_Prioritisation!$E$2+J620*M620+K620*Q620+L620*U620</f>
        <v>89.072250693895199</v>
      </c>
      <c r="Z620" s="54">
        <f ca="1">H620*MCDA_Prioritisation!$D$3+I620*MCDA_Prioritisation!$E$3+J620*N620+K620*R620+L620*V620</f>
        <v>86.48755576196929</v>
      </c>
      <c r="AA620" s="54">
        <f ca="1">H620*MCDA_Prioritisation!$D$4+I620*MCDA_Prioritisation!$E$4+J620*O620+K620*S620+L620*W620</f>
        <v>73.357148390141262</v>
      </c>
      <c r="AB620" s="54">
        <f ca="1">H620*MCDA_Prioritisation!$D$5+I620*MCDA_Prioritisation!$E$5+J620*P620+K620*T620+L620*X620</f>
        <v>73.277960449142796</v>
      </c>
      <c r="AC620" s="54">
        <f t="shared" ca="1" si="132"/>
        <v>1</v>
      </c>
      <c r="AD620" s="54">
        <f t="shared" ca="1" si="133"/>
        <v>2</v>
      </c>
      <c r="AE620" s="54">
        <f t="shared" ca="1" si="134"/>
        <v>3</v>
      </c>
      <c r="AF620" s="54">
        <f t="shared" ca="1" si="135"/>
        <v>4</v>
      </c>
      <c r="AG620" s="54">
        <f t="shared" ca="1" si="136"/>
        <v>1</v>
      </c>
      <c r="AH620" s="54">
        <f t="shared" ca="1" si="137"/>
        <v>1</v>
      </c>
      <c r="AI620" s="54">
        <f t="shared" ca="1" si="138"/>
        <v>1</v>
      </c>
      <c r="AJ620" s="54">
        <f t="shared" ca="1" si="139"/>
        <v>1</v>
      </c>
    </row>
    <row r="621" spans="1:36" x14ac:dyDescent="0.2">
      <c r="A621" s="54">
        <v>598</v>
      </c>
      <c r="B621" s="54">
        <f ca="1">MAX(0.02,MCDA_Prioritisation!$B$9+(RAND()-0.5)*2*$B$6)</f>
        <v>0.24735888782446547</v>
      </c>
      <c r="C621" s="54">
        <f ca="1">MAX(0.02,MCDA_Prioritisation!$B$10+(RAND()-0.5)*2*$B$6)</f>
        <v>0.28403157135838886</v>
      </c>
      <c r="D621" s="54">
        <f ca="1">MAX(0.02,MCDA_Prioritisation!$B$11+(RAND()-0.5)*2*$B$6)</f>
        <v>0.17633081519672483</v>
      </c>
      <c r="E621" s="54">
        <f ca="1">MAX(0.02,MCDA_Prioritisation!$B$12+(RAND()-0.5)*2*$B$6)</f>
        <v>0.21198503244314681</v>
      </c>
      <c r="F621" s="54">
        <f ca="1">MAX(0.02,MCDA_Prioritisation!$B$13+(RAND()-0.5)*2*$B$6)</f>
        <v>8.1897681079030504E-2</v>
      </c>
      <c r="G621" s="54">
        <f t="shared" ca="1" si="126"/>
        <v>1.0016039879017564</v>
      </c>
      <c r="H621" s="54">
        <f t="shared" ca="1" si="127"/>
        <v>0.24696276254116509</v>
      </c>
      <c r="I621" s="54">
        <f t="shared" ca="1" si="128"/>
        <v>0.28357671773392384</v>
      </c>
      <c r="J621" s="54">
        <f t="shared" ca="1" si="129"/>
        <v>0.1760484356358418</v>
      </c>
      <c r="K621" s="54">
        <f t="shared" ca="1" si="130"/>
        <v>0.211645555532612</v>
      </c>
      <c r="L621" s="54">
        <f t="shared" ca="1" si="131"/>
        <v>8.176652855645733E-2</v>
      </c>
      <c r="M621" s="54">
        <f ca="1">MIN(100,MAX(0,MCDA_Prioritisation!$F$2+(RAND()-0.5)*2*$B$7))</f>
        <v>82.548770620199676</v>
      </c>
      <c r="N621" s="54">
        <f ca="1">MIN(100,MAX(0,MCDA_Prioritisation!$F$3+(RAND()-0.5)*2*$B$7))</f>
        <v>100</v>
      </c>
      <c r="O621" s="54">
        <f ca="1">MIN(100,MAX(0,MCDA_Prioritisation!$F$4+(RAND()-0.5)*2*$B$7))</f>
        <v>97.696740755914817</v>
      </c>
      <c r="P621" s="54">
        <f ca="1">MIN(100,MAX(0,MCDA_Prioritisation!$F$5+(RAND()-0.5)*2*$B$7))</f>
        <v>65.179265353683675</v>
      </c>
      <c r="Q621" s="54">
        <f ca="1">MIN(100,MAX(0,MCDA_Prioritisation!$G$2+(RAND()-0.5)*2*$B$7))</f>
        <v>79.178106615397354</v>
      </c>
      <c r="R621" s="54">
        <f ca="1">MIN(100,MAX(0,MCDA_Prioritisation!$G$3+(RAND()-0.5)*2*$B$7))</f>
        <v>91.309302862126003</v>
      </c>
      <c r="S621" s="54">
        <f ca="1">MIN(100,MAX(0,MCDA_Prioritisation!$G$4+(RAND()-0.5)*2*$B$7))</f>
        <v>80.670510289197068</v>
      </c>
      <c r="T621" s="54">
        <f ca="1">MIN(100,MAX(0,MCDA_Prioritisation!$G$5+(RAND()-0.5)*2*$B$7))</f>
        <v>75.140513074033294</v>
      </c>
      <c r="U621" s="54">
        <f ca="1">MIN(100,MAX(0,MCDA_Prioritisation!$H$2+(RAND()-0.5)*2*$B$7))</f>
        <v>57.596894679669084</v>
      </c>
      <c r="V621" s="54">
        <f ca="1">MIN(100,MAX(0,MCDA_Prioritisation!$H$3+(RAND()-0.5)*2*$B$7))</f>
        <v>65.922376417105994</v>
      </c>
      <c r="W621" s="54">
        <f ca="1">MIN(100,MAX(0,MCDA_Prioritisation!$H$4+(RAND()-0.5)*2*$B$7))</f>
        <v>74.826256114999325</v>
      </c>
      <c r="X621" s="54">
        <f ca="1">MIN(100,MAX(0,MCDA_Prioritisation!$H$5+(RAND()-0.5)*2*$B$7))</f>
        <v>84.286191948779944</v>
      </c>
      <c r="Y621" s="54">
        <f ca="1">H621*MCDA_Prioritisation!$D$2+I621*MCDA_Prioritisation!$E$2+J621*M621+K621*Q621+L621*U621</f>
        <v>89.053722453081562</v>
      </c>
      <c r="Z621" s="54">
        <f ca="1">H621*MCDA_Prioritisation!$D$3+I621*MCDA_Prioritisation!$E$3+J621*N621+K621*R621+L621*V621</f>
        <v>84.527821717696824</v>
      </c>
      <c r="AA621" s="54">
        <f ca="1">H621*MCDA_Prioritisation!$D$4+I621*MCDA_Prioritisation!$E$4+J621*O621+K621*S621+L621*W621</f>
        <v>73.056052504681389</v>
      </c>
      <c r="AB621" s="54">
        <f ca="1">H621*MCDA_Prioritisation!$D$5+I621*MCDA_Prioritisation!$E$5+J621*P621+K621*T621+L621*X621</f>
        <v>71.223645020858086</v>
      </c>
      <c r="AC621" s="54">
        <f t="shared" ca="1" si="132"/>
        <v>1</v>
      </c>
      <c r="AD621" s="54">
        <f t="shared" ca="1" si="133"/>
        <v>2</v>
      </c>
      <c r="AE621" s="54">
        <f t="shared" ca="1" si="134"/>
        <v>3</v>
      </c>
      <c r="AF621" s="54">
        <f t="shared" ca="1" si="135"/>
        <v>4</v>
      </c>
      <c r="AG621" s="54">
        <f t="shared" ca="1" si="136"/>
        <v>1</v>
      </c>
      <c r="AH621" s="54">
        <f t="shared" ca="1" si="137"/>
        <v>1</v>
      </c>
      <c r="AI621" s="54">
        <f t="shared" ca="1" si="138"/>
        <v>1</v>
      </c>
      <c r="AJ621" s="54">
        <f t="shared" ca="1" si="139"/>
        <v>1</v>
      </c>
    </row>
    <row r="622" spans="1:36" x14ac:dyDescent="0.2">
      <c r="A622" s="54">
        <v>599</v>
      </c>
      <c r="B622" s="54">
        <f ca="1">MAX(0.02,MCDA_Prioritisation!$B$9+(RAND()-0.5)*2*$B$6)</f>
        <v>0.17909526868283437</v>
      </c>
      <c r="C622" s="54">
        <f ca="1">MAX(0.02,MCDA_Prioritisation!$B$10+(RAND()-0.5)*2*$B$6)</f>
        <v>0.24822814676915278</v>
      </c>
      <c r="D622" s="54">
        <f ca="1">MAX(0.02,MCDA_Prioritisation!$B$11+(RAND()-0.5)*2*$B$6)</f>
        <v>0.18273489473515755</v>
      </c>
      <c r="E622" s="54">
        <f ca="1">MAX(0.02,MCDA_Prioritisation!$B$12+(RAND()-0.5)*2*$B$6)</f>
        <v>0.13164505824855977</v>
      </c>
      <c r="F622" s="54">
        <f ca="1">MAX(0.02,MCDA_Prioritisation!$B$13+(RAND()-0.5)*2*$B$6)</f>
        <v>0.1932721788236656</v>
      </c>
      <c r="G622" s="54">
        <f t="shared" ca="1" si="126"/>
        <v>0.93497554725937015</v>
      </c>
      <c r="H622" s="54">
        <f t="shared" ca="1" si="127"/>
        <v>0.1915507514691738</v>
      </c>
      <c r="I622" s="54">
        <f t="shared" ca="1" si="128"/>
        <v>0.26549159226331315</v>
      </c>
      <c r="J622" s="54">
        <f t="shared" ca="1" si="129"/>
        <v>0.19544350145925832</v>
      </c>
      <c r="K622" s="54">
        <f t="shared" ca="1" si="130"/>
        <v>0.14080053605085385</v>
      </c>
      <c r="L622" s="54">
        <f t="shared" ca="1" si="131"/>
        <v>0.20671361875740077</v>
      </c>
      <c r="M622" s="54">
        <f ca="1">MIN(100,MAX(0,MCDA_Prioritisation!$F$2+(RAND()-0.5)*2*$B$7))</f>
        <v>77.881156953636605</v>
      </c>
      <c r="N622" s="54">
        <f ca="1">MIN(100,MAX(0,MCDA_Prioritisation!$F$3+(RAND()-0.5)*2*$B$7))</f>
        <v>93.094658175121523</v>
      </c>
      <c r="O622" s="54">
        <f ca="1">MIN(100,MAX(0,MCDA_Prioritisation!$F$4+(RAND()-0.5)*2*$B$7))</f>
        <v>83.09337588503611</v>
      </c>
      <c r="P622" s="54">
        <f ca="1">MIN(100,MAX(0,MCDA_Prioritisation!$F$5+(RAND()-0.5)*2*$B$7))</f>
        <v>74.780222765922417</v>
      </c>
      <c r="Q622" s="54">
        <f ca="1">MIN(100,MAX(0,MCDA_Prioritisation!$G$2+(RAND()-0.5)*2*$B$7))</f>
        <v>77.965230408354671</v>
      </c>
      <c r="R622" s="54">
        <f ca="1">MIN(100,MAX(0,MCDA_Prioritisation!$G$3+(RAND()-0.5)*2*$B$7))</f>
        <v>93.737646453835325</v>
      </c>
      <c r="S622" s="54">
        <f ca="1">MIN(100,MAX(0,MCDA_Prioritisation!$G$4+(RAND()-0.5)*2*$B$7))</f>
        <v>79.504949778257412</v>
      </c>
      <c r="T622" s="54">
        <f ca="1">MIN(100,MAX(0,MCDA_Prioritisation!$G$5+(RAND()-0.5)*2*$B$7))</f>
        <v>68.19587781347127</v>
      </c>
      <c r="U622" s="54">
        <f ca="1">MIN(100,MAX(0,MCDA_Prioritisation!$H$2+(RAND()-0.5)*2*$B$7))</f>
        <v>62.784693740204709</v>
      </c>
      <c r="V622" s="54">
        <f ca="1">MIN(100,MAX(0,MCDA_Prioritisation!$H$3+(RAND()-0.5)*2*$B$7))</f>
        <v>58.268275396421394</v>
      </c>
      <c r="W622" s="54">
        <f ca="1">MIN(100,MAX(0,MCDA_Prioritisation!$H$4+(RAND()-0.5)*2*$B$7))</f>
        <v>70.647770793395381</v>
      </c>
      <c r="X622" s="54">
        <f ca="1">MIN(100,MAX(0,MCDA_Prioritisation!$H$5+(RAND()-0.5)*2*$B$7))</f>
        <v>84.078733594444842</v>
      </c>
      <c r="Y622" s="54">
        <f ca="1">H622*MCDA_Prioritisation!$D$2+I622*MCDA_Prioritisation!$E$2+J622*M622+K622*Q622+L622*U622</f>
        <v>84.881597866403013</v>
      </c>
      <c r="Z622" s="54">
        <f ca="1">H622*MCDA_Prioritisation!$D$3+I622*MCDA_Prioritisation!$E$3+J622*N622+K622*R622+L622*V622</f>
        <v>79.48731256929716</v>
      </c>
      <c r="AA622" s="54">
        <f ca="1">H622*MCDA_Prioritisation!$D$4+I622*MCDA_Prioritisation!$E$4+J622*O622+K622*S622+L622*W622</f>
        <v>69.858084096311089</v>
      </c>
      <c r="AB622" s="54">
        <f ca="1">H622*MCDA_Prioritisation!$D$5+I622*MCDA_Prioritisation!$E$5+J622*P622+K622*T622+L622*X622</f>
        <v>74.089699941401548</v>
      </c>
      <c r="AC622" s="54">
        <f t="shared" ca="1" si="132"/>
        <v>1</v>
      </c>
      <c r="AD622" s="54">
        <f t="shared" ca="1" si="133"/>
        <v>2</v>
      </c>
      <c r="AE622" s="54">
        <f t="shared" ca="1" si="134"/>
        <v>4</v>
      </c>
      <c r="AF622" s="54">
        <f t="shared" ca="1" si="135"/>
        <v>3</v>
      </c>
      <c r="AG622" s="54">
        <f t="shared" ca="1" si="136"/>
        <v>1</v>
      </c>
      <c r="AH622" s="54">
        <f t="shared" ca="1" si="137"/>
        <v>1</v>
      </c>
      <c r="AI622" s="54">
        <f t="shared" ca="1" si="138"/>
        <v>0</v>
      </c>
      <c r="AJ622" s="54">
        <f t="shared" ca="1" si="139"/>
        <v>1</v>
      </c>
    </row>
    <row r="623" spans="1:36" x14ac:dyDescent="0.2">
      <c r="A623" s="54">
        <v>600</v>
      </c>
      <c r="B623" s="54">
        <f ca="1">MAX(0.02,MCDA_Prioritisation!$B$9+(RAND()-0.5)*2*$B$6)</f>
        <v>0.24906542287028177</v>
      </c>
      <c r="C623" s="54">
        <f ca="1">MAX(0.02,MCDA_Prioritisation!$B$10+(RAND()-0.5)*2*$B$6)</f>
        <v>0.22697800351465053</v>
      </c>
      <c r="D623" s="54">
        <f ca="1">MAX(0.02,MCDA_Prioritisation!$B$11+(RAND()-0.5)*2*$B$6)</f>
        <v>0.25145835714905179</v>
      </c>
      <c r="E623" s="54">
        <f ca="1">MAX(0.02,MCDA_Prioritisation!$B$12+(RAND()-0.5)*2*$B$6)</f>
        <v>0.10367172123254942</v>
      </c>
      <c r="F623" s="54">
        <f ca="1">MAX(0.02,MCDA_Prioritisation!$B$13+(RAND()-0.5)*2*$B$6)</f>
        <v>0.12813121286596629</v>
      </c>
      <c r="G623" s="54">
        <f t="shared" ca="1" si="126"/>
        <v>0.9593047176324998</v>
      </c>
      <c r="H623" s="54">
        <f t="shared" ca="1" si="127"/>
        <v>0.25963118735093754</v>
      </c>
      <c r="I623" s="54">
        <f t="shared" ca="1" si="128"/>
        <v>0.23660678337412655</v>
      </c>
      <c r="J623" s="54">
        <f t="shared" ca="1" si="129"/>
        <v>0.2621256338336731</v>
      </c>
      <c r="K623" s="54">
        <f t="shared" ca="1" si="130"/>
        <v>0.10806964599153054</v>
      </c>
      <c r="L623" s="54">
        <f t="shared" ca="1" si="131"/>
        <v>0.13356674944973229</v>
      </c>
      <c r="M623" s="54">
        <f ca="1">MIN(100,MAX(0,MCDA_Prioritisation!$F$2+(RAND()-0.5)*2*$B$7))</f>
        <v>83.072144828560525</v>
      </c>
      <c r="N623" s="54">
        <f ca="1">MIN(100,MAX(0,MCDA_Prioritisation!$F$3+(RAND()-0.5)*2*$B$7))</f>
        <v>100</v>
      </c>
      <c r="O623" s="54">
        <f ca="1">MIN(100,MAX(0,MCDA_Prioritisation!$F$4+(RAND()-0.5)*2*$B$7))</f>
        <v>94.420365981722796</v>
      </c>
      <c r="P623" s="54">
        <f ca="1">MIN(100,MAX(0,MCDA_Prioritisation!$F$5+(RAND()-0.5)*2*$B$7))</f>
        <v>83.475291188923379</v>
      </c>
      <c r="Q623" s="54">
        <f ca="1">MIN(100,MAX(0,MCDA_Prioritisation!$G$2+(RAND()-0.5)*2*$B$7))</f>
        <v>72.570836592325392</v>
      </c>
      <c r="R623" s="54">
        <f ca="1">MIN(100,MAX(0,MCDA_Prioritisation!$G$3+(RAND()-0.5)*2*$B$7))</f>
        <v>88.75158637654711</v>
      </c>
      <c r="S623" s="54">
        <f ca="1">MIN(100,MAX(0,MCDA_Prioritisation!$G$4+(RAND()-0.5)*2*$B$7))</f>
        <v>77.06861882504775</v>
      </c>
      <c r="T623" s="54">
        <f ca="1">MIN(100,MAX(0,MCDA_Prioritisation!$G$5+(RAND()-0.5)*2*$B$7))</f>
        <v>64.122311401733384</v>
      </c>
      <c r="U623" s="54">
        <f ca="1">MIN(100,MAX(0,MCDA_Prioritisation!$H$2+(RAND()-0.5)*2*$B$7))</f>
        <v>61.168744213082455</v>
      </c>
      <c r="V623" s="54">
        <f ca="1">MIN(100,MAX(0,MCDA_Prioritisation!$H$3+(RAND()-0.5)*2*$B$7))</f>
        <v>68.082498271899524</v>
      </c>
      <c r="W623" s="54">
        <f ca="1">MIN(100,MAX(0,MCDA_Prioritisation!$H$4+(RAND()-0.5)*2*$B$7))</f>
        <v>85.516758362483444</v>
      </c>
      <c r="X623" s="54">
        <f ca="1">MIN(100,MAX(0,MCDA_Prioritisation!$H$5+(RAND()-0.5)*2*$B$7))</f>
        <v>71.263829621658772</v>
      </c>
      <c r="Y623" s="54">
        <f ca="1">H623*MCDA_Prioritisation!$D$2+I623*MCDA_Prioritisation!$E$2+J623*M623+K623*Q623+L623*U623</f>
        <v>87.411950641920882</v>
      </c>
      <c r="Z623" s="54">
        <f ca="1">H623*MCDA_Prioritisation!$D$3+I623*MCDA_Prioritisation!$E$3+J623*N623+K623*R623+L623*V623</f>
        <v>84.796185104215155</v>
      </c>
      <c r="AA623" s="54">
        <f ca="1">H623*MCDA_Prioritisation!$D$4+I623*MCDA_Prioritisation!$E$4+J623*O623+K623*S623+L623*W623</f>
        <v>75.48598623794409</v>
      </c>
      <c r="AB623" s="54">
        <f ca="1">H623*MCDA_Prioritisation!$D$5+I623*MCDA_Prioritisation!$E$5+J623*P623+K623*T623+L623*X623</f>
        <v>72.005802986754006</v>
      </c>
      <c r="AC623" s="54">
        <f t="shared" ca="1" si="132"/>
        <v>1</v>
      </c>
      <c r="AD623" s="54">
        <f t="shared" ca="1" si="133"/>
        <v>2</v>
      </c>
      <c r="AE623" s="54">
        <f t="shared" ca="1" si="134"/>
        <v>3</v>
      </c>
      <c r="AF623" s="54">
        <f t="shared" ca="1" si="135"/>
        <v>4</v>
      </c>
      <c r="AG623" s="54">
        <f t="shared" ca="1" si="136"/>
        <v>1</v>
      </c>
      <c r="AH623" s="54">
        <f t="shared" ca="1" si="137"/>
        <v>1</v>
      </c>
      <c r="AI623" s="54">
        <f t="shared" ca="1" si="138"/>
        <v>1</v>
      </c>
      <c r="AJ623" s="54">
        <f t="shared" ca="1" si="139"/>
        <v>1</v>
      </c>
    </row>
    <row r="624" spans="1:36" x14ac:dyDescent="0.2">
      <c r="A624" s="54">
        <v>601</v>
      </c>
      <c r="B624" s="54">
        <f ca="1">MAX(0.02,MCDA_Prioritisation!$B$9+(RAND()-0.5)*2*$B$6)</f>
        <v>0.17067735787442603</v>
      </c>
      <c r="C624" s="54">
        <f ca="1">MAX(0.02,MCDA_Prioritisation!$B$10+(RAND()-0.5)*2*$B$6)</f>
        <v>0.28114500047886287</v>
      </c>
      <c r="D624" s="54">
        <f ca="1">MAX(0.02,MCDA_Prioritisation!$B$11+(RAND()-0.5)*2*$B$6)</f>
        <v>0.28682639739480881</v>
      </c>
      <c r="E624" s="54">
        <f ca="1">MAX(0.02,MCDA_Prioritisation!$B$12+(RAND()-0.5)*2*$B$6)</f>
        <v>8.9878003332744733E-2</v>
      </c>
      <c r="F624" s="54">
        <f ca="1">MAX(0.02,MCDA_Prioritisation!$B$13+(RAND()-0.5)*2*$B$6)</f>
        <v>0.19503386921570245</v>
      </c>
      <c r="G624" s="54">
        <f t="shared" ca="1" si="126"/>
        <v>1.0235606282965448</v>
      </c>
      <c r="H624" s="54">
        <f t="shared" ca="1" si="127"/>
        <v>0.16674865479974049</v>
      </c>
      <c r="I624" s="54">
        <f t="shared" ca="1" si="128"/>
        <v>0.274673519776505</v>
      </c>
      <c r="J624" s="54">
        <f t="shared" ca="1" si="129"/>
        <v>0.28022414057891037</v>
      </c>
      <c r="K624" s="54">
        <f t="shared" ca="1" si="130"/>
        <v>8.7809164252755312E-2</v>
      </c>
      <c r="L624" s="54">
        <f t="shared" ca="1" si="131"/>
        <v>0.19054452059208893</v>
      </c>
      <c r="M624" s="54">
        <f ca="1">MIN(100,MAX(0,MCDA_Prioritisation!$F$2+(RAND()-0.5)*2*$B$7))</f>
        <v>88.983781336219437</v>
      </c>
      <c r="N624" s="54">
        <f ca="1">MIN(100,MAX(0,MCDA_Prioritisation!$F$3+(RAND()-0.5)*2*$B$7))</f>
        <v>99.50872857700962</v>
      </c>
      <c r="O624" s="54">
        <f ca="1">MIN(100,MAX(0,MCDA_Prioritisation!$F$4+(RAND()-0.5)*2*$B$7))</f>
        <v>88.790612951073314</v>
      </c>
      <c r="P624" s="54">
        <f ca="1">MIN(100,MAX(0,MCDA_Prioritisation!$F$5+(RAND()-0.5)*2*$B$7))</f>
        <v>73.680079969742735</v>
      </c>
      <c r="Q624" s="54">
        <f ca="1">MIN(100,MAX(0,MCDA_Prioritisation!$G$2+(RAND()-0.5)*2*$B$7))</f>
        <v>80.373166541908674</v>
      </c>
      <c r="R624" s="54">
        <f ca="1">MIN(100,MAX(0,MCDA_Prioritisation!$G$3+(RAND()-0.5)*2*$B$7))</f>
        <v>97.765241756906292</v>
      </c>
      <c r="S624" s="54">
        <f ca="1">MIN(100,MAX(0,MCDA_Prioritisation!$G$4+(RAND()-0.5)*2*$B$7))</f>
        <v>81.195417797876473</v>
      </c>
      <c r="T624" s="54">
        <f ca="1">MIN(100,MAX(0,MCDA_Prioritisation!$G$5+(RAND()-0.5)*2*$B$7))</f>
        <v>71.307420877767797</v>
      </c>
      <c r="U624" s="54">
        <f ca="1">MIN(100,MAX(0,MCDA_Prioritisation!$H$2+(RAND()-0.5)*2*$B$7))</f>
        <v>71.703507363778925</v>
      </c>
      <c r="V624" s="54">
        <f ca="1">MIN(100,MAX(0,MCDA_Prioritisation!$H$3+(RAND()-0.5)*2*$B$7))</f>
        <v>56.180284620891847</v>
      </c>
      <c r="W624" s="54">
        <f ca="1">MIN(100,MAX(0,MCDA_Prioritisation!$H$4+(RAND()-0.5)*2*$B$7))</f>
        <v>77.866039903488939</v>
      </c>
      <c r="X624" s="54">
        <f ca="1">MIN(100,MAX(0,MCDA_Prioritisation!$H$5+(RAND()-0.5)*2*$B$7))</f>
        <v>77.98804414609323</v>
      </c>
      <c r="Y624" s="54">
        <f ca="1">H624*MCDA_Prioritisation!$D$2+I624*MCDA_Prioritisation!$E$2+J624*M624+K624*Q624+L624*U624</f>
        <v>89.797832125823419</v>
      </c>
      <c r="Z624" s="54">
        <f ca="1">H624*MCDA_Prioritisation!$D$3+I624*MCDA_Prioritisation!$E$3+J624*N624+K624*R624+L624*V624</f>
        <v>81.723838881141873</v>
      </c>
      <c r="AA624" s="54">
        <f ca="1">H624*MCDA_Prioritisation!$D$4+I624*MCDA_Prioritisation!$E$4+J624*O624+K624*S624+L624*W624</f>
        <v>73.441510286808764</v>
      </c>
      <c r="AB624" s="54">
        <f ca="1">H624*MCDA_Prioritisation!$D$5+I624*MCDA_Prioritisation!$E$5+J624*P624+K624*T624+L624*X624</f>
        <v>73.71645581463234</v>
      </c>
      <c r="AC624" s="54">
        <f t="shared" ca="1" si="132"/>
        <v>1</v>
      </c>
      <c r="AD624" s="54">
        <f t="shared" ca="1" si="133"/>
        <v>2</v>
      </c>
      <c r="AE624" s="54">
        <f t="shared" ca="1" si="134"/>
        <v>4</v>
      </c>
      <c r="AF624" s="54">
        <f t="shared" ca="1" si="135"/>
        <v>3</v>
      </c>
      <c r="AG624" s="54">
        <f t="shared" ca="1" si="136"/>
        <v>1</v>
      </c>
      <c r="AH624" s="54">
        <f t="shared" ca="1" si="137"/>
        <v>1</v>
      </c>
      <c r="AI624" s="54">
        <f t="shared" ca="1" si="138"/>
        <v>0</v>
      </c>
      <c r="AJ624" s="54">
        <f t="shared" ca="1" si="139"/>
        <v>1</v>
      </c>
    </row>
    <row r="625" spans="1:36" x14ac:dyDescent="0.2">
      <c r="A625" s="54">
        <v>602</v>
      </c>
      <c r="B625" s="54">
        <f ca="1">MAX(0.02,MCDA_Prioritisation!$B$9+(RAND()-0.5)*2*$B$6)</f>
        <v>0.20020707468516274</v>
      </c>
      <c r="C625" s="54">
        <f ca="1">MAX(0.02,MCDA_Prioritisation!$B$10+(RAND()-0.5)*2*$B$6)</f>
        <v>0.19075775463620884</v>
      </c>
      <c r="D625" s="54">
        <f ca="1">MAX(0.02,MCDA_Prioritisation!$B$11+(RAND()-0.5)*2*$B$6)</f>
        <v>0.17482598270306565</v>
      </c>
      <c r="E625" s="54">
        <f ca="1">MAX(0.02,MCDA_Prioritisation!$B$12+(RAND()-0.5)*2*$B$6)</f>
        <v>0.20256944034448238</v>
      </c>
      <c r="F625" s="54">
        <f ca="1">MAX(0.02,MCDA_Prioritisation!$B$13+(RAND()-0.5)*2*$B$6)</f>
        <v>0.14714617970910862</v>
      </c>
      <c r="G625" s="54">
        <f t="shared" ca="1" si="126"/>
        <v>0.91550643207802829</v>
      </c>
      <c r="H625" s="54">
        <f t="shared" ca="1" si="127"/>
        <v>0.21868450910905143</v>
      </c>
      <c r="I625" s="54">
        <f t="shared" ca="1" si="128"/>
        <v>0.20836309604425654</v>
      </c>
      <c r="J625" s="54">
        <f t="shared" ca="1" si="129"/>
        <v>0.19096095513632097</v>
      </c>
      <c r="K625" s="54">
        <f t="shared" ca="1" si="130"/>
        <v>0.22126490131225801</v>
      </c>
      <c r="L625" s="54">
        <f t="shared" ca="1" si="131"/>
        <v>0.16072653839811296</v>
      </c>
      <c r="M625" s="54">
        <f ca="1">MIN(100,MAX(0,MCDA_Prioritisation!$F$2+(RAND()-0.5)*2*$B$7))</f>
        <v>88.627435485379749</v>
      </c>
      <c r="N625" s="54">
        <f ca="1">MIN(100,MAX(0,MCDA_Prioritisation!$F$3+(RAND()-0.5)*2*$B$7))</f>
        <v>100</v>
      </c>
      <c r="O625" s="54">
        <f ca="1">MIN(100,MAX(0,MCDA_Prioritisation!$F$4+(RAND()-0.5)*2*$B$7))</f>
        <v>95.714407233996667</v>
      </c>
      <c r="P625" s="54">
        <f ca="1">MIN(100,MAX(0,MCDA_Prioritisation!$F$5+(RAND()-0.5)*2*$B$7))</f>
        <v>67.136484014591971</v>
      </c>
      <c r="Q625" s="54">
        <f ca="1">MIN(100,MAX(0,MCDA_Prioritisation!$G$2+(RAND()-0.5)*2*$B$7))</f>
        <v>83.732063371406213</v>
      </c>
      <c r="R625" s="54">
        <f ca="1">MIN(100,MAX(0,MCDA_Prioritisation!$G$3+(RAND()-0.5)*2*$B$7))</f>
        <v>93.722299856278795</v>
      </c>
      <c r="S625" s="54">
        <f ca="1">MIN(100,MAX(0,MCDA_Prioritisation!$G$4+(RAND()-0.5)*2*$B$7))</f>
        <v>83.491959326325556</v>
      </c>
      <c r="T625" s="54">
        <f ca="1">MIN(100,MAX(0,MCDA_Prioritisation!$G$5+(RAND()-0.5)*2*$B$7))</f>
        <v>63.660346745100384</v>
      </c>
      <c r="U625" s="54">
        <f ca="1">MIN(100,MAX(0,MCDA_Prioritisation!$H$2+(RAND()-0.5)*2*$B$7))</f>
        <v>64.915607652284251</v>
      </c>
      <c r="V625" s="54">
        <f ca="1">MIN(100,MAX(0,MCDA_Prioritisation!$H$3+(RAND()-0.5)*2*$B$7))</f>
        <v>65.689629613111009</v>
      </c>
      <c r="W625" s="54">
        <f ca="1">MIN(100,MAX(0,MCDA_Prioritisation!$H$4+(RAND()-0.5)*2*$B$7))</f>
        <v>77.580714317635028</v>
      </c>
      <c r="X625" s="54">
        <f ca="1">MIN(100,MAX(0,MCDA_Prioritisation!$H$5+(RAND()-0.5)*2*$B$7))</f>
        <v>77.417357533713982</v>
      </c>
      <c r="Y625" s="54">
        <f ca="1">H625*MCDA_Prioritisation!$D$2+I625*MCDA_Prioritisation!$E$2+J625*M625+K625*Q625+L625*U625</f>
        <v>88.58976789140921</v>
      </c>
      <c r="Z625" s="54">
        <f ca="1">H625*MCDA_Prioritisation!$D$3+I625*MCDA_Prioritisation!$E$3+J625*N625+K625*R625+L625*V625</f>
        <v>84.657632322013654</v>
      </c>
      <c r="AA625" s="54">
        <f ca="1">H625*MCDA_Prioritisation!$D$4+I625*MCDA_Prioritisation!$E$4+J625*O625+K625*S625+L625*W625</f>
        <v>75.813997864842207</v>
      </c>
      <c r="AB625" s="54">
        <f ca="1">H625*MCDA_Prioritisation!$D$5+I625*MCDA_Prioritisation!$E$5+J625*P625+K625*T625+L625*X625</f>
        <v>68.477588418876095</v>
      </c>
      <c r="AC625" s="54">
        <f t="shared" ca="1" si="132"/>
        <v>1</v>
      </c>
      <c r="AD625" s="54">
        <f t="shared" ca="1" si="133"/>
        <v>2</v>
      </c>
      <c r="AE625" s="54">
        <f t="shared" ca="1" si="134"/>
        <v>3</v>
      </c>
      <c r="AF625" s="54">
        <f t="shared" ca="1" si="135"/>
        <v>4</v>
      </c>
      <c r="AG625" s="54">
        <f t="shared" ca="1" si="136"/>
        <v>1</v>
      </c>
      <c r="AH625" s="54">
        <f t="shared" ca="1" si="137"/>
        <v>1</v>
      </c>
      <c r="AI625" s="54">
        <f t="shared" ca="1" si="138"/>
        <v>1</v>
      </c>
      <c r="AJ625" s="54">
        <f t="shared" ca="1" si="139"/>
        <v>1</v>
      </c>
    </row>
    <row r="626" spans="1:36" x14ac:dyDescent="0.2">
      <c r="A626" s="54">
        <v>603</v>
      </c>
      <c r="B626" s="54">
        <f ca="1">MAX(0.02,MCDA_Prioritisation!$B$9+(RAND()-0.5)*2*$B$6)</f>
        <v>0.16869467908727009</v>
      </c>
      <c r="C626" s="54">
        <f ca="1">MAX(0.02,MCDA_Prioritisation!$B$10+(RAND()-0.5)*2*$B$6)</f>
        <v>0.32026655634136314</v>
      </c>
      <c r="D626" s="54">
        <f ca="1">MAX(0.02,MCDA_Prioritisation!$B$11+(RAND()-0.5)*2*$B$6)</f>
        <v>0.22649369912485492</v>
      </c>
      <c r="E626" s="54">
        <f ca="1">MAX(0.02,MCDA_Prioritisation!$B$12+(RAND()-0.5)*2*$B$6)</f>
        <v>0.2281478639271069</v>
      </c>
      <c r="F626" s="54">
        <f ca="1">MAX(0.02,MCDA_Prioritisation!$B$13+(RAND()-0.5)*2*$B$6)</f>
        <v>9.4257049008406424E-2</v>
      </c>
      <c r="G626" s="54">
        <f t="shared" ca="1" si="126"/>
        <v>1.0378598474890015</v>
      </c>
      <c r="H626" s="54">
        <f t="shared" ca="1" si="127"/>
        <v>0.16254090520546688</v>
      </c>
      <c r="I626" s="54">
        <f t="shared" ca="1" si="128"/>
        <v>0.30858362727512406</v>
      </c>
      <c r="J626" s="54">
        <f t="shared" ca="1" si="129"/>
        <v>0.21823148826195932</v>
      </c>
      <c r="K626" s="54">
        <f t="shared" ca="1" si="130"/>
        <v>0.21982531117191587</v>
      </c>
      <c r="L626" s="54">
        <f t="shared" ca="1" si="131"/>
        <v>9.0818668085533863E-2</v>
      </c>
      <c r="M626" s="54">
        <f ca="1">MIN(100,MAX(0,MCDA_Prioritisation!$F$2+(RAND()-0.5)*2*$B$7))</f>
        <v>92.84197285399334</v>
      </c>
      <c r="N626" s="54">
        <f ca="1">MIN(100,MAX(0,MCDA_Prioritisation!$F$3+(RAND()-0.5)*2*$B$7))</f>
        <v>94.776679694159469</v>
      </c>
      <c r="O626" s="54">
        <f ca="1">MIN(100,MAX(0,MCDA_Prioritisation!$F$4+(RAND()-0.5)*2*$B$7))</f>
        <v>99.501742750157049</v>
      </c>
      <c r="P626" s="54">
        <f ca="1">MIN(100,MAX(0,MCDA_Prioritisation!$F$5+(RAND()-0.5)*2*$B$7))</f>
        <v>66.623327163255468</v>
      </c>
      <c r="Q626" s="54">
        <f ca="1">MIN(100,MAX(0,MCDA_Prioritisation!$G$2+(RAND()-0.5)*2*$B$7))</f>
        <v>87.607897437959295</v>
      </c>
      <c r="R626" s="54">
        <f ca="1">MIN(100,MAX(0,MCDA_Prioritisation!$G$3+(RAND()-0.5)*2*$B$7))</f>
        <v>99.319573186304112</v>
      </c>
      <c r="S626" s="54">
        <f ca="1">MIN(100,MAX(0,MCDA_Prioritisation!$G$4+(RAND()-0.5)*2*$B$7))</f>
        <v>78.920369601672263</v>
      </c>
      <c r="T626" s="54">
        <f ca="1">MIN(100,MAX(0,MCDA_Prioritisation!$G$5+(RAND()-0.5)*2*$B$7))</f>
        <v>74.895712219557879</v>
      </c>
      <c r="U626" s="54">
        <f ca="1">MIN(100,MAX(0,MCDA_Prioritisation!$H$2+(RAND()-0.5)*2*$B$7))</f>
        <v>66.744430534817496</v>
      </c>
      <c r="V626" s="54">
        <f ca="1">MIN(100,MAX(0,MCDA_Prioritisation!$H$3+(RAND()-0.5)*2*$B$7))</f>
        <v>62.848636569768033</v>
      </c>
      <c r="W626" s="54">
        <f ca="1">MIN(100,MAX(0,MCDA_Prioritisation!$H$4+(RAND()-0.5)*2*$B$7))</f>
        <v>84.562693477707711</v>
      </c>
      <c r="X626" s="54">
        <f ca="1">MIN(100,MAX(0,MCDA_Prioritisation!$H$5+(RAND()-0.5)*2*$B$7))</f>
        <v>81.21665314951909</v>
      </c>
      <c r="Y626" s="54">
        <f ca="1">H626*MCDA_Prioritisation!$D$2+I626*MCDA_Prioritisation!$E$2+J626*M626+K626*Q626+L626*U626</f>
        <v>92.693568755878758</v>
      </c>
      <c r="Z626" s="54">
        <f ca="1">H626*MCDA_Prioritisation!$D$3+I626*MCDA_Prioritisation!$E$3+J626*N626+K626*R626+L626*V626</f>
        <v>84.87204839300091</v>
      </c>
      <c r="AA626" s="54">
        <f ca="1">H626*MCDA_Prioritisation!$D$4+I626*MCDA_Prioritisation!$E$4+J626*O626+K626*S626+L626*W626</f>
        <v>74.893206742337767</v>
      </c>
      <c r="AB626" s="54">
        <f ca="1">H626*MCDA_Prioritisation!$D$5+I626*MCDA_Prioritisation!$E$5+J626*P626+K626*T626+L626*X626</f>
        <v>72.955350273674611</v>
      </c>
      <c r="AC626" s="54">
        <f t="shared" ca="1" si="132"/>
        <v>1</v>
      </c>
      <c r="AD626" s="54">
        <f t="shared" ca="1" si="133"/>
        <v>2</v>
      </c>
      <c r="AE626" s="54">
        <f t="shared" ca="1" si="134"/>
        <v>3</v>
      </c>
      <c r="AF626" s="54">
        <f t="shared" ca="1" si="135"/>
        <v>4</v>
      </c>
      <c r="AG626" s="54">
        <f t="shared" ca="1" si="136"/>
        <v>1</v>
      </c>
      <c r="AH626" s="54">
        <f t="shared" ca="1" si="137"/>
        <v>1</v>
      </c>
      <c r="AI626" s="54">
        <f t="shared" ca="1" si="138"/>
        <v>1</v>
      </c>
      <c r="AJ626" s="54">
        <f t="shared" ca="1" si="139"/>
        <v>1</v>
      </c>
    </row>
    <row r="627" spans="1:36" x14ac:dyDescent="0.2">
      <c r="A627" s="54">
        <v>604</v>
      </c>
      <c r="B627" s="54">
        <f ca="1">MAX(0.02,MCDA_Prioritisation!$B$9+(RAND()-0.5)*2*$B$6)</f>
        <v>0.24918987070606885</v>
      </c>
      <c r="C627" s="54">
        <f ca="1">MAX(0.02,MCDA_Prioritisation!$B$10+(RAND()-0.5)*2*$B$6)</f>
        <v>0.23171646468481827</v>
      </c>
      <c r="D627" s="54">
        <f ca="1">MAX(0.02,MCDA_Prioritisation!$B$11+(RAND()-0.5)*2*$B$6)</f>
        <v>0.17341702668566661</v>
      </c>
      <c r="E627" s="54">
        <f ca="1">MAX(0.02,MCDA_Prioritisation!$B$12+(RAND()-0.5)*2*$B$6)</f>
        <v>0.16395524760404762</v>
      </c>
      <c r="F627" s="54">
        <f ca="1">MAX(0.02,MCDA_Prioritisation!$B$13+(RAND()-0.5)*2*$B$6)</f>
        <v>0.16140289901589136</v>
      </c>
      <c r="G627" s="54">
        <f t="shared" ca="1" si="126"/>
        <v>0.97968150869649273</v>
      </c>
      <c r="H627" s="54">
        <f t="shared" ca="1" si="127"/>
        <v>0.2543580423781055</v>
      </c>
      <c r="I627" s="54">
        <f t="shared" ca="1" si="128"/>
        <v>0.23652223975639464</v>
      </c>
      <c r="J627" s="54">
        <f t="shared" ca="1" si="129"/>
        <v>0.17701367755364211</v>
      </c>
      <c r="K627" s="54">
        <f t="shared" ca="1" si="130"/>
        <v>0.16735566217045061</v>
      </c>
      <c r="L627" s="54">
        <f t="shared" ca="1" si="131"/>
        <v>0.16475037814140708</v>
      </c>
      <c r="M627" s="54">
        <f ca="1">MIN(100,MAX(0,MCDA_Prioritisation!$F$2+(RAND()-0.5)*2*$B$7))</f>
        <v>84.399241727194337</v>
      </c>
      <c r="N627" s="54">
        <f ca="1">MIN(100,MAX(0,MCDA_Prioritisation!$F$3+(RAND()-0.5)*2*$B$7))</f>
        <v>88.63855842384153</v>
      </c>
      <c r="O627" s="54">
        <f ca="1">MIN(100,MAX(0,MCDA_Prioritisation!$F$4+(RAND()-0.5)*2*$B$7))</f>
        <v>81.536521612650105</v>
      </c>
      <c r="P627" s="54">
        <f ca="1">MIN(100,MAX(0,MCDA_Prioritisation!$F$5+(RAND()-0.5)*2*$B$7))</f>
        <v>83.913689429207054</v>
      </c>
      <c r="Q627" s="54">
        <f ca="1">MIN(100,MAX(0,MCDA_Prioritisation!$G$2+(RAND()-0.5)*2*$B$7))</f>
        <v>81.237514078668511</v>
      </c>
      <c r="R627" s="54">
        <f ca="1">MIN(100,MAX(0,MCDA_Prioritisation!$G$3+(RAND()-0.5)*2*$B$7))</f>
        <v>86.532531107734286</v>
      </c>
      <c r="S627" s="54">
        <f ca="1">MIN(100,MAX(0,MCDA_Prioritisation!$G$4+(RAND()-0.5)*2*$B$7))</f>
        <v>92.655348838509568</v>
      </c>
      <c r="T627" s="54">
        <f ca="1">MIN(100,MAX(0,MCDA_Prioritisation!$G$5+(RAND()-0.5)*2*$B$7))</f>
        <v>71.935147196534643</v>
      </c>
      <c r="U627" s="54">
        <f ca="1">MIN(100,MAX(0,MCDA_Prioritisation!$H$2+(RAND()-0.5)*2*$B$7))</f>
        <v>67.417124091189848</v>
      </c>
      <c r="V627" s="54">
        <f ca="1">MIN(100,MAX(0,MCDA_Prioritisation!$H$3+(RAND()-0.5)*2*$B$7))</f>
        <v>52.232069451580699</v>
      </c>
      <c r="W627" s="54">
        <f ca="1">MIN(100,MAX(0,MCDA_Prioritisation!$H$4+(RAND()-0.5)*2*$B$7))</f>
        <v>86.907931523639931</v>
      </c>
      <c r="X627" s="54">
        <f ca="1">MIN(100,MAX(0,MCDA_Prioritisation!$H$5+(RAND()-0.5)*2*$B$7))</f>
        <v>77.194250785250716</v>
      </c>
      <c r="Y627" s="54">
        <f ca="1">H627*MCDA_Prioritisation!$D$2+I627*MCDA_Prioritisation!$E$2+J627*M627+K627*Q627+L627*U627</f>
        <v>88.730403023266064</v>
      </c>
      <c r="Z627" s="54">
        <f ca="1">H627*MCDA_Prioritisation!$D$3+I627*MCDA_Prioritisation!$E$3+J627*N627+K627*R627+L627*V627</f>
        <v>78.20890581675755</v>
      </c>
      <c r="AA627" s="54">
        <f ca="1">H627*MCDA_Prioritisation!$D$4+I627*MCDA_Prioritisation!$E$4+J627*O627+K627*S627+L627*W627</f>
        <v>74.870803265587767</v>
      </c>
      <c r="AB627" s="54">
        <f ca="1">H627*MCDA_Prioritisation!$D$5+I627*MCDA_Prioritisation!$E$5+J627*P627+K627*T627+L627*X627</f>
        <v>73.00005655646865</v>
      </c>
      <c r="AC627" s="54">
        <f t="shared" ca="1" si="132"/>
        <v>1</v>
      </c>
      <c r="AD627" s="54">
        <f t="shared" ca="1" si="133"/>
        <v>2</v>
      </c>
      <c r="AE627" s="54">
        <f t="shared" ca="1" si="134"/>
        <v>3</v>
      </c>
      <c r="AF627" s="54">
        <f t="shared" ca="1" si="135"/>
        <v>4</v>
      </c>
      <c r="AG627" s="54">
        <f t="shared" ca="1" si="136"/>
        <v>1</v>
      </c>
      <c r="AH627" s="54">
        <f t="shared" ca="1" si="137"/>
        <v>1</v>
      </c>
      <c r="AI627" s="54">
        <f t="shared" ca="1" si="138"/>
        <v>1</v>
      </c>
      <c r="AJ627" s="54">
        <f t="shared" ca="1" si="139"/>
        <v>1</v>
      </c>
    </row>
    <row r="628" spans="1:36" x14ac:dyDescent="0.2">
      <c r="A628" s="54">
        <v>605</v>
      </c>
      <c r="B628" s="54">
        <f ca="1">MAX(0.02,MCDA_Prioritisation!$B$9+(RAND()-0.5)*2*$B$6)</f>
        <v>0.24517418708752048</v>
      </c>
      <c r="C628" s="54">
        <f ca="1">MAX(0.02,MCDA_Prioritisation!$B$10+(RAND()-0.5)*2*$B$6)</f>
        <v>0.2779537692137467</v>
      </c>
      <c r="D628" s="54">
        <f ca="1">MAX(0.02,MCDA_Prioritisation!$B$11+(RAND()-0.5)*2*$B$6)</f>
        <v>0.29690453509399295</v>
      </c>
      <c r="E628" s="54">
        <f ca="1">MAX(0.02,MCDA_Prioritisation!$B$12+(RAND()-0.5)*2*$B$6)</f>
        <v>0.19751656334506057</v>
      </c>
      <c r="F628" s="54">
        <f ca="1">MAX(0.02,MCDA_Prioritisation!$B$13+(RAND()-0.5)*2*$B$6)</f>
        <v>0.13718307498781868</v>
      </c>
      <c r="G628" s="54">
        <f t="shared" ca="1" si="126"/>
        <v>1.1547321297281394</v>
      </c>
      <c r="H628" s="54">
        <f t="shared" ca="1" si="127"/>
        <v>0.21232126549145408</v>
      </c>
      <c r="I628" s="54">
        <f t="shared" ca="1" si="128"/>
        <v>0.24070843969604089</v>
      </c>
      <c r="J628" s="54">
        <f t="shared" ca="1" si="129"/>
        <v>0.25711983537159711</v>
      </c>
      <c r="K628" s="54">
        <f t="shared" ca="1" si="130"/>
        <v>0.17104968179205529</v>
      </c>
      <c r="L628" s="54">
        <f t="shared" ca="1" si="131"/>
        <v>0.11880077764885258</v>
      </c>
      <c r="M628" s="54">
        <f ca="1">MIN(100,MAX(0,MCDA_Prioritisation!$F$2+(RAND()-0.5)*2*$B$7))</f>
        <v>77.343509131333775</v>
      </c>
      <c r="N628" s="54">
        <f ca="1">MIN(100,MAX(0,MCDA_Prioritisation!$F$3+(RAND()-0.5)*2*$B$7))</f>
        <v>97.064913933488128</v>
      </c>
      <c r="O628" s="54">
        <f ca="1">MIN(100,MAX(0,MCDA_Prioritisation!$F$4+(RAND()-0.5)*2*$B$7))</f>
        <v>87.349343197212931</v>
      </c>
      <c r="P628" s="54">
        <f ca="1">MIN(100,MAX(0,MCDA_Prioritisation!$F$5+(RAND()-0.5)*2*$B$7))</f>
        <v>77.862827939572142</v>
      </c>
      <c r="Q628" s="54">
        <f ca="1">MIN(100,MAX(0,MCDA_Prioritisation!$G$2+(RAND()-0.5)*2*$B$7))</f>
        <v>84.187274155418464</v>
      </c>
      <c r="R628" s="54">
        <f ca="1">MIN(100,MAX(0,MCDA_Prioritisation!$G$3+(RAND()-0.5)*2*$B$7))</f>
        <v>92.030654661110162</v>
      </c>
      <c r="S628" s="54">
        <f ca="1">MIN(100,MAX(0,MCDA_Prioritisation!$G$4+(RAND()-0.5)*2*$B$7))</f>
        <v>88.394975972729554</v>
      </c>
      <c r="T628" s="54">
        <f ca="1">MIN(100,MAX(0,MCDA_Prioritisation!$G$5+(RAND()-0.5)*2*$B$7))</f>
        <v>69.434320237526379</v>
      </c>
      <c r="U628" s="54">
        <f ca="1">MIN(100,MAX(0,MCDA_Prioritisation!$H$2+(RAND()-0.5)*2*$B$7))</f>
        <v>72.13316334046408</v>
      </c>
      <c r="V628" s="54">
        <f ca="1">MIN(100,MAX(0,MCDA_Prioritisation!$H$3+(RAND()-0.5)*2*$B$7))</f>
        <v>69.795489892048437</v>
      </c>
      <c r="W628" s="54">
        <f ca="1">MIN(100,MAX(0,MCDA_Prioritisation!$H$4+(RAND()-0.5)*2*$B$7))</f>
        <v>82.745871519533281</v>
      </c>
      <c r="X628" s="54">
        <f ca="1">MIN(100,MAX(0,MCDA_Prioritisation!$H$5+(RAND()-0.5)*2*$B$7))</f>
        <v>71.7228621994051</v>
      </c>
      <c r="Y628" s="54">
        <f ca="1">H628*MCDA_Prioritisation!$D$2+I628*MCDA_Prioritisation!$E$2+J628*M628+K628*Q628+L628*U628</f>
        <v>88.159203208003348</v>
      </c>
      <c r="Z628" s="54">
        <f ca="1">H628*MCDA_Prioritisation!$D$3+I628*MCDA_Prioritisation!$E$3+J628*N628+K628*R628+L628*V628</f>
        <v>85.05316321454842</v>
      </c>
      <c r="AA628" s="54">
        <f ca="1">H628*MCDA_Prioritisation!$D$4+I628*MCDA_Prioritisation!$E$4+J628*O628+K628*S628+L628*W628</f>
        <v>75.323811171641239</v>
      </c>
      <c r="AB628" s="54">
        <f ca="1">H628*MCDA_Prioritisation!$D$5+I628*MCDA_Prioritisation!$E$5+J628*P628+K628*T628+L628*X628</f>
        <v>71.928059301910011</v>
      </c>
      <c r="AC628" s="54">
        <f t="shared" ca="1" si="132"/>
        <v>1</v>
      </c>
      <c r="AD628" s="54">
        <f t="shared" ca="1" si="133"/>
        <v>2</v>
      </c>
      <c r="AE628" s="54">
        <f t="shared" ca="1" si="134"/>
        <v>3</v>
      </c>
      <c r="AF628" s="54">
        <f t="shared" ca="1" si="135"/>
        <v>4</v>
      </c>
      <c r="AG628" s="54">
        <f t="shared" ca="1" si="136"/>
        <v>1</v>
      </c>
      <c r="AH628" s="54">
        <f t="shared" ca="1" si="137"/>
        <v>1</v>
      </c>
      <c r="AI628" s="54">
        <f t="shared" ca="1" si="138"/>
        <v>1</v>
      </c>
      <c r="AJ628" s="54">
        <f t="shared" ca="1" si="139"/>
        <v>1</v>
      </c>
    </row>
    <row r="629" spans="1:36" x14ac:dyDescent="0.2">
      <c r="A629" s="54">
        <v>606</v>
      </c>
      <c r="B629" s="54">
        <f ca="1">MAX(0.02,MCDA_Prioritisation!$B$9+(RAND()-0.5)*2*$B$6)</f>
        <v>0.22491640449768235</v>
      </c>
      <c r="C629" s="54">
        <f ca="1">MAX(0.02,MCDA_Prioritisation!$B$10+(RAND()-0.5)*2*$B$6)</f>
        <v>0.26355206811616644</v>
      </c>
      <c r="D629" s="54">
        <f ca="1">MAX(0.02,MCDA_Prioritisation!$B$11+(RAND()-0.5)*2*$B$6)</f>
        <v>0.30547898984454769</v>
      </c>
      <c r="E629" s="54">
        <f ca="1">MAX(0.02,MCDA_Prioritisation!$B$12+(RAND()-0.5)*2*$B$6)</f>
        <v>0.11265738286568391</v>
      </c>
      <c r="F629" s="54">
        <f ca="1">MAX(0.02,MCDA_Prioritisation!$B$13+(RAND()-0.5)*2*$B$6)</f>
        <v>0.14561400536774743</v>
      </c>
      <c r="G629" s="54">
        <f t="shared" ca="1" si="126"/>
        <v>1.0522188506918277</v>
      </c>
      <c r="H629" s="54">
        <f t="shared" ca="1" si="127"/>
        <v>0.21375439562767873</v>
      </c>
      <c r="I629" s="54">
        <f t="shared" ca="1" si="128"/>
        <v>0.25047267300227749</v>
      </c>
      <c r="J629" s="54">
        <f t="shared" ca="1" si="129"/>
        <v>0.29031887201383727</v>
      </c>
      <c r="K629" s="54">
        <f t="shared" ca="1" si="130"/>
        <v>0.10706649362118188</v>
      </c>
      <c r="L629" s="54">
        <f t="shared" ca="1" si="131"/>
        <v>0.13838756573502467</v>
      </c>
      <c r="M629" s="54">
        <f ca="1">MIN(100,MAX(0,MCDA_Prioritisation!$F$2+(RAND()-0.5)*2*$B$7))</f>
        <v>80.482750614701416</v>
      </c>
      <c r="N629" s="54">
        <f ca="1">MIN(100,MAX(0,MCDA_Prioritisation!$F$3+(RAND()-0.5)*2*$B$7))</f>
        <v>98.687584357818736</v>
      </c>
      <c r="O629" s="54">
        <f ca="1">MIN(100,MAX(0,MCDA_Prioritisation!$F$4+(RAND()-0.5)*2*$B$7))</f>
        <v>95.154551737778306</v>
      </c>
      <c r="P629" s="54">
        <f ca="1">MIN(100,MAX(0,MCDA_Prioritisation!$F$5+(RAND()-0.5)*2*$B$7))</f>
        <v>81.941335526500879</v>
      </c>
      <c r="Q629" s="54">
        <f ca="1">MIN(100,MAX(0,MCDA_Prioritisation!$G$2+(RAND()-0.5)*2*$B$7))</f>
        <v>82.439364836313416</v>
      </c>
      <c r="R629" s="54">
        <f ca="1">MIN(100,MAX(0,MCDA_Prioritisation!$G$3+(RAND()-0.5)*2*$B$7))</f>
        <v>100</v>
      </c>
      <c r="S629" s="54">
        <f ca="1">MIN(100,MAX(0,MCDA_Prioritisation!$G$4+(RAND()-0.5)*2*$B$7))</f>
        <v>88.447899790728414</v>
      </c>
      <c r="T629" s="54">
        <f ca="1">MIN(100,MAX(0,MCDA_Prioritisation!$G$5+(RAND()-0.5)*2*$B$7))</f>
        <v>74.316956286721719</v>
      </c>
      <c r="U629" s="54">
        <f ca="1">MIN(100,MAX(0,MCDA_Prioritisation!$H$2+(RAND()-0.5)*2*$B$7))</f>
        <v>73.208704718468155</v>
      </c>
      <c r="V629" s="54">
        <f ca="1">MIN(100,MAX(0,MCDA_Prioritisation!$H$3+(RAND()-0.5)*2*$B$7))</f>
        <v>69.503653007149367</v>
      </c>
      <c r="W629" s="54">
        <f ca="1">MIN(100,MAX(0,MCDA_Prioritisation!$H$4+(RAND()-0.5)*2*$B$7))</f>
        <v>83.389200317269157</v>
      </c>
      <c r="X629" s="54">
        <f ca="1">MIN(100,MAX(0,MCDA_Prioritisation!$H$5+(RAND()-0.5)*2*$B$7))</f>
        <v>80.044198218064111</v>
      </c>
      <c r="Y629" s="54">
        <f ca="1">H629*MCDA_Prioritisation!$D$2+I629*MCDA_Prioritisation!$E$2+J629*M629+K629*Q629+L629*U629</f>
        <v>88.746036404011164</v>
      </c>
      <c r="Z629" s="54">
        <f ca="1">H629*MCDA_Prioritisation!$D$3+I629*MCDA_Prioritisation!$E$3+J629*N629+K629*R629+L629*V629</f>
        <v>85.873611839947657</v>
      </c>
      <c r="AA629" s="54">
        <f ca="1">H629*MCDA_Prioritisation!$D$4+I629*MCDA_Prioritisation!$E$4+J629*O629+K629*S629+L629*W629</f>
        <v>77.181742401658198</v>
      </c>
      <c r="AB629" s="54">
        <f ca="1">H629*MCDA_Prioritisation!$D$5+I629*MCDA_Prioritisation!$E$5+J629*P629+K629*T629+L629*X629</f>
        <v>75.230773296649389</v>
      </c>
      <c r="AC629" s="54">
        <f t="shared" ca="1" si="132"/>
        <v>1</v>
      </c>
      <c r="AD629" s="54">
        <f t="shared" ca="1" si="133"/>
        <v>2</v>
      </c>
      <c r="AE629" s="54">
        <f t="shared" ca="1" si="134"/>
        <v>3</v>
      </c>
      <c r="AF629" s="54">
        <f t="shared" ca="1" si="135"/>
        <v>4</v>
      </c>
      <c r="AG629" s="54">
        <f t="shared" ca="1" si="136"/>
        <v>1</v>
      </c>
      <c r="AH629" s="54">
        <f t="shared" ca="1" si="137"/>
        <v>1</v>
      </c>
      <c r="AI629" s="54">
        <f t="shared" ca="1" si="138"/>
        <v>1</v>
      </c>
      <c r="AJ629" s="54">
        <f t="shared" ca="1" si="139"/>
        <v>1</v>
      </c>
    </row>
    <row r="630" spans="1:36" x14ac:dyDescent="0.2">
      <c r="A630" s="54">
        <v>607</v>
      </c>
      <c r="B630" s="54">
        <f ca="1">MAX(0.02,MCDA_Prioritisation!$B$9+(RAND()-0.5)*2*$B$6)</f>
        <v>0.25688397864927864</v>
      </c>
      <c r="C630" s="54">
        <f ca="1">MAX(0.02,MCDA_Prioritisation!$B$10+(RAND()-0.5)*2*$B$6)</f>
        <v>0.26382446203741594</v>
      </c>
      <c r="D630" s="54">
        <f ca="1">MAX(0.02,MCDA_Prioritisation!$B$11+(RAND()-0.5)*2*$B$6)</f>
        <v>0.30169942709560821</v>
      </c>
      <c r="E630" s="54">
        <f ca="1">MAX(0.02,MCDA_Prioritisation!$B$12+(RAND()-0.5)*2*$B$6)</f>
        <v>0.22175477366527563</v>
      </c>
      <c r="F630" s="54">
        <f ca="1">MAX(0.02,MCDA_Prioritisation!$B$13+(RAND()-0.5)*2*$B$6)</f>
        <v>0.13479120397843103</v>
      </c>
      <c r="G630" s="54">
        <f t="shared" ca="1" si="126"/>
        <v>1.1789538454260096</v>
      </c>
      <c r="H630" s="54">
        <f t="shared" ca="1" si="127"/>
        <v>0.21789146339011667</v>
      </c>
      <c r="I630" s="54">
        <f t="shared" ca="1" si="128"/>
        <v>0.22377844820726139</v>
      </c>
      <c r="J630" s="54">
        <f t="shared" ca="1" si="129"/>
        <v>0.25590435814439411</v>
      </c>
      <c r="K630" s="54">
        <f t="shared" ca="1" si="130"/>
        <v>0.18809453357789893</v>
      </c>
      <c r="L630" s="54">
        <f t="shared" ca="1" si="131"/>
        <v>0.11433119668032878</v>
      </c>
      <c r="M630" s="54">
        <f ca="1">MIN(100,MAX(0,MCDA_Prioritisation!$F$2+(RAND()-0.5)*2*$B$7))</f>
        <v>79.016139275705669</v>
      </c>
      <c r="N630" s="54">
        <f ca="1">MIN(100,MAX(0,MCDA_Prioritisation!$F$3+(RAND()-0.5)*2*$B$7))</f>
        <v>100</v>
      </c>
      <c r="O630" s="54">
        <f ca="1">MIN(100,MAX(0,MCDA_Prioritisation!$F$4+(RAND()-0.5)*2*$B$7))</f>
        <v>91.361557240700222</v>
      </c>
      <c r="P630" s="54">
        <f ca="1">MIN(100,MAX(0,MCDA_Prioritisation!$F$5+(RAND()-0.5)*2*$B$7))</f>
        <v>73.008226993206748</v>
      </c>
      <c r="Q630" s="54">
        <f ca="1">MIN(100,MAX(0,MCDA_Prioritisation!$G$2+(RAND()-0.5)*2*$B$7))</f>
        <v>82.238766096136601</v>
      </c>
      <c r="R630" s="54">
        <f ca="1">MIN(100,MAX(0,MCDA_Prioritisation!$G$3+(RAND()-0.5)*2*$B$7))</f>
        <v>87.291999391378226</v>
      </c>
      <c r="S630" s="54">
        <f ca="1">MIN(100,MAX(0,MCDA_Prioritisation!$G$4+(RAND()-0.5)*2*$B$7))</f>
        <v>76.285739695760441</v>
      </c>
      <c r="T630" s="54">
        <f ca="1">MIN(100,MAX(0,MCDA_Prioritisation!$G$5+(RAND()-0.5)*2*$B$7))</f>
        <v>78.636002568459432</v>
      </c>
      <c r="U630" s="54">
        <f ca="1">MIN(100,MAX(0,MCDA_Prioritisation!$H$2+(RAND()-0.5)*2*$B$7))</f>
        <v>70.972287068115918</v>
      </c>
      <c r="V630" s="54">
        <f ca="1">MIN(100,MAX(0,MCDA_Prioritisation!$H$3+(RAND()-0.5)*2*$B$7))</f>
        <v>55.055049241955757</v>
      </c>
      <c r="W630" s="54">
        <f ca="1">MIN(100,MAX(0,MCDA_Prioritisation!$H$4+(RAND()-0.5)*2*$B$7))</f>
        <v>71.525947554345223</v>
      </c>
      <c r="X630" s="54">
        <f ca="1">MIN(100,MAX(0,MCDA_Prioritisation!$H$5+(RAND()-0.5)*2*$B$7))</f>
        <v>71.704153625539746</v>
      </c>
      <c r="Y630" s="54">
        <f ca="1">H630*MCDA_Prioritisation!$D$2+I630*MCDA_Prioritisation!$E$2+J630*M630+K630*Q630+L630*U630</f>
        <v>87.970574426647573</v>
      </c>
      <c r="Z630" s="54">
        <f ca="1">H630*MCDA_Prioritisation!$D$3+I630*MCDA_Prioritisation!$E$3+J630*N630+K630*R630+L630*V630</f>
        <v>83.621914823447113</v>
      </c>
      <c r="AA630" s="54">
        <f ca="1">H630*MCDA_Prioritisation!$D$4+I630*MCDA_Prioritisation!$E$4+J630*O630+K630*S630+L630*W630</f>
        <v>73.285176257595822</v>
      </c>
      <c r="AB630" s="54">
        <f ca="1">H630*MCDA_Prioritisation!$D$5+I630*MCDA_Prioritisation!$E$5+J630*P630+K630*T630+L630*X630</f>
        <v>72.054663833175042</v>
      </c>
      <c r="AC630" s="54">
        <f t="shared" ca="1" si="132"/>
        <v>1</v>
      </c>
      <c r="AD630" s="54">
        <f t="shared" ca="1" si="133"/>
        <v>2</v>
      </c>
      <c r="AE630" s="54">
        <f t="shared" ca="1" si="134"/>
        <v>3</v>
      </c>
      <c r="AF630" s="54">
        <f t="shared" ca="1" si="135"/>
        <v>4</v>
      </c>
      <c r="AG630" s="54">
        <f t="shared" ca="1" si="136"/>
        <v>1</v>
      </c>
      <c r="AH630" s="54">
        <f t="shared" ca="1" si="137"/>
        <v>1</v>
      </c>
      <c r="AI630" s="54">
        <f t="shared" ca="1" si="138"/>
        <v>1</v>
      </c>
      <c r="AJ630" s="54">
        <f t="shared" ca="1" si="139"/>
        <v>1</v>
      </c>
    </row>
    <row r="631" spans="1:36" x14ac:dyDescent="0.2">
      <c r="A631" s="54">
        <v>608</v>
      </c>
      <c r="B631" s="54">
        <f ca="1">MAX(0.02,MCDA_Prioritisation!$B$9+(RAND()-0.5)*2*$B$6)</f>
        <v>0.24184763166996409</v>
      </c>
      <c r="C631" s="54">
        <f ca="1">MAX(0.02,MCDA_Prioritisation!$B$10+(RAND()-0.5)*2*$B$6)</f>
        <v>0.22233352582706772</v>
      </c>
      <c r="D631" s="54">
        <f ca="1">MAX(0.02,MCDA_Prioritisation!$B$11+(RAND()-0.5)*2*$B$6)</f>
        <v>0.23736356518286619</v>
      </c>
      <c r="E631" s="54">
        <f ca="1">MAX(0.02,MCDA_Prioritisation!$B$12+(RAND()-0.5)*2*$B$6)</f>
        <v>0.21805989601617462</v>
      </c>
      <c r="F631" s="54">
        <f ca="1">MAX(0.02,MCDA_Prioritisation!$B$13+(RAND()-0.5)*2*$B$6)</f>
        <v>0.14509243342758543</v>
      </c>
      <c r="G631" s="54">
        <f t="shared" ca="1" si="126"/>
        <v>1.0646970521236581</v>
      </c>
      <c r="H631" s="54">
        <f t="shared" ca="1" si="127"/>
        <v>0.2271515932044442</v>
      </c>
      <c r="I631" s="54">
        <f t="shared" ca="1" si="128"/>
        <v>0.2088232754881762</v>
      </c>
      <c r="J631" s="54">
        <f t="shared" ca="1" si="129"/>
        <v>0.22294000411611722</v>
      </c>
      <c r="K631" s="54">
        <f t="shared" ca="1" si="130"/>
        <v>0.20480933574600363</v>
      </c>
      <c r="L631" s="54">
        <f t="shared" ca="1" si="131"/>
        <v>0.13627579144525878</v>
      </c>
      <c r="M631" s="54">
        <f ca="1">MIN(100,MAX(0,MCDA_Prioritisation!$F$2+(RAND()-0.5)*2*$B$7))</f>
        <v>93.51060689999197</v>
      </c>
      <c r="N631" s="54">
        <f ca="1">MIN(100,MAX(0,MCDA_Prioritisation!$F$3+(RAND()-0.5)*2*$B$7))</f>
        <v>97.133134015253816</v>
      </c>
      <c r="O631" s="54">
        <f ca="1">MIN(100,MAX(0,MCDA_Prioritisation!$F$4+(RAND()-0.5)*2*$B$7))</f>
        <v>95.865797142976305</v>
      </c>
      <c r="P631" s="54">
        <f ca="1">MIN(100,MAX(0,MCDA_Prioritisation!$F$5+(RAND()-0.5)*2*$B$7))</f>
        <v>84.36764265720339</v>
      </c>
      <c r="Q631" s="54">
        <f ca="1">MIN(100,MAX(0,MCDA_Prioritisation!$G$2+(RAND()-0.5)*2*$B$7))</f>
        <v>81.579514631703589</v>
      </c>
      <c r="R631" s="54">
        <f ca="1">MIN(100,MAX(0,MCDA_Prioritisation!$G$3+(RAND()-0.5)*2*$B$7))</f>
        <v>87.477097282431828</v>
      </c>
      <c r="S631" s="54">
        <f ca="1">MIN(100,MAX(0,MCDA_Prioritisation!$G$4+(RAND()-0.5)*2*$B$7))</f>
        <v>92.720924583630776</v>
      </c>
      <c r="T631" s="54">
        <f ca="1">MIN(100,MAX(0,MCDA_Prioritisation!$G$5+(RAND()-0.5)*2*$B$7))</f>
        <v>70.556692824417752</v>
      </c>
      <c r="U631" s="54">
        <f ca="1">MIN(100,MAX(0,MCDA_Prioritisation!$H$2+(RAND()-0.5)*2*$B$7))</f>
        <v>55.871571380467202</v>
      </c>
      <c r="V631" s="54">
        <f ca="1">MIN(100,MAX(0,MCDA_Prioritisation!$H$3+(RAND()-0.5)*2*$B$7))</f>
        <v>64.788955754990283</v>
      </c>
      <c r="W631" s="54">
        <f ca="1">MIN(100,MAX(0,MCDA_Prioritisation!$H$4+(RAND()-0.5)*2*$B$7))</f>
        <v>83.742203394685106</v>
      </c>
      <c r="X631" s="54">
        <f ca="1">MIN(100,MAX(0,MCDA_Prioritisation!$H$5+(RAND()-0.5)*2*$B$7))</f>
        <v>82.807079925622517</v>
      </c>
      <c r="Y631" s="54">
        <f ca="1">H631*MCDA_Prioritisation!$D$2+I631*MCDA_Prioritisation!$E$2+J631*M631+K631*Q631+L631*U631</f>
        <v>88.766930767810919</v>
      </c>
      <c r="Z631" s="54">
        <f ca="1">H631*MCDA_Prioritisation!$D$3+I631*MCDA_Prioritisation!$E$3+J631*N631+K631*R631+L631*V631</f>
        <v>83.439632294160248</v>
      </c>
      <c r="AA631" s="54">
        <f ca="1">H631*MCDA_Prioritisation!$D$4+I631*MCDA_Prioritisation!$E$4+J631*O631+K631*S631+L631*W631</f>
        <v>78.982329326796332</v>
      </c>
      <c r="AB631" s="54">
        <f ca="1">H631*MCDA_Prioritisation!$D$5+I631*MCDA_Prioritisation!$E$5+J631*P631+K631*T631+L631*X631</f>
        <v>74.16060435411994</v>
      </c>
      <c r="AC631" s="54">
        <f t="shared" ca="1" si="132"/>
        <v>1</v>
      </c>
      <c r="AD631" s="54">
        <f t="shared" ca="1" si="133"/>
        <v>2</v>
      </c>
      <c r="AE631" s="54">
        <f t="shared" ca="1" si="134"/>
        <v>3</v>
      </c>
      <c r="AF631" s="54">
        <f t="shared" ca="1" si="135"/>
        <v>4</v>
      </c>
      <c r="AG631" s="54">
        <f t="shared" ca="1" si="136"/>
        <v>1</v>
      </c>
      <c r="AH631" s="54">
        <f t="shared" ca="1" si="137"/>
        <v>1</v>
      </c>
      <c r="AI631" s="54">
        <f t="shared" ca="1" si="138"/>
        <v>1</v>
      </c>
      <c r="AJ631" s="54">
        <f t="shared" ca="1" si="139"/>
        <v>1</v>
      </c>
    </row>
    <row r="632" spans="1:36" x14ac:dyDescent="0.2">
      <c r="A632" s="54">
        <v>609</v>
      </c>
      <c r="B632" s="54">
        <f ca="1">MAX(0.02,MCDA_Prioritisation!$B$9+(RAND()-0.5)*2*$B$6)</f>
        <v>0.22066940137996355</v>
      </c>
      <c r="C632" s="54">
        <f ca="1">MAX(0.02,MCDA_Prioritisation!$B$10+(RAND()-0.5)*2*$B$6)</f>
        <v>0.26466058710863272</v>
      </c>
      <c r="D632" s="54">
        <f ca="1">MAX(0.02,MCDA_Prioritisation!$B$11+(RAND()-0.5)*2*$B$6)</f>
        <v>0.21108658593270591</v>
      </c>
      <c r="E632" s="54">
        <f ca="1">MAX(0.02,MCDA_Prioritisation!$B$12+(RAND()-0.5)*2*$B$6)</f>
        <v>0.10645033928937843</v>
      </c>
      <c r="F632" s="54">
        <f ca="1">MAX(0.02,MCDA_Prioritisation!$B$13+(RAND()-0.5)*2*$B$6)</f>
        <v>0.18274164406064317</v>
      </c>
      <c r="G632" s="54">
        <f t="shared" ca="1" si="126"/>
        <v>0.98560855777132383</v>
      </c>
      <c r="H632" s="54">
        <f t="shared" ca="1" si="127"/>
        <v>0.22389152330306999</v>
      </c>
      <c r="I632" s="54">
        <f t="shared" ca="1" si="128"/>
        <v>0.26852504985050868</v>
      </c>
      <c r="J632" s="54">
        <f t="shared" ca="1" si="129"/>
        <v>0.21416878360920361</v>
      </c>
      <c r="K632" s="54">
        <f t="shared" ca="1" si="130"/>
        <v>0.10800468243709845</v>
      </c>
      <c r="L632" s="54">
        <f t="shared" ca="1" si="131"/>
        <v>0.18540996080011921</v>
      </c>
      <c r="M632" s="54">
        <f ca="1">MIN(100,MAX(0,MCDA_Prioritisation!$F$2+(RAND()-0.5)*2*$B$7))</f>
        <v>76.425688982244594</v>
      </c>
      <c r="N632" s="54">
        <f ca="1">MIN(100,MAX(0,MCDA_Prioritisation!$F$3+(RAND()-0.5)*2*$B$7))</f>
        <v>100</v>
      </c>
      <c r="O632" s="54">
        <f ca="1">MIN(100,MAX(0,MCDA_Prioritisation!$F$4+(RAND()-0.5)*2*$B$7))</f>
        <v>81.184504693065179</v>
      </c>
      <c r="P632" s="54">
        <f ca="1">MIN(100,MAX(0,MCDA_Prioritisation!$F$5+(RAND()-0.5)*2*$B$7))</f>
        <v>68.201971929947362</v>
      </c>
      <c r="Q632" s="54">
        <f ca="1">MIN(100,MAX(0,MCDA_Prioritisation!$G$2+(RAND()-0.5)*2*$B$7))</f>
        <v>79.791927232900321</v>
      </c>
      <c r="R632" s="54">
        <f ca="1">MIN(100,MAX(0,MCDA_Prioritisation!$G$3+(RAND()-0.5)*2*$B$7))</f>
        <v>100</v>
      </c>
      <c r="S632" s="54">
        <f ca="1">MIN(100,MAX(0,MCDA_Prioritisation!$G$4+(RAND()-0.5)*2*$B$7))</f>
        <v>83.342394119716118</v>
      </c>
      <c r="T632" s="54">
        <f ca="1">MIN(100,MAX(0,MCDA_Prioritisation!$G$5+(RAND()-0.5)*2*$B$7))</f>
        <v>60.129329205714612</v>
      </c>
      <c r="U632" s="54">
        <f ca="1">MIN(100,MAX(0,MCDA_Prioritisation!$H$2+(RAND()-0.5)*2*$B$7))</f>
        <v>71.63734801517127</v>
      </c>
      <c r="V632" s="54">
        <f ca="1">MIN(100,MAX(0,MCDA_Prioritisation!$H$3+(RAND()-0.5)*2*$B$7))</f>
        <v>60.277160178594045</v>
      </c>
      <c r="W632" s="54">
        <f ca="1">MIN(100,MAX(0,MCDA_Prioritisation!$H$4+(RAND()-0.5)*2*$B$7))</f>
        <v>82.029925666839532</v>
      </c>
      <c r="X632" s="54">
        <f ca="1">MIN(100,MAX(0,MCDA_Prioritisation!$H$5+(RAND()-0.5)*2*$B$7))</f>
        <v>72.605315512667346</v>
      </c>
      <c r="Y632" s="54">
        <f ca="1">H632*MCDA_Prioritisation!$D$2+I632*MCDA_Prioritisation!$E$2+J632*M632+K632*Q632+L632*U632</f>
        <v>87.509833810331386</v>
      </c>
      <c r="Z632" s="54">
        <f ca="1">H632*MCDA_Prioritisation!$D$3+I632*MCDA_Prioritisation!$E$3+J632*N632+K632*R632+L632*V632</f>
        <v>82.489838518852324</v>
      </c>
      <c r="AA632" s="54">
        <f ca="1">H632*MCDA_Prioritisation!$D$4+I632*MCDA_Prioritisation!$E$4+J632*O632+K632*S632+L632*W632</f>
        <v>71.835031145720151</v>
      </c>
      <c r="AB632" s="54">
        <f ca="1">H632*MCDA_Prioritisation!$D$5+I632*MCDA_Prioritisation!$E$5+J632*P632+K632*T632+L632*X632</f>
        <v>69.02648855557787</v>
      </c>
      <c r="AC632" s="54">
        <f t="shared" ca="1" si="132"/>
        <v>1</v>
      </c>
      <c r="AD632" s="54">
        <f t="shared" ca="1" si="133"/>
        <v>2</v>
      </c>
      <c r="AE632" s="54">
        <f t="shared" ca="1" si="134"/>
        <v>3</v>
      </c>
      <c r="AF632" s="54">
        <f t="shared" ca="1" si="135"/>
        <v>4</v>
      </c>
      <c r="AG632" s="54">
        <f t="shared" ca="1" si="136"/>
        <v>1</v>
      </c>
      <c r="AH632" s="54">
        <f t="shared" ca="1" si="137"/>
        <v>1</v>
      </c>
      <c r="AI632" s="54">
        <f t="shared" ca="1" si="138"/>
        <v>1</v>
      </c>
      <c r="AJ632" s="54">
        <f t="shared" ca="1" si="139"/>
        <v>1</v>
      </c>
    </row>
    <row r="633" spans="1:36" x14ac:dyDescent="0.2">
      <c r="A633" s="54">
        <v>610</v>
      </c>
      <c r="B633" s="54">
        <f ca="1">MAX(0.02,MCDA_Prioritisation!$B$9+(RAND()-0.5)*2*$B$6)</f>
        <v>0.19580578365651266</v>
      </c>
      <c r="C633" s="54">
        <f ca="1">MAX(0.02,MCDA_Prioritisation!$B$10+(RAND()-0.5)*2*$B$6)</f>
        <v>0.19318746964417274</v>
      </c>
      <c r="D633" s="54">
        <f ca="1">MAX(0.02,MCDA_Prioritisation!$B$11+(RAND()-0.5)*2*$B$6)</f>
        <v>0.26556811141004399</v>
      </c>
      <c r="E633" s="54">
        <f ca="1">MAX(0.02,MCDA_Prioritisation!$B$12+(RAND()-0.5)*2*$B$6)</f>
        <v>0.15616577600219173</v>
      </c>
      <c r="F633" s="54">
        <f ca="1">MAX(0.02,MCDA_Prioritisation!$B$13+(RAND()-0.5)*2*$B$6)</f>
        <v>0.17094026622365283</v>
      </c>
      <c r="G633" s="54">
        <f t="shared" ca="1" si="126"/>
        <v>0.98166740693657384</v>
      </c>
      <c r="H633" s="54">
        <f t="shared" ca="1" si="127"/>
        <v>0.19946244753867418</v>
      </c>
      <c r="I633" s="54">
        <f t="shared" ca="1" si="128"/>
        <v>0.19679523663420834</v>
      </c>
      <c r="J633" s="54">
        <f t="shared" ca="1" si="129"/>
        <v>0.27052758351098288</v>
      </c>
      <c r="K633" s="54">
        <f t="shared" ca="1" si="130"/>
        <v>0.15908216458925553</v>
      </c>
      <c r="L633" s="54">
        <f t="shared" ca="1" si="131"/>
        <v>0.17413256772687918</v>
      </c>
      <c r="M633" s="54">
        <f ca="1">MIN(100,MAX(0,MCDA_Prioritisation!$F$2+(RAND()-0.5)*2*$B$7))</f>
        <v>85.82765688254247</v>
      </c>
      <c r="N633" s="54">
        <f ca="1">MIN(100,MAX(0,MCDA_Prioritisation!$F$3+(RAND()-0.5)*2*$B$7))</f>
        <v>90.096271224470598</v>
      </c>
      <c r="O633" s="54">
        <f ca="1">MIN(100,MAX(0,MCDA_Prioritisation!$F$4+(RAND()-0.5)*2*$B$7))</f>
        <v>81.93091556664757</v>
      </c>
      <c r="P633" s="54">
        <f ca="1">MIN(100,MAX(0,MCDA_Prioritisation!$F$5+(RAND()-0.5)*2*$B$7))</f>
        <v>80.931482344043886</v>
      </c>
      <c r="Q633" s="54">
        <f ca="1">MIN(100,MAX(0,MCDA_Prioritisation!$G$2+(RAND()-0.5)*2*$B$7))</f>
        <v>71.339150831848698</v>
      </c>
      <c r="R633" s="54">
        <f ca="1">MIN(100,MAX(0,MCDA_Prioritisation!$G$3+(RAND()-0.5)*2*$B$7))</f>
        <v>93.724290921836086</v>
      </c>
      <c r="S633" s="54">
        <f ca="1">MIN(100,MAX(0,MCDA_Prioritisation!$G$4+(RAND()-0.5)*2*$B$7))</f>
        <v>83.213900270065892</v>
      </c>
      <c r="T633" s="54">
        <f ca="1">MIN(100,MAX(0,MCDA_Prioritisation!$G$5+(RAND()-0.5)*2*$B$7))</f>
        <v>75.652702478687388</v>
      </c>
      <c r="U633" s="54">
        <f ca="1">MIN(100,MAX(0,MCDA_Prioritisation!$H$2+(RAND()-0.5)*2*$B$7))</f>
        <v>67.274207555733696</v>
      </c>
      <c r="V633" s="54">
        <f ca="1">MIN(100,MAX(0,MCDA_Prioritisation!$H$3+(RAND()-0.5)*2*$B$7))</f>
        <v>53.592293184613951</v>
      </c>
      <c r="W633" s="54">
        <f ca="1">MIN(100,MAX(0,MCDA_Prioritisation!$H$4+(RAND()-0.5)*2*$B$7))</f>
        <v>86.126618906747538</v>
      </c>
      <c r="X633" s="54">
        <f ca="1">MIN(100,MAX(0,MCDA_Prioritisation!$H$5+(RAND()-0.5)*2*$B$7))</f>
        <v>82.447750538220845</v>
      </c>
      <c r="Y633" s="54">
        <f ca="1">H633*MCDA_Prioritisation!$D$2+I633*MCDA_Prioritisation!$E$2+J633*M633+K633*Q633+L633*U633</f>
        <v>85.907934069893059</v>
      </c>
      <c r="Z633" s="54">
        <f ca="1">H633*MCDA_Prioritisation!$D$3+I633*MCDA_Prioritisation!$E$3+J633*N633+K633*R633+L633*V633</f>
        <v>80.36032154681169</v>
      </c>
      <c r="AA633" s="54">
        <f ca="1">H633*MCDA_Prioritisation!$D$4+I633*MCDA_Prioritisation!$E$4+J633*O633+K633*S633+L633*W633</f>
        <v>75.023547202951661</v>
      </c>
      <c r="AB633" s="54">
        <f ca="1">H633*MCDA_Prioritisation!$D$5+I633*MCDA_Prioritisation!$E$5+J633*P633+K633*T633+L633*X633</f>
        <v>75.421369762846879</v>
      </c>
      <c r="AC633" s="54">
        <f t="shared" ca="1" si="132"/>
        <v>1</v>
      </c>
      <c r="AD633" s="54">
        <f t="shared" ca="1" si="133"/>
        <v>2</v>
      </c>
      <c r="AE633" s="54">
        <f t="shared" ca="1" si="134"/>
        <v>4</v>
      </c>
      <c r="AF633" s="54">
        <f t="shared" ca="1" si="135"/>
        <v>3</v>
      </c>
      <c r="AG633" s="54">
        <f t="shared" ca="1" si="136"/>
        <v>1</v>
      </c>
      <c r="AH633" s="54">
        <f t="shared" ca="1" si="137"/>
        <v>1</v>
      </c>
      <c r="AI633" s="54">
        <f t="shared" ca="1" si="138"/>
        <v>0</v>
      </c>
      <c r="AJ633" s="54">
        <f t="shared" ca="1" si="139"/>
        <v>1</v>
      </c>
    </row>
    <row r="634" spans="1:36" x14ac:dyDescent="0.2">
      <c r="A634" s="54">
        <v>611</v>
      </c>
      <c r="B634" s="54">
        <f ca="1">MAX(0.02,MCDA_Prioritisation!$B$9+(RAND()-0.5)*2*$B$6)</f>
        <v>0.24827415773897044</v>
      </c>
      <c r="C634" s="54">
        <f ca="1">MAX(0.02,MCDA_Prioritisation!$B$10+(RAND()-0.5)*2*$B$6)</f>
        <v>0.19614287301617736</v>
      </c>
      <c r="D634" s="54">
        <f ca="1">MAX(0.02,MCDA_Prioritisation!$B$11+(RAND()-0.5)*2*$B$6)</f>
        <v>0.24261501059050361</v>
      </c>
      <c r="E634" s="54">
        <f ca="1">MAX(0.02,MCDA_Prioritisation!$B$12+(RAND()-0.5)*2*$B$6)</f>
        <v>0.1959848013755465</v>
      </c>
      <c r="F634" s="54">
        <f ca="1">MAX(0.02,MCDA_Prioritisation!$B$13+(RAND()-0.5)*2*$B$6)</f>
        <v>0.20095521471264605</v>
      </c>
      <c r="G634" s="54">
        <f t="shared" ca="1" si="126"/>
        <v>1.0839720574338441</v>
      </c>
      <c r="H634" s="54">
        <f t="shared" ca="1" si="127"/>
        <v>0.22904110492176857</v>
      </c>
      <c r="I634" s="54">
        <f t="shared" ca="1" si="128"/>
        <v>0.18094827414695436</v>
      </c>
      <c r="J634" s="54">
        <f t="shared" ca="1" si="129"/>
        <v>0.22382035489444399</v>
      </c>
      <c r="K634" s="54">
        <f t="shared" ca="1" si="130"/>
        <v>0.18080244784124211</v>
      </c>
      <c r="L634" s="54">
        <f t="shared" ca="1" si="131"/>
        <v>0.18538781819559086</v>
      </c>
      <c r="M634" s="54">
        <f ca="1">MIN(100,MAX(0,MCDA_Prioritisation!$F$2+(RAND()-0.5)*2*$B$7))</f>
        <v>90.525967467577217</v>
      </c>
      <c r="N634" s="54">
        <f ca="1">MIN(100,MAX(0,MCDA_Prioritisation!$F$3+(RAND()-0.5)*2*$B$7))</f>
        <v>100</v>
      </c>
      <c r="O634" s="54">
        <f ca="1">MIN(100,MAX(0,MCDA_Prioritisation!$F$4+(RAND()-0.5)*2*$B$7))</f>
        <v>98.804154112011545</v>
      </c>
      <c r="P634" s="54">
        <f ca="1">MIN(100,MAX(0,MCDA_Prioritisation!$F$5+(RAND()-0.5)*2*$B$7))</f>
        <v>77.668130611281143</v>
      </c>
      <c r="Q634" s="54">
        <f ca="1">MIN(100,MAX(0,MCDA_Prioritisation!$G$2+(RAND()-0.5)*2*$B$7))</f>
        <v>77.541219105449159</v>
      </c>
      <c r="R634" s="54">
        <f ca="1">MIN(100,MAX(0,MCDA_Prioritisation!$G$3+(RAND()-0.5)*2*$B$7))</f>
        <v>98.230076393895033</v>
      </c>
      <c r="S634" s="54">
        <f ca="1">MIN(100,MAX(0,MCDA_Prioritisation!$G$4+(RAND()-0.5)*2*$B$7))</f>
        <v>80.746690454872507</v>
      </c>
      <c r="T634" s="54">
        <f ca="1">MIN(100,MAX(0,MCDA_Prioritisation!$G$5+(RAND()-0.5)*2*$B$7))</f>
        <v>70.648451233717722</v>
      </c>
      <c r="U634" s="54">
        <f ca="1">MIN(100,MAX(0,MCDA_Prioritisation!$H$2+(RAND()-0.5)*2*$B$7))</f>
        <v>70.800339156454243</v>
      </c>
      <c r="V634" s="54">
        <f ca="1">MIN(100,MAX(0,MCDA_Prioritisation!$H$3+(RAND()-0.5)*2*$B$7))</f>
        <v>54.482091826095427</v>
      </c>
      <c r="W634" s="54">
        <f ca="1">MIN(100,MAX(0,MCDA_Prioritisation!$H$4+(RAND()-0.5)*2*$B$7))</f>
        <v>71.81868726024517</v>
      </c>
      <c r="X634" s="54">
        <f ca="1">MIN(100,MAX(0,MCDA_Prioritisation!$H$5+(RAND()-0.5)*2*$B$7))</f>
        <v>84.349139745924276</v>
      </c>
      <c r="Y634" s="54">
        <f ca="1">H634*MCDA_Prioritisation!$D$2+I634*MCDA_Prioritisation!$E$2+J634*M634+K634*Q634+L634*U634</f>
        <v>88.405654699210544</v>
      </c>
      <c r="Z634" s="54">
        <f ca="1">H634*MCDA_Prioritisation!$D$3+I634*MCDA_Prioritisation!$E$3+J634*N634+K634*R634+L634*V634</f>
        <v>83.419933001648801</v>
      </c>
      <c r="AA634" s="54">
        <f ca="1">H634*MCDA_Prioritisation!$D$4+I634*MCDA_Prioritisation!$E$4+J634*O634+K634*S634+L634*W634</f>
        <v>75.846871832698795</v>
      </c>
      <c r="AB634" s="54">
        <f ca="1">H634*MCDA_Prioritisation!$D$5+I634*MCDA_Prioritisation!$E$5+J634*P634+K634*T634+L634*X634</f>
        <v>73.167089781774877</v>
      </c>
      <c r="AC634" s="54">
        <f t="shared" ca="1" si="132"/>
        <v>1</v>
      </c>
      <c r="AD634" s="54">
        <f t="shared" ca="1" si="133"/>
        <v>2</v>
      </c>
      <c r="AE634" s="54">
        <f t="shared" ca="1" si="134"/>
        <v>3</v>
      </c>
      <c r="AF634" s="54">
        <f t="shared" ca="1" si="135"/>
        <v>4</v>
      </c>
      <c r="AG634" s="54">
        <f t="shared" ca="1" si="136"/>
        <v>1</v>
      </c>
      <c r="AH634" s="54">
        <f t="shared" ca="1" si="137"/>
        <v>1</v>
      </c>
      <c r="AI634" s="54">
        <f t="shared" ca="1" si="138"/>
        <v>1</v>
      </c>
      <c r="AJ634" s="54">
        <f t="shared" ca="1" si="139"/>
        <v>1</v>
      </c>
    </row>
    <row r="635" spans="1:36" x14ac:dyDescent="0.2">
      <c r="A635" s="54">
        <v>612</v>
      </c>
      <c r="B635" s="54">
        <f ca="1">MAX(0.02,MCDA_Prioritisation!$B$9+(RAND()-0.5)*2*$B$6)</f>
        <v>0.2407260601834729</v>
      </c>
      <c r="C635" s="54">
        <f ca="1">MAX(0.02,MCDA_Prioritisation!$B$10+(RAND()-0.5)*2*$B$6)</f>
        <v>0.29477990594169712</v>
      </c>
      <c r="D635" s="54">
        <f ca="1">MAX(0.02,MCDA_Prioritisation!$B$11+(RAND()-0.5)*2*$B$6)</f>
        <v>0.26785821533436854</v>
      </c>
      <c r="E635" s="54">
        <f ca="1">MAX(0.02,MCDA_Prioritisation!$B$12+(RAND()-0.5)*2*$B$6)</f>
        <v>0.20919364252118217</v>
      </c>
      <c r="F635" s="54">
        <f ca="1">MAX(0.02,MCDA_Prioritisation!$B$13+(RAND()-0.5)*2*$B$6)</f>
        <v>0.20918505268527207</v>
      </c>
      <c r="G635" s="54">
        <f t="shared" ca="1" si="126"/>
        <v>1.2217428766659928</v>
      </c>
      <c r="H635" s="54">
        <f t="shared" ca="1" si="127"/>
        <v>0.19703496110440921</v>
      </c>
      <c r="I635" s="54">
        <f t="shared" ca="1" si="128"/>
        <v>0.24127818673772039</v>
      </c>
      <c r="J635" s="54">
        <f t="shared" ca="1" si="129"/>
        <v>0.2192427068331475</v>
      </c>
      <c r="K635" s="54">
        <f t="shared" ca="1" si="130"/>
        <v>0.17122558806485494</v>
      </c>
      <c r="L635" s="54">
        <f t="shared" ca="1" si="131"/>
        <v>0.17121855725986795</v>
      </c>
      <c r="M635" s="54">
        <f ca="1">MIN(100,MAX(0,MCDA_Prioritisation!$F$2+(RAND()-0.5)*2*$B$7))</f>
        <v>78.793461360134629</v>
      </c>
      <c r="N635" s="54">
        <f ca="1">MIN(100,MAX(0,MCDA_Prioritisation!$F$3+(RAND()-0.5)*2*$B$7))</f>
        <v>96.742063219308903</v>
      </c>
      <c r="O635" s="54">
        <f ca="1">MIN(100,MAX(0,MCDA_Prioritisation!$F$4+(RAND()-0.5)*2*$B$7))</f>
        <v>96.220807282747927</v>
      </c>
      <c r="P635" s="54">
        <f ca="1">MIN(100,MAX(0,MCDA_Prioritisation!$F$5+(RAND()-0.5)*2*$B$7))</f>
        <v>70.68469802109226</v>
      </c>
      <c r="Q635" s="54">
        <f ca="1">MIN(100,MAX(0,MCDA_Prioritisation!$G$2+(RAND()-0.5)*2*$B$7))</f>
        <v>84.002289609110889</v>
      </c>
      <c r="R635" s="54">
        <f ca="1">MIN(100,MAX(0,MCDA_Prioritisation!$G$3+(RAND()-0.5)*2*$B$7))</f>
        <v>97.36359767815523</v>
      </c>
      <c r="S635" s="54">
        <f ca="1">MIN(100,MAX(0,MCDA_Prioritisation!$G$4+(RAND()-0.5)*2*$B$7))</f>
        <v>88.137456104449697</v>
      </c>
      <c r="T635" s="54">
        <f ca="1">MIN(100,MAX(0,MCDA_Prioritisation!$G$5+(RAND()-0.5)*2*$B$7))</f>
        <v>66.078767244988114</v>
      </c>
      <c r="U635" s="54">
        <f ca="1">MIN(100,MAX(0,MCDA_Prioritisation!$H$2+(RAND()-0.5)*2*$B$7))</f>
        <v>65.751095345895038</v>
      </c>
      <c r="V635" s="54">
        <f ca="1">MIN(100,MAX(0,MCDA_Prioritisation!$H$3+(RAND()-0.5)*2*$B$7))</f>
        <v>64.490380962859646</v>
      </c>
      <c r="W635" s="54">
        <f ca="1">MIN(100,MAX(0,MCDA_Prioritisation!$H$4+(RAND()-0.5)*2*$B$7))</f>
        <v>81.982430159513527</v>
      </c>
      <c r="X635" s="54">
        <f ca="1">MIN(100,MAX(0,MCDA_Prioritisation!$H$5+(RAND()-0.5)*2*$B$7))</f>
        <v>80.967373368183075</v>
      </c>
      <c r="Y635" s="54">
        <f ca="1">H635*MCDA_Prioritisation!$D$2+I635*MCDA_Prioritisation!$E$2+J635*M635+K635*Q635+L635*U635</f>
        <v>86.747355654056321</v>
      </c>
      <c r="Z635" s="54">
        <f ca="1">H635*MCDA_Prioritisation!$D$3+I635*MCDA_Prioritisation!$E$3+J635*N635+K635*R635+L635*V635</f>
        <v>83.690818373225753</v>
      </c>
      <c r="AA635" s="54">
        <f ca="1">H635*MCDA_Prioritisation!$D$4+I635*MCDA_Prioritisation!$E$4+J635*O635+K635*S635+L635*W635</f>
        <v>77.104996175915957</v>
      </c>
      <c r="AB635" s="54">
        <f ca="1">H635*MCDA_Prioritisation!$D$5+I635*MCDA_Prioritisation!$E$5+J635*P635+K635*T635+L635*X635</f>
        <v>71.421705112382625</v>
      </c>
      <c r="AC635" s="54">
        <f t="shared" ca="1" si="132"/>
        <v>1</v>
      </c>
      <c r="AD635" s="54">
        <f t="shared" ca="1" si="133"/>
        <v>2</v>
      </c>
      <c r="AE635" s="54">
        <f t="shared" ca="1" si="134"/>
        <v>3</v>
      </c>
      <c r="AF635" s="54">
        <f t="shared" ca="1" si="135"/>
        <v>4</v>
      </c>
      <c r="AG635" s="54">
        <f t="shared" ca="1" si="136"/>
        <v>1</v>
      </c>
      <c r="AH635" s="54">
        <f t="shared" ca="1" si="137"/>
        <v>1</v>
      </c>
      <c r="AI635" s="54">
        <f t="shared" ca="1" si="138"/>
        <v>1</v>
      </c>
      <c r="AJ635" s="54">
        <f t="shared" ca="1" si="139"/>
        <v>1</v>
      </c>
    </row>
    <row r="636" spans="1:36" x14ac:dyDescent="0.2">
      <c r="A636" s="54">
        <v>613</v>
      </c>
      <c r="B636" s="54">
        <f ca="1">MAX(0.02,MCDA_Prioritisation!$B$9+(RAND()-0.5)*2*$B$6)</f>
        <v>0.16567588017010312</v>
      </c>
      <c r="C636" s="54">
        <f ca="1">MAX(0.02,MCDA_Prioritisation!$B$10+(RAND()-0.5)*2*$B$6)</f>
        <v>0.28803174803393528</v>
      </c>
      <c r="D636" s="54">
        <f ca="1">MAX(0.02,MCDA_Prioritisation!$B$11+(RAND()-0.5)*2*$B$6)</f>
        <v>0.30061084549552231</v>
      </c>
      <c r="E636" s="54">
        <f ca="1">MAX(0.02,MCDA_Prioritisation!$B$12+(RAND()-0.5)*2*$B$6)</f>
        <v>0.21745908790074681</v>
      </c>
      <c r="F636" s="54">
        <f ca="1">MAX(0.02,MCDA_Prioritisation!$B$13+(RAND()-0.5)*2*$B$6)</f>
        <v>0.20658321651491632</v>
      </c>
      <c r="G636" s="54">
        <f t="shared" ca="1" si="126"/>
        <v>1.1783607781152239</v>
      </c>
      <c r="H636" s="54">
        <f t="shared" ca="1" si="127"/>
        <v>0.14059860379526551</v>
      </c>
      <c r="I636" s="54">
        <f t="shared" ca="1" si="128"/>
        <v>0.24443426273457536</v>
      </c>
      <c r="J636" s="54">
        <f t="shared" ca="1" si="129"/>
        <v>0.25510934433539639</v>
      </c>
      <c r="K636" s="54">
        <f t="shared" ca="1" si="130"/>
        <v>0.18454372543574507</v>
      </c>
      <c r="L636" s="54">
        <f t="shared" ca="1" si="131"/>
        <v>0.17531406369901761</v>
      </c>
      <c r="M636" s="54">
        <f ca="1">MIN(100,MAX(0,MCDA_Prioritisation!$F$2+(RAND()-0.5)*2*$B$7))</f>
        <v>88.681607355443106</v>
      </c>
      <c r="N636" s="54">
        <f ca="1">MIN(100,MAX(0,MCDA_Prioritisation!$F$3+(RAND()-0.5)*2*$B$7))</f>
        <v>100</v>
      </c>
      <c r="O636" s="54">
        <f ca="1">MIN(100,MAX(0,MCDA_Prioritisation!$F$4+(RAND()-0.5)*2*$B$7))</f>
        <v>80.251768117183971</v>
      </c>
      <c r="P636" s="54">
        <f ca="1">MIN(100,MAX(0,MCDA_Prioritisation!$F$5+(RAND()-0.5)*2*$B$7))</f>
        <v>66.235389475726777</v>
      </c>
      <c r="Q636" s="54">
        <f ca="1">MIN(100,MAX(0,MCDA_Prioritisation!$G$2+(RAND()-0.5)*2*$B$7))</f>
        <v>84.256461316137916</v>
      </c>
      <c r="R636" s="54">
        <f ca="1">MIN(100,MAX(0,MCDA_Prioritisation!$G$3+(RAND()-0.5)*2*$B$7))</f>
        <v>99.552355076064813</v>
      </c>
      <c r="S636" s="54">
        <f ca="1">MIN(100,MAX(0,MCDA_Prioritisation!$G$4+(RAND()-0.5)*2*$B$7))</f>
        <v>78.488875221254219</v>
      </c>
      <c r="T636" s="54">
        <f ca="1">MIN(100,MAX(0,MCDA_Prioritisation!$G$5+(RAND()-0.5)*2*$B$7))</f>
        <v>70.495944146411944</v>
      </c>
      <c r="U636" s="54">
        <f ca="1">MIN(100,MAX(0,MCDA_Prioritisation!$H$2+(RAND()-0.5)*2*$B$7))</f>
        <v>64.075564503065735</v>
      </c>
      <c r="V636" s="54">
        <f ca="1">MIN(100,MAX(0,MCDA_Prioritisation!$H$3+(RAND()-0.5)*2*$B$7))</f>
        <v>64.908010067294612</v>
      </c>
      <c r="W636" s="54">
        <f ca="1">MIN(100,MAX(0,MCDA_Prioritisation!$H$4+(RAND()-0.5)*2*$B$7))</f>
        <v>78.092538448834475</v>
      </c>
      <c r="X636" s="54">
        <f ca="1">MIN(100,MAX(0,MCDA_Prioritisation!$H$5+(RAND()-0.5)*2*$B$7))</f>
        <v>73.041622172834423</v>
      </c>
      <c r="Y636" s="54">
        <f ca="1">H636*MCDA_Prioritisation!$D$2+I636*MCDA_Prioritisation!$E$2+J636*M636+K636*Q636+L636*U636</f>
        <v>87.90914222019407</v>
      </c>
      <c r="Z636" s="54">
        <f ca="1">H636*MCDA_Prioritisation!$D$3+I636*MCDA_Prioritisation!$E$3+J636*N636+K636*R636+L636*V636</f>
        <v>85.3268947925486</v>
      </c>
      <c r="AA636" s="54">
        <f ca="1">H636*MCDA_Prioritisation!$D$4+I636*MCDA_Prioritisation!$E$4+J636*O636+K636*S636+L636*W636</f>
        <v>71.771563857364782</v>
      </c>
      <c r="AB636" s="54">
        <f ca="1">H636*MCDA_Prioritisation!$D$5+I636*MCDA_Prioritisation!$E$5+J636*P636+K636*T636+L636*X636</f>
        <v>70.729169914588127</v>
      </c>
      <c r="AC636" s="54">
        <f t="shared" ca="1" si="132"/>
        <v>1</v>
      </c>
      <c r="AD636" s="54">
        <f t="shared" ca="1" si="133"/>
        <v>2</v>
      </c>
      <c r="AE636" s="54">
        <f t="shared" ca="1" si="134"/>
        <v>3</v>
      </c>
      <c r="AF636" s="54">
        <f t="shared" ca="1" si="135"/>
        <v>4</v>
      </c>
      <c r="AG636" s="54">
        <f t="shared" ca="1" si="136"/>
        <v>1</v>
      </c>
      <c r="AH636" s="54">
        <f t="shared" ca="1" si="137"/>
        <v>1</v>
      </c>
      <c r="AI636" s="54">
        <f t="shared" ca="1" si="138"/>
        <v>1</v>
      </c>
      <c r="AJ636" s="54">
        <f t="shared" ca="1" si="139"/>
        <v>1</v>
      </c>
    </row>
    <row r="637" spans="1:36" x14ac:dyDescent="0.2">
      <c r="A637" s="54">
        <v>614</v>
      </c>
      <c r="B637" s="54">
        <f ca="1">MAX(0.02,MCDA_Prioritisation!$B$9+(RAND()-0.5)*2*$B$6)</f>
        <v>0.23913152107075886</v>
      </c>
      <c r="C637" s="54">
        <f ca="1">MAX(0.02,MCDA_Prioritisation!$B$10+(RAND()-0.5)*2*$B$6)</f>
        <v>0.27482043521207666</v>
      </c>
      <c r="D637" s="54">
        <f ca="1">MAX(0.02,MCDA_Prioritisation!$B$11+(RAND()-0.5)*2*$B$6)</f>
        <v>0.22958438216946711</v>
      </c>
      <c r="E637" s="54">
        <f ca="1">MAX(0.02,MCDA_Prioritisation!$B$12+(RAND()-0.5)*2*$B$6)</f>
        <v>0.10897863094418329</v>
      </c>
      <c r="F637" s="54">
        <f ca="1">MAX(0.02,MCDA_Prioritisation!$B$13+(RAND()-0.5)*2*$B$6)</f>
        <v>7.4004084011176391E-2</v>
      </c>
      <c r="G637" s="54">
        <f t="shared" ca="1" si="126"/>
        <v>0.92651905340766227</v>
      </c>
      <c r="H637" s="54">
        <f t="shared" ca="1" si="127"/>
        <v>0.2580967117635114</v>
      </c>
      <c r="I637" s="54">
        <f t="shared" ca="1" si="128"/>
        <v>0.29661606439857796</v>
      </c>
      <c r="J637" s="54">
        <f t="shared" ca="1" si="129"/>
        <v>0.24779240246066639</v>
      </c>
      <c r="K637" s="54">
        <f t="shared" ca="1" si="130"/>
        <v>0.11762157566362903</v>
      </c>
      <c r="L637" s="54">
        <f t="shared" ca="1" si="131"/>
        <v>7.9873245713615218E-2</v>
      </c>
      <c r="M637" s="54">
        <f ca="1">MIN(100,MAX(0,MCDA_Prioritisation!$F$2+(RAND()-0.5)*2*$B$7))</f>
        <v>82.914508704957143</v>
      </c>
      <c r="N637" s="54">
        <f ca="1">MIN(100,MAX(0,MCDA_Prioritisation!$F$3+(RAND()-0.5)*2*$B$7))</f>
        <v>100</v>
      </c>
      <c r="O637" s="54">
        <f ca="1">MIN(100,MAX(0,MCDA_Prioritisation!$F$4+(RAND()-0.5)*2*$B$7))</f>
        <v>82.183211667543361</v>
      </c>
      <c r="P637" s="54">
        <f ca="1">MIN(100,MAX(0,MCDA_Prioritisation!$F$5+(RAND()-0.5)*2*$B$7))</f>
        <v>75.853576262808659</v>
      </c>
      <c r="Q637" s="54">
        <f ca="1">MIN(100,MAX(0,MCDA_Prioritisation!$G$2+(RAND()-0.5)*2*$B$7))</f>
        <v>83.318042462222365</v>
      </c>
      <c r="R637" s="54">
        <f ca="1">MIN(100,MAX(0,MCDA_Prioritisation!$G$3+(RAND()-0.5)*2*$B$7))</f>
        <v>97.32427924632114</v>
      </c>
      <c r="S637" s="54">
        <f ca="1">MIN(100,MAX(0,MCDA_Prioritisation!$G$4+(RAND()-0.5)*2*$B$7))</f>
        <v>79.202389581935392</v>
      </c>
      <c r="T637" s="54">
        <f ca="1">MIN(100,MAX(0,MCDA_Prioritisation!$G$5+(RAND()-0.5)*2*$B$7))</f>
        <v>78.454475519434808</v>
      </c>
      <c r="U637" s="54">
        <f ca="1">MIN(100,MAX(0,MCDA_Prioritisation!$H$2+(RAND()-0.5)*2*$B$7))</f>
        <v>74.725458250794915</v>
      </c>
      <c r="V637" s="54">
        <f ca="1">MIN(100,MAX(0,MCDA_Prioritisation!$H$3+(RAND()-0.5)*2*$B$7))</f>
        <v>64.229438405473232</v>
      </c>
      <c r="W637" s="54">
        <f ca="1">MIN(100,MAX(0,MCDA_Prioritisation!$H$4+(RAND()-0.5)*2*$B$7))</f>
        <v>78.86757799598297</v>
      </c>
      <c r="X637" s="54">
        <f ca="1">MIN(100,MAX(0,MCDA_Prioritisation!$H$5+(RAND()-0.5)*2*$B$7))</f>
        <v>72.79278102940907</v>
      </c>
      <c r="Y637" s="54">
        <f ca="1">H637*MCDA_Prioritisation!$D$2+I637*MCDA_Prioritisation!$E$2+J637*M637+K637*Q637+L637*U637</f>
        <v>91.785427250600094</v>
      </c>
      <c r="Z637" s="54">
        <f ca="1">H637*MCDA_Prioritisation!$D$3+I637*MCDA_Prioritisation!$E$3+J637*N637+K637*R637+L637*V637</f>
        <v>85.485803279477096</v>
      </c>
      <c r="AA637" s="54">
        <f ca="1">H637*MCDA_Prioritisation!$D$4+I637*MCDA_Prioritisation!$E$4+J637*O637+K637*S637+L637*W637</f>
        <v>70.131090573925491</v>
      </c>
      <c r="AB637" s="54">
        <f ca="1">H637*MCDA_Prioritisation!$D$5+I637*MCDA_Prioritisation!$E$5+J637*P637+K637*T637+L637*X637</f>
        <v>72.479501754377594</v>
      </c>
      <c r="AC637" s="54">
        <f t="shared" ca="1" si="132"/>
        <v>1</v>
      </c>
      <c r="AD637" s="54">
        <f t="shared" ca="1" si="133"/>
        <v>2</v>
      </c>
      <c r="AE637" s="54">
        <f t="shared" ca="1" si="134"/>
        <v>4</v>
      </c>
      <c r="AF637" s="54">
        <f t="shared" ca="1" si="135"/>
        <v>3</v>
      </c>
      <c r="AG637" s="54">
        <f t="shared" ca="1" si="136"/>
        <v>1</v>
      </c>
      <c r="AH637" s="54">
        <f t="shared" ca="1" si="137"/>
        <v>1</v>
      </c>
      <c r="AI637" s="54">
        <f t="shared" ca="1" si="138"/>
        <v>0</v>
      </c>
      <c r="AJ637" s="54">
        <f t="shared" ca="1" si="139"/>
        <v>1</v>
      </c>
    </row>
    <row r="638" spans="1:36" x14ac:dyDescent="0.2">
      <c r="A638" s="54">
        <v>615</v>
      </c>
      <c r="B638" s="54">
        <f ca="1">MAX(0.02,MCDA_Prioritisation!$B$9+(RAND()-0.5)*2*$B$6)</f>
        <v>0.25475051240684665</v>
      </c>
      <c r="C638" s="54">
        <f ca="1">MAX(0.02,MCDA_Prioritisation!$B$10+(RAND()-0.5)*2*$B$6)</f>
        <v>0.32075661899853353</v>
      </c>
      <c r="D638" s="54">
        <f ca="1">MAX(0.02,MCDA_Prioritisation!$B$11+(RAND()-0.5)*2*$B$6)</f>
        <v>0.24931523347958179</v>
      </c>
      <c r="E638" s="54">
        <f ca="1">MAX(0.02,MCDA_Prioritisation!$B$12+(RAND()-0.5)*2*$B$6)</f>
        <v>9.4216162114460184E-2</v>
      </c>
      <c r="F638" s="54">
        <f ca="1">MAX(0.02,MCDA_Prioritisation!$B$13+(RAND()-0.5)*2*$B$6)</f>
        <v>8.9784857962643849E-2</v>
      </c>
      <c r="G638" s="54">
        <f t="shared" ca="1" si="126"/>
        <v>1.008823384962066</v>
      </c>
      <c r="H638" s="54">
        <f t="shared" ca="1" si="127"/>
        <v>0.252522409972114</v>
      </c>
      <c r="I638" s="54">
        <f t="shared" ca="1" si="128"/>
        <v>0.3179512130466669</v>
      </c>
      <c r="J638" s="54">
        <f t="shared" ca="1" si="129"/>
        <v>0.24713466915614429</v>
      </c>
      <c r="K638" s="54">
        <f t="shared" ca="1" si="130"/>
        <v>9.3392127421791399E-2</v>
      </c>
      <c r="L638" s="54">
        <f t="shared" ca="1" si="131"/>
        <v>8.8999580403283332E-2</v>
      </c>
      <c r="M638" s="54">
        <f ca="1">MIN(100,MAX(0,MCDA_Prioritisation!$F$2+(RAND()-0.5)*2*$B$7))</f>
        <v>93.362755122361193</v>
      </c>
      <c r="N638" s="54">
        <f ca="1">MIN(100,MAX(0,MCDA_Prioritisation!$F$3+(RAND()-0.5)*2*$B$7))</f>
        <v>92.819923293897247</v>
      </c>
      <c r="O638" s="54">
        <f ca="1">MIN(100,MAX(0,MCDA_Prioritisation!$F$4+(RAND()-0.5)*2*$B$7))</f>
        <v>88.34201061242976</v>
      </c>
      <c r="P638" s="54">
        <f ca="1">MIN(100,MAX(0,MCDA_Prioritisation!$F$5+(RAND()-0.5)*2*$B$7))</f>
        <v>82.936878269281806</v>
      </c>
      <c r="Q638" s="54">
        <f ca="1">MIN(100,MAX(0,MCDA_Prioritisation!$G$2+(RAND()-0.5)*2*$B$7))</f>
        <v>86.082811295329122</v>
      </c>
      <c r="R638" s="54">
        <f ca="1">MIN(100,MAX(0,MCDA_Prioritisation!$G$3+(RAND()-0.5)*2*$B$7))</f>
        <v>98.978627461924276</v>
      </c>
      <c r="S638" s="54">
        <f ca="1">MIN(100,MAX(0,MCDA_Prioritisation!$G$4+(RAND()-0.5)*2*$B$7))</f>
        <v>82.127516379843939</v>
      </c>
      <c r="T638" s="54">
        <f ca="1">MIN(100,MAX(0,MCDA_Prioritisation!$G$5+(RAND()-0.5)*2*$B$7))</f>
        <v>66.121053423958713</v>
      </c>
      <c r="U638" s="54">
        <f ca="1">MIN(100,MAX(0,MCDA_Prioritisation!$H$2+(RAND()-0.5)*2*$B$7))</f>
        <v>66.254454493747119</v>
      </c>
      <c r="V638" s="54">
        <f ca="1">MIN(100,MAX(0,MCDA_Prioritisation!$H$3+(RAND()-0.5)*2*$B$7))</f>
        <v>55.146222134875444</v>
      </c>
      <c r="W638" s="54">
        <f ca="1">MIN(100,MAX(0,MCDA_Prioritisation!$H$4+(RAND()-0.5)*2*$B$7))</f>
        <v>80.636305989261089</v>
      </c>
      <c r="X638" s="54">
        <f ca="1">MIN(100,MAX(0,MCDA_Prioritisation!$H$5+(RAND()-0.5)*2*$B$7))</f>
        <v>67.645549550534881</v>
      </c>
      <c r="Y638" s="54">
        <f ca="1">H638*MCDA_Prioritisation!$D$2+I638*MCDA_Prioritisation!$E$2+J638*M638+K638*Q638+L638*U638</f>
        <v>94.056611431660258</v>
      </c>
      <c r="Z638" s="54">
        <f ca="1">H638*MCDA_Prioritisation!$D$3+I638*MCDA_Prioritisation!$E$3+J638*N638+K638*R638+L638*V638</f>
        <v>82.284221312204707</v>
      </c>
      <c r="AA638" s="54">
        <f ca="1">H638*MCDA_Prioritisation!$D$4+I638*MCDA_Prioritisation!$E$4+J638*O638+K638*S638+L638*W638</f>
        <v>71.606004029162662</v>
      </c>
      <c r="AB638" s="54">
        <f ca="1">H638*MCDA_Prioritisation!$D$5+I638*MCDA_Prioritisation!$E$5+J638*P638+K638*T638+L638*X638</f>
        <v>72.831847505580441</v>
      </c>
      <c r="AC638" s="54">
        <f t="shared" ca="1" si="132"/>
        <v>1</v>
      </c>
      <c r="AD638" s="54">
        <f t="shared" ca="1" si="133"/>
        <v>2</v>
      </c>
      <c r="AE638" s="54">
        <f t="shared" ca="1" si="134"/>
        <v>4</v>
      </c>
      <c r="AF638" s="54">
        <f t="shared" ca="1" si="135"/>
        <v>3</v>
      </c>
      <c r="AG638" s="54">
        <f t="shared" ca="1" si="136"/>
        <v>1</v>
      </c>
      <c r="AH638" s="54">
        <f t="shared" ca="1" si="137"/>
        <v>1</v>
      </c>
      <c r="AI638" s="54">
        <f t="shared" ca="1" si="138"/>
        <v>0</v>
      </c>
      <c r="AJ638" s="54">
        <f t="shared" ca="1" si="139"/>
        <v>1</v>
      </c>
    </row>
    <row r="639" spans="1:36" x14ac:dyDescent="0.2">
      <c r="A639" s="54">
        <v>616</v>
      </c>
      <c r="B639" s="54">
        <f ca="1">MAX(0.02,MCDA_Prioritisation!$B$9+(RAND()-0.5)*2*$B$6)</f>
        <v>0.15784830485629198</v>
      </c>
      <c r="C639" s="54">
        <f ca="1">MAX(0.02,MCDA_Prioritisation!$B$10+(RAND()-0.5)*2*$B$6)</f>
        <v>0.25000777450894185</v>
      </c>
      <c r="D639" s="54">
        <f ca="1">MAX(0.02,MCDA_Prioritisation!$B$11+(RAND()-0.5)*2*$B$6)</f>
        <v>0.31939828576233437</v>
      </c>
      <c r="E639" s="54">
        <f ca="1">MAX(0.02,MCDA_Prioritisation!$B$12+(RAND()-0.5)*2*$B$6)</f>
        <v>0.18595563107593827</v>
      </c>
      <c r="F639" s="54">
        <f ca="1">MAX(0.02,MCDA_Prioritisation!$B$13+(RAND()-0.5)*2*$B$6)</f>
        <v>0.21772672477197369</v>
      </c>
      <c r="G639" s="54">
        <f t="shared" ca="1" si="126"/>
        <v>1.1309367209754801</v>
      </c>
      <c r="H639" s="54">
        <f t="shared" ca="1" si="127"/>
        <v>0.13957306534369246</v>
      </c>
      <c r="I639" s="54">
        <f t="shared" ca="1" si="128"/>
        <v>0.22106256687226469</v>
      </c>
      <c r="J639" s="54">
        <f t="shared" ca="1" si="129"/>
        <v>0.28241923693735932</v>
      </c>
      <c r="K639" s="54">
        <f t="shared" ca="1" si="130"/>
        <v>0.16442620318804732</v>
      </c>
      <c r="L639" s="54">
        <f t="shared" ca="1" si="131"/>
        <v>0.19251892765863621</v>
      </c>
      <c r="M639" s="54">
        <f ca="1">MIN(100,MAX(0,MCDA_Prioritisation!$F$2+(RAND()-0.5)*2*$B$7))</f>
        <v>93.498412787230009</v>
      </c>
      <c r="N639" s="54">
        <f ca="1">MIN(100,MAX(0,MCDA_Prioritisation!$F$3+(RAND()-0.5)*2*$B$7))</f>
        <v>92.188320243399005</v>
      </c>
      <c r="O639" s="54">
        <f ca="1">MIN(100,MAX(0,MCDA_Prioritisation!$F$4+(RAND()-0.5)*2*$B$7))</f>
        <v>81.919023940207012</v>
      </c>
      <c r="P639" s="54">
        <f ca="1">MIN(100,MAX(0,MCDA_Prioritisation!$F$5+(RAND()-0.5)*2*$B$7))</f>
        <v>82.650574763758016</v>
      </c>
      <c r="Q639" s="54">
        <f ca="1">MIN(100,MAX(0,MCDA_Prioritisation!$G$2+(RAND()-0.5)*2*$B$7))</f>
        <v>87.819639866511892</v>
      </c>
      <c r="R639" s="54">
        <f ca="1">MIN(100,MAX(0,MCDA_Prioritisation!$G$3+(RAND()-0.5)*2*$B$7))</f>
        <v>88.382560975207682</v>
      </c>
      <c r="S639" s="54">
        <f ca="1">MIN(100,MAX(0,MCDA_Prioritisation!$G$4+(RAND()-0.5)*2*$B$7))</f>
        <v>82.347371251489321</v>
      </c>
      <c r="T639" s="54">
        <f ca="1">MIN(100,MAX(0,MCDA_Prioritisation!$G$5+(RAND()-0.5)*2*$B$7))</f>
        <v>65.325294025795685</v>
      </c>
      <c r="U639" s="54">
        <f ca="1">MIN(100,MAX(0,MCDA_Prioritisation!$H$2+(RAND()-0.5)*2*$B$7))</f>
        <v>71.258622717011718</v>
      </c>
      <c r="V639" s="54">
        <f ca="1">MIN(100,MAX(0,MCDA_Prioritisation!$H$3+(RAND()-0.5)*2*$B$7))</f>
        <v>56.169602990393109</v>
      </c>
      <c r="W639" s="54">
        <f ca="1">MIN(100,MAX(0,MCDA_Prioritisation!$H$4+(RAND()-0.5)*2*$B$7))</f>
        <v>84.392645585854424</v>
      </c>
      <c r="X639" s="54">
        <f ca="1">MIN(100,MAX(0,MCDA_Prioritisation!$H$5+(RAND()-0.5)*2*$B$7))</f>
        <v>80.589796032515352</v>
      </c>
      <c r="Y639" s="54">
        <f ca="1">H639*MCDA_Prioritisation!$D$2+I639*MCDA_Prioritisation!$E$2+J639*M639+K639*Q639+L639*U639</f>
        <v>90.627797196322106</v>
      </c>
      <c r="Z639" s="54">
        <f ca="1">H639*MCDA_Prioritisation!$D$3+I639*MCDA_Prioritisation!$E$3+J639*N639+K639*R639+L639*V639</f>
        <v>79.657398069160479</v>
      </c>
      <c r="AA639" s="54">
        <f ca="1">H639*MCDA_Prioritisation!$D$4+I639*MCDA_Prioritisation!$E$4+J639*O639+K639*S639+L639*W639</f>
        <v>74.699761428970234</v>
      </c>
      <c r="AB639" s="54">
        <f ca="1">H639*MCDA_Prioritisation!$D$5+I639*MCDA_Prioritisation!$E$5+J639*P639+K639*T639+L639*X639</f>
        <v>75.595680290964395</v>
      </c>
      <c r="AC639" s="54">
        <f t="shared" ca="1" si="132"/>
        <v>1</v>
      </c>
      <c r="AD639" s="54">
        <f t="shared" ca="1" si="133"/>
        <v>2</v>
      </c>
      <c r="AE639" s="54">
        <f t="shared" ca="1" si="134"/>
        <v>4</v>
      </c>
      <c r="AF639" s="54">
        <f t="shared" ca="1" si="135"/>
        <v>3</v>
      </c>
      <c r="AG639" s="54">
        <f t="shared" ca="1" si="136"/>
        <v>1</v>
      </c>
      <c r="AH639" s="54">
        <f t="shared" ca="1" si="137"/>
        <v>1</v>
      </c>
      <c r="AI639" s="54">
        <f t="shared" ca="1" si="138"/>
        <v>0</v>
      </c>
      <c r="AJ639" s="54">
        <f t="shared" ca="1" si="139"/>
        <v>1</v>
      </c>
    </row>
    <row r="640" spans="1:36" x14ac:dyDescent="0.2">
      <c r="A640" s="54">
        <v>617</v>
      </c>
      <c r="B640" s="54">
        <f ca="1">MAX(0.02,MCDA_Prioritisation!$B$9+(RAND()-0.5)*2*$B$6)</f>
        <v>0.16635598957602349</v>
      </c>
      <c r="C640" s="54">
        <f ca="1">MAX(0.02,MCDA_Prioritisation!$B$10+(RAND()-0.5)*2*$B$6)</f>
        <v>0.30478641382189259</v>
      </c>
      <c r="D640" s="54">
        <f ca="1">MAX(0.02,MCDA_Prioritisation!$B$11+(RAND()-0.5)*2*$B$6)</f>
        <v>0.30252506566729065</v>
      </c>
      <c r="E640" s="54">
        <f ca="1">MAX(0.02,MCDA_Prioritisation!$B$12+(RAND()-0.5)*2*$B$6)</f>
        <v>0.1788628088108877</v>
      </c>
      <c r="F640" s="54">
        <f ca="1">MAX(0.02,MCDA_Prioritisation!$B$13+(RAND()-0.5)*2*$B$6)</f>
        <v>0.20744710939994829</v>
      </c>
      <c r="G640" s="54">
        <f t="shared" ca="1" si="126"/>
        <v>1.1599773872760428</v>
      </c>
      <c r="H640" s="54">
        <f t="shared" ca="1" si="127"/>
        <v>0.14341313149791196</v>
      </c>
      <c r="I640" s="54">
        <f t="shared" ca="1" si="128"/>
        <v>0.26275203048364404</v>
      </c>
      <c r="J640" s="54">
        <f t="shared" ca="1" si="129"/>
        <v>0.26080255441677674</v>
      </c>
      <c r="K640" s="54">
        <f t="shared" ca="1" si="130"/>
        <v>0.15419508239803578</v>
      </c>
      <c r="L640" s="54">
        <f t="shared" ca="1" si="131"/>
        <v>0.17883720120363136</v>
      </c>
      <c r="M640" s="54">
        <f ca="1">MIN(100,MAX(0,MCDA_Prioritisation!$F$2+(RAND()-0.5)*2*$B$7))</f>
        <v>78.484130423920163</v>
      </c>
      <c r="N640" s="54">
        <f ca="1">MIN(100,MAX(0,MCDA_Prioritisation!$F$3+(RAND()-0.5)*2*$B$7))</f>
        <v>99.671412081379259</v>
      </c>
      <c r="O640" s="54">
        <f ca="1">MIN(100,MAX(0,MCDA_Prioritisation!$F$4+(RAND()-0.5)*2*$B$7))</f>
        <v>96.073798990832316</v>
      </c>
      <c r="P640" s="54">
        <f ca="1">MIN(100,MAX(0,MCDA_Prioritisation!$F$5+(RAND()-0.5)*2*$B$7))</f>
        <v>75.966790374033991</v>
      </c>
      <c r="Q640" s="54">
        <f ca="1">MIN(100,MAX(0,MCDA_Prioritisation!$G$2+(RAND()-0.5)*2*$B$7))</f>
        <v>70.331244821352414</v>
      </c>
      <c r="R640" s="54">
        <f ca="1">MIN(100,MAX(0,MCDA_Prioritisation!$G$3+(RAND()-0.5)*2*$B$7))</f>
        <v>94.000381978748848</v>
      </c>
      <c r="S640" s="54">
        <f ca="1">MIN(100,MAX(0,MCDA_Prioritisation!$G$4+(RAND()-0.5)*2*$B$7))</f>
        <v>81.201560408235366</v>
      </c>
      <c r="T640" s="54">
        <f ca="1">MIN(100,MAX(0,MCDA_Prioritisation!$G$5+(RAND()-0.5)*2*$B$7))</f>
        <v>77.48532659898693</v>
      </c>
      <c r="U640" s="54">
        <f ca="1">MIN(100,MAX(0,MCDA_Prioritisation!$H$2+(RAND()-0.5)*2*$B$7))</f>
        <v>60.448355337964841</v>
      </c>
      <c r="V640" s="54">
        <f ca="1">MIN(100,MAX(0,MCDA_Prioritisation!$H$3+(RAND()-0.5)*2*$B$7))</f>
        <v>60.815976267994373</v>
      </c>
      <c r="W640" s="54">
        <f ca="1">MIN(100,MAX(0,MCDA_Prioritisation!$H$4+(RAND()-0.5)*2*$B$7))</f>
        <v>87.426138805943083</v>
      </c>
      <c r="X640" s="54">
        <f ca="1">MIN(100,MAX(0,MCDA_Prioritisation!$H$5+(RAND()-0.5)*2*$B$7))</f>
        <v>81.738078449319076</v>
      </c>
      <c r="Y640" s="54">
        <f ca="1">H640*MCDA_Prioritisation!$D$2+I640*MCDA_Prioritisation!$E$2+J640*M640+K640*Q640+L640*U640</f>
        <v>82.740524670282525</v>
      </c>
      <c r="Z640" s="54">
        <f ca="1">H640*MCDA_Prioritisation!$D$3+I640*MCDA_Prioritisation!$E$3+J640*N640+K640*R640+L640*V640</f>
        <v>83.008207483963403</v>
      </c>
      <c r="AA640" s="54">
        <f ca="1">H640*MCDA_Prioritisation!$D$4+I640*MCDA_Prioritisation!$E$4+J640*O640+K640*S640+L640*W640</f>
        <v>77.530595807889199</v>
      </c>
      <c r="AB640" s="54">
        <f ca="1">H640*MCDA_Prioritisation!$D$5+I640*MCDA_Prioritisation!$E$5+J640*P640+K640*T640+L640*X640</f>
        <v>76.084835156840882</v>
      </c>
      <c r="AC640" s="54">
        <f t="shared" ca="1" si="132"/>
        <v>2</v>
      </c>
      <c r="AD640" s="54">
        <f t="shared" ca="1" si="133"/>
        <v>1</v>
      </c>
      <c r="AE640" s="54">
        <f t="shared" ca="1" si="134"/>
        <v>3</v>
      </c>
      <c r="AF640" s="54">
        <f t="shared" ca="1" si="135"/>
        <v>4</v>
      </c>
      <c r="AG640" s="54">
        <f t="shared" ca="1" si="136"/>
        <v>0</v>
      </c>
      <c r="AH640" s="54">
        <f t="shared" ca="1" si="137"/>
        <v>0</v>
      </c>
      <c r="AI640" s="54">
        <f t="shared" ca="1" si="138"/>
        <v>0</v>
      </c>
      <c r="AJ640" s="54">
        <f t="shared" ca="1" si="139"/>
        <v>1</v>
      </c>
    </row>
    <row r="641" spans="1:36" x14ac:dyDescent="0.2">
      <c r="A641" s="54">
        <v>618</v>
      </c>
      <c r="B641" s="54">
        <f ca="1">MAX(0.02,MCDA_Prioritisation!$B$9+(RAND()-0.5)*2*$B$6)</f>
        <v>0.195585220667751</v>
      </c>
      <c r="C641" s="54">
        <f ca="1">MAX(0.02,MCDA_Prioritisation!$B$10+(RAND()-0.5)*2*$B$6)</f>
        <v>0.25916576549908565</v>
      </c>
      <c r="D641" s="54">
        <f ca="1">MAX(0.02,MCDA_Prioritisation!$B$11+(RAND()-0.5)*2*$B$6)</f>
        <v>0.20764131410967868</v>
      </c>
      <c r="E641" s="54">
        <f ca="1">MAX(0.02,MCDA_Prioritisation!$B$12+(RAND()-0.5)*2*$B$6)</f>
        <v>0.17836409373484083</v>
      </c>
      <c r="F641" s="54">
        <f ca="1">MAX(0.02,MCDA_Prioritisation!$B$13+(RAND()-0.5)*2*$B$6)</f>
        <v>0.11308683248364067</v>
      </c>
      <c r="G641" s="54">
        <f t="shared" ca="1" si="126"/>
        <v>0.95384322649499687</v>
      </c>
      <c r="H641" s="54">
        <f t="shared" ca="1" si="127"/>
        <v>0.20504965096460417</v>
      </c>
      <c r="I641" s="54">
        <f t="shared" ca="1" si="128"/>
        <v>0.27170687834249146</v>
      </c>
      <c r="J641" s="54">
        <f t="shared" ca="1" si="129"/>
        <v>0.21768914255718919</v>
      </c>
      <c r="K641" s="54">
        <f t="shared" ca="1" si="130"/>
        <v>0.18699518828713557</v>
      </c>
      <c r="L641" s="54">
        <f t="shared" ca="1" si="131"/>
        <v>0.11855913984857955</v>
      </c>
      <c r="M641" s="54">
        <f ca="1">MIN(100,MAX(0,MCDA_Prioritisation!$F$2+(RAND()-0.5)*2*$B$7))</f>
        <v>86.498436950461837</v>
      </c>
      <c r="N641" s="54">
        <f ca="1">MIN(100,MAX(0,MCDA_Prioritisation!$F$3+(RAND()-0.5)*2*$B$7))</f>
        <v>98.978264940551242</v>
      </c>
      <c r="O641" s="54">
        <f ca="1">MIN(100,MAX(0,MCDA_Prioritisation!$F$4+(RAND()-0.5)*2*$B$7))</f>
        <v>90.210878060624637</v>
      </c>
      <c r="P641" s="54">
        <f ca="1">MIN(100,MAX(0,MCDA_Prioritisation!$F$5+(RAND()-0.5)*2*$B$7))</f>
        <v>69.863199353695478</v>
      </c>
      <c r="Q641" s="54">
        <f ca="1">MIN(100,MAX(0,MCDA_Prioritisation!$G$2+(RAND()-0.5)*2*$B$7))</f>
        <v>81.406107825185316</v>
      </c>
      <c r="R641" s="54">
        <f ca="1">MIN(100,MAX(0,MCDA_Prioritisation!$G$3+(RAND()-0.5)*2*$B$7))</f>
        <v>96.58341321029431</v>
      </c>
      <c r="S641" s="54">
        <f ca="1">MIN(100,MAX(0,MCDA_Prioritisation!$G$4+(RAND()-0.5)*2*$B$7))</f>
        <v>89.437965417057697</v>
      </c>
      <c r="T641" s="54">
        <f ca="1">MIN(100,MAX(0,MCDA_Prioritisation!$G$5+(RAND()-0.5)*2*$B$7))</f>
        <v>71.553414269366741</v>
      </c>
      <c r="U641" s="54">
        <f ca="1">MIN(100,MAX(0,MCDA_Prioritisation!$H$2+(RAND()-0.5)*2*$B$7))</f>
        <v>70.060298019009224</v>
      </c>
      <c r="V641" s="54">
        <f ca="1">MIN(100,MAX(0,MCDA_Prioritisation!$H$3+(RAND()-0.5)*2*$B$7))</f>
        <v>55.775568465197786</v>
      </c>
      <c r="W641" s="54">
        <f ca="1">MIN(100,MAX(0,MCDA_Prioritisation!$H$4+(RAND()-0.5)*2*$B$7))</f>
        <v>78.474218248448224</v>
      </c>
      <c r="X641" s="54">
        <f ca="1">MIN(100,MAX(0,MCDA_Prioritisation!$H$5+(RAND()-0.5)*2*$B$7))</f>
        <v>79.706123565557149</v>
      </c>
      <c r="Y641" s="54">
        <f ca="1">H641*MCDA_Prioritisation!$D$2+I641*MCDA_Prioritisation!$E$2+J641*M641+K641*Q641+L641*U641</f>
        <v>90.034262634154956</v>
      </c>
      <c r="Z641" s="54">
        <f ca="1">H641*MCDA_Prioritisation!$D$3+I641*MCDA_Prioritisation!$E$3+J641*N641+K641*R641+L641*V641</f>
        <v>83.901022215932414</v>
      </c>
      <c r="AA641" s="54">
        <f ca="1">H641*MCDA_Prioritisation!$D$4+I641*MCDA_Prioritisation!$E$4+J641*O641+K641*S641+L641*W641</f>
        <v>74.765061163845417</v>
      </c>
      <c r="AB641" s="54">
        <f ca="1">H641*MCDA_Prioritisation!$D$5+I641*MCDA_Prioritisation!$E$5+J641*P641+K641*T641+L641*X641</f>
        <v>71.769764676770308</v>
      </c>
      <c r="AC641" s="54">
        <f t="shared" ca="1" si="132"/>
        <v>1</v>
      </c>
      <c r="AD641" s="54">
        <f t="shared" ca="1" si="133"/>
        <v>2</v>
      </c>
      <c r="AE641" s="54">
        <f t="shared" ca="1" si="134"/>
        <v>3</v>
      </c>
      <c r="AF641" s="54">
        <f t="shared" ca="1" si="135"/>
        <v>4</v>
      </c>
      <c r="AG641" s="54">
        <f t="shared" ca="1" si="136"/>
        <v>1</v>
      </c>
      <c r="AH641" s="54">
        <f t="shared" ca="1" si="137"/>
        <v>1</v>
      </c>
      <c r="AI641" s="54">
        <f t="shared" ca="1" si="138"/>
        <v>1</v>
      </c>
      <c r="AJ641" s="54">
        <f t="shared" ca="1" si="139"/>
        <v>1</v>
      </c>
    </row>
    <row r="642" spans="1:36" x14ac:dyDescent="0.2">
      <c r="A642" s="54">
        <v>619</v>
      </c>
      <c r="B642" s="54">
        <f ca="1">MAX(0.02,MCDA_Prioritisation!$B$9+(RAND()-0.5)*2*$B$6)</f>
        <v>0.16485846401631452</v>
      </c>
      <c r="C642" s="54">
        <f ca="1">MAX(0.02,MCDA_Prioritisation!$B$10+(RAND()-0.5)*2*$B$6)</f>
        <v>0.24567427091811558</v>
      </c>
      <c r="D642" s="54">
        <f ca="1">MAX(0.02,MCDA_Prioritisation!$B$11+(RAND()-0.5)*2*$B$6)</f>
        <v>0.28939975194950146</v>
      </c>
      <c r="E642" s="54">
        <f ca="1">MAX(0.02,MCDA_Prioritisation!$B$12+(RAND()-0.5)*2*$B$6)</f>
        <v>8.9201346549360308E-2</v>
      </c>
      <c r="F642" s="54">
        <f ca="1">MAX(0.02,MCDA_Prioritisation!$B$13+(RAND()-0.5)*2*$B$6)</f>
        <v>0.1980970219585689</v>
      </c>
      <c r="G642" s="54">
        <f t="shared" ca="1" si="126"/>
        <v>0.98723085539186084</v>
      </c>
      <c r="H642" s="54">
        <f t="shared" ca="1" si="127"/>
        <v>0.16699079360812458</v>
      </c>
      <c r="I642" s="54">
        <f t="shared" ca="1" si="128"/>
        <v>0.24885189677403294</v>
      </c>
      <c r="J642" s="54">
        <f t="shared" ca="1" si="129"/>
        <v>0.29314293649647954</v>
      </c>
      <c r="K642" s="54">
        <f t="shared" ca="1" si="130"/>
        <v>9.0355103937623263E-2</v>
      </c>
      <c r="L642" s="54">
        <f t="shared" ca="1" si="131"/>
        <v>0.20065926918373961</v>
      </c>
      <c r="M642" s="54">
        <f ca="1">MIN(100,MAX(0,MCDA_Prioritisation!$F$2+(RAND()-0.5)*2*$B$7))</f>
        <v>93.322920318771409</v>
      </c>
      <c r="N642" s="54">
        <f ca="1">MIN(100,MAX(0,MCDA_Prioritisation!$F$3+(RAND()-0.5)*2*$B$7))</f>
        <v>88.481220066414295</v>
      </c>
      <c r="O642" s="54">
        <f ca="1">MIN(100,MAX(0,MCDA_Prioritisation!$F$4+(RAND()-0.5)*2*$B$7))</f>
        <v>83.957925898139592</v>
      </c>
      <c r="P642" s="54">
        <f ca="1">MIN(100,MAX(0,MCDA_Prioritisation!$F$5+(RAND()-0.5)*2*$B$7))</f>
        <v>69.732010787388774</v>
      </c>
      <c r="Q642" s="54">
        <f ca="1">MIN(100,MAX(0,MCDA_Prioritisation!$G$2+(RAND()-0.5)*2*$B$7))</f>
        <v>83.488216585986706</v>
      </c>
      <c r="R642" s="54">
        <f ca="1">MIN(100,MAX(0,MCDA_Prioritisation!$G$3+(RAND()-0.5)*2*$B$7))</f>
        <v>95.749928114334438</v>
      </c>
      <c r="S642" s="54">
        <f ca="1">MIN(100,MAX(0,MCDA_Prioritisation!$G$4+(RAND()-0.5)*2*$B$7))</f>
        <v>76.23626704963317</v>
      </c>
      <c r="T642" s="54">
        <f ca="1">MIN(100,MAX(0,MCDA_Prioritisation!$G$5+(RAND()-0.5)*2*$B$7))</f>
        <v>66.15235095803807</v>
      </c>
      <c r="U642" s="54">
        <f ca="1">MIN(100,MAX(0,MCDA_Prioritisation!$H$2+(RAND()-0.5)*2*$B$7))</f>
        <v>56.764635241436267</v>
      </c>
      <c r="V642" s="54">
        <f ca="1">MIN(100,MAX(0,MCDA_Prioritisation!$H$3+(RAND()-0.5)*2*$B$7))</f>
        <v>55.205077715851132</v>
      </c>
      <c r="W642" s="54">
        <f ca="1">MIN(100,MAX(0,MCDA_Prioritisation!$H$4+(RAND()-0.5)*2*$B$7))</f>
        <v>79.878722688039204</v>
      </c>
      <c r="X642" s="54">
        <f ca="1">MIN(100,MAX(0,MCDA_Prioritisation!$H$5+(RAND()-0.5)*2*$B$7))</f>
        <v>68.221932997180616</v>
      </c>
      <c r="Y642" s="54">
        <f ca="1">H642*MCDA_Prioritisation!$D$2+I642*MCDA_Prioritisation!$E$2+J642*M642+K642*Q642+L642*U642</f>
        <v>87.875160653109162</v>
      </c>
      <c r="Z642" s="54">
        <f ca="1">H642*MCDA_Prioritisation!$D$3+I642*MCDA_Prioritisation!$E$3+J642*N642+K642*R642+L642*V642</f>
        <v>78.359337243789966</v>
      </c>
      <c r="AA642" s="54">
        <f ca="1">H642*MCDA_Prioritisation!$D$4+I642*MCDA_Prioritisation!$E$4+J642*O642+K642*S642+L642*W642</f>
        <v>72.730411909660319</v>
      </c>
      <c r="AB642" s="54">
        <f ca="1">H642*MCDA_Prioritisation!$D$5+I642*MCDA_Prioritisation!$E$5+J642*P642+K642*T642+L642*X642</f>
        <v>69.897379365599605</v>
      </c>
      <c r="AC642" s="54">
        <f t="shared" ca="1" si="132"/>
        <v>1</v>
      </c>
      <c r="AD642" s="54">
        <f t="shared" ca="1" si="133"/>
        <v>2</v>
      </c>
      <c r="AE642" s="54">
        <f t="shared" ca="1" si="134"/>
        <v>3</v>
      </c>
      <c r="AF642" s="54">
        <f t="shared" ca="1" si="135"/>
        <v>4</v>
      </c>
      <c r="AG642" s="54">
        <f t="shared" ca="1" si="136"/>
        <v>1</v>
      </c>
      <c r="AH642" s="54">
        <f t="shared" ca="1" si="137"/>
        <v>1</v>
      </c>
      <c r="AI642" s="54">
        <f t="shared" ca="1" si="138"/>
        <v>1</v>
      </c>
      <c r="AJ642" s="54">
        <f t="shared" ca="1" si="139"/>
        <v>1</v>
      </c>
    </row>
    <row r="643" spans="1:36" x14ac:dyDescent="0.2">
      <c r="A643" s="54">
        <v>620</v>
      </c>
      <c r="B643" s="54">
        <f ca="1">MAX(0.02,MCDA_Prioritisation!$B$9+(RAND()-0.5)*2*$B$6)</f>
        <v>0.2734511031519109</v>
      </c>
      <c r="C643" s="54">
        <f ca="1">MAX(0.02,MCDA_Prioritisation!$B$10+(RAND()-0.5)*2*$B$6)</f>
        <v>0.31997393109779082</v>
      </c>
      <c r="D643" s="54">
        <f ca="1">MAX(0.02,MCDA_Prioritisation!$B$11+(RAND()-0.5)*2*$B$6)</f>
        <v>0.30774790774752886</v>
      </c>
      <c r="E643" s="54">
        <f ca="1">MAX(0.02,MCDA_Prioritisation!$B$12+(RAND()-0.5)*2*$B$6)</f>
        <v>0.1701345905838211</v>
      </c>
      <c r="F643" s="54">
        <f ca="1">MAX(0.02,MCDA_Prioritisation!$B$13+(RAND()-0.5)*2*$B$6)</f>
        <v>0.13749324530241885</v>
      </c>
      <c r="G643" s="54">
        <f t="shared" ca="1" si="126"/>
        <v>1.2088007778834706</v>
      </c>
      <c r="H643" s="54">
        <f t="shared" ca="1" si="127"/>
        <v>0.22621684909129983</v>
      </c>
      <c r="I643" s="54">
        <f t="shared" ca="1" si="128"/>
        <v>0.26470361117573382</v>
      </c>
      <c r="J643" s="54">
        <f t="shared" ca="1" si="129"/>
        <v>0.25458943556139574</v>
      </c>
      <c r="K643" s="54">
        <f t="shared" ca="1" si="130"/>
        <v>0.14074659257062641</v>
      </c>
      <c r="L643" s="54">
        <f t="shared" ca="1" si="131"/>
        <v>0.11374351160094415</v>
      </c>
      <c r="M643" s="54">
        <f ca="1">MIN(100,MAX(0,MCDA_Prioritisation!$F$2+(RAND()-0.5)*2*$B$7))</f>
        <v>88.469148264050261</v>
      </c>
      <c r="N643" s="54">
        <f ca="1">MIN(100,MAX(0,MCDA_Prioritisation!$F$3+(RAND()-0.5)*2*$B$7))</f>
        <v>93.88351552907919</v>
      </c>
      <c r="O643" s="54">
        <f ca="1">MIN(100,MAX(0,MCDA_Prioritisation!$F$4+(RAND()-0.5)*2*$B$7))</f>
        <v>96.673392465588449</v>
      </c>
      <c r="P643" s="54">
        <f ca="1">MIN(100,MAX(0,MCDA_Prioritisation!$F$5+(RAND()-0.5)*2*$B$7))</f>
        <v>68.103265672687371</v>
      </c>
      <c r="Q643" s="54">
        <f ca="1">MIN(100,MAX(0,MCDA_Prioritisation!$G$2+(RAND()-0.5)*2*$B$7))</f>
        <v>77.564939047661809</v>
      </c>
      <c r="R643" s="54">
        <f ca="1">MIN(100,MAX(0,MCDA_Prioritisation!$G$3+(RAND()-0.5)*2*$B$7))</f>
        <v>91.742685843787868</v>
      </c>
      <c r="S643" s="54">
        <f ca="1">MIN(100,MAX(0,MCDA_Prioritisation!$G$4+(RAND()-0.5)*2*$B$7))</f>
        <v>80.001613149988799</v>
      </c>
      <c r="T643" s="54">
        <f ca="1">MIN(100,MAX(0,MCDA_Prioritisation!$G$5+(RAND()-0.5)*2*$B$7))</f>
        <v>66.392777967761489</v>
      </c>
      <c r="U643" s="54">
        <f ca="1">MIN(100,MAX(0,MCDA_Prioritisation!$H$2+(RAND()-0.5)*2*$B$7))</f>
        <v>60.856599941404369</v>
      </c>
      <c r="V643" s="54">
        <f ca="1">MIN(100,MAX(0,MCDA_Prioritisation!$H$3+(RAND()-0.5)*2*$B$7))</f>
        <v>60.906767955255191</v>
      </c>
      <c r="W643" s="54">
        <f ca="1">MIN(100,MAX(0,MCDA_Prioritisation!$H$4+(RAND()-0.5)*2*$B$7))</f>
        <v>87.878162641415827</v>
      </c>
      <c r="X643" s="54">
        <f ca="1">MIN(100,MAX(0,MCDA_Prioritisation!$H$5+(RAND()-0.5)*2*$B$7))</f>
        <v>80.270761427480437</v>
      </c>
      <c r="Y643" s="54">
        <f ca="1">H643*MCDA_Prioritisation!$D$2+I643*MCDA_Prioritisation!$E$2+J643*M643+K643*Q643+L643*U643</f>
        <v>89.45440080318123</v>
      </c>
      <c r="Z643" s="54">
        <f ca="1">H643*MCDA_Prioritisation!$D$3+I643*MCDA_Prioritisation!$E$3+J643*N643+K643*R643+L643*V643</f>
        <v>82.763780640149506</v>
      </c>
      <c r="AA643" s="54">
        <f ca="1">H643*MCDA_Prioritisation!$D$4+I643*MCDA_Prioritisation!$E$4+J643*O643+K643*S643+L643*W643</f>
        <v>76.058340008122741</v>
      </c>
      <c r="AB643" s="54">
        <f ca="1">H643*MCDA_Prioritisation!$D$5+I643*MCDA_Prioritisation!$E$5+J643*P643+K643*T643+L643*X643</f>
        <v>70.079035383029193</v>
      </c>
      <c r="AC643" s="54">
        <f t="shared" ca="1" si="132"/>
        <v>1</v>
      </c>
      <c r="AD643" s="54">
        <f t="shared" ca="1" si="133"/>
        <v>2</v>
      </c>
      <c r="AE643" s="54">
        <f t="shared" ca="1" si="134"/>
        <v>3</v>
      </c>
      <c r="AF643" s="54">
        <f t="shared" ca="1" si="135"/>
        <v>4</v>
      </c>
      <c r="AG643" s="54">
        <f t="shared" ca="1" si="136"/>
        <v>1</v>
      </c>
      <c r="AH643" s="54">
        <f t="shared" ca="1" si="137"/>
        <v>1</v>
      </c>
      <c r="AI643" s="54">
        <f t="shared" ca="1" si="138"/>
        <v>1</v>
      </c>
      <c r="AJ643" s="54">
        <f t="shared" ca="1" si="139"/>
        <v>1</v>
      </c>
    </row>
    <row r="644" spans="1:36" x14ac:dyDescent="0.2">
      <c r="A644" s="54">
        <v>621</v>
      </c>
      <c r="B644" s="54">
        <f ca="1">MAX(0.02,MCDA_Prioritisation!$B$9+(RAND()-0.5)*2*$B$6)</f>
        <v>0.20914213701842699</v>
      </c>
      <c r="C644" s="54">
        <f ca="1">MAX(0.02,MCDA_Prioritisation!$B$10+(RAND()-0.5)*2*$B$6)</f>
        <v>0.17194171968945124</v>
      </c>
      <c r="D644" s="54">
        <f ca="1">MAX(0.02,MCDA_Prioritisation!$B$11+(RAND()-0.5)*2*$B$6)</f>
        <v>0.31027786115650058</v>
      </c>
      <c r="E644" s="54">
        <f ca="1">MAX(0.02,MCDA_Prioritisation!$B$12+(RAND()-0.5)*2*$B$6)</f>
        <v>0.22696389313903792</v>
      </c>
      <c r="F644" s="54">
        <f ca="1">MAX(0.02,MCDA_Prioritisation!$B$13+(RAND()-0.5)*2*$B$6)</f>
        <v>7.8949436265034617E-2</v>
      </c>
      <c r="G644" s="54">
        <f t="shared" ca="1" si="126"/>
        <v>0.9972750472684514</v>
      </c>
      <c r="H644" s="54">
        <f t="shared" ca="1" si="127"/>
        <v>0.20971359665647893</v>
      </c>
      <c r="I644" s="54">
        <f t="shared" ca="1" si="128"/>
        <v>0.17241153296716058</v>
      </c>
      <c r="J644" s="54">
        <f t="shared" ca="1" si="129"/>
        <v>0.31112566388415658</v>
      </c>
      <c r="K644" s="54">
        <f t="shared" ca="1" si="130"/>
        <v>0.22758404891478515</v>
      </c>
      <c r="L644" s="54">
        <f t="shared" ca="1" si="131"/>
        <v>7.9165157577418682E-2</v>
      </c>
      <c r="M644" s="54">
        <f ca="1">MIN(100,MAX(0,MCDA_Prioritisation!$F$2+(RAND()-0.5)*2*$B$7))</f>
        <v>83.31566003880836</v>
      </c>
      <c r="N644" s="54">
        <f ca="1">MIN(100,MAX(0,MCDA_Prioritisation!$F$3+(RAND()-0.5)*2*$B$7))</f>
        <v>97.286340585407089</v>
      </c>
      <c r="O644" s="54">
        <f ca="1">MIN(100,MAX(0,MCDA_Prioritisation!$F$4+(RAND()-0.5)*2*$B$7))</f>
        <v>92.381873620323034</v>
      </c>
      <c r="P644" s="54">
        <f ca="1">MIN(100,MAX(0,MCDA_Prioritisation!$F$5+(RAND()-0.5)*2*$B$7))</f>
        <v>75.232890101091911</v>
      </c>
      <c r="Q644" s="54">
        <f ca="1">MIN(100,MAX(0,MCDA_Prioritisation!$G$2+(RAND()-0.5)*2*$B$7))</f>
        <v>82.510039631048642</v>
      </c>
      <c r="R644" s="54">
        <f ca="1">MIN(100,MAX(0,MCDA_Prioritisation!$G$3+(RAND()-0.5)*2*$B$7))</f>
        <v>92.532957914386202</v>
      </c>
      <c r="S644" s="54">
        <f ca="1">MIN(100,MAX(0,MCDA_Prioritisation!$G$4+(RAND()-0.5)*2*$B$7))</f>
        <v>75.702710265050683</v>
      </c>
      <c r="T644" s="54">
        <f ca="1">MIN(100,MAX(0,MCDA_Prioritisation!$G$5+(RAND()-0.5)*2*$B$7))</f>
        <v>63.224523364884419</v>
      </c>
      <c r="U644" s="54">
        <f ca="1">MIN(100,MAX(0,MCDA_Prioritisation!$H$2+(RAND()-0.5)*2*$B$7))</f>
        <v>63.023713117689347</v>
      </c>
      <c r="V644" s="54">
        <f ca="1">MIN(100,MAX(0,MCDA_Prioritisation!$H$3+(RAND()-0.5)*2*$B$7))</f>
        <v>56.695824528275011</v>
      </c>
      <c r="W644" s="54">
        <f ca="1">MIN(100,MAX(0,MCDA_Prioritisation!$H$4+(RAND()-0.5)*2*$B$7))</f>
        <v>86.695271530478237</v>
      </c>
      <c r="X644" s="54">
        <f ca="1">MIN(100,MAX(0,MCDA_Prioritisation!$H$5+(RAND()-0.5)*2*$B$7))</f>
        <v>68.593686606536821</v>
      </c>
      <c r="Y644" s="54">
        <f ca="1">H644*MCDA_Prioritisation!$D$2+I644*MCDA_Prioritisation!$E$2+J644*M644+K644*Q644+L644*U644</f>
        <v>87.901404079314233</v>
      </c>
      <c r="Z644" s="54">
        <f ca="1">H644*MCDA_Prioritisation!$D$3+I644*MCDA_Prioritisation!$E$3+J644*N644+K644*R644+L644*V644</f>
        <v>86.68296248151735</v>
      </c>
      <c r="AA644" s="54">
        <f ca="1">H644*MCDA_Prioritisation!$D$4+I644*MCDA_Prioritisation!$E$4+J644*O644+K644*S644+L644*W644</f>
        <v>76.841833392108754</v>
      </c>
      <c r="AB644" s="54">
        <f ca="1">H644*MCDA_Prioritisation!$D$5+I644*MCDA_Prioritisation!$E$5+J644*P644+K644*T644+L644*X644</f>
        <v>68.854984200983708</v>
      </c>
      <c r="AC644" s="54">
        <f t="shared" ca="1" si="132"/>
        <v>1</v>
      </c>
      <c r="AD644" s="54">
        <f t="shared" ca="1" si="133"/>
        <v>2</v>
      </c>
      <c r="AE644" s="54">
        <f t="shared" ca="1" si="134"/>
        <v>3</v>
      </c>
      <c r="AF644" s="54">
        <f t="shared" ca="1" si="135"/>
        <v>4</v>
      </c>
      <c r="AG644" s="54">
        <f t="shared" ca="1" si="136"/>
        <v>1</v>
      </c>
      <c r="AH644" s="54">
        <f t="shared" ca="1" si="137"/>
        <v>1</v>
      </c>
      <c r="AI644" s="54">
        <f t="shared" ca="1" si="138"/>
        <v>1</v>
      </c>
      <c r="AJ644" s="54">
        <f t="shared" ca="1" si="139"/>
        <v>1</v>
      </c>
    </row>
    <row r="645" spans="1:36" x14ac:dyDescent="0.2">
      <c r="A645" s="54">
        <v>622</v>
      </c>
      <c r="B645" s="54">
        <f ca="1">MAX(0.02,MCDA_Prioritisation!$B$9+(RAND()-0.5)*2*$B$6)</f>
        <v>0.16396432857190418</v>
      </c>
      <c r="C645" s="54">
        <f ca="1">MAX(0.02,MCDA_Prioritisation!$B$10+(RAND()-0.5)*2*$B$6)</f>
        <v>0.29198744685549277</v>
      </c>
      <c r="D645" s="54">
        <f ca="1">MAX(0.02,MCDA_Prioritisation!$B$11+(RAND()-0.5)*2*$B$6)</f>
        <v>0.27016428147142196</v>
      </c>
      <c r="E645" s="54">
        <f ca="1">MAX(0.02,MCDA_Prioritisation!$B$12+(RAND()-0.5)*2*$B$6)</f>
        <v>9.3853731776882748E-2</v>
      </c>
      <c r="F645" s="54">
        <f ca="1">MAX(0.02,MCDA_Prioritisation!$B$13+(RAND()-0.5)*2*$B$6)</f>
        <v>0.17507231548600322</v>
      </c>
      <c r="G645" s="54">
        <f t="shared" ca="1" si="126"/>
        <v>0.99504210416170491</v>
      </c>
      <c r="H645" s="54">
        <f t="shared" ca="1" si="127"/>
        <v>0.16478129707892064</v>
      </c>
      <c r="I645" s="54">
        <f t="shared" ca="1" si="128"/>
        <v>0.2934423032294538</v>
      </c>
      <c r="J645" s="54">
        <f t="shared" ca="1" si="129"/>
        <v>0.27151040176237345</v>
      </c>
      <c r="K645" s="54">
        <f t="shared" ca="1" si="130"/>
        <v>9.4321367291238287E-2</v>
      </c>
      <c r="L645" s="54">
        <f t="shared" ca="1" si="131"/>
        <v>0.1759446306380138</v>
      </c>
      <c r="M645" s="54">
        <f ca="1">MIN(100,MAX(0,MCDA_Prioritisation!$F$2+(RAND()-0.5)*2*$B$7))</f>
        <v>80.072152939230932</v>
      </c>
      <c r="N645" s="54">
        <f ca="1">MIN(100,MAX(0,MCDA_Prioritisation!$F$3+(RAND()-0.5)*2*$B$7))</f>
        <v>100</v>
      </c>
      <c r="O645" s="54">
        <f ca="1">MIN(100,MAX(0,MCDA_Prioritisation!$F$4+(RAND()-0.5)*2*$B$7))</f>
        <v>99.12874975529239</v>
      </c>
      <c r="P645" s="54">
        <f ca="1">MIN(100,MAX(0,MCDA_Prioritisation!$F$5+(RAND()-0.5)*2*$B$7))</f>
        <v>75.595167674509952</v>
      </c>
      <c r="Q645" s="54">
        <f ca="1">MIN(100,MAX(0,MCDA_Prioritisation!$G$2+(RAND()-0.5)*2*$B$7))</f>
        <v>79.644108226683329</v>
      </c>
      <c r="R645" s="54">
        <f ca="1">MIN(100,MAX(0,MCDA_Prioritisation!$G$3+(RAND()-0.5)*2*$B$7))</f>
        <v>91.631547146153153</v>
      </c>
      <c r="S645" s="54">
        <f ca="1">MIN(100,MAX(0,MCDA_Prioritisation!$G$4+(RAND()-0.5)*2*$B$7))</f>
        <v>76.642846369331352</v>
      </c>
      <c r="T645" s="54">
        <f ca="1">MIN(100,MAX(0,MCDA_Prioritisation!$G$5+(RAND()-0.5)*2*$B$7))</f>
        <v>71.789874222668189</v>
      </c>
      <c r="U645" s="54">
        <f ca="1">MIN(100,MAX(0,MCDA_Prioritisation!$H$2+(RAND()-0.5)*2*$B$7))</f>
        <v>66.176582855049617</v>
      </c>
      <c r="V645" s="54">
        <f ca="1">MIN(100,MAX(0,MCDA_Prioritisation!$H$3+(RAND()-0.5)*2*$B$7))</f>
        <v>50.41440998635683</v>
      </c>
      <c r="W645" s="54">
        <f ca="1">MIN(100,MAX(0,MCDA_Prioritisation!$H$4+(RAND()-0.5)*2*$B$7))</f>
        <v>71.828912520670727</v>
      </c>
      <c r="X645" s="54">
        <f ca="1">MIN(100,MAX(0,MCDA_Prioritisation!$H$5+(RAND()-0.5)*2*$B$7))</f>
        <v>82.289762462955053</v>
      </c>
      <c r="Y645" s="54">
        <f ca="1">H645*MCDA_Prioritisation!$D$2+I645*MCDA_Prioritisation!$E$2+J645*M645+K645*Q645+L645*U645</f>
        <v>86.718338057295995</v>
      </c>
      <c r="Z645" s="54">
        <f ca="1">H645*MCDA_Prioritisation!$D$3+I645*MCDA_Prioritisation!$E$3+J645*N645+K645*R645+L645*V645</f>
        <v>80.40662068449727</v>
      </c>
      <c r="AA645" s="54">
        <f ca="1">H645*MCDA_Prioritisation!$D$4+I645*MCDA_Prioritisation!$E$4+J645*O645+K645*S645+L645*W645</f>
        <v>74.261800875147145</v>
      </c>
      <c r="AB645" s="54">
        <f ca="1">H645*MCDA_Prioritisation!$D$5+I645*MCDA_Prioritisation!$E$5+J645*P645+K645*T645+L645*X645</f>
        <v>75.196379315538806</v>
      </c>
      <c r="AC645" s="54">
        <f t="shared" ca="1" si="132"/>
        <v>1</v>
      </c>
      <c r="AD645" s="54">
        <f t="shared" ca="1" si="133"/>
        <v>2</v>
      </c>
      <c r="AE645" s="54">
        <f t="shared" ca="1" si="134"/>
        <v>4</v>
      </c>
      <c r="AF645" s="54">
        <f t="shared" ca="1" si="135"/>
        <v>3</v>
      </c>
      <c r="AG645" s="54">
        <f t="shared" ca="1" si="136"/>
        <v>1</v>
      </c>
      <c r="AH645" s="54">
        <f t="shared" ca="1" si="137"/>
        <v>1</v>
      </c>
      <c r="AI645" s="54">
        <f t="shared" ca="1" si="138"/>
        <v>0</v>
      </c>
      <c r="AJ645" s="54">
        <f t="shared" ca="1" si="139"/>
        <v>1</v>
      </c>
    </row>
    <row r="646" spans="1:36" x14ac:dyDescent="0.2">
      <c r="A646" s="54">
        <v>623</v>
      </c>
      <c r="B646" s="54">
        <f ca="1">MAX(0.02,MCDA_Prioritisation!$B$9+(RAND()-0.5)*2*$B$6)</f>
        <v>0.12370848366624307</v>
      </c>
      <c r="C646" s="54">
        <f ca="1">MAX(0.02,MCDA_Prioritisation!$B$10+(RAND()-0.5)*2*$B$6)</f>
        <v>0.24762635558557541</v>
      </c>
      <c r="D646" s="54">
        <f ca="1">MAX(0.02,MCDA_Prioritisation!$B$11+(RAND()-0.5)*2*$B$6)</f>
        <v>0.2155814929507191</v>
      </c>
      <c r="E646" s="54">
        <f ca="1">MAX(0.02,MCDA_Prioritisation!$B$12+(RAND()-0.5)*2*$B$6)</f>
        <v>0.11503296620692978</v>
      </c>
      <c r="F646" s="54">
        <f ca="1">MAX(0.02,MCDA_Prioritisation!$B$13+(RAND()-0.5)*2*$B$6)</f>
        <v>0.10550335341848954</v>
      </c>
      <c r="G646" s="54">
        <f t="shared" ca="1" si="126"/>
        <v>0.807452651827957</v>
      </c>
      <c r="H646" s="54">
        <f t="shared" ca="1" si="127"/>
        <v>0.15320834402634606</v>
      </c>
      <c r="I646" s="54">
        <f t="shared" ca="1" si="128"/>
        <v>0.30667600759621616</v>
      </c>
      <c r="J646" s="54">
        <f t="shared" ca="1" si="129"/>
        <v>0.26698964015125037</v>
      </c>
      <c r="K646" s="54">
        <f t="shared" ca="1" si="130"/>
        <v>0.14246403915636618</v>
      </c>
      <c r="L646" s="54">
        <f t="shared" ca="1" si="131"/>
        <v>0.13066196906982111</v>
      </c>
      <c r="M646" s="54">
        <f ca="1">MIN(100,MAX(0,MCDA_Prioritisation!$F$2+(RAND()-0.5)*2*$B$7))</f>
        <v>76.161885544192415</v>
      </c>
      <c r="N646" s="54">
        <f ca="1">MIN(100,MAX(0,MCDA_Prioritisation!$F$3+(RAND()-0.5)*2*$B$7))</f>
        <v>99.255329089748386</v>
      </c>
      <c r="O646" s="54">
        <f ca="1">MIN(100,MAX(0,MCDA_Prioritisation!$F$4+(RAND()-0.5)*2*$B$7))</f>
        <v>92.503835276484182</v>
      </c>
      <c r="P646" s="54">
        <f ca="1">MIN(100,MAX(0,MCDA_Prioritisation!$F$5+(RAND()-0.5)*2*$B$7))</f>
        <v>76.925489875435943</v>
      </c>
      <c r="Q646" s="54">
        <f ca="1">MIN(100,MAX(0,MCDA_Prioritisation!$G$2+(RAND()-0.5)*2*$B$7))</f>
        <v>86.524286811728885</v>
      </c>
      <c r="R646" s="54">
        <f ca="1">MIN(100,MAX(0,MCDA_Prioritisation!$G$3+(RAND()-0.5)*2*$B$7))</f>
        <v>94.48518368622905</v>
      </c>
      <c r="S646" s="54">
        <f ca="1">MIN(100,MAX(0,MCDA_Prioritisation!$G$4+(RAND()-0.5)*2*$B$7))</f>
        <v>75.056990909767222</v>
      </c>
      <c r="T646" s="54">
        <f ca="1">MIN(100,MAX(0,MCDA_Prioritisation!$G$5+(RAND()-0.5)*2*$B$7))</f>
        <v>73.403270310902627</v>
      </c>
      <c r="U646" s="54">
        <f ca="1">MIN(100,MAX(0,MCDA_Prioritisation!$H$2+(RAND()-0.5)*2*$B$7))</f>
        <v>61.216858359366043</v>
      </c>
      <c r="V646" s="54">
        <f ca="1">MIN(100,MAX(0,MCDA_Prioritisation!$H$3+(RAND()-0.5)*2*$B$7))</f>
        <v>59.724780531103633</v>
      </c>
      <c r="W646" s="54">
        <f ca="1">MIN(100,MAX(0,MCDA_Prioritisation!$H$4+(RAND()-0.5)*2*$B$7))</f>
        <v>87.357240771811803</v>
      </c>
      <c r="X646" s="54">
        <f ca="1">MIN(100,MAX(0,MCDA_Prioritisation!$H$5+(RAND()-0.5)*2*$B$7))</f>
        <v>75.605901570104592</v>
      </c>
      <c r="Y646" s="54">
        <f ca="1">H646*MCDA_Prioritisation!$D$2+I646*MCDA_Prioritisation!$E$2+J646*M646+K646*Q646+L646*U646</f>
        <v>86.648184214766786</v>
      </c>
      <c r="Z646" s="54">
        <f ca="1">H646*MCDA_Prioritisation!$D$3+I646*MCDA_Prioritisation!$E$3+J646*N646+K646*R646+L646*V646</f>
        <v>83.458277591109209</v>
      </c>
      <c r="AA646" s="54">
        <f ca="1">H646*MCDA_Prioritisation!$D$4+I646*MCDA_Prioritisation!$E$4+J646*O646+K646*S646+L646*W646</f>
        <v>74.201067536609983</v>
      </c>
      <c r="AB646" s="54">
        <f ca="1">H646*MCDA_Prioritisation!$D$5+I646*MCDA_Prioritisation!$E$5+J646*P646+K646*T646+L646*X646</f>
        <v>74.794784670993607</v>
      </c>
      <c r="AC646" s="54">
        <f t="shared" ca="1" si="132"/>
        <v>1</v>
      </c>
      <c r="AD646" s="54">
        <f t="shared" ca="1" si="133"/>
        <v>2</v>
      </c>
      <c r="AE646" s="54">
        <f t="shared" ca="1" si="134"/>
        <v>4</v>
      </c>
      <c r="AF646" s="54">
        <f t="shared" ca="1" si="135"/>
        <v>3</v>
      </c>
      <c r="AG646" s="54">
        <f t="shared" ca="1" si="136"/>
        <v>1</v>
      </c>
      <c r="AH646" s="54">
        <f t="shared" ca="1" si="137"/>
        <v>1</v>
      </c>
      <c r="AI646" s="54">
        <f t="shared" ca="1" si="138"/>
        <v>0</v>
      </c>
      <c r="AJ646" s="54">
        <f t="shared" ca="1" si="139"/>
        <v>1</v>
      </c>
    </row>
    <row r="647" spans="1:36" x14ac:dyDescent="0.2">
      <c r="A647" s="54">
        <v>624</v>
      </c>
      <c r="B647" s="54">
        <f ca="1">MAX(0.02,MCDA_Prioritisation!$B$9+(RAND()-0.5)*2*$B$6)</f>
        <v>0.21227953245241951</v>
      </c>
      <c r="C647" s="54">
        <f ca="1">MAX(0.02,MCDA_Prioritisation!$B$10+(RAND()-0.5)*2*$B$6)</f>
        <v>0.30745367179681649</v>
      </c>
      <c r="D647" s="54">
        <f ca="1">MAX(0.02,MCDA_Prioritisation!$B$11+(RAND()-0.5)*2*$B$6)</f>
        <v>0.22757658637264033</v>
      </c>
      <c r="E647" s="54">
        <f ca="1">MAX(0.02,MCDA_Prioritisation!$B$12+(RAND()-0.5)*2*$B$6)</f>
        <v>0.16797653870066864</v>
      </c>
      <c r="F647" s="54">
        <f ca="1">MAX(0.02,MCDA_Prioritisation!$B$13+(RAND()-0.5)*2*$B$6)</f>
        <v>0.13221396008128666</v>
      </c>
      <c r="G647" s="54">
        <f t="shared" ca="1" si="126"/>
        <v>1.0475002894038317</v>
      </c>
      <c r="H647" s="54">
        <f t="shared" ca="1" si="127"/>
        <v>0.20265343561216109</v>
      </c>
      <c r="I647" s="54">
        <f t="shared" ca="1" si="128"/>
        <v>0.29351177742566442</v>
      </c>
      <c r="J647" s="54">
        <f t="shared" ca="1" si="129"/>
        <v>0.2172568243414634</v>
      </c>
      <c r="K647" s="54">
        <f t="shared" ca="1" si="130"/>
        <v>0.16035941984920105</v>
      </c>
      <c r="L647" s="54">
        <f t="shared" ca="1" si="131"/>
        <v>0.12621854277151004</v>
      </c>
      <c r="M647" s="54">
        <f ca="1">MIN(100,MAX(0,MCDA_Prioritisation!$F$2+(RAND()-0.5)*2*$B$7))</f>
        <v>81.387005017511399</v>
      </c>
      <c r="N647" s="54">
        <f ca="1">MIN(100,MAX(0,MCDA_Prioritisation!$F$3+(RAND()-0.5)*2*$B$7))</f>
        <v>98.015019595883189</v>
      </c>
      <c r="O647" s="54">
        <f ca="1">MIN(100,MAX(0,MCDA_Prioritisation!$F$4+(RAND()-0.5)*2*$B$7))</f>
        <v>96.739188881999112</v>
      </c>
      <c r="P647" s="54">
        <f ca="1">MIN(100,MAX(0,MCDA_Prioritisation!$F$5+(RAND()-0.5)*2*$B$7))</f>
        <v>71.065366433654361</v>
      </c>
      <c r="Q647" s="54">
        <f ca="1">MIN(100,MAX(0,MCDA_Prioritisation!$G$2+(RAND()-0.5)*2*$B$7))</f>
        <v>82.299525585512598</v>
      </c>
      <c r="R647" s="54">
        <f ca="1">MIN(100,MAX(0,MCDA_Prioritisation!$G$3+(RAND()-0.5)*2*$B$7))</f>
        <v>86.892072154309062</v>
      </c>
      <c r="S647" s="54">
        <f ca="1">MIN(100,MAX(0,MCDA_Prioritisation!$G$4+(RAND()-0.5)*2*$B$7))</f>
        <v>76.08390084816908</v>
      </c>
      <c r="T647" s="54">
        <f ca="1">MIN(100,MAX(0,MCDA_Prioritisation!$G$5+(RAND()-0.5)*2*$B$7))</f>
        <v>75.381587949380162</v>
      </c>
      <c r="U647" s="54">
        <f ca="1">MIN(100,MAX(0,MCDA_Prioritisation!$H$2+(RAND()-0.5)*2*$B$7))</f>
        <v>66.777395062083286</v>
      </c>
      <c r="V647" s="54">
        <f ca="1">MIN(100,MAX(0,MCDA_Prioritisation!$H$3+(RAND()-0.5)*2*$B$7))</f>
        <v>69.771841365114497</v>
      </c>
      <c r="W647" s="54">
        <f ca="1">MIN(100,MAX(0,MCDA_Prioritisation!$H$4+(RAND()-0.5)*2*$B$7))</f>
        <v>76.844984461715001</v>
      </c>
      <c r="X647" s="54">
        <f ca="1">MIN(100,MAX(0,MCDA_Prioritisation!$H$5+(RAND()-0.5)*2*$B$7))</f>
        <v>83.919159859051788</v>
      </c>
      <c r="Y647" s="54">
        <f ca="1">H647*MCDA_Prioritisation!$D$2+I647*MCDA_Prioritisation!$E$2+J647*M647+K647*Q647+L647*U647</f>
        <v>88.924453228120683</v>
      </c>
      <c r="Z647" s="54">
        <f ca="1">H647*MCDA_Prioritisation!$D$3+I647*MCDA_Prioritisation!$E$3+J647*N647+K647*R647+L647*V647</f>
        <v>83.092475142093306</v>
      </c>
      <c r="AA647" s="54">
        <f ca="1">H647*MCDA_Prioritisation!$D$4+I647*MCDA_Prioritisation!$E$4+J647*O647+K647*S647+L647*W647</f>
        <v>73.038608375354116</v>
      </c>
      <c r="AB647" s="54">
        <f ca="1">H647*MCDA_Prioritisation!$D$5+I647*MCDA_Prioritisation!$E$5+J647*P647+K647*T647+L647*X647</f>
        <v>73.557421224112744</v>
      </c>
      <c r="AC647" s="54">
        <f t="shared" ca="1" si="132"/>
        <v>1</v>
      </c>
      <c r="AD647" s="54">
        <f t="shared" ca="1" si="133"/>
        <v>2</v>
      </c>
      <c r="AE647" s="54">
        <f t="shared" ca="1" si="134"/>
        <v>4</v>
      </c>
      <c r="AF647" s="54">
        <f t="shared" ca="1" si="135"/>
        <v>3</v>
      </c>
      <c r="AG647" s="54">
        <f t="shared" ca="1" si="136"/>
        <v>1</v>
      </c>
      <c r="AH647" s="54">
        <f t="shared" ca="1" si="137"/>
        <v>1</v>
      </c>
      <c r="AI647" s="54">
        <f t="shared" ca="1" si="138"/>
        <v>0</v>
      </c>
      <c r="AJ647" s="54">
        <f t="shared" ca="1" si="139"/>
        <v>1</v>
      </c>
    </row>
    <row r="648" spans="1:36" x14ac:dyDescent="0.2">
      <c r="A648" s="54">
        <v>625</v>
      </c>
      <c r="B648" s="54">
        <f ca="1">MAX(0.02,MCDA_Prioritisation!$B$9+(RAND()-0.5)*2*$B$6)</f>
        <v>0.21117574813291598</v>
      </c>
      <c r="C648" s="54">
        <f ca="1">MAX(0.02,MCDA_Prioritisation!$B$10+(RAND()-0.5)*2*$B$6)</f>
        <v>0.30337007259626053</v>
      </c>
      <c r="D648" s="54">
        <f ca="1">MAX(0.02,MCDA_Prioritisation!$B$11+(RAND()-0.5)*2*$B$6)</f>
        <v>0.26034472491552152</v>
      </c>
      <c r="E648" s="54">
        <f ca="1">MAX(0.02,MCDA_Prioritisation!$B$12+(RAND()-0.5)*2*$B$6)</f>
        <v>0.12510065137701856</v>
      </c>
      <c r="F648" s="54">
        <f ca="1">MAX(0.02,MCDA_Prioritisation!$B$13+(RAND()-0.5)*2*$B$6)</f>
        <v>0.13688011959340018</v>
      </c>
      <c r="G648" s="54">
        <f t="shared" ca="1" si="126"/>
        <v>1.0368713166151169</v>
      </c>
      <c r="H648" s="54">
        <f t="shared" ca="1" si="127"/>
        <v>0.20366630337726249</v>
      </c>
      <c r="I648" s="54">
        <f t="shared" ca="1" si="128"/>
        <v>0.29258218231614025</v>
      </c>
      <c r="J648" s="54">
        <f t="shared" ca="1" si="129"/>
        <v>0.25108682316087311</v>
      </c>
      <c r="K648" s="54">
        <f t="shared" ca="1" si="130"/>
        <v>0.12065205138995613</v>
      </c>
      <c r="L648" s="54">
        <f t="shared" ca="1" si="131"/>
        <v>0.13201263975576791</v>
      </c>
      <c r="M648" s="54">
        <f ca="1">MIN(100,MAX(0,MCDA_Prioritisation!$F$2+(RAND()-0.5)*2*$B$7))</f>
        <v>80.228944935991919</v>
      </c>
      <c r="N648" s="54">
        <f ca="1">MIN(100,MAX(0,MCDA_Prioritisation!$F$3+(RAND()-0.5)*2*$B$7))</f>
        <v>87.859725104040379</v>
      </c>
      <c r="O648" s="54">
        <f ca="1">MIN(100,MAX(0,MCDA_Prioritisation!$F$4+(RAND()-0.5)*2*$B$7))</f>
        <v>95.442953951346098</v>
      </c>
      <c r="P648" s="54">
        <f ca="1">MIN(100,MAX(0,MCDA_Prioritisation!$F$5+(RAND()-0.5)*2*$B$7))</f>
        <v>75.93268153895076</v>
      </c>
      <c r="Q648" s="54">
        <f ca="1">MIN(100,MAX(0,MCDA_Prioritisation!$G$2+(RAND()-0.5)*2*$B$7))</f>
        <v>75.25148718104353</v>
      </c>
      <c r="R648" s="54">
        <f ca="1">MIN(100,MAX(0,MCDA_Prioritisation!$G$3+(RAND()-0.5)*2*$B$7))</f>
        <v>88.156245597120204</v>
      </c>
      <c r="S648" s="54">
        <f ca="1">MIN(100,MAX(0,MCDA_Prioritisation!$G$4+(RAND()-0.5)*2*$B$7))</f>
        <v>93.75904132572758</v>
      </c>
      <c r="T648" s="54">
        <f ca="1">MIN(100,MAX(0,MCDA_Prioritisation!$G$5+(RAND()-0.5)*2*$B$7))</f>
        <v>70.738690441612135</v>
      </c>
      <c r="U648" s="54">
        <f ca="1">MIN(100,MAX(0,MCDA_Prioritisation!$H$2+(RAND()-0.5)*2*$B$7))</f>
        <v>60.151724057708492</v>
      </c>
      <c r="V648" s="54">
        <f ca="1">MIN(100,MAX(0,MCDA_Prioritisation!$H$3+(RAND()-0.5)*2*$B$7))</f>
        <v>64.222233667985918</v>
      </c>
      <c r="W648" s="54">
        <f ca="1">MIN(100,MAX(0,MCDA_Prioritisation!$H$4+(RAND()-0.5)*2*$B$7))</f>
        <v>89.326750204221597</v>
      </c>
      <c r="X648" s="54">
        <f ca="1">MIN(100,MAX(0,MCDA_Prioritisation!$H$5+(RAND()-0.5)*2*$B$7))</f>
        <v>69.408627461473699</v>
      </c>
      <c r="Y648" s="54">
        <f ca="1">H648*MCDA_Prioritisation!$D$2+I648*MCDA_Prioritisation!$E$2+J648*M648+K648*Q648+L648*U648</f>
        <v>86.789313656123625</v>
      </c>
      <c r="Z648" s="54">
        <f ca="1">H648*MCDA_Prioritisation!$D$3+I648*MCDA_Prioritisation!$E$3+J648*N648+K648*R648+L648*V648</f>
        <v>80.253293079190655</v>
      </c>
      <c r="AA648" s="54">
        <f ca="1">H648*MCDA_Prioritisation!$D$4+I648*MCDA_Prioritisation!$E$4+J648*O648+K648*S648+L648*W648</f>
        <v>77.2101010889739</v>
      </c>
      <c r="AB648" s="54">
        <f ca="1">H648*MCDA_Prioritisation!$D$5+I648*MCDA_Prioritisation!$E$5+J648*P648+K648*T648+L648*X648</f>
        <v>72.176552002374635</v>
      </c>
      <c r="AC648" s="54">
        <f t="shared" ca="1" si="132"/>
        <v>1</v>
      </c>
      <c r="AD648" s="54">
        <f t="shared" ca="1" si="133"/>
        <v>2</v>
      </c>
      <c r="AE648" s="54">
        <f t="shared" ca="1" si="134"/>
        <v>3</v>
      </c>
      <c r="AF648" s="54">
        <f t="shared" ca="1" si="135"/>
        <v>4</v>
      </c>
      <c r="AG648" s="54">
        <f t="shared" ca="1" si="136"/>
        <v>1</v>
      </c>
      <c r="AH648" s="54">
        <f t="shared" ca="1" si="137"/>
        <v>1</v>
      </c>
      <c r="AI648" s="54">
        <f t="shared" ca="1" si="138"/>
        <v>1</v>
      </c>
      <c r="AJ648" s="54">
        <f t="shared" ca="1" si="139"/>
        <v>1</v>
      </c>
    </row>
    <row r="649" spans="1:36" x14ac:dyDescent="0.2">
      <c r="A649" s="54">
        <v>626</v>
      </c>
      <c r="B649" s="54">
        <f ca="1">MAX(0.02,MCDA_Prioritisation!$B$9+(RAND()-0.5)*2*$B$6)</f>
        <v>0.16423382012836663</v>
      </c>
      <c r="C649" s="54">
        <f ca="1">MAX(0.02,MCDA_Prioritisation!$B$10+(RAND()-0.5)*2*$B$6)</f>
        <v>0.32966560043803717</v>
      </c>
      <c r="D649" s="54">
        <f ca="1">MAX(0.02,MCDA_Prioritisation!$B$11+(RAND()-0.5)*2*$B$6)</f>
        <v>0.30786956149082589</v>
      </c>
      <c r="E649" s="54">
        <f ca="1">MAX(0.02,MCDA_Prioritisation!$B$12+(RAND()-0.5)*2*$B$6)</f>
        <v>0.11092726891512492</v>
      </c>
      <c r="F649" s="54">
        <f ca="1">MAX(0.02,MCDA_Prioritisation!$B$13+(RAND()-0.5)*2*$B$6)</f>
        <v>8.4190453369625828E-2</v>
      </c>
      <c r="G649" s="54">
        <f t="shared" ca="1" si="126"/>
        <v>0.99688670434198046</v>
      </c>
      <c r="H649" s="54">
        <f t="shared" ca="1" si="127"/>
        <v>0.16474672539320623</v>
      </c>
      <c r="I649" s="54">
        <f t="shared" ca="1" si="128"/>
        <v>0.33069515221957047</v>
      </c>
      <c r="J649" s="54">
        <f t="shared" ca="1" si="129"/>
        <v>0.30883104383867049</v>
      </c>
      <c r="K649" s="54">
        <f t="shared" ca="1" si="130"/>
        <v>0.11127369683232477</v>
      </c>
      <c r="L649" s="54">
        <f t="shared" ca="1" si="131"/>
        <v>8.4453381716228029E-2</v>
      </c>
      <c r="M649" s="54">
        <f ca="1">MIN(100,MAX(0,MCDA_Prioritisation!$F$2+(RAND()-0.5)*2*$B$7))</f>
        <v>85.157427561365012</v>
      </c>
      <c r="N649" s="54">
        <f ca="1">MIN(100,MAX(0,MCDA_Prioritisation!$F$3+(RAND()-0.5)*2*$B$7))</f>
        <v>86.012580588695684</v>
      </c>
      <c r="O649" s="54">
        <f ca="1">MIN(100,MAX(0,MCDA_Prioritisation!$F$4+(RAND()-0.5)*2*$B$7))</f>
        <v>81.421100127394439</v>
      </c>
      <c r="P649" s="54">
        <f ca="1">MIN(100,MAX(0,MCDA_Prioritisation!$F$5+(RAND()-0.5)*2*$B$7))</f>
        <v>70.719566616936802</v>
      </c>
      <c r="Q649" s="54">
        <f ca="1">MIN(100,MAX(0,MCDA_Prioritisation!$G$2+(RAND()-0.5)*2*$B$7))</f>
        <v>89.933109000729644</v>
      </c>
      <c r="R649" s="54">
        <f ca="1">MIN(100,MAX(0,MCDA_Prioritisation!$G$3+(RAND()-0.5)*2*$B$7))</f>
        <v>100</v>
      </c>
      <c r="S649" s="54">
        <f ca="1">MIN(100,MAX(0,MCDA_Prioritisation!$G$4+(RAND()-0.5)*2*$B$7))</f>
        <v>77.249443522544297</v>
      </c>
      <c r="T649" s="54">
        <f ca="1">MIN(100,MAX(0,MCDA_Prioritisation!$G$5+(RAND()-0.5)*2*$B$7))</f>
        <v>68.407168911919612</v>
      </c>
      <c r="U649" s="54">
        <f ca="1">MIN(100,MAX(0,MCDA_Prioritisation!$H$2+(RAND()-0.5)*2*$B$7))</f>
        <v>70.798245178025965</v>
      </c>
      <c r="V649" s="54">
        <f ca="1">MIN(100,MAX(0,MCDA_Prioritisation!$H$3+(RAND()-0.5)*2*$B$7))</f>
        <v>67.539628192647697</v>
      </c>
      <c r="W649" s="54">
        <f ca="1">MIN(100,MAX(0,MCDA_Prioritisation!$H$4+(RAND()-0.5)*2*$B$7))</f>
        <v>87.049207422578206</v>
      </c>
      <c r="X649" s="54">
        <f ca="1">MIN(100,MAX(0,MCDA_Prioritisation!$H$5+(RAND()-0.5)*2*$B$7))</f>
        <v>76.705204440212412</v>
      </c>
      <c r="Y649" s="54">
        <f ca="1">H649*MCDA_Prioritisation!$D$2+I649*MCDA_Prioritisation!$E$2+J649*M649+K649*Q649+L649*U649</f>
        <v>91.829785736664519</v>
      </c>
      <c r="Z649" s="54">
        <f ca="1">H649*MCDA_Prioritisation!$D$3+I649*MCDA_Prioritisation!$E$3+J649*N649+K649*R649+L649*V649</f>
        <v>81.843574333275967</v>
      </c>
      <c r="AA649" s="54">
        <f ca="1">H649*MCDA_Prioritisation!$D$4+I649*MCDA_Prioritisation!$E$4+J649*O649+K649*S649+L649*W649</f>
        <v>70.602705314361373</v>
      </c>
      <c r="AB649" s="54">
        <f ca="1">H649*MCDA_Prioritisation!$D$5+I649*MCDA_Prioritisation!$E$5+J649*P649+K649*T649+L649*X649</f>
        <v>72.48286509057948</v>
      </c>
      <c r="AC649" s="54">
        <f t="shared" ca="1" si="132"/>
        <v>1</v>
      </c>
      <c r="AD649" s="54">
        <f t="shared" ca="1" si="133"/>
        <v>2</v>
      </c>
      <c r="AE649" s="54">
        <f t="shared" ca="1" si="134"/>
        <v>4</v>
      </c>
      <c r="AF649" s="54">
        <f t="shared" ca="1" si="135"/>
        <v>3</v>
      </c>
      <c r="AG649" s="54">
        <f t="shared" ca="1" si="136"/>
        <v>1</v>
      </c>
      <c r="AH649" s="54">
        <f t="shared" ca="1" si="137"/>
        <v>1</v>
      </c>
      <c r="AI649" s="54">
        <f t="shared" ca="1" si="138"/>
        <v>0</v>
      </c>
      <c r="AJ649" s="54">
        <f t="shared" ca="1" si="139"/>
        <v>1</v>
      </c>
    </row>
    <row r="650" spans="1:36" x14ac:dyDescent="0.2">
      <c r="A650" s="54">
        <v>627</v>
      </c>
      <c r="B650" s="54">
        <f ca="1">MAX(0.02,MCDA_Prioritisation!$B$9+(RAND()-0.5)*2*$B$6)</f>
        <v>0.20938377591002874</v>
      </c>
      <c r="C650" s="54">
        <f ca="1">MAX(0.02,MCDA_Prioritisation!$B$10+(RAND()-0.5)*2*$B$6)</f>
        <v>0.2022116900433224</v>
      </c>
      <c r="D650" s="54">
        <f ca="1">MAX(0.02,MCDA_Prioritisation!$B$11+(RAND()-0.5)*2*$B$6)</f>
        <v>0.29044075922006701</v>
      </c>
      <c r="E650" s="54">
        <f ca="1">MAX(0.02,MCDA_Prioritisation!$B$12+(RAND()-0.5)*2*$B$6)</f>
        <v>0.13284357616201334</v>
      </c>
      <c r="F650" s="54">
        <f ca="1">MAX(0.02,MCDA_Prioritisation!$B$13+(RAND()-0.5)*2*$B$6)</f>
        <v>0.11644666728490544</v>
      </c>
      <c r="G650" s="54">
        <f t="shared" ca="1" si="126"/>
        <v>0.9513264686203371</v>
      </c>
      <c r="H650" s="54">
        <f t="shared" ca="1" si="127"/>
        <v>0.22009665747415599</v>
      </c>
      <c r="I650" s="54">
        <f t="shared" ca="1" si="128"/>
        <v>0.21255762003193315</v>
      </c>
      <c r="J650" s="54">
        <f t="shared" ca="1" si="129"/>
        <v>0.30530082868531899</v>
      </c>
      <c r="K650" s="54">
        <f t="shared" ca="1" si="130"/>
        <v>0.13964036589318277</v>
      </c>
      <c r="L650" s="54">
        <f t="shared" ca="1" si="131"/>
        <v>0.12240452791540891</v>
      </c>
      <c r="M650" s="54">
        <f ca="1">MIN(100,MAX(0,MCDA_Prioritisation!$F$2+(RAND()-0.5)*2*$B$7))</f>
        <v>76.374633802257648</v>
      </c>
      <c r="N650" s="54">
        <f ca="1">MIN(100,MAX(0,MCDA_Prioritisation!$F$3+(RAND()-0.5)*2*$B$7))</f>
        <v>94.256758979812616</v>
      </c>
      <c r="O650" s="54">
        <f ca="1">MIN(100,MAX(0,MCDA_Prioritisation!$F$4+(RAND()-0.5)*2*$B$7))</f>
        <v>85.638531692588657</v>
      </c>
      <c r="P650" s="54">
        <f ca="1">MIN(100,MAX(0,MCDA_Prioritisation!$F$5+(RAND()-0.5)*2*$B$7))</f>
        <v>77.480208316034691</v>
      </c>
      <c r="Q650" s="54">
        <f ca="1">MIN(100,MAX(0,MCDA_Prioritisation!$G$2+(RAND()-0.5)*2*$B$7))</f>
        <v>79.610030725071297</v>
      </c>
      <c r="R650" s="54">
        <f ca="1">MIN(100,MAX(0,MCDA_Prioritisation!$G$3+(RAND()-0.5)*2*$B$7))</f>
        <v>88.629441793011992</v>
      </c>
      <c r="S650" s="54">
        <f ca="1">MIN(100,MAX(0,MCDA_Prioritisation!$G$4+(RAND()-0.5)*2*$B$7))</f>
        <v>81.441351609505006</v>
      </c>
      <c r="T650" s="54">
        <f ca="1">MIN(100,MAX(0,MCDA_Prioritisation!$G$5+(RAND()-0.5)*2*$B$7))</f>
        <v>62.436127990842714</v>
      </c>
      <c r="U650" s="54">
        <f ca="1">MIN(100,MAX(0,MCDA_Prioritisation!$H$2+(RAND()-0.5)*2*$B$7))</f>
        <v>55.372308510131248</v>
      </c>
      <c r="V650" s="54">
        <f ca="1">MIN(100,MAX(0,MCDA_Prioritisation!$H$3+(RAND()-0.5)*2*$B$7))</f>
        <v>53.625290831101182</v>
      </c>
      <c r="W650" s="54">
        <f ca="1">MIN(100,MAX(0,MCDA_Prioritisation!$H$4+(RAND()-0.5)*2*$B$7))</f>
        <v>71.065780162324941</v>
      </c>
      <c r="X650" s="54">
        <f ca="1">MIN(100,MAX(0,MCDA_Prioritisation!$H$5+(RAND()-0.5)*2*$B$7))</f>
        <v>82.755733712562119</v>
      </c>
      <c r="Y650" s="54">
        <f ca="1">H650*MCDA_Prioritisation!$D$2+I650*MCDA_Prioritisation!$E$2+J650*M650+K650*Q650+L650*U650</f>
        <v>84.477261842961425</v>
      </c>
      <c r="Z650" s="54">
        <f ca="1">H650*MCDA_Prioritisation!$D$3+I650*MCDA_Prioritisation!$E$3+J650*N650+K650*R650+L650*V650</f>
        <v>82.411380912365146</v>
      </c>
      <c r="AA650" s="54">
        <f ca="1">H650*MCDA_Prioritisation!$D$4+I650*MCDA_Prioritisation!$E$4+J650*O650+K650*S650+L650*W650</f>
        <v>73.137077470335328</v>
      </c>
      <c r="AB650" s="54">
        <f ca="1">H650*MCDA_Prioritisation!$D$5+I650*MCDA_Prioritisation!$E$5+J650*P650+K650*T650+L650*X650</f>
        <v>72.059041525510182</v>
      </c>
      <c r="AC650" s="54">
        <f t="shared" ca="1" si="132"/>
        <v>1</v>
      </c>
      <c r="AD650" s="54">
        <f t="shared" ca="1" si="133"/>
        <v>2</v>
      </c>
      <c r="AE650" s="54">
        <f t="shared" ca="1" si="134"/>
        <v>3</v>
      </c>
      <c r="AF650" s="54">
        <f t="shared" ca="1" si="135"/>
        <v>4</v>
      </c>
      <c r="AG650" s="54">
        <f t="shared" ca="1" si="136"/>
        <v>1</v>
      </c>
      <c r="AH650" s="54">
        <f t="shared" ca="1" si="137"/>
        <v>1</v>
      </c>
      <c r="AI650" s="54">
        <f t="shared" ca="1" si="138"/>
        <v>1</v>
      </c>
      <c r="AJ650" s="54">
        <f t="shared" ca="1" si="139"/>
        <v>1</v>
      </c>
    </row>
    <row r="651" spans="1:36" x14ac:dyDescent="0.2">
      <c r="A651" s="54">
        <v>628</v>
      </c>
      <c r="B651" s="54">
        <f ca="1">MAX(0.02,MCDA_Prioritisation!$B$9+(RAND()-0.5)*2*$B$6)</f>
        <v>0.21907413346442578</v>
      </c>
      <c r="C651" s="54">
        <f ca="1">MAX(0.02,MCDA_Prioritisation!$B$10+(RAND()-0.5)*2*$B$6)</f>
        <v>0.22156650754085672</v>
      </c>
      <c r="D651" s="54">
        <f ca="1">MAX(0.02,MCDA_Prioritisation!$B$11+(RAND()-0.5)*2*$B$6)</f>
        <v>0.19311192629452606</v>
      </c>
      <c r="E651" s="54">
        <f ca="1">MAX(0.02,MCDA_Prioritisation!$B$12+(RAND()-0.5)*2*$B$6)</f>
        <v>0.19416643124709321</v>
      </c>
      <c r="F651" s="54">
        <f ca="1">MAX(0.02,MCDA_Prioritisation!$B$13+(RAND()-0.5)*2*$B$6)</f>
        <v>9.5068087393618328E-2</v>
      </c>
      <c r="G651" s="54">
        <f t="shared" ca="1" si="126"/>
        <v>0.92298708594052004</v>
      </c>
      <c r="H651" s="54">
        <f t="shared" ca="1" si="127"/>
        <v>0.23735341133315008</v>
      </c>
      <c r="I651" s="54">
        <f t="shared" ca="1" si="128"/>
        <v>0.24005374605548394</v>
      </c>
      <c r="J651" s="54">
        <f t="shared" ca="1" si="129"/>
        <v>0.20922494933690844</v>
      </c>
      <c r="K651" s="54">
        <f t="shared" ca="1" si="130"/>
        <v>0.21036744089354015</v>
      </c>
      <c r="L651" s="54">
        <f t="shared" ca="1" si="131"/>
        <v>0.10300045238091748</v>
      </c>
      <c r="M651" s="54">
        <f ca="1">MIN(100,MAX(0,MCDA_Prioritisation!$F$2+(RAND()-0.5)*2*$B$7))</f>
        <v>80.607503880174022</v>
      </c>
      <c r="N651" s="54">
        <f ca="1">MIN(100,MAX(0,MCDA_Prioritisation!$F$3+(RAND()-0.5)*2*$B$7))</f>
        <v>91.699196067427025</v>
      </c>
      <c r="O651" s="54">
        <f ca="1">MIN(100,MAX(0,MCDA_Prioritisation!$F$4+(RAND()-0.5)*2*$B$7))</f>
        <v>83.033982075139747</v>
      </c>
      <c r="P651" s="54">
        <f ca="1">MIN(100,MAX(0,MCDA_Prioritisation!$F$5+(RAND()-0.5)*2*$B$7))</f>
        <v>80.123429511234946</v>
      </c>
      <c r="Q651" s="54">
        <f ca="1">MIN(100,MAX(0,MCDA_Prioritisation!$G$2+(RAND()-0.5)*2*$B$7))</f>
        <v>70.041908975502807</v>
      </c>
      <c r="R651" s="54">
        <f ca="1">MIN(100,MAX(0,MCDA_Prioritisation!$G$3+(RAND()-0.5)*2*$B$7))</f>
        <v>95.422885547738133</v>
      </c>
      <c r="S651" s="54">
        <f ca="1">MIN(100,MAX(0,MCDA_Prioritisation!$G$4+(RAND()-0.5)*2*$B$7))</f>
        <v>89.349013627438765</v>
      </c>
      <c r="T651" s="54">
        <f ca="1">MIN(100,MAX(0,MCDA_Prioritisation!$G$5+(RAND()-0.5)*2*$B$7))</f>
        <v>70.291476967582369</v>
      </c>
      <c r="U651" s="54">
        <f ca="1">MIN(100,MAX(0,MCDA_Prioritisation!$H$2+(RAND()-0.5)*2*$B$7))</f>
        <v>73.111981782243447</v>
      </c>
      <c r="V651" s="54">
        <f ca="1">MIN(100,MAX(0,MCDA_Prioritisation!$H$3+(RAND()-0.5)*2*$B$7))</f>
        <v>52.070821766366024</v>
      </c>
      <c r="W651" s="54">
        <f ca="1">MIN(100,MAX(0,MCDA_Prioritisation!$H$4+(RAND()-0.5)*2*$B$7))</f>
        <v>84.337027717696515</v>
      </c>
      <c r="X651" s="54">
        <f ca="1">MIN(100,MAX(0,MCDA_Prioritisation!$H$5+(RAND()-0.5)*2*$B$7))</f>
        <v>67.644547850202642</v>
      </c>
      <c r="Y651" s="54">
        <f ca="1">H651*MCDA_Prioritisation!$D$2+I651*MCDA_Prioritisation!$E$2+J651*M651+K651*Q651+L651*U651</f>
        <v>86.870920998878745</v>
      </c>
      <c r="Z651" s="54">
        <f ca="1">H651*MCDA_Prioritisation!$D$3+I651*MCDA_Prioritisation!$E$3+J651*N651+K651*R651+L651*V651</f>
        <v>82.825338281244385</v>
      </c>
      <c r="AA651" s="54">
        <f ca="1">H651*MCDA_Prioritisation!$D$4+I651*MCDA_Prioritisation!$E$4+J651*O651+K651*S651+L651*W651</f>
        <v>74.47739299673205</v>
      </c>
      <c r="AB651" s="54">
        <f ca="1">H651*MCDA_Prioritisation!$D$5+I651*MCDA_Prioritisation!$E$5+J651*P651+K651*T651+L651*X651</f>
        <v>71.30235888139903</v>
      </c>
      <c r="AC651" s="54">
        <f t="shared" ca="1" si="132"/>
        <v>1</v>
      </c>
      <c r="AD651" s="54">
        <f t="shared" ca="1" si="133"/>
        <v>2</v>
      </c>
      <c r="AE651" s="54">
        <f t="shared" ca="1" si="134"/>
        <v>3</v>
      </c>
      <c r="AF651" s="54">
        <f t="shared" ca="1" si="135"/>
        <v>4</v>
      </c>
      <c r="AG651" s="54">
        <f t="shared" ca="1" si="136"/>
        <v>1</v>
      </c>
      <c r="AH651" s="54">
        <f t="shared" ca="1" si="137"/>
        <v>1</v>
      </c>
      <c r="AI651" s="54">
        <f t="shared" ca="1" si="138"/>
        <v>1</v>
      </c>
      <c r="AJ651" s="54">
        <f t="shared" ca="1" si="139"/>
        <v>1</v>
      </c>
    </row>
    <row r="652" spans="1:36" x14ac:dyDescent="0.2">
      <c r="A652" s="54">
        <v>629</v>
      </c>
      <c r="B652" s="54">
        <f ca="1">MAX(0.02,MCDA_Prioritisation!$B$9+(RAND()-0.5)*2*$B$6)</f>
        <v>0.14450604527576988</v>
      </c>
      <c r="C652" s="54">
        <f ca="1">MAX(0.02,MCDA_Prioritisation!$B$10+(RAND()-0.5)*2*$B$6)</f>
        <v>0.18876870997739559</v>
      </c>
      <c r="D652" s="54">
        <f ca="1">MAX(0.02,MCDA_Prioritisation!$B$11+(RAND()-0.5)*2*$B$6)</f>
        <v>0.26099054744443162</v>
      </c>
      <c r="E652" s="54">
        <f ca="1">MAX(0.02,MCDA_Prioritisation!$B$12+(RAND()-0.5)*2*$B$6)</f>
        <v>0.14653150763068828</v>
      </c>
      <c r="F652" s="54">
        <f ca="1">MAX(0.02,MCDA_Prioritisation!$B$13+(RAND()-0.5)*2*$B$6)</f>
        <v>0.10955045776415819</v>
      </c>
      <c r="G652" s="54">
        <f t="shared" ca="1" si="126"/>
        <v>0.85034726809244354</v>
      </c>
      <c r="H652" s="54">
        <f t="shared" ca="1" si="127"/>
        <v>0.1699376839299262</v>
      </c>
      <c r="I652" s="54">
        <f t="shared" ca="1" si="128"/>
        <v>0.2219901410406766</v>
      </c>
      <c r="J652" s="54">
        <f t="shared" ca="1" si="129"/>
        <v>0.30692230955231181</v>
      </c>
      <c r="K652" s="54">
        <f t="shared" ca="1" si="130"/>
        <v>0.17231960768145663</v>
      </c>
      <c r="L652" s="54">
        <f t="shared" ca="1" si="131"/>
        <v>0.12883025779562882</v>
      </c>
      <c r="M652" s="54">
        <f ca="1">MIN(100,MAX(0,MCDA_Prioritisation!$F$2+(RAND()-0.5)*2*$B$7))</f>
        <v>92.509610063831616</v>
      </c>
      <c r="N652" s="54">
        <f ca="1">MIN(100,MAX(0,MCDA_Prioritisation!$F$3+(RAND()-0.5)*2*$B$7))</f>
        <v>100</v>
      </c>
      <c r="O652" s="54">
        <f ca="1">MIN(100,MAX(0,MCDA_Prioritisation!$F$4+(RAND()-0.5)*2*$B$7))</f>
        <v>87.939041908274234</v>
      </c>
      <c r="P652" s="54">
        <f ca="1">MIN(100,MAX(0,MCDA_Prioritisation!$F$5+(RAND()-0.5)*2*$B$7))</f>
        <v>82.848314175348705</v>
      </c>
      <c r="Q652" s="54">
        <f ca="1">MIN(100,MAX(0,MCDA_Prioritisation!$G$2+(RAND()-0.5)*2*$B$7))</f>
        <v>87.956837567506767</v>
      </c>
      <c r="R652" s="54">
        <f ca="1">MIN(100,MAX(0,MCDA_Prioritisation!$G$3+(RAND()-0.5)*2*$B$7))</f>
        <v>96.39560930669424</v>
      </c>
      <c r="S652" s="54">
        <f ca="1">MIN(100,MAX(0,MCDA_Prioritisation!$G$4+(RAND()-0.5)*2*$B$7))</f>
        <v>88.532899087998942</v>
      </c>
      <c r="T652" s="54">
        <f ca="1">MIN(100,MAX(0,MCDA_Prioritisation!$G$5+(RAND()-0.5)*2*$B$7))</f>
        <v>68.801599064381506</v>
      </c>
      <c r="U652" s="54">
        <f ca="1">MIN(100,MAX(0,MCDA_Prioritisation!$H$2+(RAND()-0.5)*2*$B$7))</f>
        <v>58.590320588210048</v>
      </c>
      <c r="V652" s="54">
        <f ca="1">MIN(100,MAX(0,MCDA_Prioritisation!$H$3+(RAND()-0.5)*2*$B$7))</f>
        <v>50.356279048411849</v>
      </c>
      <c r="W652" s="54">
        <f ca="1">MIN(100,MAX(0,MCDA_Prioritisation!$H$4+(RAND()-0.5)*2*$B$7))</f>
        <v>81.920879684652277</v>
      </c>
      <c r="X652" s="54">
        <f ca="1">MIN(100,MAX(0,MCDA_Prioritisation!$H$5+(RAND()-0.5)*2*$B$7))</f>
        <v>70.337048105867026</v>
      </c>
      <c r="Y652" s="54">
        <f ca="1">H652*MCDA_Prioritisation!$D$2+I652*MCDA_Prioritisation!$E$2+J652*M652+K652*Q652+L652*U652</f>
        <v>90.290939521877277</v>
      </c>
      <c r="Z652" s="54">
        <f ca="1">H652*MCDA_Prioritisation!$D$3+I652*MCDA_Prioritisation!$E$3+J652*N652+K652*R652+L652*V652</f>
        <v>84.787250921474396</v>
      </c>
      <c r="AA652" s="54">
        <f ca="1">H652*MCDA_Prioritisation!$D$4+I652*MCDA_Prioritisation!$E$4+J652*O652+K652*S652+L652*W652</f>
        <v>76.742310789450912</v>
      </c>
      <c r="AB652" s="54">
        <f ca="1">H652*MCDA_Prioritisation!$D$5+I652*MCDA_Prioritisation!$E$5+J652*P652+K652*T652+L652*X652</f>
        <v>74.032347086080478</v>
      </c>
      <c r="AC652" s="54">
        <f t="shared" ca="1" si="132"/>
        <v>1</v>
      </c>
      <c r="AD652" s="54">
        <f t="shared" ca="1" si="133"/>
        <v>2</v>
      </c>
      <c r="AE652" s="54">
        <f t="shared" ca="1" si="134"/>
        <v>3</v>
      </c>
      <c r="AF652" s="54">
        <f t="shared" ca="1" si="135"/>
        <v>4</v>
      </c>
      <c r="AG652" s="54">
        <f t="shared" ca="1" si="136"/>
        <v>1</v>
      </c>
      <c r="AH652" s="54">
        <f t="shared" ca="1" si="137"/>
        <v>1</v>
      </c>
      <c r="AI652" s="54">
        <f t="shared" ca="1" si="138"/>
        <v>1</v>
      </c>
      <c r="AJ652" s="54">
        <f t="shared" ca="1" si="139"/>
        <v>1</v>
      </c>
    </row>
    <row r="653" spans="1:36" x14ac:dyDescent="0.2">
      <c r="A653" s="54">
        <v>630</v>
      </c>
      <c r="B653" s="54">
        <f ca="1">MAX(0.02,MCDA_Prioritisation!$B$9+(RAND()-0.5)*2*$B$6)</f>
        <v>0.16615168129062213</v>
      </c>
      <c r="C653" s="54">
        <f ca="1">MAX(0.02,MCDA_Prioritisation!$B$10+(RAND()-0.5)*2*$B$6)</f>
        <v>0.31458715421870626</v>
      </c>
      <c r="D653" s="54">
        <f ca="1">MAX(0.02,MCDA_Prioritisation!$B$11+(RAND()-0.5)*2*$B$6)</f>
        <v>0.26800685457458651</v>
      </c>
      <c r="E653" s="54">
        <f ca="1">MAX(0.02,MCDA_Prioritisation!$B$12+(RAND()-0.5)*2*$B$6)</f>
        <v>0.18004927174782934</v>
      </c>
      <c r="F653" s="54">
        <f ca="1">MAX(0.02,MCDA_Prioritisation!$B$13+(RAND()-0.5)*2*$B$6)</f>
        <v>0.13291662741714702</v>
      </c>
      <c r="G653" s="54">
        <f t="shared" ca="1" si="126"/>
        <v>1.0617115892488913</v>
      </c>
      <c r="H653" s="54">
        <f t="shared" ca="1" si="127"/>
        <v>0.15649417692441905</v>
      </c>
      <c r="I653" s="54">
        <f t="shared" ca="1" si="128"/>
        <v>0.29630189347491365</v>
      </c>
      <c r="J653" s="54">
        <f t="shared" ca="1" si="129"/>
        <v>0.25242905633552343</v>
      </c>
      <c r="K653" s="54">
        <f t="shared" ca="1" si="130"/>
        <v>0.16958397513133047</v>
      </c>
      <c r="L653" s="54">
        <f t="shared" ca="1" si="131"/>
        <v>0.12519089813381334</v>
      </c>
      <c r="M653" s="54">
        <f ca="1">MIN(100,MAX(0,MCDA_Prioritisation!$F$2+(RAND()-0.5)*2*$B$7))</f>
        <v>89.861065824786593</v>
      </c>
      <c r="N653" s="54">
        <f ca="1">MIN(100,MAX(0,MCDA_Prioritisation!$F$3+(RAND()-0.5)*2*$B$7))</f>
        <v>95.660921940053655</v>
      </c>
      <c r="O653" s="54">
        <f ca="1">MIN(100,MAX(0,MCDA_Prioritisation!$F$4+(RAND()-0.5)*2*$B$7))</f>
        <v>89.76862058658196</v>
      </c>
      <c r="P653" s="54">
        <f ca="1">MIN(100,MAX(0,MCDA_Prioritisation!$F$5+(RAND()-0.5)*2*$B$7))</f>
        <v>76.802718546964101</v>
      </c>
      <c r="Q653" s="54">
        <f ca="1">MIN(100,MAX(0,MCDA_Prioritisation!$G$2+(RAND()-0.5)*2*$B$7))</f>
        <v>72.137264512886503</v>
      </c>
      <c r="R653" s="54">
        <f ca="1">MIN(100,MAX(0,MCDA_Prioritisation!$G$3+(RAND()-0.5)*2*$B$7))</f>
        <v>87.103554006080429</v>
      </c>
      <c r="S653" s="54">
        <f ca="1">MIN(100,MAX(0,MCDA_Prioritisation!$G$4+(RAND()-0.5)*2*$B$7))</f>
        <v>80.135329947823493</v>
      </c>
      <c r="T653" s="54">
        <f ca="1">MIN(100,MAX(0,MCDA_Prioritisation!$G$5+(RAND()-0.5)*2*$B$7))</f>
        <v>73.287531178071887</v>
      </c>
      <c r="U653" s="54">
        <f ca="1">MIN(100,MAX(0,MCDA_Prioritisation!$H$2+(RAND()-0.5)*2*$B$7))</f>
        <v>56.695271924207034</v>
      </c>
      <c r="V653" s="54">
        <f ca="1">MIN(100,MAX(0,MCDA_Prioritisation!$H$3+(RAND()-0.5)*2*$B$7))</f>
        <v>54.474527017067096</v>
      </c>
      <c r="W653" s="54">
        <f ca="1">MIN(100,MAX(0,MCDA_Prioritisation!$H$4+(RAND()-0.5)*2*$B$7))</f>
        <v>70.651483802233443</v>
      </c>
      <c r="X653" s="54">
        <f ca="1">MIN(100,MAX(0,MCDA_Prioritisation!$H$5+(RAND()-0.5)*2*$B$7))</f>
        <v>70.873082076574249</v>
      </c>
      <c r="Y653" s="54">
        <f ca="1">H653*MCDA_Prioritisation!$D$2+I653*MCDA_Prioritisation!$E$2+J653*M653+K653*Q653+L653*U653</f>
        <v>87.294207170716305</v>
      </c>
      <c r="Z653" s="54">
        <f ca="1">H653*MCDA_Prioritisation!$D$3+I653*MCDA_Prioritisation!$E$3+J653*N653+K653*R653+L653*V653</f>
        <v>80.965003194752057</v>
      </c>
      <c r="AA653" s="54">
        <f ca="1">H653*MCDA_Prioritisation!$D$4+I653*MCDA_Prioritisation!$E$4+J653*O653+K653*S653+L653*W653</f>
        <v>72.154054672434455</v>
      </c>
      <c r="AB653" s="54">
        <f ca="1">H653*MCDA_Prioritisation!$D$5+I653*MCDA_Prioritisation!$E$5+J653*P653+K653*T653+L653*X653</f>
        <v>73.910656710093036</v>
      </c>
      <c r="AC653" s="54">
        <f t="shared" ca="1" si="132"/>
        <v>1</v>
      </c>
      <c r="AD653" s="54">
        <f t="shared" ca="1" si="133"/>
        <v>2</v>
      </c>
      <c r="AE653" s="54">
        <f t="shared" ca="1" si="134"/>
        <v>4</v>
      </c>
      <c r="AF653" s="54">
        <f t="shared" ca="1" si="135"/>
        <v>3</v>
      </c>
      <c r="AG653" s="54">
        <f t="shared" ca="1" si="136"/>
        <v>1</v>
      </c>
      <c r="AH653" s="54">
        <f t="shared" ca="1" si="137"/>
        <v>1</v>
      </c>
      <c r="AI653" s="54">
        <f t="shared" ca="1" si="138"/>
        <v>0</v>
      </c>
      <c r="AJ653" s="54">
        <f t="shared" ca="1" si="139"/>
        <v>1</v>
      </c>
    </row>
    <row r="654" spans="1:36" x14ac:dyDescent="0.2">
      <c r="A654" s="54">
        <v>631</v>
      </c>
      <c r="B654" s="54">
        <f ca="1">MAX(0.02,MCDA_Prioritisation!$B$9+(RAND()-0.5)*2*$B$6)</f>
        <v>0.24999852589507199</v>
      </c>
      <c r="C654" s="54">
        <f ca="1">MAX(0.02,MCDA_Prioritisation!$B$10+(RAND()-0.5)*2*$B$6)</f>
        <v>0.21853529240934999</v>
      </c>
      <c r="D654" s="54">
        <f ca="1">MAX(0.02,MCDA_Prioritisation!$B$11+(RAND()-0.5)*2*$B$6)</f>
        <v>0.29615880307447301</v>
      </c>
      <c r="E654" s="54">
        <f ca="1">MAX(0.02,MCDA_Prioritisation!$B$12+(RAND()-0.5)*2*$B$6)</f>
        <v>0.15247364940661687</v>
      </c>
      <c r="F654" s="54">
        <f ca="1">MAX(0.02,MCDA_Prioritisation!$B$13+(RAND()-0.5)*2*$B$6)</f>
        <v>0.10683785858130268</v>
      </c>
      <c r="G654" s="54">
        <f t="shared" ca="1" si="126"/>
        <v>1.0240041293668145</v>
      </c>
      <c r="H654" s="54">
        <f t="shared" ca="1" si="127"/>
        <v>0.24413820093641297</v>
      </c>
      <c r="I654" s="54">
        <f t="shared" ca="1" si="128"/>
        <v>0.21341251088946261</v>
      </c>
      <c r="J654" s="54">
        <f t="shared" ca="1" si="129"/>
        <v>0.2892164148377025</v>
      </c>
      <c r="K654" s="54">
        <f t="shared" ca="1" si="130"/>
        <v>0.14889944779900238</v>
      </c>
      <c r="L654" s="54">
        <f t="shared" ca="1" si="131"/>
        <v>0.10433342553741955</v>
      </c>
      <c r="M654" s="54">
        <f ca="1">MIN(100,MAX(0,MCDA_Prioritisation!$F$2+(RAND()-0.5)*2*$B$7))</f>
        <v>79.348230206980332</v>
      </c>
      <c r="N654" s="54">
        <f ca="1">MIN(100,MAX(0,MCDA_Prioritisation!$F$3+(RAND()-0.5)*2*$B$7))</f>
        <v>87.451364761041589</v>
      </c>
      <c r="O654" s="54">
        <f ca="1">MIN(100,MAX(0,MCDA_Prioritisation!$F$4+(RAND()-0.5)*2*$B$7))</f>
        <v>98.091845198035372</v>
      </c>
      <c r="P654" s="54">
        <f ca="1">MIN(100,MAX(0,MCDA_Prioritisation!$F$5+(RAND()-0.5)*2*$B$7))</f>
        <v>74.975501843751275</v>
      </c>
      <c r="Q654" s="54">
        <f ca="1">MIN(100,MAX(0,MCDA_Prioritisation!$G$2+(RAND()-0.5)*2*$B$7))</f>
        <v>89.913974295562426</v>
      </c>
      <c r="R654" s="54">
        <f ca="1">MIN(100,MAX(0,MCDA_Prioritisation!$G$3+(RAND()-0.5)*2*$B$7))</f>
        <v>86.428743044670711</v>
      </c>
      <c r="S654" s="54">
        <f ca="1">MIN(100,MAX(0,MCDA_Prioritisation!$G$4+(RAND()-0.5)*2*$B$7))</f>
        <v>94.203523722501743</v>
      </c>
      <c r="T654" s="54">
        <f ca="1">MIN(100,MAX(0,MCDA_Prioritisation!$G$5+(RAND()-0.5)*2*$B$7))</f>
        <v>68.384796386173775</v>
      </c>
      <c r="U654" s="54">
        <f ca="1">MIN(100,MAX(0,MCDA_Prioritisation!$H$2+(RAND()-0.5)*2*$B$7))</f>
        <v>64.743426071957572</v>
      </c>
      <c r="V654" s="54">
        <f ca="1">MIN(100,MAX(0,MCDA_Prioritisation!$H$3+(RAND()-0.5)*2*$B$7))</f>
        <v>62.691700098424114</v>
      </c>
      <c r="W654" s="54">
        <f ca="1">MIN(100,MAX(0,MCDA_Prioritisation!$H$4+(RAND()-0.5)*2*$B$7))</f>
        <v>76.990529210976163</v>
      </c>
      <c r="X654" s="54">
        <f ca="1">MIN(100,MAX(0,MCDA_Prioritisation!$H$5+(RAND()-0.5)*2*$B$7))</f>
        <v>83.161386578724816</v>
      </c>
      <c r="Y654" s="54">
        <f ca="1">H654*MCDA_Prioritisation!$D$2+I654*MCDA_Prioritisation!$E$2+J654*M654+K654*Q654+L654*U654</f>
        <v>88.846926391906067</v>
      </c>
      <c r="Z654" s="54">
        <f ca="1">H654*MCDA_Prioritisation!$D$3+I654*MCDA_Prioritisation!$E$3+J654*N654+K654*R654+L654*V654</f>
        <v>81.560219113522507</v>
      </c>
      <c r="AA654" s="54">
        <f ca="1">H654*MCDA_Prioritisation!$D$4+I654*MCDA_Prioritisation!$E$4+J654*O654+K654*S654+L654*W654</f>
        <v>79.070341636899443</v>
      </c>
      <c r="AB654" s="54">
        <f ca="1">H654*MCDA_Prioritisation!$D$5+I654*MCDA_Prioritisation!$E$5+J654*P654+K654*T654+L654*X654</f>
        <v>71.447020904127996</v>
      </c>
      <c r="AC654" s="54">
        <f t="shared" ca="1" si="132"/>
        <v>1</v>
      </c>
      <c r="AD654" s="54">
        <f t="shared" ca="1" si="133"/>
        <v>2</v>
      </c>
      <c r="AE654" s="54">
        <f t="shared" ca="1" si="134"/>
        <v>3</v>
      </c>
      <c r="AF654" s="54">
        <f t="shared" ca="1" si="135"/>
        <v>4</v>
      </c>
      <c r="AG654" s="54">
        <f t="shared" ca="1" si="136"/>
        <v>1</v>
      </c>
      <c r="AH654" s="54">
        <f t="shared" ca="1" si="137"/>
        <v>1</v>
      </c>
      <c r="AI654" s="54">
        <f t="shared" ca="1" si="138"/>
        <v>1</v>
      </c>
      <c r="AJ654" s="54">
        <f t="shared" ca="1" si="139"/>
        <v>1</v>
      </c>
    </row>
    <row r="655" spans="1:36" x14ac:dyDescent="0.2">
      <c r="A655" s="54">
        <v>632</v>
      </c>
      <c r="B655" s="54">
        <f ca="1">MAX(0.02,MCDA_Prioritisation!$B$9+(RAND()-0.5)*2*$B$6)</f>
        <v>0.12064171552969316</v>
      </c>
      <c r="C655" s="54">
        <f ca="1">MAX(0.02,MCDA_Prioritisation!$B$10+(RAND()-0.5)*2*$B$6)</f>
        <v>0.28699523470076582</v>
      </c>
      <c r="D655" s="54">
        <f ca="1">MAX(0.02,MCDA_Prioritisation!$B$11+(RAND()-0.5)*2*$B$6)</f>
        <v>0.26240389172051021</v>
      </c>
      <c r="E655" s="54">
        <f ca="1">MAX(0.02,MCDA_Prioritisation!$B$12+(RAND()-0.5)*2*$B$6)</f>
        <v>8.9567275609661851E-2</v>
      </c>
      <c r="F655" s="54">
        <f ca="1">MAX(0.02,MCDA_Prioritisation!$B$13+(RAND()-0.5)*2*$B$6)</f>
        <v>0.10061115501360179</v>
      </c>
      <c r="G655" s="54">
        <f t="shared" ca="1" si="126"/>
        <v>0.86021927257423281</v>
      </c>
      <c r="H655" s="54">
        <f t="shared" ca="1" si="127"/>
        <v>0.14024530648873873</v>
      </c>
      <c r="I655" s="54">
        <f t="shared" ca="1" si="128"/>
        <v>0.33363032409390653</v>
      </c>
      <c r="J655" s="54">
        <f t="shared" ca="1" si="129"/>
        <v>0.30504302808196615</v>
      </c>
      <c r="K655" s="54">
        <f t="shared" ca="1" si="130"/>
        <v>0.10412144724638522</v>
      </c>
      <c r="L655" s="54">
        <f t="shared" ca="1" si="131"/>
        <v>0.11695989408900337</v>
      </c>
      <c r="M655" s="54">
        <f ca="1">MIN(100,MAX(0,MCDA_Prioritisation!$F$2+(RAND()-0.5)*2*$B$7))</f>
        <v>89.737545529103159</v>
      </c>
      <c r="N655" s="54">
        <f ca="1">MIN(100,MAX(0,MCDA_Prioritisation!$F$3+(RAND()-0.5)*2*$B$7))</f>
        <v>95.896244067897214</v>
      </c>
      <c r="O655" s="54">
        <f ca="1">MIN(100,MAX(0,MCDA_Prioritisation!$F$4+(RAND()-0.5)*2*$B$7))</f>
        <v>86.981785554213275</v>
      </c>
      <c r="P655" s="54">
        <f ca="1">MIN(100,MAX(0,MCDA_Prioritisation!$F$5+(RAND()-0.5)*2*$B$7))</f>
        <v>78.152084685677835</v>
      </c>
      <c r="Q655" s="54">
        <f ca="1">MIN(100,MAX(0,MCDA_Prioritisation!$G$2+(RAND()-0.5)*2*$B$7))</f>
        <v>86.602860851068556</v>
      </c>
      <c r="R655" s="54">
        <f ca="1">MIN(100,MAX(0,MCDA_Prioritisation!$G$3+(RAND()-0.5)*2*$B$7))</f>
        <v>99.935633223597918</v>
      </c>
      <c r="S655" s="54">
        <f ca="1">MIN(100,MAX(0,MCDA_Prioritisation!$G$4+(RAND()-0.5)*2*$B$7))</f>
        <v>79.768294708687733</v>
      </c>
      <c r="T655" s="54">
        <f ca="1">MIN(100,MAX(0,MCDA_Prioritisation!$G$5+(RAND()-0.5)*2*$B$7))</f>
        <v>66.85613529028133</v>
      </c>
      <c r="U655" s="54">
        <f ca="1">MIN(100,MAX(0,MCDA_Prioritisation!$H$2+(RAND()-0.5)*2*$B$7))</f>
        <v>73.130802427899255</v>
      </c>
      <c r="V655" s="54">
        <f ca="1">MIN(100,MAX(0,MCDA_Prioritisation!$H$3+(RAND()-0.5)*2*$B$7))</f>
        <v>67.064073699160929</v>
      </c>
      <c r="W655" s="54">
        <f ca="1">MIN(100,MAX(0,MCDA_Prioritisation!$H$4+(RAND()-0.5)*2*$B$7))</f>
        <v>72.447936450971696</v>
      </c>
      <c r="X655" s="54">
        <f ca="1">MIN(100,MAX(0,MCDA_Prioritisation!$H$5+(RAND()-0.5)*2*$B$7))</f>
        <v>70.303005608638713</v>
      </c>
      <c r="Y655" s="54">
        <f ca="1">H655*MCDA_Prioritisation!$D$2+I655*MCDA_Prioritisation!$E$2+J655*M655+K655*Q655+L655*U655</f>
        <v>92.331961793206958</v>
      </c>
      <c r="Z655" s="54">
        <f ca="1">H655*MCDA_Prioritisation!$D$3+I655*MCDA_Prioritisation!$E$3+J655*N655+K655*R655+L655*V655</f>
        <v>84.022750470539421</v>
      </c>
      <c r="AA655" s="54">
        <f ca="1">H655*MCDA_Prioritisation!$D$4+I655*MCDA_Prioritisation!$E$4+J655*O655+K655*S655+L655*W655</f>
        <v>71.276156892732033</v>
      </c>
      <c r="AB655" s="54">
        <f ca="1">H655*MCDA_Prioritisation!$D$5+I655*MCDA_Prioritisation!$E$5+J655*P655+K655*T655+L655*X655</f>
        <v>74.52245990586465</v>
      </c>
      <c r="AC655" s="54">
        <f t="shared" ca="1" si="132"/>
        <v>1</v>
      </c>
      <c r="AD655" s="54">
        <f t="shared" ca="1" si="133"/>
        <v>2</v>
      </c>
      <c r="AE655" s="54">
        <f t="shared" ca="1" si="134"/>
        <v>4</v>
      </c>
      <c r="AF655" s="54">
        <f t="shared" ca="1" si="135"/>
        <v>3</v>
      </c>
      <c r="AG655" s="54">
        <f t="shared" ca="1" si="136"/>
        <v>1</v>
      </c>
      <c r="AH655" s="54">
        <f t="shared" ca="1" si="137"/>
        <v>1</v>
      </c>
      <c r="AI655" s="54">
        <f t="shared" ca="1" si="138"/>
        <v>0</v>
      </c>
      <c r="AJ655" s="54">
        <f t="shared" ca="1" si="139"/>
        <v>1</v>
      </c>
    </row>
    <row r="656" spans="1:36" x14ac:dyDescent="0.2">
      <c r="A656" s="54">
        <v>633</v>
      </c>
      <c r="B656" s="54">
        <f ca="1">MAX(0.02,MCDA_Prioritisation!$B$9+(RAND()-0.5)*2*$B$6)</f>
        <v>0.24804874534244264</v>
      </c>
      <c r="C656" s="54">
        <f ca="1">MAX(0.02,MCDA_Prioritisation!$B$10+(RAND()-0.5)*2*$B$6)</f>
        <v>0.1734586884119016</v>
      </c>
      <c r="D656" s="54">
        <f ca="1">MAX(0.02,MCDA_Prioritisation!$B$11+(RAND()-0.5)*2*$B$6)</f>
        <v>0.2508180084930271</v>
      </c>
      <c r="E656" s="54">
        <f ca="1">MAX(0.02,MCDA_Prioritisation!$B$12+(RAND()-0.5)*2*$B$6)</f>
        <v>0.14944044286701638</v>
      </c>
      <c r="F656" s="54">
        <f ca="1">MAX(0.02,MCDA_Prioritisation!$B$13+(RAND()-0.5)*2*$B$6)</f>
        <v>0.16177073454436977</v>
      </c>
      <c r="G656" s="54">
        <f t="shared" ca="1" si="126"/>
        <v>0.98353661965875749</v>
      </c>
      <c r="H656" s="54">
        <f t="shared" ca="1" si="127"/>
        <v>0.2522008234207937</v>
      </c>
      <c r="I656" s="54">
        <f t="shared" ca="1" si="128"/>
        <v>0.17636220649525372</v>
      </c>
      <c r="J656" s="54">
        <f t="shared" ca="1" si="129"/>
        <v>0.25501644115706595</v>
      </c>
      <c r="K656" s="54">
        <f t="shared" ca="1" si="130"/>
        <v>0.15194192049388605</v>
      </c>
      <c r="L656" s="54">
        <f t="shared" ca="1" si="131"/>
        <v>0.16447860843300055</v>
      </c>
      <c r="M656" s="54">
        <f ca="1">MIN(100,MAX(0,MCDA_Prioritisation!$F$2+(RAND()-0.5)*2*$B$7))</f>
        <v>79.323901126278784</v>
      </c>
      <c r="N656" s="54">
        <f ca="1">MIN(100,MAX(0,MCDA_Prioritisation!$F$3+(RAND()-0.5)*2*$B$7))</f>
        <v>87.199833303979347</v>
      </c>
      <c r="O656" s="54">
        <f ca="1">MIN(100,MAX(0,MCDA_Prioritisation!$F$4+(RAND()-0.5)*2*$B$7))</f>
        <v>88.945354551613562</v>
      </c>
      <c r="P656" s="54">
        <f ca="1">MIN(100,MAX(0,MCDA_Prioritisation!$F$5+(RAND()-0.5)*2*$B$7))</f>
        <v>68.071600954921763</v>
      </c>
      <c r="Q656" s="54">
        <f ca="1">MIN(100,MAX(0,MCDA_Prioritisation!$G$2+(RAND()-0.5)*2*$B$7))</f>
        <v>75.409428755208495</v>
      </c>
      <c r="R656" s="54">
        <f ca="1">MIN(100,MAX(0,MCDA_Prioritisation!$G$3+(RAND()-0.5)*2*$B$7))</f>
        <v>86.986262000732452</v>
      </c>
      <c r="S656" s="54">
        <f ca="1">MIN(100,MAX(0,MCDA_Prioritisation!$G$4+(RAND()-0.5)*2*$B$7))</f>
        <v>84.287266974915397</v>
      </c>
      <c r="T656" s="54">
        <f ca="1">MIN(100,MAX(0,MCDA_Prioritisation!$G$5+(RAND()-0.5)*2*$B$7))</f>
        <v>71.930376584566474</v>
      </c>
      <c r="U656" s="54">
        <f ca="1">MIN(100,MAX(0,MCDA_Prioritisation!$H$2+(RAND()-0.5)*2*$B$7))</f>
        <v>55.367724618318086</v>
      </c>
      <c r="V656" s="54">
        <f ca="1">MIN(100,MAX(0,MCDA_Prioritisation!$H$3+(RAND()-0.5)*2*$B$7))</f>
        <v>54.591135653050905</v>
      </c>
      <c r="W656" s="54">
        <f ca="1">MIN(100,MAX(0,MCDA_Prioritisation!$H$4+(RAND()-0.5)*2*$B$7))</f>
        <v>77.785680174265011</v>
      </c>
      <c r="X656" s="54">
        <f ca="1">MIN(100,MAX(0,MCDA_Prioritisation!$H$5+(RAND()-0.5)*2*$B$7))</f>
        <v>72.353550387401256</v>
      </c>
      <c r="Y656" s="54">
        <f ca="1">H656*MCDA_Prioritisation!$D$2+I656*MCDA_Prioritisation!$E$2+J656*M656+K656*Q656+L656*U656</f>
        <v>83.649861681259139</v>
      </c>
      <c r="Z656" s="54">
        <f ca="1">H656*MCDA_Prioritisation!$D$3+I656*MCDA_Prioritisation!$E$3+J656*N656+K656*R656+L656*V656</f>
        <v>79.301222004935184</v>
      </c>
      <c r="AA656" s="54">
        <f ca="1">H656*MCDA_Prioritisation!$D$4+I656*MCDA_Prioritisation!$E$4+J656*O656+K656*S656+L656*W656</f>
        <v>75.464916896666381</v>
      </c>
      <c r="AB656" s="54">
        <f ca="1">H656*MCDA_Prioritisation!$D$5+I656*MCDA_Prioritisation!$E$5+J656*P656+K656*T656+L656*X656</f>
        <v>68.405469652726751</v>
      </c>
      <c r="AC656" s="54">
        <f t="shared" ca="1" si="132"/>
        <v>1</v>
      </c>
      <c r="AD656" s="54">
        <f t="shared" ca="1" si="133"/>
        <v>2</v>
      </c>
      <c r="AE656" s="54">
        <f t="shared" ca="1" si="134"/>
        <v>3</v>
      </c>
      <c r="AF656" s="54">
        <f t="shared" ca="1" si="135"/>
        <v>4</v>
      </c>
      <c r="AG656" s="54">
        <f t="shared" ca="1" si="136"/>
        <v>1</v>
      </c>
      <c r="AH656" s="54">
        <f t="shared" ca="1" si="137"/>
        <v>1</v>
      </c>
      <c r="AI656" s="54">
        <f t="shared" ca="1" si="138"/>
        <v>1</v>
      </c>
      <c r="AJ656" s="54">
        <f t="shared" ca="1" si="139"/>
        <v>1</v>
      </c>
    </row>
    <row r="657" spans="1:36" x14ac:dyDescent="0.2">
      <c r="A657" s="54">
        <v>634</v>
      </c>
      <c r="B657" s="54">
        <f ca="1">MAX(0.02,MCDA_Prioritisation!$B$9+(RAND()-0.5)*2*$B$6)</f>
        <v>0.17437629596715495</v>
      </c>
      <c r="C657" s="54">
        <f ca="1">MAX(0.02,MCDA_Prioritisation!$B$10+(RAND()-0.5)*2*$B$6)</f>
        <v>0.17284665344982836</v>
      </c>
      <c r="D657" s="54">
        <f ca="1">MAX(0.02,MCDA_Prioritisation!$B$11+(RAND()-0.5)*2*$B$6)</f>
        <v>0.2677723671849197</v>
      </c>
      <c r="E657" s="54">
        <f ca="1">MAX(0.02,MCDA_Prioritisation!$B$12+(RAND()-0.5)*2*$B$6)</f>
        <v>0.20768807669423048</v>
      </c>
      <c r="F657" s="54">
        <f ca="1">MAX(0.02,MCDA_Prioritisation!$B$13+(RAND()-0.5)*2*$B$6)</f>
        <v>0.21562696626945671</v>
      </c>
      <c r="G657" s="54">
        <f t="shared" ca="1" si="126"/>
        <v>1.0383103595655903</v>
      </c>
      <c r="H657" s="54">
        <f t="shared" ca="1" si="127"/>
        <v>0.16794236363018736</v>
      </c>
      <c r="I657" s="54">
        <f t="shared" ca="1" si="128"/>
        <v>0.16646916007092927</v>
      </c>
      <c r="J657" s="54">
        <f t="shared" ca="1" si="129"/>
        <v>0.25789241599876811</v>
      </c>
      <c r="K657" s="54">
        <f t="shared" ca="1" si="130"/>
        <v>0.20002504528715606</v>
      </c>
      <c r="L657" s="54">
        <f t="shared" ca="1" si="131"/>
        <v>0.20767101501295915</v>
      </c>
      <c r="M657" s="54">
        <f ca="1">MIN(100,MAX(0,MCDA_Prioritisation!$F$2+(RAND()-0.5)*2*$B$7))</f>
        <v>86.563721934571063</v>
      </c>
      <c r="N657" s="54">
        <f ca="1">MIN(100,MAX(0,MCDA_Prioritisation!$F$3+(RAND()-0.5)*2*$B$7))</f>
        <v>100</v>
      </c>
      <c r="O657" s="54">
        <f ca="1">MIN(100,MAX(0,MCDA_Prioritisation!$F$4+(RAND()-0.5)*2*$B$7))</f>
        <v>85.774497520862568</v>
      </c>
      <c r="P657" s="54">
        <f ca="1">MIN(100,MAX(0,MCDA_Prioritisation!$F$5+(RAND()-0.5)*2*$B$7))</f>
        <v>72.437691145873359</v>
      </c>
      <c r="Q657" s="54">
        <f ca="1">MIN(100,MAX(0,MCDA_Prioritisation!$G$2+(RAND()-0.5)*2*$B$7))</f>
        <v>73.319402699107087</v>
      </c>
      <c r="R657" s="54">
        <f ca="1">MIN(100,MAX(0,MCDA_Prioritisation!$G$3+(RAND()-0.5)*2*$B$7))</f>
        <v>88.953605888680798</v>
      </c>
      <c r="S657" s="54">
        <f ca="1">MIN(100,MAX(0,MCDA_Prioritisation!$G$4+(RAND()-0.5)*2*$B$7))</f>
        <v>78.258726522493518</v>
      </c>
      <c r="T657" s="54">
        <f ca="1">MIN(100,MAX(0,MCDA_Prioritisation!$G$5+(RAND()-0.5)*2*$B$7))</f>
        <v>78.042610688985462</v>
      </c>
      <c r="U657" s="54">
        <f ca="1">MIN(100,MAX(0,MCDA_Prioritisation!$H$2+(RAND()-0.5)*2*$B$7))</f>
        <v>64.430505879247107</v>
      </c>
      <c r="V657" s="54">
        <f ca="1">MIN(100,MAX(0,MCDA_Prioritisation!$H$3+(RAND()-0.5)*2*$B$7))</f>
        <v>61.716358333718361</v>
      </c>
      <c r="W657" s="54">
        <f ca="1">MIN(100,MAX(0,MCDA_Prioritisation!$H$4+(RAND()-0.5)*2*$B$7))</f>
        <v>82.023577534650713</v>
      </c>
      <c r="X657" s="54">
        <f ca="1">MIN(100,MAX(0,MCDA_Prioritisation!$H$5+(RAND()-0.5)*2*$B$7))</f>
        <v>71.920063329558147</v>
      </c>
      <c r="Y657" s="54">
        <f ca="1">H657*MCDA_Prioritisation!$D$2+I657*MCDA_Prioritisation!$E$2+J657*M657+K657*Q657+L657*U657</f>
        <v>83.811345156721572</v>
      </c>
      <c r="Z657" s="54">
        <f ca="1">H657*MCDA_Prioritisation!$D$3+I657*MCDA_Prioritisation!$E$3+J657*N657+K657*R657+L657*V657</f>
        <v>83.183369188565067</v>
      </c>
      <c r="AA657" s="54">
        <f ca="1">H657*MCDA_Prioritisation!$D$4+I657*MCDA_Prioritisation!$E$4+J657*O657+K657*S657+L657*W657</f>
        <v>75.582872256121931</v>
      </c>
      <c r="AB657" s="54">
        <f ca="1">H657*MCDA_Prioritisation!$D$5+I657*MCDA_Prioritisation!$E$5+J657*P657+K657*T657+L657*X657</f>
        <v>72.139553862239794</v>
      </c>
      <c r="AC657" s="54">
        <f t="shared" ca="1" si="132"/>
        <v>1</v>
      </c>
      <c r="AD657" s="54">
        <f t="shared" ca="1" si="133"/>
        <v>2</v>
      </c>
      <c r="AE657" s="54">
        <f t="shared" ca="1" si="134"/>
        <v>3</v>
      </c>
      <c r="AF657" s="54">
        <f t="shared" ca="1" si="135"/>
        <v>4</v>
      </c>
      <c r="AG657" s="54">
        <f t="shared" ca="1" si="136"/>
        <v>1</v>
      </c>
      <c r="AH657" s="54">
        <f t="shared" ca="1" si="137"/>
        <v>1</v>
      </c>
      <c r="AI657" s="54">
        <f t="shared" ca="1" si="138"/>
        <v>1</v>
      </c>
      <c r="AJ657" s="54">
        <f t="shared" ca="1" si="139"/>
        <v>1</v>
      </c>
    </row>
    <row r="658" spans="1:36" x14ac:dyDescent="0.2">
      <c r="A658" s="54">
        <v>635</v>
      </c>
      <c r="B658" s="54">
        <f ca="1">MAX(0.02,MCDA_Prioritisation!$B$9+(RAND()-0.5)*2*$B$6)</f>
        <v>0.26357059730870869</v>
      </c>
      <c r="C658" s="54">
        <f ca="1">MAX(0.02,MCDA_Prioritisation!$B$10+(RAND()-0.5)*2*$B$6)</f>
        <v>0.19760066532865486</v>
      </c>
      <c r="D658" s="54">
        <f ca="1">MAX(0.02,MCDA_Prioritisation!$B$11+(RAND()-0.5)*2*$B$6)</f>
        <v>0.1776275428426615</v>
      </c>
      <c r="E658" s="54">
        <f ca="1">MAX(0.02,MCDA_Prioritisation!$B$12+(RAND()-0.5)*2*$B$6)</f>
        <v>0.15203757756092565</v>
      </c>
      <c r="F658" s="54">
        <f ca="1">MAX(0.02,MCDA_Prioritisation!$B$13+(RAND()-0.5)*2*$B$6)</f>
        <v>0.15943076115920832</v>
      </c>
      <c r="G658" s="54">
        <f t="shared" ca="1" si="126"/>
        <v>0.9502671442001589</v>
      </c>
      <c r="H658" s="54">
        <f t="shared" ca="1" si="127"/>
        <v>0.27736473781860194</v>
      </c>
      <c r="I658" s="54">
        <f t="shared" ca="1" si="128"/>
        <v>0.20794222607262255</v>
      </c>
      <c r="J658" s="54">
        <f t="shared" ca="1" si="129"/>
        <v>0.18692379708883952</v>
      </c>
      <c r="K658" s="54">
        <f t="shared" ca="1" si="130"/>
        <v>0.15999456414848046</v>
      </c>
      <c r="L658" s="54">
        <f t="shared" ca="1" si="131"/>
        <v>0.16777467487145564</v>
      </c>
      <c r="M658" s="54">
        <f ca="1">MIN(100,MAX(0,MCDA_Prioritisation!$F$2+(RAND()-0.5)*2*$B$7))</f>
        <v>93.925573420846064</v>
      </c>
      <c r="N658" s="54">
        <f ca="1">MIN(100,MAX(0,MCDA_Prioritisation!$F$3+(RAND()-0.5)*2*$B$7))</f>
        <v>100</v>
      </c>
      <c r="O658" s="54">
        <f ca="1">MIN(100,MAX(0,MCDA_Prioritisation!$F$4+(RAND()-0.5)*2*$B$7))</f>
        <v>98.037017484890484</v>
      </c>
      <c r="P658" s="54">
        <f ca="1">MIN(100,MAX(0,MCDA_Prioritisation!$F$5+(RAND()-0.5)*2*$B$7))</f>
        <v>75.138450240424163</v>
      </c>
      <c r="Q658" s="54">
        <f ca="1">MIN(100,MAX(0,MCDA_Prioritisation!$G$2+(RAND()-0.5)*2*$B$7))</f>
        <v>85.679991692294024</v>
      </c>
      <c r="R658" s="54">
        <f ca="1">MIN(100,MAX(0,MCDA_Prioritisation!$G$3+(RAND()-0.5)*2*$B$7))</f>
        <v>91.258644625803456</v>
      </c>
      <c r="S658" s="54">
        <f ca="1">MIN(100,MAX(0,MCDA_Prioritisation!$G$4+(RAND()-0.5)*2*$B$7))</f>
        <v>87.694247224386714</v>
      </c>
      <c r="T658" s="54">
        <f ca="1">MIN(100,MAX(0,MCDA_Prioritisation!$G$5+(RAND()-0.5)*2*$B$7))</f>
        <v>73.02043743652851</v>
      </c>
      <c r="U658" s="54">
        <f ca="1">MIN(100,MAX(0,MCDA_Prioritisation!$H$2+(RAND()-0.5)*2*$B$7))</f>
        <v>56.540304515604689</v>
      </c>
      <c r="V658" s="54">
        <f ca="1">MIN(100,MAX(0,MCDA_Prioritisation!$H$3+(RAND()-0.5)*2*$B$7))</f>
        <v>55.45006636258379</v>
      </c>
      <c r="W658" s="54">
        <f ca="1">MIN(100,MAX(0,MCDA_Prioritisation!$H$4+(RAND()-0.5)*2*$B$7))</f>
        <v>81.885263112919304</v>
      </c>
      <c r="X658" s="54">
        <f ca="1">MIN(100,MAX(0,MCDA_Prioritisation!$H$5+(RAND()-0.5)*2*$B$7))</f>
        <v>84.415442512779066</v>
      </c>
      <c r="Y658" s="54">
        <f ca="1">H658*MCDA_Prioritisation!$D$2+I658*MCDA_Prioritisation!$E$2+J658*M658+K658*Q658+L658*U658</f>
        <v>89.281985350986261</v>
      </c>
      <c r="Z658" s="54">
        <f ca="1">H658*MCDA_Prioritisation!$D$3+I658*MCDA_Prioritisation!$E$3+J658*N658+K658*R658+L658*V658</f>
        <v>81.96025603076427</v>
      </c>
      <c r="AA658" s="54">
        <f ca="1">H658*MCDA_Prioritisation!$D$4+I658*MCDA_Prioritisation!$E$4+J658*O658+K658*S658+L658*W658</f>
        <v>76.75068088756538</v>
      </c>
      <c r="AB658" s="54">
        <f ca="1">H658*MCDA_Prioritisation!$D$5+I658*MCDA_Prioritisation!$E$5+J658*P658+K658*T658+L658*X658</f>
        <v>72.098242003369663</v>
      </c>
      <c r="AC658" s="54">
        <f t="shared" ca="1" si="132"/>
        <v>1</v>
      </c>
      <c r="AD658" s="54">
        <f t="shared" ca="1" si="133"/>
        <v>2</v>
      </c>
      <c r="AE658" s="54">
        <f t="shared" ca="1" si="134"/>
        <v>3</v>
      </c>
      <c r="AF658" s="54">
        <f t="shared" ca="1" si="135"/>
        <v>4</v>
      </c>
      <c r="AG658" s="54">
        <f t="shared" ca="1" si="136"/>
        <v>1</v>
      </c>
      <c r="AH658" s="54">
        <f t="shared" ca="1" si="137"/>
        <v>1</v>
      </c>
      <c r="AI658" s="54">
        <f t="shared" ca="1" si="138"/>
        <v>1</v>
      </c>
      <c r="AJ658" s="54">
        <f t="shared" ca="1" si="139"/>
        <v>1</v>
      </c>
    </row>
    <row r="659" spans="1:36" x14ac:dyDescent="0.2">
      <c r="A659" s="54">
        <v>636</v>
      </c>
      <c r="B659" s="54">
        <f ca="1">MAX(0.02,MCDA_Prioritisation!$B$9+(RAND()-0.5)*2*$B$6)</f>
        <v>0.20851013454971287</v>
      </c>
      <c r="C659" s="54">
        <f ca="1">MAX(0.02,MCDA_Prioritisation!$B$10+(RAND()-0.5)*2*$B$6)</f>
        <v>0.22874348316287871</v>
      </c>
      <c r="D659" s="54">
        <f ca="1">MAX(0.02,MCDA_Prioritisation!$B$11+(RAND()-0.5)*2*$B$6)</f>
        <v>0.18007822866878775</v>
      </c>
      <c r="E659" s="54">
        <f ca="1">MAX(0.02,MCDA_Prioritisation!$B$12+(RAND()-0.5)*2*$B$6)</f>
        <v>0.11749416505141611</v>
      </c>
      <c r="F659" s="54">
        <f ca="1">MAX(0.02,MCDA_Prioritisation!$B$13+(RAND()-0.5)*2*$B$6)</f>
        <v>0.16120745520531288</v>
      </c>
      <c r="G659" s="54">
        <f t="shared" ca="1" si="126"/>
        <v>0.89603346663810823</v>
      </c>
      <c r="H659" s="54">
        <f t="shared" ca="1" si="127"/>
        <v>0.23270351199273492</v>
      </c>
      <c r="I659" s="54">
        <f t="shared" ca="1" si="128"/>
        <v>0.25528453085699765</v>
      </c>
      <c r="J659" s="54">
        <f t="shared" ca="1" si="129"/>
        <v>0.2009726593633116</v>
      </c>
      <c r="K659" s="54">
        <f t="shared" ca="1" si="130"/>
        <v>0.13112698289300603</v>
      </c>
      <c r="L659" s="54">
        <f t="shared" ca="1" si="131"/>
        <v>0.1799123148939499</v>
      </c>
      <c r="M659" s="54">
        <f ca="1">MIN(100,MAX(0,MCDA_Prioritisation!$F$2+(RAND()-0.5)*2*$B$7))</f>
        <v>92.250841285831612</v>
      </c>
      <c r="N659" s="54">
        <f ca="1">MIN(100,MAX(0,MCDA_Prioritisation!$F$3+(RAND()-0.5)*2*$B$7))</f>
        <v>99.292340353209227</v>
      </c>
      <c r="O659" s="54">
        <f ca="1">MIN(100,MAX(0,MCDA_Prioritisation!$F$4+(RAND()-0.5)*2*$B$7))</f>
        <v>86.984179761567987</v>
      </c>
      <c r="P659" s="54">
        <f ca="1">MIN(100,MAX(0,MCDA_Prioritisation!$F$5+(RAND()-0.5)*2*$B$7))</f>
        <v>78.007414320471113</v>
      </c>
      <c r="Q659" s="54">
        <f ca="1">MIN(100,MAX(0,MCDA_Prioritisation!$G$2+(RAND()-0.5)*2*$B$7))</f>
        <v>86.064710819031234</v>
      </c>
      <c r="R659" s="54">
        <f ca="1">MIN(100,MAX(0,MCDA_Prioritisation!$G$3+(RAND()-0.5)*2*$B$7))</f>
        <v>85.74332677514964</v>
      </c>
      <c r="S659" s="54">
        <f ca="1">MIN(100,MAX(0,MCDA_Prioritisation!$G$4+(RAND()-0.5)*2*$B$7))</f>
        <v>90.095768037979923</v>
      </c>
      <c r="T659" s="54">
        <f ca="1">MIN(100,MAX(0,MCDA_Prioritisation!$G$5+(RAND()-0.5)*2*$B$7))</f>
        <v>60.997176008305324</v>
      </c>
      <c r="U659" s="54">
        <f ca="1">MIN(100,MAX(0,MCDA_Prioritisation!$H$2+(RAND()-0.5)*2*$B$7))</f>
        <v>64.869637864303826</v>
      </c>
      <c r="V659" s="54">
        <f ca="1">MIN(100,MAX(0,MCDA_Prioritisation!$H$3+(RAND()-0.5)*2*$B$7))</f>
        <v>50.973564966320446</v>
      </c>
      <c r="W659" s="54">
        <f ca="1">MIN(100,MAX(0,MCDA_Prioritisation!$H$4+(RAND()-0.5)*2*$B$7))</f>
        <v>78.064645904109668</v>
      </c>
      <c r="X659" s="54">
        <f ca="1">MIN(100,MAX(0,MCDA_Prioritisation!$H$5+(RAND()-0.5)*2*$B$7))</f>
        <v>81.385732415620282</v>
      </c>
      <c r="Y659" s="54">
        <f ca="1">H659*MCDA_Prioritisation!$D$2+I659*MCDA_Prioritisation!$E$2+J659*M659+K659*Q659+L659*U659</f>
        <v>90.294953764447357</v>
      </c>
      <c r="Z659" s="54">
        <f ca="1">H659*MCDA_Prioritisation!$D$3+I659*MCDA_Prioritisation!$E$3+J659*N659+K659*R659+L659*V659</f>
        <v>79.272780641459775</v>
      </c>
      <c r="AA659" s="54">
        <f ca="1">H659*MCDA_Prioritisation!$D$4+I659*MCDA_Prioritisation!$E$4+J659*O659+K659*S659+L659*W659</f>
        <v>73.468934697637252</v>
      </c>
      <c r="AB659" s="54">
        <f ca="1">H659*MCDA_Prioritisation!$D$5+I659*MCDA_Prioritisation!$E$5+J659*P659+K659*T659+L659*X659</f>
        <v>72.136082919530594</v>
      </c>
      <c r="AC659" s="54">
        <f t="shared" ca="1" si="132"/>
        <v>1</v>
      </c>
      <c r="AD659" s="54">
        <f t="shared" ca="1" si="133"/>
        <v>2</v>
      </c>
      <c r="AE659" s="54">
        <f t="shared" ca="1" si="134"/>
        <v>3</v>
      </c>
      <c r="AF659" s="54">
        <f t="shared" ca="1" si="135"/>
        <v>4</v>
      </c>
      <c r="AG659" s="54">
        <f t="shared" ca="1" si="136"/>
        <v>1</v>
      </c>
      <c r="AH659" s="54">
        <f t="shared" ca="1" si="137"/>
        <v>1</v>
      </c>
      <c r="AI659" s="54">
        <f t="shared" ca="1" si="138"/>
        <v>1</v>
      </c>
      <c r="AJ659" s="54">
        <f t="shared" ca="1" si="139"/>
        <v>1</v>
      </c>
    </row>
    <row r="660" spans="1:36" x14ac:dyDescent="0.2">
      <c r="A660" s="54">
        <v>637</v>
      </c>
      <c r="B660" s="54">
        <f ca="1">MAX(0.02,MCDA_Prioritisation!$B$9+(RAND()-0.5)*2*$B$6)</f>
        <v>0.21088938634731547</v>
      </c>
      <c r="C660" s="54">
        <f ca="1">MAX(0.02,MCDA_Prioritisation!$B$10+(RAND()-0.5)*2*$B$6)</f>
        <v>0.26278858813720068</v>
      </c>
      <c r="D660" s="54">
        <f ca="1">MAX(0.02,MCDA_Prioritisation!$B$11+(RAND()-0.5)*2*$B$6)</f>
        <v>0.27219548417655803</v>
      </c>
      <c r="E660" s="54">
        <f ca="1">MAX(0.02,MCDA_Prioritisation!$B$12+(RAND()-0.5)*2*$B$6)</f>
        <v>0.20410772473954561</v>
      </c>
      <c r="F660" s="54">
        <f ca="1">MAX(0.02,MCDA_Prioritisation!$B$13+(RAND()-0.5)*2*$B$6)</f>
        <v>0.12705923736892977</v>
      </c>
      <c r="G660" s="54">
        <f t="shared" ca="1" si="126"/>
        <v>1.0770404207695496</v>
      </c>
      <c r="H660" s="54">
        <f t="shared" ca="1" si="127"/>
        <v>0.19580452347056221</v>
      </c>
      <c r="I660" s="54">
        <f t="shared" ca="1" si="128"/>
        <v>0.24399138887418653</v>
      </c>
      <c r="J660" s="54">
        <f t="shared" ca="1" si="129"/>
        <v>0.25272541208998756</v>
      </c>
      <c r="K660" s="54">
        <f t="shared" ca="1" si="130"/>
        <v>0.189507952351231</v>
      </c>
      <c r="L660" s="54">
        <f t="shared" ca="1" si="131"/>
        <v>0.11797072321403261</v>
      </c>
      <c r="M660" s="54">
        <f ca="1">MIN(100,MAX(0,MCDA_Prioritisation!$F$2+(RAND()-0.5)*2*$B$7))</f>
        <v>92.88586880015319</v>
      </c>
      <c r="N660" s="54">
        <f ca="1">MIN(100,MAX(0,MCDA_Prioritisation!$F$3+(RAND()-0.5)*2*$B$7))</f>
        <v>95.357430785640062</v>
      </c>
      <c r="O660" s="54">
        <f ca="1">MIN(100,MAX(0,MCDA_Prioritisation!$F$4+(RAND()-0.5)*2*$B$7))</f>
        <v>81.693628890340648</v>
      </c>
      <c r="P660" s="54">
        <f ca="1">MIN(100,MAX(0,MCDA_Prioritisation!$F$5+(RAND()-0.5)*2*$B$7))</f>
        <v>81.142766602933378</v>
      </c>
      <c r="Q660" s="54">
        <f ca="1">MIN(100,MAX(0,MCDA_Prioritisation!$G$2+(RAND()-0.5)*2*$B$7))</f>
        <v>80.685779250785686</v>
      </c>
      <c r="R660" s="54">
        <f ca="1">MIN(100,MAX(0,MCDA_Prioritisation!$G$3+(RAND()-0.5)*2*$B$7))</f>
        <v>100</v>
      </c>
      <c r="S660" s="54">
        <f ca="1">MIN(100,MAX(0,MCDA_Prioritisation!$G$4+(RAND()-0.5)*2*$B$7))</f>
        <v>83.779240096531254</v>
      </c>
      <c r="T660" s="54">
        <f ca="1">MIN(100,MAX(0,MCDA_Prioritisation!$G$5+(RAND()-0.5)*2*$B$7))</f>
        <v>67.532657387491625</v>
      </c>
      <c r="U660" s="54">
        <f ca="1">MIN(100,MAX(0,MCDA_Prioritisation!$H$2+(RAND()-0.5)*2*$B$7))</f>
        <v>57.235255060331696</v>
      </c>
      <c r="V660" s="54">
        <f ca="1">MIN(100,MAX(0,MCDA_Prioritisation!$H$3+(RAND()-0.5)*2*$B$7))</f>
        <v>54.628048750746039</v>
      </c>
      <c r="W660" s="54">
        <f ca="1">MIN(100,MAX(0,MCDA_Prioritisation!$H$4+(RAND()-0.5)*2*$B$7))</f>
        <v>71.37143437844054</v>
      </c>
      <c r="X660" s="54">
        <f ca="1">MIN(100,MAX(0,MCDA_Prioritisation!$H$5+(RAND()-0.5)*2*$B$7))</f>
        <v>79.930482869979585</v>
      </c>
      <c r="Y660" s="54">
        <f ca="1">H660*MCDA_Prioritisation!$D$2+I660*MCDA_Prioritisation!$E$2+J660*M660+K660*Q660+L660*U660</f>
        <v>89.496891946816902</v>
      </c>
      <c r="Z660" s="54">
        <f ca="1">H660*MCDA_Prioritisation!$D$3+I660*MCDA_Prioritisation!$E$3+J660*N660+K660*R660+L660*V660</f>
        <v>84.352076391050488</v>
      </c>
      <c r="AA660" s="54">
        <f ca="1">H660*MCDA_Prioritisation!$D$4+I660*MCDA_Prioritisation!$E$4+J660*O660+K660*S660+L660*W660</f>
        <v>71.885925166339845</v>
      </c>
      <c r="AB660" s="54">
        <f ca="1">H660*MCDA_Prioritisation!$D$5+I660*MCDA_Prioritisation!$E$5+J660*P660+K660*T660+L660*X660</f>
        <v>73.644228632332855</v>
      </c>
      <c r="AC660" s="54">
        <f t="shared" ca="1" si="132"/>
        <v>1</v>
      </c>
      <c r="AD660" s="54">
        <f t="shared" ca="1" si="133"/>
        <v>2</v>
      </c>
      <c r="AE660" s="54">
        <f t="shared" ca="1" si="134"/>
        <v>4</v>
      </c>
      <c r="AF660" s="54">
        <f t="shared" ca="1" si="135"/>
        <v>3</v>
      </c>
      <c r="AG660" s="54">
        <f t="shared" ca="1" si="136"/>
        <v>1</v>
      </c>
      <c r="AH660" s="54">
        <f t="shared" ca="1" si="137"/>
        <v>1</v>
      </c>
      <c r="AI660" s="54">
        <f t="shared" ca="1" si="138"/>
        <v>0</v>
      </c>
      <c r="AJ660" s="54">
        <f t="shared" ca="1" si="139"/>
        <v>1</v>
      </c>
    </row>
    <row r="661" spans="1:36" x14ac:dyDescent="0.2">
      <c r="A661" s="54">
        <v>638</v>
      </c>
      <c r="B661" s="54">
        <f ca="1">MAX(0.02,MCDA_Prioritisation!$B$9+(RAND()-0.5)*2*$B$6)</f>
        <v>0.25663652469636777</v>
      </c>
      <c r="C661" s="54">
        <f ca="1">MAX(0.02,MCDA_Prioritisation!$B$10+(RAND()-0.5)*2*$B$6)</f>
        <v>0.30559008236217866</v>
      </c>
      <c r="D661" s="54">
        <f ca="1">MAX(0.02,MCDA_Prioritisation!$B$11+(RAND()-0.5)*2*$B$6)</f>
        <v>0.24273438097721883</v>
      </c>
      <c r="E661" s="54">
        <f ca="1">MAX(0.02,MCDA_Prioritisation!$B$12+(RAND()-0.5)*2*$B$6)</f>
        <v>0.10967725913315191</v>
      </c>
      <c r="F661" s="54">
        <f ca="1">MAX(0.02,MCDA_Prioritisation!$B$13+(RAND()-0.5)*2*$B$6)</f>
        <v>0.15624159120325684</v>
      </c>
      <c r="G661" s="54">
        <f t="shared" ca="1" si="126"/>
        <v>1.070879838372174</v>
      </c>
      <c r="H661" s="54">
        <f t="shared" ca="1" si="127"/>
        <v>0.23965016008376488</v>
      </c>
      <c r="I661" s="54">
        <f t="shared" ca="1" si="128"/>
        <v>0.28536355939495589</v>
      </c>
      <c r="J661" s="54">
        <f t="shared" ca="1" si="129"/>
        <v>0.22666817721229598</v>
      </c>
      <c r="K661" s="54">
        <f t="shared" ca="1" si="130"/>
        <v>0.10241789526999631</v>
      </c>
      <c r="L661" s="54">
        <f t="shared" ca="1" si="131"/>
        <v>0.14590020803898687</v>
      </c>
      <c r="M661" s="54">
        <f ca="1">MIN(100,MAX(0,MCDA_Prioritisation!$F$2+(RAND()-0.5)*2*$B$7))</f>
        <v>87.575786313481771</v>
      </c>
      <c r="N661" s="54">
        <f ca="1">MIN(100,MAX(0,MCDA_Prioritisation!$F$3+(RAND()-0.5)*2*$B$7))</f>
        <v>91.628292177103106</v>
      </c>
      <c r="O661" s="54">
        <f ca="1">MIN(100,MAX(0,MCDA_Prioritisation!$F$4+(RAND()-0.5)*2*$B$7))</f>
        <v>92.850346948033177</v>
      </c>
      <c r="P661" s="54">
        <f ca="1">MIN(100,MAX(0,MCDA_Prioritisation!$F$5+(RAND()-0.5)*2*$B$7))</f>
        <v>74.308668101469507</v>
      </c>
      <c r="Q661" s="54">
        <f ca="1">MIN(100,MAX(0,MCDA_Prioritisation!$G$2+(RAND()-0.5)*2*$B$7))</f>
        <v>86.296632813088763</v>
      </c>
      <c r="R661" s="54">
        <f ca="1">MIN(100,MAX(0,MCDA_Prioritisation!$G$3+(RAND()-0.5)*2*$B$7))</f>
        <v>100</v>
      </c>
      <c r="S661" s="54">
        <f ca="1">MIN(100,MAX(0,MCDA_Prioritisation!$G$4+(RAND()-0.5)*2*$B$7))</f>
        <v>85.474859154854343</v>
      </c>
      <c r="T661" s="54">
        <f ca="1">MIN(100,MAX(0,MCDA_Prioritisation!$G$5+(RAND()-0.5)*2*$B$7))</f>
        <v>75.281194236666309</v>
      </c>
      <c r="U661" s="54">
        <f ca="1">MIN(100,MAX(0,MCDA_Prioritisation!$H$2+(RAND()-0.5)*2*$B$7))</f>
        <v>58.58441664476134</v>
      </c>
      <c r="V661" s="54">
        <f ca="1">MIN(100,MAX(0,MCDA_Prioritisation!$H$3+(RAND()-0.5)*2*$B$7))</f>
        <v>68.475057047002153</v>
      </c>
      <c r="W661" s="54">
        <f ca="1">MIN(100,MAX(0,MCDA_Prioritisation!$H$4+(RAND()-0.5)*2*$B$7))</f>
        <v>75.203568556984337</v>
      </c>
      <c r="X661" s="54">
        <f ca="1">MIN(100,MAX(0,MCDA_Prioritisation!$H$5+(RAND()-0.5)*2*$B$7))</f>
        <v>68.870245988468511</v>
      </c>
      <c r="Y661" s="54">
        <f ca="1">H661*MCDA_Prioritisation!$D$2+I661*MCDA_Prioritisation!$E$2+J661*M661+K661*Q661+L661*U661</f>
        <v>89.737813877400143</v>
      </c>
      <c r="Z661" s="54">
        <f ca="1">H661*MCDA_Prioritisation!$D$3+I661*MCDA_Prioritisation!$E$3+J661*N661+K661*R661+L661*V661</f>
        <v>82.699912494502996</v>
      </c>
      <c r="AA661" s="54">
        <f ca="1">H661*MCDA_Prioritisation!$D$4+I661*MCDA_Prioritisation!$E$4+J661*O661+K661*S661+L661*W661</f>
        <v>73.025703765681286</v>
      </c>
      <c r="AB661" s="54">
        <f ca="1">H661*MCDA_Prioritisation!$D$5+I661*MCDA_Prioritisation!$E$5+J661*P661+K661*T661+L661*X661</f>
        <v>71.317861657510676</v>
      </c>
      <c r="AC661" s="54">
        <f t="shared" ca="1" si="132"/>
        <v>1</v>
      </c>
      <c r="AD661" s="54">
        <f t="shared" ca="1" si="133"/>
        <v>2</v>
      </c>
      <c r="AE661" s="54">
        <f t="shared" ca="1" si="134"/>
        <v>3</v>
      </c>
      <c r="AF661" s="54">
        <f t="shared" ca="1" si="135"/>
        <v>4</v>
      </c>
      <c r="AG661" s="54">
        <f t="shared" ca="1" si="136"/>
        <v>1</v>
      </c>
      <c r="AH661" s="54">
        <f t="shared" ca="1" si="137"/>
        <v>1</v>
      </c>
      <c r="AI661" s="54">
        <f t="shared" ca="1" si="138"/>
        <v>1</v>
      </c>
      <c r="AJ661" s="54">
        <f t="shared" ca="1" si="139"/>
        <v>1</v>
      </c>
    </row>
    <row r="662" spans="1:36" x14ac:dyDescent="0.2">
      <c r="A662" s="54">
        <v>639</v>
      </c>
      <c r="B662" s="54">
        <f ca="1">MAX(0.02,MCDA_Prioritisation!$B$9+(RAND()-0.5)*2*$B$6)</f>
        <v>0.24571362675396505</v>
      </c>
      <c r="C662" s="54">
        <f ca="1">MAX(0.02,MCDA_Prioritisation!$B$10+(RAND()-0.5)*2*$B$6)</f>
        <v>0.31117236095770773</v>
      </c>
      <c r="D662" s="54">
        <f ca="1">MAX(0.02,MCDA_Prioritisation!$B$11+(RAND()-0.5)*2*$B$6)</f>
        <v>0.25096788794412883</v>
      </c>
      <c r="E662" s="54">
        <f ca="1">MAX(0.02,MCDA_Prioritisation!$B$12+(RAND()-0.5)*2*$B$6)</f>
        <v>0.1031888216620683</v>
      </c>
      <c r="F662" s="54">
        <f ca="1">MAX(0.02,MCDA_Prioritisation!$B$13+(RAND()-0.5)*2*$B$6)</f>
        <v>0.19213347964458688</v>
      </c>
      <c r="G662" s="54">
        <f t="shared" ca="1" si="126"/>
        <v>1.1031761769624568</v>
      </c>
      <c r="H662" s="54">
        <f t="shared" ca="1" si="127"/>
        <v>0.22273289786815903</v>
      </c>
      <c r="I662" s="54">
        <f t="shared" ca="1" si="128"/>
        <v>0.28206950753279136</v>
      </c>
      <c r="J662" s="54">
        <f t="shared" ca="1" si="129"/>
        <v>0.2274957465408263</v>
      </c>
      <c r="K662" s="54">
        <f t="shared" ca="1" si="130"/>
        <v>9.3537935115852316E-2</v>
      </c>
      <c r="L662" s="54">
        <f t="shared" ca="1" si="131"/>
        <v>0.17416391294237088</v>
      </c>
      <c r="M662" s="54">
        <f ca="1">MIN(100,MAX(0,MCDA_Prioritisation!$F$2+(RAND()-0.5)*2*$B$7))</f>
        <v>91.940385324748959</v>
      </c>
      <c r="N662" s="54">
        <f ca="1">MIN(100,MAX(0,MCDA_Prioritisation!$F$3+(RAND()-0.5)*2*$B$7))</f>
        <v>99.916326066402405</v>
      </c>
      <c r="O662" s="54">
        <f ca="1">MIN(100,MAX(0,MCDA_Prioritisation!$F$4+(RAND()-0.5)*2*$B$7))</f>
        <v>93.998332727257235</v>
      </c>
      <c r="P662" s="54">
        <f ca="1">MIN(100,MAX(0,MCDA_Prioritisation!$F$5+(RAND()-0.5)*2*$B$7))</f>
        <v>67.854458179252404</v>
      </c>
      <c r="Q662" s="54">
        <f ca="1">MIN(100,MAX(0,MCDA_Prioritisation!$G$2+(RAND()-0.5)*2*$B$7))</f>
        <v>89.439568506998512</v>
      </c>
      <c r="R662" s="54">
        <f ca="1">MIN(100,MAX(0,MCDA_Prioritisation!$G$3+(RAND()-0.5)*2*$B$7))</f>
        <v>91.225832343919734</v>
      </c>
      <c r="S662" s="54">
        <f ca="1">MIN(100,MAX(0,MCDA_Prioritisation!$G$4+(RAND()-0.5)*2*$B$7))</f>
        <v>93.752952181290368</v>
      </c>
      <c r="T662" s="54">
        <f ca="1">MIN(100,MAX(0,MCDA_Prioritisation!$G$5+(RAND()-0.5)*2*$B$7))</f>
        <v>70.078499606057406</v>
      </c>
      <c r="U662" s="54">
        <f ca="1">MIN(100,MAX(0,MCDA_Prioritisation!$H$2+(RAND()-0.5)*2*$B$7))</f>
        <v>72.751570925285236</v>
      </c>
      <c r="V662" s="54">
        <f ca="1">MIN(100,MAX(0,MCDA_Prioritisation!$H$3+(RAND()-0.5)*2*$B$7))</f>
        <v>57.7644477435434</v>
      </c>
      <c r="W662" s="54">
        <f ca="1">MIN(100,MAX(0,MCDA_Prioritisation!$H$4+(RAND()-0.5)*2*$B$7))</f>
        <v>84.989894529834288</v>
      </c>
      <c r="X662" s="54">
        <f ca="1">MIN(100,MAX(0,MCDA_Prioritisation!$H$5+(RAND()-0.5)*2*$B$7))</f>
        <v>81.250603106382428</v>
      </c>
      <c r="Y662" s="54">
        <f ca="1">H662*MCDA_Prioritisation!$D$2+I662*MCDA_Prioritisation!$E$2+J662*M662+K662*Q662+L662*U662</f>
        <v>92.43297795764957</v>
      </c>
      <c r="Z662" s="54">
        <f ca="1">H662*MCDA_Prioritisation!$D$3+I662*MCDA_Prioritisation!$E$3+J662*N662+K662*R662+L662*V662</f>
        <v>81.304394700010107</v>
      </c>
      <c r="AA662" s="54">
        <f ca="1">H662*MCDA_Prioritisation!$D$4+I662*MCDA_Prioritisation!$E$4+J662*O662+K662*S662+L662*W662</f>
        <v>75.851270178887475</v>
      </c>
      <c r="AB662" s="54">
        <f ca="1">H662*MCDA_Prioritisation!$D$5+I662*MCDA_Prioritisation!$E$5+J662*P662+K662*T662+L662*X662</f>
        <v>71.683749796922584</v>
      </c>
      <c r="AC662" s="54">
        <f t="shared" ca="1" si="132"/>
        <v>1</v>
      </c>
      <c r="AD662" s="54">
        <f t="shared" ca="1" si="133"/>
        <v>2</v>
      </c>
      <c r="AE662" s="54">
        <f t="shared" ca="1" si="134"/>
        <v>3</v>
      </c>
      <c r="AF662" s="54">
        <f t="shared" ca="1" si="135"/>
        <v>4</v>
      </c>
      <c r="AG662" s="54">
        <f t="shared" ca="1" si="136"/>
        <v>1</v>
      </c>
      <c r="AH662" s="54">
        <f t="shared" ca="1" si="137"/>
        <v>1</v>
      </c>
      <c r="AI662" s="54">
        <f t="shared" ca="1" si="138"/>
        <v>1</v>
      </c>
      <c r="AJ662" s="54">
        <f t="shared" ca="1" si="139"/>
        <v>1</v>
      </c>
    </row>
    <row r="663" spans="1:36" x14ac:dyDescent="0.2">
      <c r="A663" s="54">
        <v>640</v>
      </c>
      <c r="B663" s="54">
        <f ca="1">MAX(0.02,MCDA_Prioritisation!$B$9+(RAND()-0.5)*2*$B$6)</f>
        <v>0.20233631680092762</v>
      </c>
      <c r="C663" s="54">
        <f ca="1">MAX(0.02,MCDA_Prioritisation!$B$10+(RAND()-0.5)*2*$B$6)</f>
        <v>0.26914993694759054</v>
      </c>
      <c r="D663" s="54">
        <f ca="1">MAX(0.02,MCDA_Prioritisation!$B$11+(RAND()-0.5)*2*$B$6)</f>
        <v>0.23551241655640739</v>
      </c>
      <c r="E663" s="54">
        <f ca="1">MAX(0.02,MCDA_Prioritisation!$B$12+(RAND()-0.5)*2*$B$6)</f>
        <v>0.18590218991630672</v>
      </c>
      <c r="F663" s="54">
        <f ca="1">MAX(0.02,MCDA_Prioritisation!$B$13+(RAND()-0.5)*2*$B$6)</f>
        <v>0.12422048015919609</v>
      </c>
      <c r="G663" s="54">
        <f t="shared" ca="1" si="126"/>
        <v>1.0171213403804285</v>
      </c>
      <c r="H663" s="54">
        <f t="shared" ca="1" si="127"/>
        <v>0.19893036235504494</v>
      </c>
      <c r="I663" s="54">
        <f t="shared" ca="1" si="128"/>
        <v>0.26461929984373528</v>
      </c>
      <c r="J663" s="54">
        <f t="shared" ca="1" si="129"/>
        <v>0.23154800435936182</v>
      </c>
      <c r="K663" s="54">
        <f t="shared" ca="1" si="130"/>
        <v>0.18277287333955133</v>
      </c>
      <c r="L663" s="54">
        <f t="shared" ca="1" si="131"/>
        <v>0.12212946010230655</v>
      </c>
      <c r="M663" s="54">
        <f ca="1">MIN(100,MAX(0,MCDA_Prioritisation!$F$2+(RAND()-0.5)*2*$B$7))</f>
        <v>88.477932980303407</v>
      </c>
      <c r="N663" s="54">
        <f ca="1">MIN(100,MAX(0,MCDA_Prioritisation!$F$3+(RAND()-0.5)*2*$B$7))</f>
        <v>94.521804476478579</v>
      </c>
      <c r="O663" s="54">
        <f ca="1">MIN(100,MAX(0,MCDA_Prioritisation!$F$4+(RAND()-0.5)*2*$B$7))</f>
        <v>94.694223299905545</v>
      </c>
      <c r="P663" s="54">
        <f ca="1">MIN(100,MAX(0,MCDA_Prioritisation!$F$5+(RAND()-0.5)*2*$B$7))</f>
        <v>80.460469936089268</v>
      </c>
      <c r="Q663" s="54">
        <f ca="1">MIN(100,MAX(0,MCDA_Prioritisation!$G$2+(RAND()-0.5)*2*$B$7))</f>
        <v>78.243730416092092</v>
      </c>
      <c r="R663" s="54">
        <f ca="1">MIN(100,MAX(0,MCDA_Prioritisation!$G$3+(RAND()-0.5)*2*$B$7))</f>
        <v>85.034159617379203</v>
      </c>
      <c r="S663" s="54">
        <f ca="1">MIN(100,MAX(0,MCDA_Prioritisation!$G$4+(RAND()-0.5)*2*$B$7))</f>
        <v>85.856756340574393</v>
      </c>
      <c r="T663" s="54">
        <f ca="1">MIN(100,MAX(0,MCDA_Prioritisation!$G$5+(RAND()-0.5)*2*$B$7))</f>
        <v>79.784565623456288</v>
      </c>
      <c r="U663" s="54">
        <f ca="1">MIN(100,MAX(0,MCDA_Prioritisation!$H$2+(RAND()-0.5)*2*$B$7))</f>
        <v>60.739536241938893</v>
      </c>
      <c r="V663" s="54">
        <f ca="1">MIN(100,MAX(0,MCDA_Prioritisation!$H$3+(RAND()-0.5)*2*$B$7))</f>
        <v>59.093782276883054</v>
      </c>
      <c r="W663" s="54">
        <f ca="1">MIN(100,MAX(0,MCDA_Prioritisation!$H$4+(RAND()-0.5)*2*$B$7))</f>
        <v>85.712107757323338</v>
      </c>
      <c r="X663" s="54">
        <f ca="1">MIN(100,MAX(0,MCDA_Prioritisation!$H$5+(RAND()-0.5)*2*$B$7))</f>
        <v>79.630276240794899</v>
      </c>
      <c r="Y663" s="54">
        <f ca="1">H663*MCDA_Prioritisation!$D$2+I663*MCDA_Prioritisation!$E$2+J663*M663+K663*Q663+L663*U663</f>
        <v>88.560773228355515</v>
      </c>
      <c r="Z663" s="54">
        <f ca="1">H663*MCDA_Prioritisation!$D$3+I663*MCDA_Prioritisation!$E$3+J663*N663+K663*R663+L663*V663</f>
        <v>81.276289496438835</v>
      </c>
      <c r="AA663" s="54">
        <f ca="1">H663*MCDA_Prioritisation!$D$4+I663*MCDA_Prioritisation!$E$4+J663*O663+K663*S663+L663*W663</f>
        <v>76.372638919798973</v>
      </c>
      <c r="AB663" s="54">
        <f ca="1">H663*MCDA_Prioritisation!$D$5+I663*MCDA_Prioritisation!$E$5+J663*P663+K663*T663+L663*X663</f>
        <v>75.748601677185874</v>
      </c>
      <c r="AC663" s="54">
        <f t="shared" ca="1" si="132"/>
        <v>1</v>
      </c>
      <c r="AD663" s="54">
        <f t="shared" ca="1" si="133"/>
        <v>2</v>
      </c>
      <c r="AE663" s="54">
        <f t="shared" ca="1" si="134"/>
        <v>3</v>
      </c>
      <c r="AF663" s="54">
        <f t="shared" ca="1" si="135"/>
        <v>4</v>
      </c>
      <c r="AG663" s="54">
        <f t="shared" ca="1" si="136"/>
        <v>1</v>
      </c>
      <c r="AH663" s="54">
        <f t="shared" ca="1" si="137"/>
        <v>1</v>
      </c>
      <c r="AI663" s="54">
        <f t="shared" ca="1" si="138"/>
        <v>1</v>
      </c>
      <c r="AJ663" s="54">
        <f t="shared" ca="1" si="139"/>
        <v>1</v>
      </c>
    </row>
    <row r="664" spans="1:36" x14ac:dyDescent="0.2">
      <c r="A664" s="54">
        <v>641</v>
      </c>
      <c r="B664" s="54">
        <f ca="1">MAX(0.02,MCDA_Prioritisation!$B$9+(RAND()-0.5)*2*$B$6)</f>
        <v>0.21429163583003533</v>
      </c>
      <c r="C664" s="54">
        <f ca="1">MAX(0.02,MCDA_Prioritisation!$B$10+(RAND()-0.5)*2*$B$6)</f>
        <v>0.1700858275999973</v>
      </c>
      <c r="D664" s="54">
        <f ca="1">MAX(0.02,MCDA_Prioritisation!$B$11+(RAND()-0.5)*2*$B$6)</f>
        <v>0.17141162020013417</v>
      </c>
      <c r="E664" s="54">
        <f ca="1">MAX(0.02,MCDA_Prioritisation!$B$12+(RAND()-0.5)*2*$B$6)</f>
        <v>0.22946984373447143</v>
      </c>
      <c r="F664" s="54">
        <f ca="1">MAX(0.02,MCDA_Prioritisation!$B$13+(RAND()-0.5)*2*$B$6)</f>
        <v>0.20696198477727182</v>
      </c>
      <c r="G664" s="54">
        <f t="shared" ref="G664:G727" ca="1" si="140">SUM(B664:F664)</f>
        <v>0.99222091214191011</v>
      </c>
      <c r="H664" s="54">
        <f t="shared" ref="H664:H727" ca="1" si="141">B664/$G664</f>
        <v>0.21597169864868435</v>
      </c>
      <c r="I664" s="54">
        <f t="shared" ref="I664:I727" ca="1" si="142">C664/$G664</f>
        <v>0.17141931350028949</v>
      </c>
      <c r="J664" s="54">
        <f t="shared" ref="J664:J727" ca="1" si="143">D664/$G664</f>
        <v>0.17275550041583726</v>
      </c>
      <c r="K664" s="54">
        <f t="shared" ref="K664:K727" ca="1" si="144">E664/$G664</f>
        <v>0.23126890486425469</v>
      </c>
      <c r="L664" s="54">
        <f t="shared" ref="L664:L727" ca="1" si="145">F664/$G664</f>
        <v>0.20858458257093412</v>
      </c>
      <c r="M664" s="54">
        <f ca="1">MIN(100,MAX(0,MCDA_Prioritisation!$F$2+(RAND()-0.5)*2*$B$7))</f>
        <v>79.786961100753956</v>
      </c>
      <c r="N664" s="54">
        <f ca="1">MIN(100,MAX(0,MCDA_Prioritisation!$F$3+(RAND()-0.5)*2*$B$7))</f>
        <v>93.157674725890502</v>
      </c>
      <c r="O664" s="54">
        <f ca="1">MIN(100,MAX(0,MCDA_Prioritisation!$F$4+(RAND()-0.5)*2*$B$7))</f>
        <v>92.323667893925105</v>
      </c>
      <c r="P664" s="54">
        <f ca="1">MIN(100,MAX(0,MCDA_Prioritisation!$F$5+(RAND()-0.5)*2*$B$7))</f>
        <v>76.830248531956912</v>
      </c>
      <c r="Q664" s="54">
        <f ca="1">MIN(100,MAX(0,MCDA_Prioritisation!$G$2+(RAND()-0.5)*2*$B$7))</f>
        <v>83.822827645136059</v>
      </c>
      <c r="R664" s="54">
        <f ca="1">MIN(100,MAX(0,MCDA_Prioritisation!$G$3+(RAND()-0.5)*2*$B$7))</f>
        <v>93.027028089688002</v>
      </c>
      <c r="S664" s="54">
        <f ca="1">MIN(100,MAX(0,MCDA_Prioritisation!$G$4+(RAND()-0.5)*2*$B$7))</f>
        <v>77.586696376889108</v>
      </c>
      <c r="T664" s="54">
        <f ca="1">MIN(100,MAX(0,MCDA_Prioritisation!$G$5+(RAND()-0.5)*2*$B$7))</f>
        <v>69.902591747211915</v>
      </c>
      <c r="U664" s="54">
        <f ca="1">MIN(100,MAX(0,MCDA_Prioritisation!$H$2+(RAND()-0.5)*2*$B$7))</f>
        <v>64.273272053809308</v>
      </c>
      <c r="V664" s="54">
        <f ca="1">MIN(100,MAX(0,MCDA_Prioritisation!$H$3+(RAND()-0.5)*2*$B$7))</f>
        <v>59.774385015974978</v>
      </c>
      <c r="W664" s="54">
        <f ca="1">MIN(100,MAX(0,MCDA_Prioritisation!$H$4+(RAND()-0.5)*2*$B$7))</f>
        <v>86.872561839775557</v>
      </c>
      <c r="X664" s="54">
        <f ca="1">MIN(100,MAX(0,MCDA_Prioritisation!$H$5+(RAND()-0.5)*2*$B$7))</f>
        <v>71.251591808999095</v>
      </c>
      <c r="Y664" s="54">
        <f ca="1">H664*MCDA_Prioritisation!$D$2+I664*MCDA_Prioritisation!$E$2+J664*M664+K664*Q664+L664*U664</f>
        <v>85.314764780444762</v>
      </c>
      <c r="Z664" s="54">
        <f ca="1">H664*MCDA_Prioritisation!$D$3+I664*MCDA_Prioritisation!$E$3+J664*N664+K664*R664+L664*V664</f>
        <v>81.417877766071967</v>
      </c>
      <c r="AA664" s="54">
        <f ca="1">H664*MCDA_Prioritisation!$D$4+I664*MCDA_Prioritisation!$E$4+J664*O664+K664*S664+L664*W664</f>
        <v>76.402232653855108</v>
      </c>
      <c r="AB664" s="54">
        <f ca="1">H664*MCDA_Prioritisation!$D$5+I664*MCDA_Prioritisation!$E$5+J664*P664+K664*T664+L664*X664</f>
        <v>70.178823397849371</v>
      </c>
      <c r="AC664" s="54">
        <f t="shared" ref="AC664:AC727" ca="1" si="146">SUMPRODUCT(--($Y664:$AB664&gt;Y664))+1</f>
        <v>1</v>
      </c>
      <c r="AD664" s="54">
        <f t="shared" ref="AD664:AD727" ca="1" si="147">SUMPRODUCT(--($Y664:$AB664&gt;Z664))+1</f>
        <v>2</v>
      </c>
      <c r="AE664" s="54">
        <f t="shared" ref="AE664:AE727" ca="1" si="148">SUMPRODUCT(--($Y664:$AB664&gt;AA664))+1</f>
        <v>3</v>
      </c>
      <c r="AF664" s="54">
        <f t="shared" ref="AF664:AF727" ca="1" si="149">SUMPRODUCT(--($Y664:$AB664&gt;AB664))+1</f>
        <v>4</v>
      </c>
      <c r="AG664" s="54">
        <f t="shared" ref="AG664:AG727" ca="1" si="150">IF(AC664=1,1,0)</f>
        <v>1</v>
      </c>
      <c r="AH664" s="54">
        <f t="shared" ref="AH664:AH727" ca="1" si="151">IF(AD664=2,1,0)</f>
        <v>1</v>
      </c>
      <c r="AI664" s="54">
        <f t="shared" ref="AI664:AI727" ca="1" si="152">IF(AND(AC664=1,AD664=2,AE664=3,AF664=4),1,0)</f>
        <v>1</v>
      </c>
      <c r="AJ664" s="54">
        <f t="shared" ref="AJ664:AJ727" ca="1" si="153">IF(AND(AC664&lt;=2,AD664&lt;=2),1,0)</f>
        <v>1</v>
      </c>
    </row>
    <row r="665" spans="1:36" x14ac:dyDescent="0.2">
      <c r="A665" s="54">
        <v>642</v>
      </c>
      <c r="B665" s="54">
        <f ca="1">MAX(0.02,MCDA_Prioritisation!$B$9+(RAND()-0.5)*2*$B$6)</f>
        <v>0.24435016723984004</v>
      </c>
      <c r="C665" s="54">
        <f ca="1">MAX(0.02,MCDA_Prioritisation!$B$10+(RAND()-0.5)*2*$B$6)</f>
        <v>0.30781711585092325</v>
      </c>
      <c r="D665" s="54">
        <f ca="1">MAX(0.02,MCDA_Prioritisation!$B$11+(RAND()-0.5)*2*$B$6)</f>
        <v>0.26857519163237026</v>
      </c>
      <c r="E665" s="54">
        <f ca="1">MAX(0.02,MCDA_Prioritisation!$B$12+(RAND()-0.5)*2*$B$6)</f>
        <v>0.18544077035932238</v>
      </c>
      <c r="F665" s="54">
        <f ca="1">MAX(0.02,MCDA_Prioritisation!$B$13+(RAND()-0.5)*2*$B$6)</f>
        <v>0.13236558302339077</v>
      </c>
      <c r="G665" s="54">
        <f t="shared" ca="1" si="140"/>
        <v>1.1385488281058467</v>
      </c>
      <c r="H665" s="54">
        <f t="shared" ca="1" si="141"/>
        <v>0.21461544837418578</v>
      </c>
      <c r="I665" s="54">
        <f t="shared" ca="1" si="142"/>
        <v>0.27035916971872431</v>
      </c>
      <c r="J665" s="54">
        <f t="shared" ca="1" si="143"/>
        <v>0.23589255462955147</v>
      </c>
      <c r="K665" s="54">
        <f t="shared" ca="1" si="144"/>
        <v>0.16287467500874073</v>
      </c>
      <c r="L665" s="54">
        <f t="shared" ca="1" si="145"/>
        <v>0.11625815226879777</v>
      </c>
      <c r="M665" s="54">
        <f ca="1">MIN(100,MAX(0,MCDA_Prioritisation!$F$2+(RAND()-0.5)*2*$B$7))</f>
        <v>90.998247747355109</v>
      </c>
      <c r="N665" s="54">
        <f ca="1">MIN(100,MAX(0,MCDA_Prioritisation!$F$3+(RAND()-0.5)*2*$B$7))</f>
        <v>100</v>
      </c>
      <c r="O665" s="54">
        <f ca="1">MIN(100,MAX(0,MCDA_Prioritisation!$F$4+(RAND()-0.5)*2*$B$7))</f>
        <v>95.473435857634357</v>
      </c>
      <c r="P665" s="54">
        <f ca="1">MIN(100,MAX(0,MCDA_Prioritisation!$F$5+(RAND()-0.5)*2*$B$7))</f>
        <v>66.084870825915417</v>
      </c>
      <c r="Q665" s="54">
        <f ca="1">MIN(100,MAX(0,MCDA_Prioritisation!$G$2+(RAND()-0.5)*2*$B$7))</f>
        <v>71.909766145892789</v>
      </c>
      <c r="R665" s="54">
        <f ca="1">MIN(100,MAX(0,MCDA_Prioritisation!$G$3+(RAND()-0.5)*2*$B$7))</f>
        <v>87.854099065908258</v>
      </c>
      <c r="S665" s="54">
        <f ca="1">MIN(100,MAX(0,MCDA_Prioritisation!$G$4+(RAND()-0.5)*2*$B$7))</f>
        <v>86.43928710811565</v>
      </c>
      <c r="T665" s="54">
        <f ca="1">MIN(100,MAX(0,MCDA_Prioritisation!$G$5+(RAND()-0.5)*2*$B$7))</f>
        <v>71.051537259037175</v>
      </c>
      <c r="U665" s="54">
        <f ca="1">MIN(100,MAX(0,MCDA_Prioritisation!$H$2+(RAND()-0.5)*2*$B$7))</f>
        <v>68.241045596328874</v>
      </c>
      <c r="V665" s="54">
        <f ca="1">MIN(100,MAX(0,MCDA_Prioritisation!$H$3+(RAND()-0.5)*2*$B$7))</f>
        <v>51.460296573659825</v>
      </c>
      <c r="W665" s="54">
        <f ca="1">MIN(100,MAX(0,MCDA_Prioritisation!$H$4+(RAND()-0.5)*2*$B$7))</f>
        <v>88.051371067146761</v>
      </c>
      <c r="X665" s="54">
        <f ca="1">MIN(100,MAX(0,MCDA_Prioritisation!$H$5+(RAND()-0.5)*2*$B$7))</f>
        <v>75.868128443220414</v>
      </c>
      <c r="Y665" s="54">
        <f ca="1">H665*MCDA_Prioritisation!$D$2+I665*MCDA_Prioritisation!$E$2+J665*M665+K665*Q665+L665*U665</f>
        <v>89.609128598114239</v>
      </c>
      <c r="Z665" s="54">
        <f ca="1">H665*MCDA_Prioritisation!$D$3+I665*MCDA_Prioritisation!$E$3+J665*N665+K665*R665+L665*V665</f>
        <v>82.300339206072451</v>
      </c>
      <c r="AA665" s="54">
        <f ca="1">H665*MCDA_Prioritisation!$D$4+I665*MCDA_Prioritisation!$E$4+J665*O665+K665*S665+L665*W665</f>
        <v>76.528355173553052</v>
      </c>
      <c r="AB665" s="54">
        <f ca="1">H665*MCDA_Prioritisation!$D$5+I665*MCDA_Prioritisation!$E$5+J665*P665+K665*T665+L665*X665</f>
        <v>70.107367725011301</v>
      </c>
      <c r="AC665" s="54">
        <f t="shared" ca="1" si="146"/>
        <v>1</v>
      </c>
      <c r="AD665" s="54">
        <f t="shared" ca="1" si="147"/>
        <v>2</v>
      </c>
      <c r="AE665" s="54">
        <f t="shared" ca="1" si="148"/>
        <v>3</v>
      </c>
      <c r="AF665" s="54">
        <f t="shared" ca="1" si="149"/>
        <v>4</v>
      </c>
      <c r="AG665" s="54">
        <f t="shared" ca="1" si="150"/>
        <v>1</v>
      </c>
      <c r="AH665" s="54">
        <f t="shared" ca="1" si="151"/>
        <v>1</v>
      </c>
      <c r="AI665" s="54">
        <f t="shared" ca="1" si="152"/>
        <v>1</v>
      </c>
      <c r="AJ665" s="54">
        <f t="shared" ca="1" si="153"/>
        <v>1</v>
      </c>
    </row>
    <row r="666" spans="1:36" x14ac:dyDescent="0.2">
      <c r="A666" s="54">
        <v>643</v>
      </c>
      <c r="B666" s="54">
        <f ca="1">MAX(0.02,MCDA_Prioritisation!$B$9+(RAND()-0.5)*2*$B$6)</f>
        <v>0.24437396657961996</v>
      </c>
      <c r="C666" s="54">
        <f ca="1">MAX(0.02,MCDA_Prioritisation!$B$10+(RAND()-0.5)*2*$B$6)</f>
        <v>0.32670980464369359</v>
      </c>
      <c r="D666" s="54">
        <f ca="1">MAX(0.02,MCDA_Prioritisation!$B$11+(RAND()-0.5)*2*$B$6)</f>
        <v>0.18643253339077628</v>
      </c>
      <c r="E666" s="54">
        <f ca="1">MAX(0.02,MCDA_Prioritisation!$B$12+(RAND()-0.5)*2*$B$6)</f>
        <v>0.13321778169051357</v>
      </c>
      <c r="F666" s="54">
        <f ca="1">MAX(0.02,MCDA_Prioritisation!$B$13+(RAND()-0.5)*2*$B$6)</f>
        <v>8.9258928438562896E-2</v>
      </c>
      <c r="G666" s="54">
        <f t="shared" ca="1" si="140"/>
        <v>0.97999301474316625</v>
      </c>
      <c r="H666" s="54">
        <f t="shared" ca="1" si="141"/>
        <v>0.24936296779999476</v>
      </c>
      <c r="I666" s="54">
        <f t="shared" ca="1" si="142"/>
        <v>0.33337972794562903</v>
      </c>
      <c r="J666" s="54">
        <f t="shared" ca="1" si="143"/>
        <v>0.19023863495561341</v>
      </c>
      <c r="K666" s="54">
        <f t="shared" ca="1" si="144"/>
        <v>0.13593748086605179</v>
      </c>
      <c r="L666" s="54">
        <f t="shared" ca="1" si="145"/>
        <v>9.1081188432711041E-2</v>
      </c>
      <c r="M666" s="54">
        <f ca="1">MIN(100,MAX(0,MCDA_Prioritisation!$F$2+(RAND()-0.5)*2*$B$7))</f>
        <v>76.506248864231736</v>
      </c>
      <c r="N666" s="54">
        <f ca="1">MIN(100,MAX(0,MCDA_Prioritisation!$F$3+(RAND()-0.5)*2*$B$7))</f>
        <v>100</v>
      </c>
      <c r="O666" s="54">
        <f ca="1">MIN(100,MAX(0,MCDA_Prioritisation!$F$4+(RAND()-0.5)*2*$B$7))</f>
        <v>86.59885553760941</v>
      </c>
      <c r="P666" s="54">
        <f ca="1">MIN(100,MAX(0,MCDA_Prioritisation!$F$5+(RAND()-0.5)*2*$B$7))</f>
        <v>81.683706158386912</v>
      </c>
      <c r="Q666" s="54">
        <f ca="1">MIN(100,MAX(0,MCDA_Prioritisation!$G$2+(RAND()-0.5)*2*$B$7))</f>
        <v>82.591654150450253</v>
      </c>
      <c r="R666" s="54">
        <f ca="1">MIN(100,MAX(0,MCDA_Prioritisation!$G$3+(RAND()-0.5)*2*$B$7))</f>
        <v>87.505130876428439</v>
      </c>
      <c r="S666" s="54">
        <f ca="1">MIN(100,MAX(0,MCDA_Prioritisation!$G$4+(RAND()-0.5)*2*$B$7))</f>
        <v>94.728335717793485</v>
      </c>
      <c r="T666" s="54">
        <f ca="1">MIN(100,MAX(0,MCDA_Prioritisation!$G$5+(RAND()-0.5)*2*$B$7))</f>
        <v>72.36450357685348</v>
      </c>
      <c r="U666" s="54">
        <f ca="1">MIN(100,MAX(0,MCDA_Prioritisation!$H$2+(RAND()-0.5)*2*$B$7))</f>
        <v>74.192382682668082</v>
      </c>
      <c r="V666" s="54">
        <f ca="1">MIN(100,MAX(0,MCDA_Prioritisation!$H$3+(RAND()-0.5)*2*$B$7))</f>
        <v>58.378441697038639</v>
      </c>
      <c r="W666" s="54">
        <f ca="1">MIN(100,MAX(0,MCDA_Prioritisation!$H$4+(RAND()-0.5)*2*$B$7))</f>
        <v>85.957155940099184</v>
      </c>
      <c r="X666" s="54">
        <f ca="1">MIN(100,MAX(0,MCDA_Prioritisation!$H$5+(RAND()-0.5)*2*$B$7))</f>
        <v>75.965136405645111</v>
      </c>
      <c r="Y666" s="54">
        <f ca="1">H666*MCDA_Prioritisation!$D$2+I666*MCDA_Prioritisation!$E$2+J666*M666+K666*Q666+L666*U666</f>
        <v>90.813545717232572</v>
      </c>
      <c r="Z666" s="54">
        <f ca="1">H666*MCDA_Prioritisation!$D$3+I666*MCDA_Prioritisation!$E$3+J666*N666+K666*R666+L666*V666</f>
        <v>82.275602008619487</v>
      </c>
      <c r="AA666" s="54">
        <f ca="1">H666*MCDA_Prioritisation!$D$4+I666*MCDA_Prioritisation!$E$4+J666*O666+K666*S666+L666*W666</f>
        <v>72.729179276955847</v>
      </c>
      <c r="AB666" s="54">
        <f ca="1">H666*MCDA_Prioritisation!$D$5+I666*MCDA_Prioritisation!$E$5+J666*P666+K666*T666+L666*X666</f>
        <v>73.564805781353954</v>
      </c>
      <c r="AC666" s="54">
        <f t="shared" ca="1" si="146"/>
        <v>1</v>
      </c>
      <c r="AD666" s="54">
        <f t="shared" ca="1" si="147"/>
        <v>2</v>
      </c>
      <c r="AE666" s="54">
        <f t="shared" ca="1" si="148"/>
        <v>4</v>
      </c>
      <c r="AF666" s="54">
        <f t="shared" ca="1" si="149"/>
        <v>3</v>
      </c>
      <c r="AG666" s="54">
        <f t="shared" ca="1" si="150"/>
        <v>1</v>
      </c>
      <c r="AH666" s="54">
        <f t="shared" ca="1" si="151"/>
        <v>1</v>
      </c>
      <c r="AI666" s="54">
        <f t="shared" ca="1" si="152"/>
        <v>0</v>
      </c>
      <c r="AJ666" s="54">
        <f t="shared" ca="1" si="153"/>
        <v>1</v>
      </c>
    </row>
    <row r="667" spans="1:36" x14ac:dyDescent="0.2">
      <c r="A667" s="54">
        <v>644</v>
      </c>
      <c r="B667" s="54">
        <f ca="1">MAX(0.02,MCDA_Prioritisation!$B$9+(RAND()-0.5)*2*$B$6)</f>
        <v>0.15957016600808852</v>
      </c>
      <c r="C667" s="54">
        <f ca="1">MAX(0.02,MCDA_Prioritisation!$B$10+(RAND()-0.5)*2*$B$6)</f>
        <v>0.20355096947653745</v>
      </c>
      <c r="D667" s="54">
        <f ca="1">MAX(0.02,MCDA_Prioritisation!$B$11+(RAND()-0.5)*2*$B$6)</f>
        <v>0.28560393224482516</v>
      </c>
      <c r="E667" s="54">
        <f ca="1">MAX(0.02,MCDA_Prioritisation!$B$12+(RAND()-0.5)*2*$B$6)</f>
        <v>0.22657945059346657</v>
      </c>
      <c r="F667" s="54">
        <f ca="1">MAX(0.02,MCDA_Prioritisation!$B$13+(RAND()-0.5)*2*$B$6)</f>
        <v>0.13365025222950369</v>
      </c>
      <c r="G667" s="54">
        <f t="shared" ca="1" si="140"/>
        <v>1.0089547705524216</v>
      </c>
      <c r="H667" s="54">
        <f t="shared" ca="1" si="141"/>
        <v>0.15815393381877849</v>
      </c>
      <c r="I667" s="54">
        <f t="shared" ca="1" si="142"/>
        <v>0.20174439471165739</v>
      </c>
      <c r="J667" s="54">
        <f t="shared" ca="1" si="143"/>
        <v>0.2830691132848816</v>
      </c>
      <c r="K667" s="54">
        <f t="shared" ca="1" si="144"/>
        <v>0.22456849128074402</v>
      </c>
      <c r="L667" s="54">
        <f t="shared" ca="1" si="145"/>
        <v>0.1324640669039383</v>
      </c>
      <c r="M667" s="54">
        <f ca="1">MIN(100,MAX(0,MCDA_Prioritisation!$F$2+(RAND()-0.5)*2*$B$7))</f>
        <v>92.917267734372842</v>
      </c>
      <c r="N667" s="54">
        <f ca="1">MIN(100,MAX(0,MCDA_Prioritisation!$F$3+(RAND()-0.5)*2*$B$7))</f>
        <v>88.672399498502884</v>
      </c>
      <c r="O667" s="54">
        <f ca="1">MIN(100,MAX(0,MCDA_Prioritisation!$F$4+(RAND()-0.5)*2*$B$7))</f>
        <v>98.442677401399621</v>
      </c>
      <c r="P667" s="54">
        <f ca="1">MIN(100,MAX(0,MCDA_Prioritisation!$F$5+(RAND()-0.5)*2*$B$7))</f>
        <v>83.675215789516869</v>
      </c>
      <c r="Q667" s="54">
        <f ca="1">MIN(100,MAX(0,MCDA_Prioritisation!$G$2+(RAND()-0.5)*2*$B$7))</f>
        <v>71.276917629771674</v>
      </c>
      <c r="R667" s="54">
        <f ca="1">MIN(100,MAX(0,MCDA_Prioritisation!$G$3+(RAND()-0.5)*2*$B$7))</f>
        <v>100</v>
      </c>
      <c r="S667" s="54">
        <f ca="1">MIN(100,MAX(0,MCDA_Prioritisation!$G$4+(RAND()-0.5)*2*$B$7))</f>
        <v>91.757847814382004</v>
      </c>
      <c r="T667" s="54">
        <f ca="1">MIN(100,MAX(0,MCDA_Prioritisation!$G$5+(RAND()-0.5)*2*$B$7))</f>
        <v>69.039034263750239</v>
      </c>
      <c r="U667" s="54">
        <f ca="1">MIN(100,MAX(0,MCDA_Prioritisation!$H$2+(RAND()-0.5)*2*$B$7))</f>
        <v>64.947780371391389</v>
      </c>
      <c r="V667" s="54">
        <f ca="1">MIN(100,MAX(0,MCDA_Prioritisation!$H$3+(RAND()-0.5)*2*$B$7))</f>
        <v>57.869834972906034</v>
      </c>
      <c r="W667" s="54">
        <f ca="1">MIN(100,MAX(0,MCDA_Prioritisation!$H$4+(RAND()-0.5)*2*$B$7))</f>
        <v>87.002068296105421</v>
      </c>
      <c r="X667" s="54">
        <f ca="1">MIN(100,MAX(0,MCDA_Prioritisation!$H$5+(RAND()-0.5)*2*$B$7))</f>
        <v>68.623891678172228</v>
      </c>
      <c r="Y667" s="54">
        <f ca="1">H667*MCDA_Prioritisation!$D$2+I667*MCDA_Prioritisation!$E$2+J667*M667+K667*Q667+L667*U667</f>
        <v>86.90163841910443</v>
      </c>
      <c r="Z667" s="54">
        <f ca="1">H667*MCDA_Prioritisation!$D$3+I667*MCDA_Prioritisation!$E$3+J667*N667+K667*R667+L667*V667</f>
        <v>83.717413866211288</v>
      </c>
      <c r="AA667" s="54">
        <f ca="1">H667*MCDA_Prioritisation!$D$4+I667*MCDA_Prioritisation!$E$4+J667*O667+K667*S667+L667*W667</f>
        <v>82.013800582677391</v>
      </c>
      <c r="AB667" s="54">
        <f ca="1">H667*MCDA_Prioritisation!$D$5+I667*MCDA_Prioritisation!$E$5+J667*P667+K667*T667+L667*X667</f>
        <v>73.639091001570534</v>
      </c>
      <c r="AC667" s="54">
        <f t="shared" ca="1" si="146"/>
        <v>1</v>
      </c>
      <c r="AD667" s="54">
        <f t="shared" ca="1" si="147"/>
        <v>2</v>
      </c>
      <c r="AE667" s="54">
        <f t="shared" ca="1" si="148"/>
        <v>3</v>
      </c>
      <c r="AF667" s="54">
        <f t="shared" ca="1" si="149"/>
        <v>4</v>
      </c>
      <c r="AG667" s="54">
        <f t="shared" ca="1" si="150"/>
        <v>1</v>
      </c>
      <c r="AH667" s="54">
        <f t="shared" ca="1" si="151"/>
        <v>1</v>
      </c>
      <c r="AI667" s="54">
        <f t="shared" ca="1" si="152"/>
        <v>1</v>
      </c>
      <c r="AJ667" s="54">
        <f t="shared" ca="1" si="153"/>
        <v>1</v>
      </c>
    </row>
    <row r="668" spans="1:36" x14ac:dyDescent="0.2">
      <c r="A668" s="54">
        <v>645</v>
      </c>
      <c r="B668" s="54">
        <f ca="1">MAX(0.02,MCDA_Prioritisation!$B$9+(RAND()-0.5)*2*$B$6)</f>
        <v>0.22533429987523962</v>
      </c>
      <c r="C668" s="54">
        <f ca="1">MAX(0.02,MCDA_Prioritisation!$B$10+(RAND()-0.5)*2*$B$6)</f>
        <v>0.20900406635842911</v>
      </c>
      <c r="D668" s="54">
        <f ca="1">MAX(0.02,MCDA_Prioritisation!$B$11+(RAND()-0.5)*2*$B$6)</f>
        <v>0.32671193894071326</v>
      </c>
      <c r="E668" s="54">
        <f ca="1">MAX(0.02,MCDA_Prioritisation!$B$12+(RAND()-0.5)*2*$B$6)</f>
        <v>0.132290206198135</v>
      </c>
      <c r="F668" s="54">
        <f ca="1">MAX(0.02,MCDA_Prioritisation!$B$13+(RAND()-0.5)*2*$B$6)</f>
        <v>0.12933221665124103</v>
      </c>
      <c r="G668" s="54">
        <f t="shared" ca="1" si="140"/>
        <v>1.022672728023758</v>
      </c>
      <c r="H668" s="54">
        <f t="shared" ca="1" si="141"/>
        <v>0.22033862222050457</v>
      </c>
      <c r="I668" s="54">
        <f t="shared" ca="1" si="142"/>
        <v>0.20437043115671477</v>
      </c>
      <c r="J668" s="54">
        <f t="shared" ca="1" si="143"/>
        <v>0.31946871172761276</v>
      </c>
      <c r="K668" s="54">
        <f t="shared" ca="1" si="144"/>
        <v>0.12935732280040008</v>
      </c>
      <c r="L668" s="54">
        <f t="shared" ca="1" si="145"/>
        <v>0.1264649120947679</v>
      </c>
      <c r="M668" s="54">
        <f ca="1">MIN(100,MAX(0,MCDA_Prioritisation!$F$2+(RAND()-0.5)*2*$B$7))</f>
        <v>81.436034567737096</v>
      </c>
      <c r="N668" s="54">
        <f ca="1">MIN(100,MAX(0,MCDA_Prioritisation!$F$3+(RAND()-0.5)*2*$B$7))</f>
        <v>95.216545750824622</v>
      </c>
      <c r="O668" s="54">
        <f ca="1">MIN(100,MAX(0,MCDA_Prioritisation!$F$4+(RAND()-0.5)*2*$B$7))</f>
        <v>96.593017344457905</v>
      </c>
      <c r="P668" s="54">
        <f ca="1">MIN(100,MAX(0,MCDA_Prioritisation!$F$5+(RAND()-0.5)*2*$B$7))</f>
        <v>66.320592786351284</v>
      </c>
      <c r="Q668" s="54">
        <f ca="1">MIN(100,MAX(0,MCDA_Prioritisation!$G$2+(RAND()-0.5)*2*$B$7))</f>
        <v>78.274686771390648</v>
      </c>
      <c r="R668" s="54">
        <f ca="1">MIN(100,MAX(0,MCDA_Prioritisation!$G$3+(RAND()-0.5)*2*$B$7))</f>
        <v>87.100957395811022</v>
      </c>
      <c r="S668" s="54">
        <f ca="1">MIN(100,MAX(0,MCDA_Prioritisation!$G$4+(RAND()-0.5)*2*$B$7))</f>
        <v>78.501962973617978</v>
      </c>
      <c r="T668" s="54">
        <f ca="1">MIN(100,MAX(0,MCDA_Prioritisation!$G$5+(RAND()-0.5)*2*$B$7))</f>
        <v>66.637862024068852</v>
      </c>
      <c r="U668" s="54">
        <f ca="1">MIN(100,MAX(0,MCDA_Prioritisation!$H$2+(RAND()-0.5)*2*$B$7))</f>
        <v>60.618308133722287</v>
      </c>
      <c r="V668" s="54">
        <f ca="1">MIN(100,MAX(0,MCDA_Prioritisation!$H$3+(RAND()-0.5)*2*$B$7))</f>
        <v>63.988211838424057</v>
      </c>
      <c r="W668" s="54">
        <f ca="1">MIN(100,MAX(0,MCDA_Prioritisation!$H$4+(RAND()-0.5)*2*$B$7))</f>
        <v>79.606747637410962</v>
      </c>
      <c r="X668" s="54">
        <f ca="1">MIN(100,MAX(0,MCDA_Prioritisation!$H$5+(RAND()-0.5)*2*$B$7))</f>
        <v>65.08253171077466</v>
      </c>
      <c r="Y668" s="54">
        <f ca="1">H668*MCDA_Prioritisation!$D$2+I668*MCDA_Prioritisation!$E$2+J668*M668+K668*Q668+L668*U668</f>
        <v>86.278663322533973</v>
      </c>
      <c r="Z668" s="54">
        <f ca="1">H668*MCDA_Prioritisation!$D$3+I668*MCDA_Prioritisation!$E$3+J668*N668+K668*R668+L668*V668</f>
        <v>83.898320686580007</v>
      </c>
      <c r="AA668" s="54">
        <f ca="1">H668*MCDA_Prioritisation!$D$4+I668*MCDA_Prioritisation!$E$4+J668*O668+K668*S668+L668*W668</f>
        <v>77.571275351646975</v>
      </c>
      <c r="AB668" s="54">
        <f ca="1">H668*MCDA_Prioritisation!$D$5+I668*MCDA_Prioritisation!$E$5+J668*P668+K668*T668+L668*X668</f>
        <v>66.9184702024925</v>
      </c>
      <c r="AC668" s="54">
        <f t="shared" ca="1" si="146"/>
        <v>1</v>
      </c>
      <c r="AD668" s="54">
        <f t="shared" ca="1" si="147"/>
        <v>2</v>
      </c>
      <c r="AE668" s="54">
        <f t="shared" ca="1" si="148"/>
        <v>3</v>
      </c>
      <c r="AF668" s="54">
        <f t="shared" ca="1" si="149"/>
        <v>4</v>
      </c>
      <c r="AG668" s="54">
        <f t="shared" ca="1" si="150"/>
        <v>1</v>
      </c>
      <c r="AH668" s="54">
        <f t="shared" ca="1" si="151"/>
        <v>1</v>
      </c>
      <c r="AI668" s="54">
        <f t="shared" ca="1" si="152"/>
        <v>1</v>
      </c>
      <c r="AJ668" s="54">
        <f t="shared" ca="1" si="153"/>
        <v>1</v>
      </c>
    </row>
    <row r="669" spans="1:36" x14ac:dyDescent="0.2">
      <c r="A669" s="54">
        <v>646</v>
      </c>
      <c r="B669" s="54">
        <f ca="1">MAX(0.02,MCDA_Prioritisation!$B$9+(RAND()-0.5)*2*$B$6)</f>
        <v>0.24381920596050013</v>
      </c>
      <c r="C669" s="54">
        <f ca="1">MAX(0.02,MCDA_Prioritisation!$B$10+(RAND()-0.5)*2*$B$6)</f>
        <v>0.2119174432960842</v>
      </c>
      <c r="D669" s="54">
        <f ca="1">MAX(0.02,MCDA_Prioritisation!$B$11+(RAND()-0.5)*2*$B$6)</f>
        <v>0.27850053065267982</v>
      </c>
      <c r="E669" s="54">
        <f ca="1">MAX(0.02,MCDA_Prioritisation!$B$12+(RAND()-0.5)*2*$B$6)</f>
        <v>0.19063938120872953</v>
      </c>
      <c r="F669" s="54">
        <f ca="1">MAX(0.02,MCDA_Prioritisation!$B$13+(RAND()-0.5)*2*$B$6)</f>
        <v>0.11674489627118467</v>
      </c>
      <c r="G669" s="54">
        <f t="shared" ca="1" si="140"/>
        <v>1.0416214573891782</v>
      </c>
      <c r="H669" s="54">
        <f t="shared" ca="1" si="141"/>
        <v>0.23407659685854823</v>
      </c>
      <c r="I669" s="54">
        <f t="shared" ca="1" si="142"/>
        <v>0.20344957546022024</v>
      </c>
      <c r="J669" s="54">
        <f t="shared" ca="1" si="143"/>
        <v>0.26737211361864682</v>
      </c>
      <c r="K669" s="54">
        <f t="shared" ca="1" si="144"/>
        <v>0.18302174927018755</v>
      </c>
      <c r="L669" s="54">
        <f t="shared" ca="1" si="145"/>
        <v>0.11207996479239732</v>
      </c>
      <c r="M669" s="54">
        <f ca="1">MIN(100,MAX(0,MCDA_Prioritisation!$F$2+(RAND()-0.5)*2*$B$7))</f>
        <v>85.30025251033301</v>
      </c>
      <c r="N669" s="54">
        <f ca="1">MIN(100,MAX(0,MCDA_Prioritisation!$F$3+(RAND()-0.5)*2*$B$7))</f>
        <v>97.52095022452761</v>
      </c>
      <c r="O669" s="54">
        <f ca="1">MIN(100,MAX(0,MCDA_Prioritisation!$F$4+(RAND()-0.5)*2*$B$7))</f>
        <v>80.431545728499415</v>
      </c>
      <c r="P669" s="54">
        <f ca="1">MIN(100,MAX(0,MCDA_Prioritisation!$F$5+(RAND()-0.5)*2*$B$7))</f>
        <v>66.590200080340182</v>
      </c>
      <c r="Q669" s="54">
        <f ca="1">MIN(100,MAX(0,MCDA_Prioritisation!$G$2+(RAND()-0.5)*2*$B$7))</f>
        <v>81.350039243928919</v>
      </c>
      <c r="R669" s="54">
        <f ca="1">MIN(100,MAX(0,MCDA_Prioritisation!$G$3+(RAND()-0.5)*2*$B$7))</f>
        <v>98.114256311136629</v>
      </c>
      <c r="S669" s="54">
        <f ca="1">MIN(100,MAX(0,MCDA_Prioritisation!$G$4+(RAND()-0.5)*2*$B$7))</f>
        <v>76.86192755123237</v>
      </c>
      <c r="T669" s="54">
        <f ca="1">MIN(100,MAX(0,MCDA_Prioritisation!$G$5+(RAND()-0.5)*2*$B$7))</f>
        <v>64.453629456210621</v>
      </c>
      <c r="U669" s="54">
        <f ca="1">MIN(100,MAX(0,MCDA_Prioritisation!$H$2+(RAND()-0.5)*2*$B$7))</f>
        <v>57.36480114230217</v>
      </c>
      <c r="V669" s="54">
        <f ca="1">MIN(100,MAX(0,MCDA_Prioritisation!$H$3+(RAND()-0.5)*2*$B$7))</f>
        <v>61.702950718455568</v>
      </c>
      <c r="W669" s="54">
        <f ca="1">MIN(100,MAX(0,MCDA_Prioritisation!$H$4+(RAND()-0.5)*2*$B$7))</f>
        <v>81.719104424885572</v>
      </c>
      <c r="X669" s="54">
        <f ca="1">MIN(100,MAX(0,MCDA_Prioritisation!$H$5+(RAND()-0.5)*2*$B$7))</f>
        <v>76.263454334249829</v>
      </c>
      <c r="Y669" s="54">
        <f ca="1">H669*MCDA_Prioritisation!$D$2+I669*MCDA_Prioritisation!$E$2+J669*M669+K669*Q669+L669*U669</f>
        <v>87.877797415743245</v>
      </c>
      <c r="Z669" s="54">
        <f ca="1">H669*MCDA_Prioritisation!$D$3+I669*MCDA_Prioritisation!$E$3+J669*N669+K669*R669+L669*V669</f>
        <v>86.200977417056308</v>
      </c>
      <c r="AA669" s="54">
        <f ca="1">H669*MCDA_Prioritisation!$D$4+I669*MCDA_Prioritisation!$E$4+J669*O669+K669*S669+L669*W669</f>
        <v>72.128598895518522</v>
      </c>
      <c r="AB669" s="54">
        <f ca="1">H669*MCDA_Prioritisation!$D$5+I669*MCDA_Prioritisation!$E$5+J669*P669+K669*T669+L669*X669</f>
        <v>67.680467247732125</v>
      </c>
      <c r="AC669" s="54">
        <f t="shared" ca="1" si="146"/>
        <v>1</v>
      </c>
      <c r="AD669" s="54">
        <f t="shared" ca="1" si="147"/>
        <v>2</v>
      </c>
      <c r="AE669" s="54">
        <f t="shared" ca="1" si="148"/>
        <v>3</v>
      </c>
      <c r="AF669" s="54">
        <f t="shared" ca="1" si="149"/>
        <v>4</v>
      </c>
      <c r="AG669" s="54">
        <f t="shared" ca="1" si="150"/>
        <v>1</v>
      </c>
      <c r="AH669" s="54">
        <f t="shared" ca="1" si="151"/>
        <v>1</v>
      </c>
      <c r="AI669" s="54">
        <f t="shared" ca="1" si="152"/>
        <v>1</v>
      </c>
      <c r="AJ669" s="54">
        <f t="shared" ca="1" si="153"/>
        <v>1</v>
      </c>
    </row>
    <row r="670" spans="1:36" x14ac:dyDescent="0.2">
      <c r="A670" s="54">
        <v>647</v>
      </c>
      <c r="B670" s="54">
        <f ca="1">MAX(0.02,MCDA_Prioritisation!$B$9+(RAND()-0.5)*2*$B$6)</f>
        <v>0.26803402304256929</v>
      </c>
      <c r="C670" s="54">
        <f ca="1">MAX(0.02,MCDA_Prioritisation!$B$10+(RAND()-0.5)*2*$B$6)</f>
        <v>0.29456307491088551</v>
      </c>
      <c r="D670" s="54">
        <f ca="1">MAX(0.02,MCDA_Prioritisation!$B$11+(RAND()-0.5)*2*$B$6)</f>
        <v>0.25330243305506406</v>
      </c>
      <c r="E670" s="54">
        <f ca="1">MAX(0.02,MCDA_Prioritisation!$B$12+(RAND()-0.5)*2*$B$6)</f>
        <v>0.2099705641242858</v>
      </c>
      <c r="F670" s="54">
        <f ca="1">MAX(0.02,MCDA_Prioritisation!$B$13+(RAND()-0.5)*2*$B$6)</f>
        <v>0.22067420431683846</v>
      </c>
      <c r="G670" s="54">
        <f t="shared" ca="1" si="140"/>
        <v>1.246544299449643</v>
      </c>
      <c r="H670" s="54">
        <f t="shared" ca="1" si="141"/>
        <v>0.21502165880579452</v>
      </c>
      <c r="I670" s="54">
        <f t="shared" ca="1" si="142"/>
        <v>0.23630373588883841</v>
      </c>
      <c r="J670" s="54">
        <f t="shared" ca="1" si="143"/>
        <v>0.20320371539695672</v>
      </c>
      <c r="K670" s="54">
        <f t="shared" ca="1" si="144"/>
        <v>0.16844211972008463</v>
      </c>
      <c r="L670" s="54">
        <f t="shared" ca="1" si="145"/>
        <v>0.17702877018832583</v>
      </c>
      <c r="M670" s="54">
        <f ca="1">MIN(100,MAX(0,MCDA_Prioritisation!$F$2+(RAND()-0.5)*2*$B$7))</f>
        <v>77.308840777445155</v>
      </c>
      <c r="N670" s="54">
        <f ca="1">MIN(100,MAX(0,MCDA_Prioritisation!$F$3+(RAND()-0.5)*2*$B$7))</f>
        <v>89.997268503555091</v>
      </c>
      <c r="O670" s="54">
        <f ca="1">MIN(100,MAX(0,MCDA_Prioritisation!$F$4+(RAND()-0.5)*2*$B$7))</f>
        <v>97.001307171531266</v>
      </c>
      <c r="P670" s="54">
        <f ca="1">MIN(100,MAX(0,MCDA_Prioritisation!$F$5+(RAND()-0.5)*2*$B$7))</f>
        <v>75.930063401535136</v>
      </c>
      <c r="Q670" s="54">
        <f ca="1">MIN(100,MAX(0,MCDA_Prioritisation!$G$2+(RAND()-0.5)*2*$B$7))</f>
        <v>75.933387880712075</v>
      </c>
      <c r="R670" s="54">
        <f ca="1">MIN(100,MAX(0,MCDA_Prioritisation!$G$3+(RAND()-0.5)*2*$B$7))</f>
        <v>92.663426685292592</v>
      </c>
      <c r="S670" s="54">
        <f ca="1">MIN(100,MAX(0,MCDA_Prioritisation!$G$4+(RAND()-0.5)*2*$B$7))</f>
        <v>84.666017656166332</v>
      </c>
      <c r="T670" s="54">
        <f ca="1">MIN(100,MAX(0,MCDA_Prioritisation!$G$5+(RAND()-0.5)*2*$B$7))</f>
        <v>60.39895576772593</v>
      </c>
      <c r="U670" s="54">
        <f ca="1">MIN(100,MAX(0,MCDA_Prioritisation!$H$2+(RAND()-0.5)*2*$B$7))</f>
        <v>56.949523702741331</v>
      </c>
      <c r="V670" s="54">
        <f ca="1">MIN(100,MAX(0,MCDA_Prioritisation!$H$3+(RAND()-0.5)*2*$B$7))</f>
        <v>50.895058590189059</v>
      </c>
      <c r="W670" s="54">
        <f ca="1">MIN(100,MAX(0,MCDA_Prioritisation!$H$4+(RAND()-0.5)*2*$B$7))</f>
        <v>85.724668089786817</v>
      </c>
      <c r="X670" s="54">
        <f ca="1">MIN(100,MAX(0,MCDA_Prioritisation!$H$5+(RAND()-0.5)*2*$B$7))</f>
        <v>65.302344082399401</v>
      </c>
      <c r="Y670" s="54">
        <f ca="1">H670*MCDA_Prioritisation!$D$2+I670*MCDA_Prioritisation!$E$2+J670*M670+K670*Q670+L670*U670</f>
        <v>83.714068104533652</v>
      </c>
      <c r="Z670" s="54">
        <f ca="1">H670*MCDA_Prioritisation!$D$3+I670*MCDA_Prioritisation!$E$3+J670*N670+K670*R670+L670*V670</f>
        <v>78.884032576300285</v>
      </c>
      <c r="AA670" s="54">
        <f ca="1">H670*MCDA_Prioritisation!$D$4+I670*MCDA_Prioritisation!$E$4+J670*O670+K670*S670+L670*W670</f>
        <v>77.010221042244055</v>
      </c>
      <c r="AB670" s="54">
        <f ca="1">H670*MCDA_Prioritisation!$D$5+I670*MCDA_Prioritisation!$E$5+J670*P670+K670*T670+L670*X670</f>
        <v>68.446854639792463</v>
      </c>
      <c r="AC670" s="54">
        <f t="shared" ca="1" si="146"/>
        <v>1</v>
      </c>
      <c r="AD670" s="54">
        <f t="shared" ca="1" si="147"/>
        <v>2</v>
      </c>
      <c r="AE670" s="54">
        <f t="shared" ca="1" si="148"/>
        <v>3</v>
      </c>
      <c r="AF670" s="54">
        <f t="shared" ca="1" si="149"/>
        <v>4</v>
      </c>
      <c r="AG670" s="54">
        <f t="shared" ca="1" si="150"/>
        <v>1</v>
      </c>
      <c r="AH670" s="54">
        <f t="shared" ca="1" si="151"/>
        <v>1</v>
      </c>
      <c r="AI670" s="54">
        <f t="shared" ca="1" si="152"/>
        <v>1</v>
      </c>
      <c r="AJ670" s="54">
        <f t="shared" ca="1" si="153"/>
        <v>1</v>
      </c>
    </row>
    <row r="671" spans="1:36" x14ac:dyDescent="0.2">
      <c r="A671" s="54">
        <v>648</v>
      </c>
      <c r="B671" s="54">
        <f ca="1">MAX(0.02,MCDA_Prioritisation!$B$9+(RAND()-0.5)*2*$B$6)</f>
        <v>0.2468604403306224</v>
      </c>
      <c r="C671" s="54">
        <f ca="1">MAX(0.02,MCDA_Prioritisation!$B$10+(RAND()-0.5)*2*$B$6)</f>
        <v>0.17524013502776492</v>
      </c>
      <c r="D671" s="54">
        <f ca="1">MAX(0.02,MCDA_Prioritisation!$B$11+(RAND()-0.5)*2*$B$6)</f>
        <v>0.21812711826425532</v>
      </c>
      <c r="E671" s="54">
        <f ca="1">MAX(0.02,MCDA_Prioritisation!$B$12+(RAND()-0.5)*2*$B$6)</f>
        <v>0.11562274430105533</v>
      </c>
      <c r="F671" s="54">
        <f ca="1">MAX(0.02,MCDA_Prioritisation!$B$13+(RAND()-0.5)*2*$B$6)</f>
        <v>0.1037330911166323</v>
      </c>
      <c r="G671" s="54">
        <f t="shared" ca="1" si="140"/>
        <v>0.85958352904033031</v>
      </c>
      <c r="H671" s="54">
        <f t="shared" ca="1" si="141"/>
        <v>0.28718609883815038</v>
      </c>
      <c r="I671" s="54">
        <f t="shared" ca="1" si="142"/>
        <v>0.2038663249206383</v>
      </c>
      <c r="J671" s="54">
        <f t="shared" ca="1" si="143"/>
        <v>0.25375907156780936</v>
      </c>
      <c r="K671" s="54">
        <f t="shared" ca="1" si="144"/>
        <v>0.13451019056884522</v>
      </c>
      <c r="L671" s="54">
        <f t="shared" ca="1" si="145"/>
        <v>0.12067831410455668</v>
      </c>
      <c r="M671" s="54">
        <f ca="1">MIN(100,MAX(0,MCDA_Prioritisation!$F$2+(RAND()-0.5)*2*$B$7))</f>
        <v>93.449443017837439</v>
      </c>
      <c r="N671" s="54">
        <f ca="1">MIN(100,MAX(0,MCDA_Prioritisation!$F$3+(RAND()-0.5)*2*$B$7))</f>
        <v>91.466706116775086</v>
      </c>
      <c r="O671" s="54">
        <f ca="1">MIN(100,MAX(0,MCDA_Prioritisation!$F$4+(RAND()-0.5)*2*$B$7))</f>
        <v>98.688830450483948</v>
      </c>
      <c r="P671" s="54">
        <f ca="1">MIN(100,MAX(0,MCDA_Prioritisation!$F$5+(RAND()-0.5)*2*$B$7))</f>
        <v>77.279001925335209</v>
      </c>
      <c r="Q671" s="54">
        <f ca="1">MIN(100,MAX(0,MCDA_Prioritisation!$G$2+(RAND()-0.5)*2*$B$7))</f>
        <v>87.297460488165143</v>
      </c>
      <c r="R671" s="54">
        <f ca="1">MIN(100,MAX(0,MCDA_Prioritisation!$G$3+(RAND()-0.5)*2*$B$7))</f>
        <v>86.78466725149579</v>
      </c>
      <c r="S671" s="54">
        <f ca="1">MIN(100,MAX(0,MCDA_Prioritisation!$G$4+(RAND()-0.5)*2*$B$7))</f>
        <v>92.022469540277115</v>
      </c>
      <c r="T671" s="54">
        <f ca="1">MIN(100,MAX(0,MCDA_Prioritisation!$G$5+(RAND()-0.5)*2*$B$7))</f>
        <v>70.100492091037978</v>
      </c>
      <c r="U671" s="54">
        <f ca="1">MIN(100,MAX(0,MCDA_Prioritisation!$H$2+(RAND()-0.5)*2*$B$7))</f>
        <v>73.927784365292567</v>
      </c>
      <c r="V671" s="54">
        <f ca="1">MIN(100,MAX(0,MCDA_Prioritisation!$H$3+(RAND()-0.5)*2*$B$7))</f>
        <v>55.163416451396202</v>
      </c>
      <c r="W671" s="54">
        <f ca="1">MIN(100,MAX(0,MCDA_Prioritisation!$H$4+(RAND()-0.5)*2*$B$7))</f>
        <v>79.92420150919169</v>
      </c>
      <c r="X671" s="54">
        <f ca="1">MIN(100,MAX(0,MCDA_Prioritisation!$H$5+(RAND()-0.5)*2*$B$7))</f>
        <v>65.079839368931403</v>
      </c>
      <c r="Y671" s="54">
        <f ca="1">H671*MCDA_Prioritisation!$D$2+I671*MCDA_Prioritisation!$E$2+J671*M671+K671*Q671+L671*U671</f>
        <v>93.482764703742262</v>
      </c>
      <c r="Z671" s="54">
        <f ca="1">H671*MCDA_Prioritisation!$D$3+I671*MCDA_Prioritisation!$E$3+J671*N671+K671*R671+L671*V671</f>
        <v>81.466755781873459</v>
      </c>
      <c r="AA671" s="54">
        <f ca="1">H671*MCDA_Prioritisation!$D$4+I671*MCDA_Prioritisation!$E$4+J671*O671+K671*S671+L671*W671</f>
        <v>78.184196828009703</v>
      </c>
      <c r="AB671" s="54">
        <f ca="1">H671*MCDA_Prioritisation!$D$5+I671*MCDA_Prioritisation!$E$5+J671*P671+K671*T671+L671*X671</f>
        <v>69.279165963530829</v>
      </c>
      <c r="AC671" s="54">
        <f t="shared" ca="1" si="146"/>
        <v>1</v>
      </c>
      <c r="AD671" s="54">
        <f t="shared" ca="1" si="147"/>
        <v>2</v>
      </c>
      <c r="AE671" s="54">
        <f t="shared" ca="1" si="148"/>
        <v>3</v>
      </c>
      <c r="AF671" s="54">
        <f t="shared" ca="1" si="149"/>
        <v>4</v>
      </c>
      <c r="AG671" s="54">
        <f t="shared" ca="1" si="150"/>
        <v>1</v>
      </c>
      <c r="AH671" s="54">
        <f t="shared" ca="1" si="151"/>
        <v>1</v>
      </c>
      <c r="AI671" s="54">
        <f t="shared" ca="1" si="152"/>
        <v>1</v>
      </c>
      <c r="AJ671" s="54">
        <f t="shared" ca="1" si="153"/>
        <v>1</v>
      </c>
    </row>
    <row r="672" spans="1:36" x14ac:dyDescent="0.2">
      <c r="A672" s="54">
        <v>649</v>
      </c>
      <c r="B672" s="54">
        <f ca="1">MAX(0.02,MCDA_Prioritisation!$B$9+(RAND()-0.5)*2*$B$6)</f>
        <v>0.18626389499328683</v>
      </c>
      <c r="C672" s="54">
        <f ca="1">MAX(0.02,MCDA_Prioritisation!$B$10+(RAND()-0.5)*2*$B$6)</f>
        <v>0.24050943906597483</v>
      </c>
      <c r="D672" s="54">
        <f ca="1">MAX(0.02,MCDA_Prioritisation!$B$11+(RAND()-0.5)*2*$B$6)</f>
        <v>0.22046324516834676</v>
      </c>
      <c r="E672" s="54">
        <f ca="1">MAX(0.02,MCDA_Prioritisation!$B$12+(RAND()-0.5)*2*$B$6)</f>
        <v>7.5520407725166022E-2</v>
      </c>
      <c r="F672" s="54">
        <f ca="1">MAX(0.02,MCDA_Prioritisation!$B$13+(RAND()-0.5)*2*$B$6)</f>
        <v>0.17934071530095974</v>
      </c>
      <c r="G672" s="54">
        <f t="shared" ca="1" si="140"/>
        <v>0.9020977022537342</v>
      </c>
      <c r="H672" s="54">
        <f t="shared" ca="1" si="141"/>
        <v>0.20647862701339209</v>
      </c>
      <c r="I672" s="54">
        <f t="shared" ca="1" si="142"/>
        <v>0.26661129771764613</v>
      </c>
      <c r="J672" s="54">
        <f t="shared" ca="1" si="143"/>
        <v>0.24438954297029877</v>
      </c>
      <c r="K672" s="54">
        <f t="shared" ca="1" si="144"/>
        <v>8.3716439512584298E-2</v>
      </c>
      <c r="L672" s="54">
        <f t="shared" ca="1" si="145"/>
        <v>0.19880409278607866</v>
      </c>
      <c r="M672" s="54">
        <f ca="1">MIN(100,MAX(0,MCDA_Prioritisation!$F$2+(RAND()-0.5)*2*$B$7))</f>
        <v>87.237391672898681</v>
      </c>
      <c r="N672" s="54">
        <f ca="1">MIN(100,MAX(0,MCDA_Prioritisation!$F$3+(RAND()-0.5)*2*$B$7))</f>
        <v>96.525257202881377</v>
      </c>
      <c r="O672" s="54">
        <f ca="1">MIN(100,MAX(0,MCDA_Prioritisation!$F$4+(RAND()-0.5)*2*$B$7))</f>
        <v>88.208249452021121</v>
      </c>
      <c r="P672" s="54">
        <f ca="1">MIN(100,MAX(0,MCDA_Prioritisation!$F$5+(RAND()-0.5)*2*$B$7))</f>
        <v>68.782226277841616</v>
      </c>
      <c r="Q672" s="54">
        <f ca="1">MIN(100,MAX(0,MCDA_Prioritisation!$G$2+(RAND()-0.5)*2*$B$7))</f>
        <v>77.852678186302782</v>
      </c>
      <c r="R672" s="54">
        <f ca="1">MIN(100,MAX(0,MCDA_Prioritisation!$G$3+(RAND()-0.5)*2*$B$7))</f>
        <v>90.611503100034028</v>
      </c>
      <c r="S672" s="54">
        <f ca="1">MIN(100,MAX(0,MCDA_Prioritisation!$G$4+(RAND()-0.5)*2*$B$7))</f>
        <v>82.716018764351915</v>
      </c>
      <c r="T672" s="54">
        <f ca="1">MIN(100,MAX(0,MCDA_Prioritisation!$G$5+(RAND()-0.5)*2*$B$7))</f>
        <v>63.756847942275023</v>
      </c>
      <c r="U672" s="54">
        <f ca="1">MIN(100,MAX(0,MCDA_Prioritisation!$H$2+(RAND()-0.5)*2*$B$7))</f>
        <v>55.211333189809643</v>
      </c>
      <c r="V672" s="54">
        <f ca="1">MIN(100,MAX(0,MCDA_Prioritisation!$H$3+(RAND()-0.5)*2*$B$7))</f>
        <v>62.718613804890069</v>
      </c>
      <c r="W672" s="54">
        <f ca="1">MIN(100,MAX(0,MCDA_Prioritisation!$H$4+(RAND()-0.5)*2*$B$7))</f>
        <v>79.703300920970648</v>
      </c>
      <c r="X672" s="54">
        <f ca="1">MIN(100,MAX(0,MCDA_Prioritisation!$H$5+(RAND()-0.5)*2*$B$7))</f>
        <v>78.894960058698217</v>
      </c>
      <c r="Y672" s="54">
        <f ca="1">H672*MCDA_Prioritisation!$D$2+I672*MCDA_Prioritisation!$E$2+J672*M672+K672*Q672+L672*U672</f>
        <v>86.122686784550808</v>
      </c>
      <c r="Z672" s="54">
        <f ca="1">H672*MCDA_Prioritisation!$D$3+I672*MCDA_Prioritisation!$E$3+J672*N672+K672*R672+L672*V672</f>
        <v>81.079644966590877</v>
      </c>
      <c r="AA672" s="54">
        <f ca="1">H672*MCDA_Prioritisation!$D$4+I672*MCDA_Prioritisation!$E$4+J672*O672+K672*S672+L672*W672</f>
        <v>73.247598983839652</v>
      </c>
      <c r="AB672" s="54">
        <f ca="1">H672*MCDA_Prioritisation!$D$5+I672*MCDA_Prioritisation!$E$5+J672*P672+K672*T672+L672*X672</f>
        <v>71.210417365569214</v>
      </c>
      <c r="AC672" s="54">
        <f t="shared" ca="1" si="146"/>
        <v>1</v>
      </c>
      <c r="AD672" s="54">
        <f t="shared" ca="1" si="147"/>
        <v>2</v>
      </c>
      <c r="AE672" s="54">
        <f t="shared" ca="1" si="148"/>
        <v>3</v>
      </c>
      <c r="AF672" s="54">
        <f t="shared" ca="1" si="149"/>
        <v>4</v>
      </c>
      <c r="AG672" s="54">
        <f t="shared" ca="1" si="150"/>
        <v>1</v>
      </c>
      <c r="AH672" s="54">
        <f t="shared" ca="1" si="151"/>
        <v>1</v>
      </c>
      <c r="AI672" s="54">
        <f t="shared" ca="1" si="152"/>
        <v>1</v>
      </c>
      <c r="AJ672" s="54">
        <f t="shared" ca="1" si="153"/>
        <v>1</v>
      </c>
    </row>
    <row r="673" spans="1:36" x14ac:dyDescent="0.2">
      <c r="A673" s="54">
        <v>650</v>
      </c>
      <c r="B673" s="54">
        <f ca="1">MAX(0.02,MCDA_Prioritisation!$B$9+(RAND()-0.5)*2*$B$6)</f>
        <v>0.17402101367572953</v>
      </c>
      <c r="C673" s="54">
        <f ca="1">MAX(0.02,MCDA_Prioritisation!$B$10+(RAND()-0.5)*2*$B$6)</f>
        <v>0.1891847829497173</v>
      </c>
      <c r="D673" s="54">
        <f ca="1">MAX(0.02,MCDA_Prioritisation!$B$11+(RAND()-0.5)*2*$B$6)</f>
        <v>0.29464897249918176</v>
      </c>
      <c r="E673" s="54">
        <f ca="1">MAX(0.02,MCDA_Prioritisation!$B$12+(RAND()-0.5)*2*$B$6)</f>
        <v>0.14500598244369789</v>
      </c>
      <c r="F673" s="54">
        <f ca="1">MAX(0.02,MCDA_Prioritisation!$B$13+(RAND()-0.5)*2*$B$6)</f>
        <v>0.1101746024994788</v>
      </c>
      <c r="G673" s="54">
        <f t="shared" ca="1" si="140"/>
        <v>0.91303535406780534</v>
      </c>
      <c r="H673" s="54">
        <f t="shared" ca="1" si="141"/>
        <v>0.1905961394599032</v>
      </c>
      <c r="I673" s="54">
        <f t="shared" ca="1" si="142"/>
        <v>0.20720422501368743</v>
      </c>
      <c r="J673" s="54">
        <f t="shared" ca="1" si="143"/>
        <v>0.32271365088596565</v>
      </c>
      <c r="K673" s="54">
        <f t="shared" ca="1" si="144"/>
        <v>0.15881748915598862</v>
      </c>
      <c r="L673" s="54">
        <f t="shared" ca="1" si="145"/>
        <v>0.12066849548445507</v>
      </c>
      <c r="M673" s="54">
        <f ca="1">MIN(100,MAX(0,MCDA_Prioritisation!$F$2+(RAND()-0.5)*2*$B$7))</f>
        <v>81.990913655290882</v>
      </c>
      <c r="N673" s="54">
        <f ca="1">MIN(100,MAX(0,MCDA_Prioritisation!$F$3+(RAND()-0.5)*2*$B$7))</f>
        <v>96.710852031442116</v>
      </c>
      <c r="O673" s="54">
        <f ca="1">MIN(100,MAX(0,MCDA_Prioritisation!$F$4+(RAND()-0.5)*2*$B$7))</f>
        <v>86.518718264430873</v>
      </c>
      <c r="P673" s="54">
        <f ca="1">MIN(100,MAX(0,MCDA_Prioritisation!$F$5+(RAND()-0.5)*2*$B$7))</f>
        <v>79.499575210312628</v>
      </c>
      <c r="Q673" s="54">
        <f ca="1">MIN(100,MAX(0,MCDA_Prioritisation!$G$2+(RAND()-0.5)*2*$B$7))</f>
        <v>89.905690723301305</v>
      </c>
      <c r="R673" s="54">
        <f ca="1">MIN(100,MAX(0,MCDA_Prioritisation!$G$3+(RAND()-0.5)*2*$B$7))</f>
        <v>85.630311277595979</v>
      </c>
      <c r="S673" s="54">
        <f ca="1">MIN(100,MAX(0,MCDA_Prioritisation!$G$4+(RAND()-0.5)*2*$B$7))</f>
        <v>84.879416947541486</v>
      </c>
      <c r="T673" s="54">
        <f ca="1">MIN(100,MAX(0,MCDA_Prioritisation!$G$5+(RAND()-0.5)*2*$B$7))</f>
        <v>78.070482804026938</v>
      </c>
      <c r="U673" s="54">
        <f ca="1">MIN(100,MAX(0,MCDA_Prioritisation!$H$2+(RAND()-0.5)*2*$B$7))</f>
        <v>58.95593031666688</v>
      </c>
      <c r="V673" s="54">
        <f ca="1">MIN(100,MAX(0,MCDA_Prioritisation!$H$3+(RAND()-0.5)*2*$B$7))</f>
        <v>52.13242499058704</v>
      </c>
      <c r="W673" s="54">
        <f ca="1">MIN(100,MAX(0,MCDA_Prioritisation!$H$4+(RAND()-0.5)*2*$B$7))</f>
        <v>78.146586953933607</v>
      </c>
      <c r="X673" s="54">
        <f ca="1">MIN(100,MAX(0,MCDA_Prioritisation!$H$5+(RAND()-0.5)*2*$B$7))</f>
        <v>82.161676461629753</v>
      </c>
      <c r="Y673" s="54">
        <f ca="1">H673*MCDA_Prioritisation!$D$2+I673*MCDA_Prioritisation!$E$2+J673*M673+K673*Q673+L673*U673</f>
        <v>87.632343005242092</v>
      </c>
      <c r="Z673" s="54">
        <f ca="1">H673*MCDA_Prioritisation!$D$3+I673*MCDA_Prioritisation!$E$3+J673*N673+K673*R673+L673*V673</f>
        <v>82.82714280844101</v>
      </c>
      <c r="AA673" s="54">
        <f ca="1">H673*MCDA_Prioritisation!$D$4+I673*MCDA_Prioritisation!$E$4+J673*O673+K673*S673+L673*W673</f>
        <v>75.404981747214663</v>
      </c>
      <c r="AB673" s="54">
        <f ca="1">H673*MCDA_Prioritisation!$D$5+I673*MCDA_Prioritisation!$E$5+J673*P673+K673*T673+L673*X673</f>
        <v>75.508933448560725</v>
      </c>
      <c r="AC673" s="54">
        <f t="shared" ca="1" si="146"/>
        <v>1</v>
      </c>
      <c r="AD673" s="54">
        <f t="shared" ca="1" si="147"/>
        <v>2</v>
      </c>
      <c r="AE673" s="54">
        <f t="shared" ca="1" si="148"/>
        <v>4</v>
      </c>
      <c r="AF673" s="54">
        <f t="shared" ca="1" si="149"/>
        <v>3</v>
      </c>
      <c r="AG673" s="54">
        <f t="shared" ca="1" si="150"/>
        <v>1</v>
      </c>
      <c r="AH673" s="54">
        <f t="shared" ca="1" si="151"/>
        <v>1</v>
      </c>
      <c r="AI673" s="54">
        <f t="shared" ca="1" si="152"/>
        <v>0</v>
      </c>
      <c r="AJ673" s="54">
        <f t="shared" ca="1" si="153"/>
        <v>1</v>
      </c>
    </row>
    <row r="674" spans="1:36" x14ac:dyDescent="0.2">
      <c r="A674" s="54">
        <v>651</v>
      </c>
      <c r="B674" s="54">
        <f ca="1">MAX(0.02,MCDA_Prioritisation!$B$9+(RAND()-0.5)*2*$B$6)</f>
        <v>0.2153862939810843</v>
      </c>
      <c r="C674" s="54">
        <f ca="1">MAX(0.02,MCDA_Prioritisation!$B$10+(RAND()-0.5)*2*$B$6)</f>
        <v>0.18790483639016217</v>
      </c>
      <c r="D674" s="54">
        <f ca="1">MAX(0.02,MCDA_Prioritisation!$B$11+(RAND()-0.5)*2*$B$6)</f>
        <v>0.31975438397515843</v>
      </c>
      <c r="E674" s="54">
        <f ca="1">MAX(0.02,MCDA_Prioritisation!$B$12+(RAND()-0.5)*2*$B$6)</f>
        <v>8.5623553736783764E-2</v>
      </c>
      <c r="F674" s="54">
        <f ca="1">MAX(0.02,MCDA_Prioritisation!$B$13+(RAND()-0.5)*2*$B$6)</f>
        <v>0.10443565717888983</v>
      </c>
      <c r="G674" s="54">
        <f t="shared" ca="1" si="140"/>
        <v>0.91310472526207853</v>
      </c>
      <c r="H674" s="54">
        <f t="shared" ca="1" si="141"/>
        <v>0.23588345128677798</v>
      </c>
      <c r="I674" s="54">
        <f t="shared" ca="1" si="142"/>
        <v>0.20578673091000585</v>
      </c>
      <c r="J674" s="54">
        <f t="shared" ca="1" si="143"/>
        <v>0.35018369210977723</v>
      </c>
      <c r="K674" s="54">
        <f t="shared" ca="1" si="144"/>
        <v>9.377188767937672E-2</v>
      </c>
      <c r="L674" s="54">
        <f t="shared" ca="1" si="145"/>
        <v>0.11437423801406219</v>
      </c>
      <c r="M674" s="54">
        <f ca="1">MIN(100,MAX(0,MCDA_Prioritisation!$F$2+(RAND()-0.5)*2*$B$7))</f>
        <v>75.116617529234134</v>
      </c>
      <c r="N674" s="54">
        <f ca="1">MIN(100,MAX(0,MCDA_Prioritisation!$F$3+(RAND()-0.5)*2*$B$7))</f>
        <v>100</v>
      </c>
      <c r="O674" s="54">
        <f ca="1">MIN(100,MAX(0,MCDA_Prioritisation!$F$4+(RAND()-0.5)*2*$B$7))</f>
        <v>86.582152326736022</v>
      </c>
      <c r="P674" s="54">
        <f ca="1">MIN(100,MAX(0,MCDA_Prioritisation!$F$5+(RAND()-0.5)*2*$B$7))</f>
        <v>82.051948147631691</v>
      </c>
      <c r="Q674" s="54">
        <f ca="1">MIN(100,MAX(0,MCDA_Prioritisation!$G$2+(RAND()-0.5)*2*$B$7))</f>
        <v>89.639463321663939</v>
      </c>
      <c r="R674" s="54">
        <f ca="1">MIN(100,MAX(0,MCDA_Prioritisation!$G$3+(RAND()-0.5)*2*$B$7))</f>
        <v>97.453067315888632</v>
      </c>
      <c r="S674" s="54">
        <f ca="1">MIN(100,MAX(0,MCDA_Prioritisation!$G$4+(RAND()-0.5)*2*$B$7))</f>
        <v>94.817192664204754</v>
      </c>
      <c r="T674" s="54">
        <f ca="1">MIN(100,MAX(0,MCDA_Prioritisation!$G$5+(RAND()-0.5)*2*$B$7))</f>
        <v>76.980261470014923</v>
      </c>
      <c r="U674" s="54">
        <f ca="1">MIN(100,MAX(0,MCDA_Prioritisation!$H$2+(RAND()-0.5)*2*$B$7))</f>
        <v>68.623707710792075</v>
      </c>
      <c r="V674" s="54">
        <f ca="1">MIN(100,MAX(0,MCDA_Prioritisation!$H$3+(RAND()-0.5)*2*$B$7))</f>
        <v>60.925775369551722</v>
      </c>
      <c r="W674" s="54">
        <f ca="1">MIN(100,MAX(0,MCDA_Prioritisation!$H$4+(RAND()-0.5)*2*$B$7))</f>
        <v>86.252749374761819</v>
      </c>
      <c r="X674" s="54">
        <f ca="1">MIN(100,MAX(0,MCDA_Prioritisation!$H$5+(RAND()-0.5)*2*$B$7))</f>
        <v>82.473517352117895</v>
      </c>
      <c r="Y674" s="54">
        <f ca="1">H674*MCDA_Prioritisation!$D$2+I674*MCDA_Prioritisation!$E$2+J674*M674+K674*Q674+L674*U674</f>
        <v>86.726078650223855</v>
      </c>
      <c r="Z674" s="54">
        <f ca="1">H674*MCDA_Prioritisation!$D$3+I674*MCDA_Prioritisation!$E$3+J674*N674+K674*R674+L674*V674</f>
        <v>86.706842205381321</v>
      </c>
      <c r="AA674" s="54">
        <f ca="1">H674*MCDA_Prioritisation!$D$4+I674*MCDA_Prioritisation!$E$4+J674*O674+K674*S674+L674*W674</f>
        <v>76.726205059446173</v>
      </c>
      <c r="AB674" s="54">
        <f ca="1">H674*MCDA_Prioritisation!$D$5+I674*MCDA_Prioritisation!$E$5+J674*P674+K674*T674+L674*X674</f>
        <v>75.209201635082565</v>
      </c>
      <c r="AC674" s="54">
        <f t="shared" ca="1" si="146"/>
        <v>1</v>
      </c>
      <c r="AD674" s="54">
        <f t="shared" ca="1" si="147"/>
        <v>2</v>
      </c>
      <c r="AE674" s="54">
        <f t="shared" ca="1" si="148"/>
        <v>3</v>
      </c>
      <c r="AF674" s="54">
        <f t="shared" ca="1" si="149"/>
        <v>4</v>
      </c>
      <c r="AG674" s="54">
        <f t="shared" ca="1" si="150"/>
        <v>1</v>
      </c>
      <c r="AH674" s="54">
        <f t="shared" ca="1" si="151"/>
        <v>1</v>
      </c>
      <c r="AI674" s="54">
        <f t="shared" ca="1" si="152"/>
        <v>1</v>
      </c>
      <c r="AJ674" s="54">
        <f t="shared" ca="1" si="153"/>
        <v>1</v>
      </c>
    </row>
    <row r="675" spans="1:36" x14ac:dyDescent="0.2">
      <c r="A675" s="54">
        <v>652</v>
      </c>
      <c r="B675" s="54">
        <f ca="1">MAX(0.02,MCDA_Prioritisation!$B$9+(RAND()-0.5)*2*$B$6)</f>
        <v>0.13081197679578829</v>
      </c>
      <c r="C675" s="54">
        <f ca="1">MAX(0.02,MCDA_Prioritisation!$B$10+(RAND()-0.5)*2*$B$6)</f>
        <v>0.26283772540684536</v>
      </c>
      <c r="D675" s="54">
        <f ca="1">MAX(0.02,MCDA_Prioritisation!$B$11+(RAND()-0.5)*2*$B$6)</f>
        <v>0.31878940769931685</v>
      </c>
      <c r="E675" s="54">
        <f ca="1">MAX(0.02,MCDA_Prioritisation!$B$12+(RAND()-0.5)*2*$B$6)</f>
        <v>0.11371507122890326</v>
      </c>
      <c r="F675" s="54">
        <f ca="1">MAX(0.02,MCDA_Prioritisation!$B$13+(RAND()-0.5)*2*$B$6)</f>
        <v>0.10825335797632529</v>
      </c>
      <c r="G675" s="54">
        <f t="shared" ca="1" si="140"/>
        <v>0.934407539107179</v>
      </c>
      <c r="H675" s="54">
        <f t="shared" ca="1" si="141"/>
        <v>0.13999456481352707</v>
      </c>
      <c r="I675" s="54">
        <f t="shared" ca="1" si="142"/>
        <v>0.28128810439391927</v>
      </c>
      <c r="J675" s="54">
        <f t="shared" ca="1" si="143"/>
        <v>0.3411674182379974</v>
      </c>
      <c r="K675" s="54">
        <f t="shared" ca="1" si="144"/>
        <v>0.12169751042201281</v>
      </c>
      <c r="L675" s="54">
        <f t="shared" ca="1" si="145"/>
        <v>0.11585240213254352</v>
      </c>
      <c r="M675" s="54">
        <f ca="1">MIN(100,MAX(0,MCDA_Prioritisation!$F$2+(RAND()-0.5)*2*$B$7))</f>
        <v>92.004775620081546</v>
      </c>
      <c r="N675" s="54">
        <f ca="1">MIN(100,MAX(0,MCDA_Prioritisation!$F$3+(RAND()-0.5)*2*$B$7))</f>
        <v>91.732848358157156</v>
      </c>
      <c r="O675" s="54">
        <f ca="1">MIN(100,MAX(0,MCDA_Prioritisation!$F$4+(RAND()-0.5)*2*$B$7))</f>
        <v>99.605741894230817</v>
      </c>
      <c r="P675" s="54">
        <f ca="1">MIN(100,MAX(0,MCDA_Prioritisation!$F$5+(RAND()-0.5)*2*$B$7))</f>
        <v>69.425461152490669</v>
      </c>
      <c r="Q675" s="54">
        <f ca="1">MIN(100,MAX(0,MCDA_Prioritisation!$G$2+(RAND()-0.5)*2*$B$7))</f>
        <v>84.941405956396991</v>
      </c>
      <c r="R675" s="54">
        <f ca="1">MIN(100,MAX(0,MCDA_Prioritisation!$G$3+(RAND()-0.5)*2*$B$7))</f>
        <v>100</v>
      </c>
      <c r="S675" s="54">
        <f ca="1">MIN(100,MAX(0,MCDA_Prioritisation!$G$4+(RAND()-0.5)*2*$B$7))</f>
        <v>92.445126629227602</v>
      </c>
      <c r="T675" s="54">
        <f ca="1">MIN(100,MAX(0,MCDA_Prioritisation!$G$5+(RAND()-0.5)*2*$B$7))</f>
        <v>61.408949425666563</v>
      </c>
      <c r="U675" s="54">
        <f ca="1">MIN(100,MAX(0,MCDA_Prioritisation!$H$2+(RAND()-0.5)*2*$B$7))</f>
        <v>65.758202360527861</v>
      </c>
      <c r="V675" s="54">
        <f ca="1">MIN(100,MAX(0,MCDA_Prioritisation!$H$3+(RAND()-0.5)*2*$B$7))</f>
        <v>56.835171904468496</v>
      </c>
      <c r="W675" s="54">
        <f ca="1">MIN(100,MAX(0,MCDA_Prioritisation!$H$4+(RAND()-0.5)*2*$B$7))</f>
        <v>74.957711887196297</v>
      </c>
      <c r="X675" s="54">
        <f ca="1">MIN(100,MAX(0,MCDA_Prioritisation!$H$5+(RAND()-0.5)*2*$B$7))</f>
        <v>77.266661815632133</v>
      </c>
      <c r="Y675" s="54">
        <f ca="1">H675*MCDA_Prioritisation!$D$2+I675*MCDA_Prioritisation!$E$2+J675*M675+K675*Q675+L675*U675</f>
        <v>91.472702024638195</v>
      </c>
      <c r="Z675" s="54">
        <f ca="1">H675*MCDA_Prioritisation!$D$3+I675*MCDA_Prioritisation!$E$3+J675*N675+K675*R675+L675*V675</f>
        <v>82.742900436388979</v>
      </c>
      <c r="AA675" s="54">
        <f ca="1">H675*MCDA_Prioritisation!$D$4+I675*MCDA_Prioritisation!$E$4+J675*O675+K675*S675+L675*W675</f>
        <v>79.00799257952653</v>
      </c>
      <c r="AB675" s="54">
        <f ca="1">H675*MCDA_Prioritisation!$D$5+I675*MCDA_Prioritisation!$E$5+J675*P675+K675*T675+L675*X675</f>
        <v>71.194658492859105</v>
      </c>
      <c r="AC675" s="54">
        <f t="shared" ca="1" si="146"/>
        <v>1</v>
      </c>
      <c r="AD675" s="54">
        <f t="shared" ca="1" si="147"/>
        <v>2</v>
      </c>
      <c r="AE675" s="54">
        <f t="shared" ca="1" si="148"/>
        <v>3</v>
      </c>
      <c r="AF675" s="54">
        <f t="shared" ca="1" si="149"/>
        <v>4</v>
      </c>
      <c r="AG675" s="54">
        <f t="shared" ca="1" si="150"/>
        <v>1</v>
      </c>
      <c r="AH675" s="54">
        <f t="shared" ca="1" si="151"/>
        <v>1</v>
      </c>
      <c r="AI675" s="54">
        <f t="shared" ca="1" si="152"/>
        <v>1</v>
      </c>
      <c r="AJ675" s="54">
        <f t="shared" ca="1" si="153"/>
        <v>1</v>
      </c>
    </row>
    <row r="676" spans="1:36" x14ac:dyDescent="0.2">
      <c r="A676" s="54">
        <v>653</v>
      </c>
      <c r="B676" s="54">
        <f ca="1">MAX(0.02,MCDA_Prioritisation!$B$9+(RAND()-0.5)*2*$B$6)</f>
        <v>0.23814283666215055</v>
      </c>
      <c r="C676" s="54">
        <f ca="1">MAX(0.02,MCDA_Prioritisation!$B$10+(RAND()-0.5)*2*$B$6)</f>
        <v>0.21176217636783767</v>
      </c>
      <c r="D676" s="54">
        <f ca="1">MAX(0.02,MCDA_Prioritisation!$B$11+(RAND()-0.5)*2*$B$6)</f>
        <v>0.20339294914195857</v>
      </c>
      <c r="E676" s="54">
        <f ca="1">MAX(0.02,MCDA_Prioritisation!$B$12+(RAND()-0.5)*2*$B$6)</f>
        <v>0.11633930376308586</v>
      </c>
      <c r="F676" s="54">
        <f ca="1">MAX(0.02,MCDA_Prioritisation!$B$13+(RAND()-0.5)*2*$B$6)</f>
        <v>0.13199928479356338</v>
      </c>
      <c r="G676" s="54">
        <f t="shared" ca="1" si="140"/>
        <v>0.90163655072859605</v>
      </c>
      <c r="H676" s="54">
        <f t="shared" ca="1" si="141"/>
        <v>0.26412287353447644</v>
      </c>
      <c r="I676" s="54">
        <f t="shared" ca="1" si="142"/>
        <v>0.234864232374693</v>
      </c>
      <c r="J676" s="54">
        <f t="shared" ca="1" si="143"/>
        <v>0.22558196978327957</v>
      </c>
      <c r="K676" s="54">
        <f t="shared" ca="1" si="144"/>
        <v>0.12903126394895392</v>
      </c>
      <c r="L676" s="54">
        <f t="shared" ca="1" si="145"/>
        <v>0.146399660358597</v>
      </c>
      <c r="M676" s="54">
        <f ca="1">MIN(100,MAX(0,MCDA_Prioritisation!$F$2+(RAND()-0.5)*2*$B$7))</f>
        <v>92.71870317305229</v>
      </c>
      <c r="N676" s="54">
        <f ca="1">MIN(100,MAX(0,MCDA_Prioritisation!$F$3+(RAND()-0.5)*2*$B$7))</f>
        <v>94.627619234664081</v>
      </c>
      <c r="O676" s="54">
        <f ca="1">MIN(100,MAX(0,MCDA_Prioritisation!$F$4+(RAND()-0.5)*2*$B$7))</f>
        <v>82.494037300292987</v>
      </c>
      <c r="P676" s="54">
        <f ca="1">MIN(100,MAX(0,MCDA_Prioritisation!$F$5+(RAND()-0.5)*2*$B$7))</f>
        <v>83.405883556544126</v>
      </c>
      <c r="Q676" s="54">
        <f ca="1">MIN(100,MAX(0,MCDA_Prioritisation!$G$2+(RAND()-0.5)*2*$B$7))</f>
        <v>82.687166975823999</v>
      </c>
      <c r="R676" s="54">
        <f ca="1">MIN(100,MAX(0,MCDA_Prioritisation!$G$3+(RAND()-0.5)*2*$B$7))</f>
        <v>86.30067652188545</v>
      </c>
      <c r="S676" s="54">
        <f ca="1">MIN(100,MAX(0,MCDA_Prioritisation!$G$4+(RAND()-0.5)*2*$B$7))</f>
        <v>89.485874821898946</v>
      </c>
      <c r="T676" s="54">
        <f ca="1">MIN(100,MAX(0,MCDA_Prioritisation!$G$5+(RAND()-0.5)*2*$B$7))</f>
        <v>69.272193207319532</v>
      </c>
      <c r="U676" s="54">
        <f ca="1">MIN(100,MAX(0,MCDA_Prioritisation!$H$2+(RAND()-0.5)*2*$B$7))</f>
        <v>64.849730394402144</v>
      </c>
      <c r="V676" s="54">
        <f ca="1">MIN(100,MAX(0,MCDA_Prioritisation!$H$3+(RAND()-0.5)*2*$B$7))</f>
        <v>57.267437594778954</v>
      </c>
      <c r="W676" s="54">
        <f ca="1">MIN(100,MAX(0,MCDA_Prioritisation!$H$4+(RAND()-0.5)*2*$B$7))</f>
        <v>75.549101793533424</v>
      </c>
      <c r="X676" s="54">
        <f ca="1">MIN(100,MAX(0,MCDA_Prioritisation!$H$5+(RAND()-0.5)*2*$B$7))</f>
        <v>73.823289530435929</v>
      </c>
      <c r="Y676" s="54">
        <f ca="1">H676*MCDA_Prioritisation!$D$2+I676*MCDA_Prioritisation!$E$2+J676*M676+K676*Q676+L676*U676</f>
        <v>90.977586459781122</v>
      </c>
      <c r="Z676" s="54">
        <f ca="1">H676*MCDA_Prioritisation!$D$3+I676*MCDA_Prioritisation!$E$3+J676*N676+K676*R676+L676*V676</f>
        <v>81.030242932574083</v>
      </c>
      <c r="AA676" s="54">
        <f ca="1">H676*MCDA_Prioritisation!$D$4+I676*MCDA_Prioritisation!$E$4+J676*O676+K676*S676+L676*W676</f>
        <v>72.418746357796451</v>
      </c>
      <c r="AB676" s="54">
        <f ca="1">H676*MCDA_Prioritisation!$D$5+I676*MCDA_Prioritisation!$E$5+J676*P676+K676*T676+L676*X676</f>
        <v>72.329350012537518</v>
      </c>
      <c r="AC676" s="54">
        <f t="shared" ca="1" si="146"/>
        <v>1</v>
      </c>
      <c r="AD676" s="54">
        <f t="shared" ca="1" si="147"/>
        <v>2</v>
      </c>
      <c r="AE676" s="54">
        <f t="shared" ca="1" si="148"/>
        <v>3</v>
      </c>
      <c r="AF676" s="54">
        <f t="shared" ca="1" si="149"/>
        <v>4</v>
      </c>
      <c r="AG676" s="54">
        <f t="shared" ca="1" si="150"/>
        <v>1</v>
      </c>
      <c r="AH676" s="54">
        <f t="shared" ca="1" si="151"/>
        <v>1</v>
      </c>
      <c r="AI676" s="54">
        <f t="shared" ca="1" si="152"/>
        <v>1</v>
      </c>
      <c r="AJ676" s="54">
        <f t="shared" ca="1" si="153"/>
        <v>1</v>
      </c>
    </row>
    <row r="677" spans="1:36" x14ac:dyDescent="0.2">
      <c r="A677" s="54">
        <v>654</v>
      </c>
      <c r="B677" s="54">
        <f ca="1">MAX(0.02,MCDA_Prioritisation!$B$9+(RAND()-0.5)*2*$B$6)</f>
        <v>0.17534852833118658</v>
      </c>
      <c r="C677" s="54">
        <f ca="1">MAX(0.02,MCDA_Prioritisation!$B$10+(RAND()-0.5)*2*$B$6)</f>
        <v>0.22709364945422322</v>
      </c>
      <c r="D677" s="54">
        <f ca="1">MAX(0.02,MCDA_Prioritisation!$B$11+(RAND()-0.5)*2*$B$6)</f>
        <v>0.25042125989553604</v>
      </c>
      <c r="E677" s="54">
        <f ca="1">MAX(0.02,MCDA_Prioritisation!$B$12+(RAND()-0.5)*2*$B$6)</f>
        <v>0.10340268470196087</v>
      </c>
      <c r="F677" s="54">
        <f ca="1">MAX(0.02,MCDA_Prioritisation!$B$13+(RAND()-0.5)*2*$B$6)</f>
        <v>0.17961512272390237</v>
      </c>
      <c r="G677" s="54">
        <f t="shared" ca="1" si="140"/>
        <v>0.93588124510680915</v>
      </c>
      <c r="H677" s="54">
        <f t="shared" ca="1" si="141"/>
        <v>0.18736194281911764</v>
      </c>
      <c r="I677" s="54">
        <f t="shared" ca="1" si="142"/>
        <v>0.2426522068281278</v>
      </c>
      <c r="J677" s="54">
        <f t="shared" ca="1" si="143"/>
        <v>0.26757803001699887</v>
      </c>
      <c r="K677" s="54">
        <f t="shared" ca="1" si="144"/>
        <v>0.11048697176334574</v>
      </c>
      <c r="L677" s="54">
        <f t="shared" ca="1" si="145"/>
        <v>0.19192084857240993</v>
      </c>
      <c r="M677" s="54">
        <f ca="1">MIN(100,MAX(0,MCDA_Prioritisation!$F$2+(RAND()-0.5)*2*$B$7))</f>
        <v>92.133341021242842</v>
      </c>
      <c r="N677" s="54">
        <f ca="1">MIN(100,MAX(0,MCDA_Prioritisation!$F$3+(RAND()-0.5)*2*$B$7))</f>
        <v>97.566447713496132</v>
      </c>
      <c r="O677" s="54">
        <f ca="1">MIN(100,MAX(0,MCDA_Prioritisation!$F$4+(RAND()-0.5)*2*$B$7))</f>
        <v>87.14549549795899</v>
      </c>
      <c r="P677" s="54">
        <f ca="1">MIN(100,MAX(0,MCDA_Prioritisation!$F$5+(RAND()-0.5)*2*$B$7))</f>
        <v>81.264896925728664</v>
      </c>
      <c r="Q677" s="54">
        <f ca="1">MIN(100,MAX(0,MCDA_Prioritisation!$G$2+(RAND()-0.5)*2*$B$7))</f>
        <v>83.28695670986572</v>
      </c>
      <c r="R677" s="54">
        <f ca="1">MIN(100,MAX(0,MCDA_Prioritisation!$G$3+(RAND()-0.5)*2*$B$7))</f>
        <v>91.314874736429971</v>
      </c>
      <c r="S677" s="54">
        <f ca="1">MIN(100,MAX(0,MCDA_Prioritisation!$G$4+(RAND()-0.5)*2*$B$7))</f>
        <v>93.691624949358257</v>
      </c>
      <c r="T677" s="54">
        <f ca="1">MIN(100,MAX(0,MCDA_Prioritisation!$G$5+(RAND()-0.5)*2*$B$7))</f>
        <v>79.890039709262481</v>
      </c>
      <c r="U677" s="54">
        <f ca="1">MIN(100,MAX(0,MCDA_Prioritisation!$H$2+(RAND()-0.5)*2*$B$7))</f>
        <v>61.32249106192068</v>
      </c>
      <c r="V677" s="54">
        <f ca="1">MIN(100,MAX(0,MCDA_Prioritisation!$H$3+(RAND()-0.5)*2*$B$7))</f>
        <v>59.166776877216563</v>
      </c>
      <c r="W677" s="54">
        <f ca="1">MIN(100,MAX(0,MCDA_Prioritisation!$H$4+(RAND()-0.5)*2*$B$7))</f>
        <v>82.048183813586135</v>
      </c>
      <c r="X677" s="54">
        <f ca="1">MIN(100,MAX(0,MCDA_Prioritisation!$H$5+(RAND()-0.5)*2*$B$7))</f>
        <v>68.032603951694469</v>
      </c>
      <c r="Y677" s="54">
        <f ca="1">H677*MCDA_Prioritisation!$D$2+I677*MCDA_Prioritisation!$E$2+J677*M677+K677*Q677+L677*U677</f>
        <v>88.625461009508825</v>
      </c>
      <c r="Z677" s="54">
        <f ca="1">H677*MCDA_Prioritisation!$D$3+I677*MCDA_Prioritisation!$E$3+J677*N677+K677*R677+L677*V677</f>
        <v>81.573354710939498</v>
      </c>
      <c r="AA677" s="54">
        <f ca="1">H677*MCDA_Prioritisation!$D$4+I677*MCDA_Prioritisation!$E$4+J677*O677+K677*S677+L677*W677</f>
        <v>75.699040181559809</v>
      </c>
      <c r="AB677" s="54">
        <f ca="1">H677*MCDA_Prioritisation!$D$5+I677*MCDA_Prioritisation!$E$5+J677*P677+K677*T677+L677*X677</f>
        <v>73.977631170417027</v>
      </c>
      <c r="AC677" s="54">
        <f t="shared" ca="1" si="146"/>
        <v>1</v>
      </c>
      <c r="AD677" s="54">
        <f t="shared" ca="1" si="147"/>
        <v>2</v>
      </c>
      <c r="AE677" s="54">
        <f t="shared" ca="1" si="148"/>
        <v>3</v>
      </c>
      <c r="AF677" s="54">
        <f t="shared" ca="1" si="149"/>
        <v>4</v>
      </c>
      <c r="AG677" s="54">
        <f t="shared" ca="1" si="150"/>
        <v>1</v>
      </c>
      <c r="AH677" s="54">
        <f t="shared" ca="1" si="151"/>
        <v>1</v>
      </c>
      <c r="AI677" s="54">
        <f t="shared" ca="1" si="152"/>
        <v>1</v>
      </c>
      <c r="AJ677" s="54">
        <f t="shared" ca="1" si="153"/>
        <v>1</v>
      </c>
    </row>
    <row r="678" spans="1:36" x14ac:dyDescent="0.2">
      <c r="A678" s="54">
        <v>655</v>
      </c>
      <c r="B678" s="54">
        <f ca="1">MAX(0.02,MCDA_Prioritisation!$B$9+(RAND()-0.5)*2*$B$6)</f>
        <v>0.1984129470922649</v>
      </c>
      <c r="C678" s="54">
        <f ca="1">MAX(0.02,MCDA_Prioritisation!$B$10+(RAND()-0.5)*2*$B$6)</f>
        <v>0.24218116700472478</v>
      </c>
      <c r="D678" s="54">
        <f ca="1">MAX(0.02,MCDA_Prioritisation!$B$11+(RAND()-0.5)*2*$B$6)</f>
        <v>0.25346509252292371</v>
      </c>
      <c r="E678" s="54">
        <f ca="1">MAX(0.02,MCDA_Prioritisation!$B$12+(RAND()-0.5)*2*$B$6)</f>
        <v>0.14812387828134055</v>
      </c>
      <c r="F678" s="54">
        <f ca="1">MAX(0.02,MCDA_Prioritisation!$B$13+(RAND()-0.5)*2*$B$6)</f>
        <v>0.16184015199244997</v>
      </c>
      <c r="G678" s="54">
        <f t="shared" ca="1" si="140"/>
        <v>1.0040232368937039</v>
      </c>
      <c r="H678" s="54">
        <f t="shared" ca="1" si="141"/>
        <v>0.19761788353238174</v>
      </c>
      <c r="I678" s="54">
        <f t="shared" ca="1" si="142"/>
        <v>0.24121071914032258</v>
      </c>
      <c r="J678" s="54">
        <f t="shared" ca="1" si="143"/>
        <v>0.2524494286677133</v>
      </c>
      <c r="K678" s="54">
        <f t="shared" ca="1" si="144"/>
        <v>0.14753032881949371</v>
      </c>
      <c r="L678" s="54">
        <f t="shared" ca="1" si="145"/>
        <v>0.16119163984008869</v>
      </c>
      <c r="M678" s="54">
        <f ca="1">MIN(100,MAX(0,MCDA_Prioritisation!$F$2+(RAND()-0.5)*2*$B$7))</f>
        <v>92.090974853095133</v>
      </c>
      <c r="N678" s="54">
        <f ca="1">MIN(100,MAX(0,MCDA_Prioritisation!$F$3+(RAND()-0.5)*2*$B$7))</f>
        <v>100</v>
      </c>
      <c r="O678" s="54">
        <f ca="1">MIN(100,MAX(0,MCDA_Prioritisation!$F$4+(RAND()-0.5)*2*$B$7))</f>
        <v>88.169160947246368</v>
      </c>
      <c r="P678" s="54">
        <f ca="1">MIN(100,MAX(0,MCDA_Prioritisation!$F$5+(RAND()-0.5)*2*$B$7))</f>
        <v>82.894459416043489</v>
      </c>
      <c r="Q678" s="54">
        <f ca="1">MIN(100,MAX(0,MCDA_Prioritisation!$G$2+(RAND()-0.5)*2*$B$7))</f>
        <v>88.244987007677324</v>
      </c>
      <c r="R678" s="54">
        <f ca="1">MIN(100,MAX(0,MCDA_Prioritisation!$G$3+(RAND()-0.5)*2*$B$7))</f>
        <v>98.044548025567522</v>
      </c>
      <c r="S678" s="54">
        <f ca="1">MIN(100,MAX(0,MCDA_Prioritisation!$G$4+(RAND()-0.5)*2*$B$7))</f>
        <v>89.310193230151995</v>
      </c>
      <c r="T678" s="54">
        <f ca="1">MIN(100,MAX(0,MCDA_Prioritisation!$G$5+(RAND()-0.5)*2*$B$7))</f>
        <v>67.814869893291146</v>
      </c>
      <c r="U678" s="54">
        <f ca="1">MIN(100,MAX(0,MCDA_Prioritisation!$H$2+(RAND()-0.5)*2*$B$7))</f>
        <v>67.010519985364695</v>
      </c>
      <c r="V678" s="54">
        <f ca="1">MIN(100,MAX(0,MCDA_Prioritisation!$H$3+(RAND()-0.5)*2*$B$7))</f>
        <v>67.413351163054855</v>
      </c>
      <c r="W678" s="54">
        <f ca="1">MIN(100,MAX(0,MCDA_Prioritisation!$H$4+(RAND()-0.5)*2*$B$7))</f>
        <v>78.496260798541527</v>
      </c>
      <c r="X678" s="54">
        <f ca="1">MIN(100,MAX(0,MCDA_Prioritisation!$H$5+(RAND()-0.5)*2*$B$7))</f>
        <v>75.027236658487922</v>
      </c>
      <c r="Y678" s="54">
        <f ca="1">H678*MCDA_Prioritisation!$D$2+I678*MCDA_Prioritisation!$E$2+J678*M678+K678*Q678+L678*U678</f>
        <v>90.95152180727959</v>
      </c>
      <c r="Z678" s="54">
        <f ca="1">H678*MCDA_Prioritisation!$D$3+I678*MCDA_Prioritisation!$E$3+J678*N678+K678*R678+L678*V678</f>
        <v>85.389732054661664</v>
      </c>
      <c r="AA678" s="54">
        <f ca="1">H678*MCDA_Prioritisation!$D$4+I678*MCDA_Prioritisation!$E$4+J678*O678+K678*S678+L678*W678</f>
        <v>75.005053490182888</v>
      </c>
      <c r="AB678" s="54">
        <f ca="1">H678*MCDA_Prioritisation!$D$5+I678*MCDA_Prioritisation!$E$5+J678*P678+K678*T678+L678*X678</f>
        <v>73.797545951331642</v>
      </c>
      <c r="AC678" s="54">
        <f t="shared" ca="1" si="146"/>
        <v>1</v>
      </c>
      <c r="AD678" s="54">
        <f t="shared" ca="1" si="147"/>
        <v>2</v>
      </c>
      <c r="AE678" s="54">
        <f t="shared" ca="1" si="148"/>
        <v>3</v>
      </c>
      <c r="AF678" s="54">
        <f t="shared" ca="1" si="149"/>
        <v>4</v>
      </c>
      <c r="AG678" s="54">
        <f t="shared" ca="1" si="150"/>
        <v>1</v>
      </c>
      <c r="AH678" s="54">
        <f t="shared" ca="1" si="151"/>
        <v>1</v>
      </c>
      <c r="AI678" s="54">
        <f t="shared" ca="1" si="152"/>
        <v>1</v>
      </c>
      <c r="AJ678" s="54">
        <f t="shared" ca="1" si="153"/>
        <v>1</v>
      </c>
    </row>
    <row r="679" spans="1:36" x14ac:dyDescent="0.2">
      <c r="A679" s="54">
        <v>656</v>
      </c>
      <c r="B679" s="54">
        <f ca="1">MAX(0.02,MCDA_Prioritisation!$B$9+(RAND()-0.5)*2*$B$6)</f>
        <v>0.27404951299452962</v>
      </c>
      <c r="C679" s="54">
        <f ca="1">MAX(0.02,MCDA_Prioritisation!$B$10+(RAND()-0.5)*2*$B$6)</f>
        <v>0.24304974821923445</v>
      </c>
      <c r="D679" s="54">
        <f ca="1">MAX(0.02,MCDA_Prioritisation!$B$11+(RAND()-0.5)*2*$B$6)</f>
        <v>0.19172737256250655</v>
      </c>
      <c r="E679" s="54">
        <f ca="1">MAX(0.02,MCDA_Prioritisation!$B$12+(RAND()-0.5)*2*$B$6)</f>
        <v>0.19055699958127326</v>
      </c>
      <c r="F679" s="54">
        <f ca="1">MAX(0.02,MCDA_Prioritisation!$B$13+(RAND()-0.5)*2*$B$6)</f>
        <v>0.17038446792385317</v>
      </c>
      <c r="G679" s="54">
        <f t="shared" ca="1" si="140"/>
        <v>1.0697681012813969</v>
      </c>
      <c r="H679" s="54">
        <f t="shared" ca="1" si="141"/>
        <v>0.25617656075766865</v>
      </c>
      <c r="I679" s="54">
        <f t="shared" ca="1" si="142"/>
        <v>0.22719853763456113</v>
      </c>
      <c r="J679" s="54">
        <f t="shared" ca="1" si="143"/>
        <v>0.17922330300637154</v>
      </c>
      <c r="K679" s="54">
        <f t="shared" ca="1" si="144"/>
        <v>0.17812925937221252</v>
      </c>
      <c r="L679" s="54">
        <f t="shared" ca="1" si="145"/>
        <v>0.15927233922918629</v>
      </c>
      <c r="M679" s="54">
        <f ca="1">MIN(100,MAX(0,MCDA_Prioritisation!$F$2+(RAND()-0.5)*2*$B$7))</f>
        <v>78.45579509440752</v>
      </c>
      <c r="N679" s="54">
        <f ca="1">MIN(100,MAX(0,MCDA_Prioritisation!$F$3+(RAND()-0.5)*2*$B$7))</f>
        <v>100</v>
      </c>
      <c r="O679" s="54">
        <f ca="1">MIN(100,MAX(0,MCDA_Prioritisation!$F$4+(RAND()-0.5)*2*$B$7))</f>
        <v>82.531743098887929</v>
      </c>
      <c r="P679" s="54">
        <f ca="1">MIN(100,MAX(0,MCDA_Prioritisation!$F$5+(RAND()-0.5)*2*$B$7))</f>
        <v>66.884440253496535</v>
      </c>
      <c r="Q679" s="54">
        <f ca="1">MIN(100,MAX(0,MCDA_Prioritisation!$G$2+(RAND()-0.5)*2*$B$7))</f>
        <v>74.099764595103807</v>
      </c>
      <c r="R679" s="54">
        <f ca="1">MIN(100,MAX(0,MCDA_Prioritisation!$G$3+(RAND()-0.5)*2*$B$7))</f>
        <v>100</v>
      </c>
      <c r="S679" s="54">
        <f ca="1">MIN(100,MAX(0,MCDA_Prioritisation!$G$4+(RAND()-0.5)*2*$B$7))</f>
        <v>90.16812496478552</v>
      </c>
      <c r="T679" s="54">
        <f ca="1">MIN(100,MAX(0,MCDA_Prioritisation!$G$5+(RAND()-0.5)*2*$B$7))</f>
        <v>70.778117576239168</v>
      </c>
      <c r="U679" s="54">
        <f ca="1">MIN(100,MAX(0,MCDA_Prioritisation!$H$2+(RAND()-0.5)*2*$B$7))</f>
        <v>57.485643666804471</v>
      </c>
      <c r="V679" s="54">
        <f ca="1">MIN(100,MAX(0,MCDA_Prioritisation!$H$3+(RAND()-0.5)*2*$B$7))</f>
        <v>60.012290592774121</v>
      </c>
      <c r="W679" s="54">
        <f ca="1">MIN(100,MAX(0,MCDA_Prioritisation!$H$4+(RAND()-0.5)*2*$B$7))</f>
        <v>78.069126972564547</v>
      </c>
      <c r="X679" s="54">
        <f ca="1">MIN(100,MAX(0,MCDA_Prioritisation!$H$5+(RAND()-0.5)*2*$B$7))</f>
        <v>69.021875113402331</v>
      </c>
      <c r="Y679" s="54">
        <f ca="1">H679*MCDA_Prioritisation!$D$2+I679*MCDA_Prioritisation!$E$2+J679*M679+K679*Q679+L679*U679</f>
        <v>84.753825701922324</v>
      </c>
      <c r="Z679" s="54">
        <f ca="1">H679*MCDA_Prioritisation!$D$3+I679*MCDA_Prioritisation!$E$3+J679*N679+K679*R679+L679*V679</f>
        <v>84.206105855562598</v>
      </c>
      <c r="AA679" s="54">
        <f ca="1">H679*MCDA_Prioritisation!$D$4+I679*MCDA_Prioritisation!$E$4+J679*O679+K679*S679+L679*W679</f>
        <v>73.518722633333269</v>
      </c>
      <c r="AB679" s="54">
        <f ca="1">H679*MCDA_Prioritisation!$D$5+I679*MCDA_Prioritisation!$E$5+J679*P679+K679*T679+L679*X679</f>
        <v>68.290309960403022</v>
      </c>
      <c r="AC679" s="54">
        <f t="shared" ca="1" si="146"/>
        <v>1</v>
      </c>
      <c r="AD679" s="54">
        <f t="shared" ca="1" si="147"/>
        <v>2</v>
      </c>
      <c r="AE679" s="54">
        <f t="shared" ca="1" si="148"/>
        <v>3</v>
      </c>
      <c r="AF679" s="54">
        <f t="shared" ca="1" si="149"/>
        <v>4</v>
      </c>
      <c r="AG679" s="54">
        <f t="shared" ca="1" si="150"/>
        <v>1</v>
      </c>
      <c r="AH679" s="54">
        <f t="shared" ca="1" si="151"/>
        <v>1</v>
      </c>
      <c r="AI679" s="54">
        <f t="shared" ca="1" si="152"/>
        <v>1</v>
      </c>
      <c r="AJ679" s="54">
        <f t="shared" ca="1" si="153"/>
        <v>1</v>
      </c>
    </row>
    <row r="680" spans="1:36" x14ac:dyDescent="0.2">
      <c r="A680" s="54">
        <v>657</v>
      </c>
      <c r="B680" s="54">
        <f ca="1">MAX(0.02,MCDA_Prioritisation!$B$9+(RAND()-0.5)*2*$B$6)</f>
        <v>0.12467231044692206</v>
      </c>
      <c r="C680" s="54">
        <f ca="1">MAX(0.02,MCDA_Prioritisation!$B$10+(RAND()-0.5)*2*$B$6)</f>
        <v>0.23203156437937814</v>
      </c>
      <c r="D680" s="54">
        <f ca="1">MAX(0.02,MCDA_Prioritisation!$B$11+(RAND()-0.5)*2*$B$6)</f>
        <v>0.21961633270972153</v>
      </c>
      <c r="E680" s="54">
        <f ca="1">MAX(0.02,MCDA_Prioritisation!$B$12+(RAND()-0.5)*2*$B$6)</f>
        <v>0.1335882469882608</v>
      </c>
      <c r="F680" s="54">
        <f ca="1">MAX(0.02,MCDA_Prioritisation!$B$13+(RAND()-0.5)*2*$B$6)</f>
        <v>0.15666251748811474</v>
      </c>
      <c r="G680" s="54">
        <f t="shared" ca="1" si="140"/>
        <v>0.86657097201239719</v>
      </c>
      <c r="H680" s="54">
        <f t="shared" ca="1" si="141"/>
        <v>0.14386855142101218</v>
      </c>
      <c r="I680" s="54">
        <f t="shared" ca="1" si="142"/>
        <v>0.26775829317308208</v>
      </c>
      <c r="J680" s="54">
        <f t="shared" ca="1" si="143"/>
        <v>0.25343144393553457</v>
      </c>
      <c r="K680" s="54">
        <f t="shared" ca="1" si="144"/>
        <v>0.15415730655970977</v>
      </c>
      <c r="L680" s="54">
        <f t="shared" ca="1" si="145"/>
        <v>0.18078440491066153</v>
      </c>
      <c r="M680" s="54">
        <f ca="1">MIN(100,MAX(0,MCDA_Prioritisation!$F$2+(RAND()-0.5)*2*$B$7))</f>
        <v>89.936408015188121</v>
      </c>
      <c r="N680" s="54">
        <f ca="1">MIN(100,MAX(0,MCDA_Prioritisation!$F$3+(RAND()-0.5)*2*$B$7))</f>
        <v>98.089324378001081</v>
      </c>
      <c r="O680" s="54">
        <f ca="1">MIN(100,MAX(0,MCDA_Prioritisation!$F$4+(RAND()-0.5)*2*$B$7))</f>
        <v>87.858860074921893</v>
      </c>
      <c r="P680" s="54">
        <f ca="1">MIN(100,MAX(0,MCDA_Prioritisation!$F$5+(RAND()-0.5)*2*$B$7))</f>
        <v>68.763100222212799</v>
      </c>
      <c r="Q680" s="54">
        <f ca="1">MIN(100,MAX(0,MCDA_Prioritisation!$G$2+(RAND()-0.5)*2*$B$7))</f>
        <v>72.749856881667071</v>
      </c>
      <c r="R680" s="54">
        <f ca="1">MIN(100,MAX(0,MCDA_Prioritisation!$G$3+(RAND()-0.5)*2*$B$7))</f>
        <v>90.317081488669231</v>
      </c>
      <c r="S680" s="54">
        <f ca="1">MIN(100,MAX(0,MCDA_Prioritisation!$G$4+(RAND()-0.5)*2*$B$7))</f>
        <v>83.061776589950782</v>
      </c>
      <c r="T680" s="54">
        <f ca="1">MIN(100,MAX(0,MCDA_Prioritisation!$G$5+(RAND()-0.5)*2*$B$7))</f>
        <v>66.141637269261309</v>
      </c>
      <c r="U680" s="54">
        <f ca="1">MIN(100,MAX(0,MCDA_Prioritisation!$H$2+(RAND()-0.5)*2*$B$7))</f>
        <v>72.266848342215425</v>
      </c>
      <c r="V680" s="54">
        <f ca="1">MIN(100,MAX(0,MCDA_Prioritisation!$H$3+(RAND()-0.5)*2*$B$7))</f>
        <v>61.507242076057928</v>
      </c>
      <c r="W680" s="54">
        <f ca="1">MIN(100,MAX(0,MCDA_Prioritisation!$H$4+(RAND()-0.5)*2*$B$7))</f>
        <v>83.305456162501599</v>
      </c>
      <c r="X680" s="54">
        <f ca="1">MIN(100,MAX(0,MCDA_Prioritisation!$H$5+(RAND()-0.5)*2*$B$7))</f>
        <v>76.827864478772781</v>
      </c>
      <c r="Y680" s="54">
        <f ca="1">H680*MCDA_Prioritisation!$D$2+I680*MCDA_Prioritisation!$E$2+J680*M680+K680*Q680+L680*U680</f>
        <v>88.235039366872542</v>
      </c>
      <c r="Z680" s="54">
        <f ca="1">H680*MCDA_Prioritisation!$D$3+I680*MCDA_Prioritisation!$E$3+J680*N680+K680*R680+L680*V680</f>
        <v>81.948494362513074</v>
      </c>
      <c r="AA680" s="54">
        <f ca="1">H680*MCDA_Prioritisation!$D$4+I680*MCDA_Prioritisation!$E$4+J680*O680+K680*S680+L680*W680</f>
        <v>74.75426283128418</v>
      </c>
      <c r="AB680" s="54">
        <f ca="1">H680*MCDA_Prioritisation!$D$5+I680*MCDA_Prioritisation!$E$5+J680*P680+K680*T680+L680*X680</f>
        <v>71.6642178656341</v>
      </c>
      <c r="AC680" s="54">
        <f t="shared" ca="1" si="146"/>
        <v>1</v>
      </c>
      <c r="AD680" s="54">
        <f t="shared" ca="1" si="147"/>
        <v>2</v>
      </c>
      <c r="AE680" s="54">
        <f t="shared" ca="1" si="148"/>
        <v>3</v>
      </c>
      <c r="AF680" s="54">
        <f t="shared" ca="1" si="149"/>
        <v>4</v>
      </c>
      <c r="AG680" s="54">
        <f t="shared" ca="1" si="150"/>
        <v>1</v>
      </c>
      <c r="AH680" s="54">
        <f t="shared" ca="1" si="151"/>
        <v>1</v>
      </c>
      <c r="AI680" s="54">
        <f t="shared" ca="1" si="152"/>
        <v>1</v>
      </c>
      <c r="AJ680" s="54">
        <f t="shared" ca="1" si="153"/>
        <v>1</v>
      </c>
    </row>
    <row r="681" spans="1:36" x14ac:dyDescent="0.2">
      <c r="A681" s="54">
        <v>658</v>
      </c>
      <c r="B681" s="54">
        <f ca="1">MAX(0.02,MCDA_Prioritisation!$B$9+(RAND()-0.5)*2*$B$6)</f>
        <v>0.24055339434348105</v>
      </c>
      <c r="C681" s="54">
        <f ca="1">MAX(0.02,MCDA_Prioritisation!$B$10+(RAND()-0.5)*2*$B$6)</f>
        <v>0.23860518880852749</v>
      </c>
      <c r="D681" s="54">
        <f ca="1">MAX(0.02,MCDA_Prioritisation!$B$11+(RAND()-0.5)*2*$B$6)</f>
        <v>0.22987757723665575</v>
      </c>
      <c r="E681" s="54">
        <f ca="1">MAX(0.02,MCDA_Prioritisation!$B$12+(RAND()-0.5)*2*$B$6)</f>
        <v>0.15881892172199813</v>
      </c>
      <c r="F681" s="54">
        <f ca="1">MAX(0.02,MCDA_Prioritisation!$B$13+(RAND()-0.5)*2*$B$6)</f>
        <v>0.20599752389540987</v>
      </c>
      <c r="G681" s="54">
        <f t="shared" ca="1" si="140"/>
        <v>1.0738526060060725</v>
      </c>
      <c r="H681" s="54">
        <f t="shared" ca="1" si="141"/>
        <v>0.22400969462481404</v>
      </c>
      <c r="I681" s="54">
        <f t="shared" ca="1" si="142"/>
        <v>0.22219547401012521</v>
      </c>
      <c r="J681" s="54">
        <f t="shared" ca="1" si="143"/>
        <v>0.21406809086363182</v>
      </c>
      <c r="K681" s="54">
        <f t="shared" ca="1" si="144"/>
        <v>0.14789638804592148</v>
      </c>
      <c r="L681" s="54">
        <f t="shared" ca="1" si="145"/>
        <v>0.19183035245550728</v>
      </c>
      <c r="M681" s="54">
        <f ca="1">MIN(100,MAX(0,MCDA_Prioritisation!$F$2+(RAND()-0.5)*2*$B$7))</f>
        <v>84.114895824453086</v>
      </c>
      <c r="N681" s="54">
        <f ca="1">MIN(100,MAX(0,MCDA_Prioritisation!$F$3+(RAND()-0.5)*2*$B$7))</f>
        <v>92.016006227382874</v>
      </c>
      <c r="O681" s="54">
        <f ca="1">MIN(100,MAX(0,MCDA_Prioritisation!$F$4+(RAND()-0.5)*2*$B$7))</f>
        <v>90.354926568579714</v>
      </c>
      <c r="P681" s="54">
        <f ca="1">MIN(100,MAX(0,MCDA_Prioritisation!$F$5+(RAND()-0.5)*2*$B$7))</f>
        <v>69.742524842098106</v>
      </c>
      <c r="Q681" s="54">
        <f ca="1">MIN(100,MAX(0,MCDA_Prioritisation!$G$2+(RAND()-0.5)*2*$B$7))</f>
        <v>84.634403852875181</v>
      </c>
      <c r="R681" s="54">
        <f ca="1">MIN(100,MAX(0,MCDA_Prioritisation!$G$3+(RAND()-0.5)*2*$B$7))</f>
        <v>89.543767064493807</v>
      </c>
      <c r="S681" s="54">
        <f ca="1">MIN(100,MAX(0,MCDA_Prioritisation!$G$4+(RAND()-0.5)*2*$B$7))</f>
        <v>87.235189326525159</v>
      </c>
      <c r="T681" s="54">
        <f ca="1">MIN(100,MAX(0,MCDA_Prioritisation!$G$5+(RAND()-0.5)*2*$B$7))</f>
        <v>66.71651721292271</v>
      </c>
      <c r="U681" s="54">
        <f ca="1">MIN(100,MAX(0,MCDA_Prioritisation!$H$2+(RAND()-0.5)*2*$B$7))</f>
        <v>58.618437701900149</v>
      </c>
      <c r="V681" s="54">
        <f ca="1">MIN(100,MAX(0,MCDA_Prioritisation!$H$3+(RAND()-0.5)*2*$B$7))</f>
        <v>59.484038009363388</v>
      </c>
      <c r="W681" s="54">
        <f ca="1">MIN(100,MAX(0,MCDA_Prioritisation!$H$4+(RAND()-0.5)*2*$B$7))</f>
        <v>71.261836236869613</v>
      </c>
      <c r="X681" s="54">
        <f ca="1">MIN(100,MAX(0,MCDA_Prioritisation!$H$5+(RAND()-0.5)*2*$B$7))</f>
        <v>74.221843522808953</v>
      </c>
      <c r="Y681" s="54">
        <f ca="1">H681*MCDA_Prioritisation!$D$2+I681*MCDA_Prioritisation!$E$2+J681*M681+K681*Q681+L681*U681</f>
        <v>86.388750224834638</v>
      </c>
      <c r="Z681" s="54">
        <f ca="1">H681*MCDA_Prioritisation!$D$3+I681*MCDA_Prioritisation!$E$3+J681*N681+K681*R681+L681*V681</f>
        <v>80.089144590564516</v>
      </c>
      <c r="AA681" s="54">
        <f ca="1">H681*MCDA_Prioritisation!$D$4+I681*MCDA_Prioritisation!$E$4+J681*O681+K681*S681+L681*W681</f>
        <v>73.632530602470311</v>
      </c>
      <c r="AB681" s="54">
        <f ca="1">H681*MCDA_Prioritisation!$D$5+I681*MCDA_Prioritisation!$E$5+J681*P681+K681*T681+L681*X681</f>
        <v>69.608916742958158</v>
      </c>
      <c r="AC681" s="54">
        <f t="shared" ca="1" si="146"/>
        <v>1</v>
      </c>
      <c r="AD681" s="54">
        <f t="shared" ca="1" si="147"/>
        <v>2</v>
      </c>
      <c r="AE681" s="54">
        <f t="shared" ca="1" si="148"/>
        <v>3</v>
      </c>
      <c r="AF681" s="54">
        <f t="shared" ca="1" si="149"/>
        <v>4</v>
      </c>
      <c r="AG681" s="54">
        <f t="shared" ca="1" si="150"/>
        <v>1</v>
      </c>
      <c r="AH681" s="54">
        <f t="shared" ca="1" si="151"/>
        <v>1</v>
      </c>
      <c r="AI681" s="54">
        <f t="shared" ca="1" si="152"/>
        <v>1</v>
      </c>
      <c r="AJ681" s="54">
        <f t="shared" ca="1" si="153"/>
        <v>1</v>
      </c>
    </row>
    <row r="682" spans="1:36" x14ac:dyDescent="0.2">
      <c r="A682" s="54">
        <v>659</v>
      </c>
      <c r="B682" s="54">
        <f ca="1">MAX(0.02,MCDA_Prioritisation!$B$9+(RAND()-0.5)*2*$B$6)</f>
        <v>0.27247737334102529</v>
      </c>
      <c r="C682" s="54">
        <f ca="1">MAX(0.02,MCDA_Prioritisation!$B$10+(RAND()-0.5)*2*$B$6)</f>
        <v>0.17264534205850024</v>
      </c>
      <c r="D682" s="54">
        <f ca="1">MAX(0.02,MCDA_Prioritisation!$B$11+(RAND()-0.5)*2*$B$6)</f>
        <v>0.28937026850715347</v>
      </c>
      <c r="E682" s="54">
        <f ca="1">MAX(0.02,MCDA_Prioritisation!$B$12+(RAND()-0.5)*2*$B$6)</f>
        <v>0.20982654954374508</v>
      </c>
      <c r="F682" s="54">
        <f ca="1">MAX(0.02,MCDA_Prioritisation!$B$13+(RAND()-0.5)*2*$B$6)</f>
        <v>0.21400296810452216</v>
      </c>
      <c r="G682" s="54">
        <f t="shared" ca="1" si="140"/>
        <v>1.1583225015549461</v>
      </c>
      <c r="H682" s="54">
        <f t="shared" ca="1" si="141"/>
        <v>0.23523446447362317</v>
      </c>
      <c r="I682" s="54">
        <f t="shared" ca="1" si="142"/>
        <v>0.14904773223928486</v>
      </c>
      <c r="J682" s="54">
        <f t="shared" ca="1" si="143"/>
        <v>0.24981839523854482</v>
      </c>
      <c r="K682" s="54">
        <f t="shared" ca="1" si="144"/>
        <v>0.18114691656431728</v>
      </c>
      <c r="L682" s="54">
        <f t="shared" ca="1" si="145"/>
        <v>0.18475249148422998</v>
      </c>
      <c r="M682" s="54">
        <f ca="1">MIN(100,MAX(0,MCDA_Prioritisation!$F$2+(RAND()-0.5)*2*$B$7))</f>
        <v>80.060064859052957</v>
      </c>
      <c r="N682" s="54">
        <f ca="1">MIN(100,MAX(0,MCDA_Prioritisation!$F$3+(RAND()-0.5)*2*$B$7))</f>
        <v>91.911809812515457</v>
      </c>
      <c r="O682" s="54">
        <f ca="1">MIN(100,MAX(0,MCDA_Prioritisation!$F$4+(RAND()-0.5)*2*$B$7))</f>
        <v>93.505856415823757</v>
      </c>
      <c r="P682" s="54">
        <f ca="1">MIN(100,MAX(0,MCDA_Prioritisation!$F$5+(RAND()-0.5)*2*$B$7))</f>
        <v>75.861546174090719</v>
      </c>
      <c r="Q682" s="54">
        <f ca="1">MIN(100,MAX(0,MCDA_Prioritisation!$G$2+(RAND()-0.5)*2*$B$7))</f>
        <v>77.241347684721049</v>
      </c>
      <c r="R682" s="54">
        <f ca="1">MIN(100,MAX(0,MCDA_Prioritisation!$G$3+(RAND()-0.5)*2*$B$7))</f>
        <v>90.849148090022254</v>
      </c>
      <c r="S682" s="54">
        <f ca="1">MIN(100,MAX(0,MCDA_Prioritisation!$G$4+(RAND()-0.5)*2*$B$7))</f>
        <v>77.284742729922627</v>
      </c>
      <c r="T682" s="54">
        <f ca="1">MIN(100,MAX(0,MCDA_Prioritisation!$G$5+(RAND()-0.5)*2*$B$7))</f>
        <v>78.007908216938716</v>
      </c>
      <c r="U682" s="54">
        <f ca="1">MIN(100,MAX(0,MCDA_Prioritisation!$H$2+(RAND()-0.5)*2*$B$7))</f>
        <v>60.461008419131375</v>
      </c>
      <c r="V682" s="54">
        <f ca="1">MIN(100,MAX(0,MCDA_Prioritisation!$H$3+(RAND()-0.5)*2*$B$7))</f>
        <v>54.137025856332606</v>
      </c>
      <c r="W682" s="54">
        <f ca="1">MIN(100,MAX(0,MCDA_Prioritisation!$H$4+(RAND()-0.5)*2*$B$7))</f>
        <v>73.609364308212776</v>
      </c>
      <c r="X682" s="54">
        <f ca="1">MIN(100,MAX(0,MCDA_Prioritisation!$H$5+(RAND()-0.5)*2*$B$7))</f>
        <v>67.624273932217832</v>
      </c>
      <c r="Y682" s="54">
        <f ca="1">H682*MCDA_Prioritisation!$D$2+I682*MCDA_Prioritisation!$E$2+J682*M682+K682*Q682+L682*U682</f>
        <v>83.591050504516332</v>
      </c>
      <c r="Z682" s="54">
        <f ca="1">H682*MCDA_Prioritisation!$D$3+I682*MCDA_Prioritisation!$E$3+J682*N682+K682*R682+L682*V682</f>
        <v>80.818838040289094</v>
      </c>
      <c r="AA682" s="54">
        <f ca="1">H682*MCDA_Prioritisation!$D$4+I682*MCDA_Prioritisation!$E$4+J682*O682+K682*S682+L682*W682</f>
        <v>75.469110851150035</v>
      </c>
      <c r="AB682" s="54">
        <f ca="1">H682*MCDA_Prioritisation!$D$5+I682*MCDA_Prioritisation!$E$5+J682*P682+K682*T682+L682*X682</f>
        <v>70.595092681088076</v>
      </c>
      <c r="AC682" s="54">
        <f t="shared" ca="1" si="146"/>
        <v>1</v>
      </c>
      <c r="AD682" s="54">
        <f t="shared" ca="1" si="147"/>
        <v>2</v>
      </c>
      <c r="AE682" s="54">
        <f t="shared" ca="1" si="148"/>
        <v>3</v>
      </c>
      <c r="AF682" s="54">
        <f t="shared" ca="1" si="149"/>
        <v>4</v>
      </c>
      <c r="AG682" s="54">
        <f t="shared" ca="1" si="150"/>
        <v>1</v>
      </c>
      <c r="AH682" s="54">
        <f t="shared" ca="1" si="151"/>
        <v>1</v>
      </c>
      <c r="AI682" s="54">
        <f t="shared" ca="1" si="152"/>
        <v>1</v>
      </c>
      <c r="AJ682" s="54">
        <f t="shared" ca="1" si="153"/>
        <v>1</v>
      </c>
    </row>
    <row r="683" spans="1:36" x14ac:dyDescent="0.2">
      <c r="A683" s="54">
        <v>660</v>
      </c>
      <c r="B683" s="54">
        <f ca="1">MAX(0.02,MCDA_Prioritisation!$B$9+(RAND()-0.5)*2*$B$6)</f>
        <v>0.2704296427928562</v>
      </c>
      <c r="C683" s="54">
        <f ca="1">MAX(0.02,MCDA_Prioritisation!$B$10+(RAND()-0.5)*2*$B$6)</f>
        <v>0.29965321843114129</v>
      </c>
      <c r="D683" s="54">
        <f ca="1">MAX(0.02,MCDA_Prioritisation!$B$11+(RAND()-0.5)*2*$B$6)</f>
        <v>0.21334708758388382</v>
      </c>
      <c r="E683" s="54">
        <f ca="1">MAX(0.02,MCDA_Prioritisation!$B$12+(RAND()-0.5)*2*$B$6)</f>
        <v>0.13048588752145207</v>
      </c>
      <c r="F683" s="54">
        <f ca="1">MAX(0.02,MCDA_Prioritisation!$B$13+(RAND()-0.5)*2*$B$6)</f>
        <v>0.15504805154085785</v>
      </c>
      <c r="G683" s="54">
        <f t="shared" ca="1" si="140"/>
        <v>1.0689638878701913</v>
      </c>
      <c r="H683" s="54">
        <f t="shared" ca="1" si="141"/>
        <v>0.25298295467367143</v>
      </c>
      <c r="I683" s="54">
        <f t="shared" ca="1" si="142"/>
        <v>0.28032118000559569</v>
      </c>
      <c r="J683" s="54">
        <f t="shared" ca="1" si="143"/>
        <v>0.1995830635672432</v>
      </c>
      <c r="K683" s="54">
        <f t="shared" ca="1" si="144"/>
        <v>0.12206762922687012</v>
      </c>
      <c r="L683" s="54">
        <f t="shared" ca="1" si="145"/>
        <v>0.14504517252661953</v>
      </c>
      <c r="M683" s="54">
        <f ca="1">MIN(100,MAX(0,MCDA_Prioritisation!$F$2+(RAND()-0.5)*2*$B$7))</f>
        <v>81.497698844616522</v>
      </c>
      <c r="N683" s="54">
        <f ca="1">MIN(100,MAX(0,MCDA_Prioritisation!$F$3+(RAND()-0.5)*2*$B$7))</f>
        <v>99.052636383375585</v>
      </c>
      <c r="O683" s="54">
        <f ca="1">MIN(100,MAX(0,MCDA_Prioritisation!$F$4+(RAND()-0.5)*2*$B$7))</f>
        <v>95.106487781966962</v>
      </c>
      <c r="P683" s="54">
        <f ca="1">MIN(100,MAX(0,MCDA_Prioritisation!$F$5+(RAND()-0.5)*2*$B$7))</f>
        <v>65.486330994810501</v>
      </c>
      <c r="Q683" s="54">
        <f ca="1">MIN(100,MAX(0,MCDA_Prioritisation!$G$2+(RAND()-0.5)*2*$B$7))</f>
        <v>87.803331323435756</v>
      </c>
      <c r="R683" s="54">
        <f ca="1">MIN(100,MAX(0,MCDA_Prioritisation!$G$3+(RAND()-0.5)*2*$B$7))</f>
        <v>95.253254623421242</v>
      </c>
      <c r="S683" s="54">
        <f ca="1">MIN(100,MAX(0,MCDA_Prioritisation!$G$4+(RAND()-0.5)*2*$B$7))</f>
        <v>83.122638450534524</v>
      </c>
      <c r="T683" s="54">
        <f ca="1">MIN(100,MAX(0,MCDA_Prioritisation!$G$5+(RAND()-0.5)*2*$B$7))</f>
        <v>71.265570238638816</v>
      </c>
      <c r="U683" s="54">
        <f ca="1">MIN(100,MAX(0,MCDA_Prioritisation!$H$2+(RAND()-0.5)*2*$B$7))</f>
        <v>73.528594565597942</v>
      </c>
      <c r="V683" s="54">
        <f ca="1">MIN(100,MAX(0,MCDA_Prioritisation!$H$3+(RAND()-0.5)*2*$B$7))</f>
        <v>64.944184551047442</v>
      </c>
      <c r="W683" s="54">
        <f ca="1">MIN(100,MAX(0,MCDA_Prioritisation!$H$4+(RAND()-0.5)*2*$B$7))</f>
        <v>86.459272461160353</v>
      </c>
      <c r="X683" s="54">
        <f ca="1">MIN(100,MAX(0,MCDA_Prioritisation!$H$5+(RAND()-0.5)*2*$B$7))</f>
        <v>73.467337340727184</v>
      </c>
      <c r="Y683" s="54">
        <f ca="1">H683*MCDA_Prioritisation!$D$2+I683*MCDA_Prioritisation!$E$2+J683*M683+K683*Q683+L683*U683</f>
        <v>90.978886054296069</v>
      </c>
      <c r="Z683" s="54">
        <f ca="1">H683*MCDA_Prioritisation!$D$3+I683*MCDA_Prioritisation!$E$3+J683*N683+K683*R683+L683*V683</f>
        <v>83.313313579258278</v>
      </c>
      <c r="AA683" s="54">
        <f ca="1">H683*MCDA_Prioritisation!$D$4+I683*MCDA_Prioritisation!$E$4+J683*O683+K683*S683+L683*W683</f>
        <v>74.575219657886578</v>
      </c>
      <c r="AB683" s="54">
        <f ca="1">H683*MCDA_Prioritisation!$D$5+I683*MCDA_Prioritisation!$E$5+J683*P683+K683*T683+L683*X683</f>
        <v>69.425022679082332</v>
      </c>
      <c r="AC683" s="54">
        <f t="shared" ca="1" si="146"/>
        <v>1</v>
      </c>
      <c r="AD683" s="54">
        <f t="shared" ca="1" si="147"/>
        <v>2</v>
      </c>
      <c r="AE683" s="54">
        <f t="shared" ca="1" si="148"/>
        <v>3</v>
      </c>
      <c r="AF683" s="54">
        <f t="shared" ca="1" si="149"/>
        <v>4</v>
      </c>
      <c r="AG683" s="54">
        <f t="shared" ca="1" si="150"/>
        <v>1</v>
      </c>
      <c r="AH683" s="54">
        <f t="shared" ca="1" si="151"/>
        <v>1</v>
      </c>
      <c r="AI683" s="54">
        <f t="shared" ca="1" si="152"/>
        <v>1</v>
      </c>
      <c r="AJ683" s="54">
        <f t="shared" ca="1" si="153"/>
        <v>1</v>
      </c>
    </row>
    <row r="684" spans="1:36" x14ac:dyDescent="0.2">
      <c r="A684" s="54">
        <v>661</v>
      </c>
      <c r="B684" s="54">
        <f ca="1">MAX(0.02,MCDA_Prioritisation!$B$9+(RAND()-0.5)*2*$B$6)</f>
        <v>0.14925526807204934</v>
      </c>
      <c r="C684" s="54">
        <f ca="1">MAX(0.02,MCDA_Prioritisation!$B$10+(RAND()-0.5)*2*$B$6)</f>
        <v>0.17295783976337203</v>
      </c>
      <c r="D684" s="54">
        <f ca="1">MAX(0.02,MCDA_Prioritisation!$B$11+(RAND()-0.5)*2*$B$6)</f>
        <v>0.18332015801081686</v>
      </c>
      <c r="E684" s="54">
        <f ca="1">MAX(0.02,MCDA_Prioritisation!$B$12+(RAND()-0.5)*2*$B$6)</f>
        <v>0.21714597019966891</v>
      </c>
      <c r="F684" s="54">
        <f ca="1">MAX(0.02,MCDA_Prioritisation!$B$13+(RAND()-0.5)*2*$B$6)</f>
        <v>0.1844459229011616</v>
      </c>
      <c r="G684" s="54">
        <f t="shared" ca="1" si="140"/>
        <v>0.90712515894706869</v>
      </c>
      <c r="H684" s="54">
        <f t="shared" ca="1" si="141"/>
        <v>0.16453657645797748</v>
      </c>
      <c r="I684" s="54">
        <f t="shared" ca="1" si="142"/>
        <v>0.19066590542382281</v>
      </c>
      <c r="J684" s="54">
        <f t="shared" ca="1" si="143"/>
        <v>0.20208915627872437</v>
      </c>
      <c r="K684" s="54">
        <f t="shared" ca="1" si="144"/>
        <v>0.2393781806820546</v>
      </c>
      <c r="L684" s="54">
        <f t="shared" ca="1" si="145"/>
        <v>0.2033301811574208</v>
      </c>
      <c r="M684" s="54">
        <f ca="1">MIN(100,MAX(0,MCDA_Prioritisation!$F$2+(RAND()-0.5)*2*$B$7))</f>
        <v>83.268041371906264</v>
      </c>
      <c r="N684" s="54">
        <f ca="1">MIN(100,MAX(0,MCDA_Prioritisation!$F$3+(RAND()-0.5)*2*$B$7))</f>
        <v>100</v>
      </c>
      <c r="O684" s="54">
        <f ca="1">MIN(100,MAX(0,MCDA_Prioritisation!$F$4+(RAND()-0.5)*2*$B$7))</f>
        <v>93.216595244430451</v>
      </c>
      <c r="P684" s="54">
        <f ca="1">MIN(100,MAX(0,MCDA_Prioritisation!$F$5+(RAND()-0.5)*2*$B$7))</f>
        <v>79.049524989133445</v>
      </c>
      <c r="Q684" s="54">
        <f ca="1">MIN(100,MAX(0,MCDA_Prioritisation!$G$2+(RAND()-0.5)*2*$B$7))</f>
        <v>75.902024073521162</v>
      </c>
      <c r="R684" s="54">
        <f ca="1">MIN(100,MAX(0,MCDA_Prioritisation!$G$3+(RAND()-0.5)*2*$B$7))</f>
        <v>86.672617017948994</v>
      </c>
      <c r="S684" s="54">
        <f ca="1">MIN(100,MAX(0,MCDA_Prioritisation!$G$4+(RAND()-0.5)*2*$B$7))</f>
        <v>90.301031968399016</v>
      </c>
      <c r="T684" s="54">
        <f ca="1">MIN(100,MAX(0,MCDA_Prioritisation!$G$5+(RAND()-0.5)*2*$B$7))</f>
        <v>66.801680933000796</v>
      </c>
      <c r="U684" s="54">
        <f ca="1">MIN(100,MAX(0,MCDA_Prioritisation!$H$2+(RAND()-0.5)*2*$B$7))</f>
        <v>55.902095356032177</v>
      </c>
      <c r="V684" s="54">
        <f ca="1">MIN(100,MAX(0,MCDA_Prioritisation!$H$3+(RAND()-0.5)*2*$B$7))</f>
        <v>66.610698539956473</v>
      </c>
      <c r="W684" s="54">
        <f ca="1">MIN(100,MAX(0,MCDA_Prioritisation!$H$4+(RAND()-0.5)*2*$B$7))</f>
        <v>72.205292698435272</v>
      </c>
      <c r="X684" s="54">
        <f ca="1">MIN(100,MAX(0,MCDA_Prioritisation!$H$5+(RAND()-0.5)*2*$B$7))</f>
        <v>74.195663145903055</v>
      </c>
      <c r="Y684" s="54">
        <f ca="1">H684*MCDA_Prioritisation!$D$2+I684*MCDA_Prioritisation!$E$2+J684*M684+K684*Q684+L684*U684</f>
        <v>81.883688022636917</v>
      </c>
      <c r="Z684" s="54">
        <f ca="1">H684*MCDA_Prioritisation!$D$3+I684*MCDA_Prioritisation!$E$3+J684*N684+K684*R684+L684*V684</f>
        <v>82.747002434364532</v>
      </c>
      <c r="AA684" s="54">
        <f ca="1">H684*MCDA_Prioritisation!$D$4+I684*MCDA_Prioritisation!$E$4+J684*O684+K684*S684+L684*W684</f>
        <v>76.992993492705523</v>
      </c>
      <c r="AB684" s="54">
        <f ca="1">H684*MCDA_Prioritisation!$D$5+I684*MCDA_Prioritisation!$E$5+J684*P684+K684*T684+L684*X684</f>
        <v>71.81832880956145</v>
      </c>
      <c r="AC684" s="54">
        <f t="shared" ca="1" si="146"/>
        <v>2</v>
      </c>
      <c r="AD684" s="54">
        <f t="shared" ca="1" si="147"/>
        <v>1</v>
      </c>
      <c r="AE684" s="54">
        <f t="shared" ca="1" si="148"/>
        <v>3</v>
      </c>
      <c r="AF684" s="54">
        <f t="shared" ca="1" si="149"/>
        <v>4</v>
      </c>
      <c r="AG684" s="54">
        <f t="shared" ca="1" si="150"/>
        <v>0</v>
      </c>
      <c r="AH684" s="54">
        <f t="shared" ca="1" si="151"/>
        <v>0</v>
      </c>
      <c r="AI684" s="54">
        <f t="shared" ca="1" si="152"/>
        <v>0</v>
      </c>
      <c r="AJ684" s="54">
        <f t="shared" ca="1" si="153"/>
        <v>1</v>
      </c>
    </row>
    <row r="685" spans="1:36" x14ac:dyDescent="0.2">
      <c r="A685" s="54">
        <v>662</v>
      </c>
      <c r="B685" s="54">
        <f ca="1">MAX(0.02,MCDA_Prioritisation!$B$9+(RAND()-0.5)*2*$B$6)</f>
        <v>0.27895781787623675</v>
      </c>
      <c r="C685" s="54">
        <f ca="1">MAX(0.02,MCDA_Prioritisation!$B$10+(RAND()-0.5)*2*$B$6)</f>
        <v>0.24836417349187181</v>
      </c>
      <c r="D685" s="54">
        <f ca="1">MAX(0.02,MCDA_Prioritisation!$B$11+(RAND()-0.5)*2*$B$6)</f>
        <v>0.30659902121536942</v>
      </c>
      <c r="E685" s="54">
        <f ca="1">MAX(0.02,MCDA_Prioritisation!$B$12+(RAND()-0.5)*2*$B$6)</f>
        <v>0.15687321134730334</v>
      </c>
      <c r="F685" s="54">
        <f ca="1">MAX(0.02,MCDA_Prioritisation!$B$13+(RAND()-0.5)*2*$B$6)</f>
        <v>0.1905638399524161</v>
      </c>
      <c r="G685" s="54">
        <f t="shared" ca="1" si="140"/>
        <v>1.1813580638831973</v>
      </c>
      <c r="H685" s="54">
        <f t="shared" ca="1" si="141"/>
        <v>0.23613316436786749</v>
      </c>
      <c r="I685" s="54">
        <f t="shared" ca="1" si="142"/>
        <v>0.21023615200583926</v>
      </c>
      <c r="J685" s="54">
        <f t="shared" ca="1" si="143"/>
        <v>0.25953098437196881</v>
      </c>
      <c r="K685" s="54">
        <f t="shared" ca="1" si="144"/>
        <v>0.13279057056727692</v>
      </c>
      <c r="L685" s="54">
        <f t="shared" ca="1" si="145"/>
        <v>0.16130912868704764</v>
      </c>
      <c r="M685" s="54">
        <f ca="1">MIN(100,MAX(0,MCDA_Prioritisation!$F$2+(RAND()-0.5)*2*$B$7))</f>
        <v>89.604969668014917</v>
      </c>
      <c r="N685" s="54">
        <f ca="1">MIN(100,MAX(0,MCDA_Prioritisation!$F$3+(RAND()-0.5)*2*$B$7))</f>
        <v>94.719633883549321</v>
      </c>
      <c r="O685" s="54">
        <f ca="1">MIN(100,MAX(0,MCDA_Prioritisation!$F$4+(RAND()-0.5)*2*$B$7))</f>
        <v>85.440293562540802</v>
      </c>
      <c r="P685" s="54">
        <f ca="1">MIN(100,MAX(0,MCDA_Prioritisation!$F$5+(RAND()-0.5)*2*$B$7))</f>
        <v>79.814519855673581</v>
      </c>
      <c r="Q685" s="54">
        <f ca="1">MIN(100,MAX(0,MCDA_Prioritisation!$G$2+(RAND()-0.5)*2*$B$7))</f>
        <v>70.019841003843965</v>
      </c>
      <c r="R685" s="54">
        <f ca="1">MIN(100,MAX(0,MCDA_Prioritisation!$G$3+(RAND()-0.5)*2*$B$7))</f>
        <v>91.236393422826026</v>
      </c>
      <c r="S685" s="54">
        <f ca="1">MIN(100,MAX(0,MCDA_Prioritisation!$G$4+(RAND()-0.5)*2*$B$7))</f>
        <v>88.940909420112902</v>
      </c>
      <c r="T685" s="54">
        <f ca="1">MIN(100,MAX(0,MCDA_Prioritisation!$G$5+(RAND()-0.5)*2*$B$7))</f>
        <v>72.422369613461498</v>
      </c>
      <c r="U685" s="54">
        <f ca="1">MIN(100,MAX(0,MCDA_Prioritisation!$H$2+(RAND()-0.5)*2*$B$7))</f>
        <v>57.895295423105011</v>
      </c>
      <c r="V685" s="54">
        <f ca="1">MIN(100,MAX(0,MCDA_Prioritisation!$H$3+(RAND()-0.5)*2*$B$7))</f>
        <v>50.586024026537636</v>
      </c>
      <c r="W685" s="54">
        <f ca="1">MIN(100,MAX(0,MCDA_Prioritisation!$H$4+(RAND()-0.5)*2*$B$7))</f>
        <v>85.307159929494873</v>
      </c>
      <c r="X685" s="54">
        <f ca="1">MIN(100,MAX(0,MCDA_Prioritisation!$H$5+(RAND()-0.5)*2*$B$7))</f>
        <v>65.181772311873999</v>
      </c>
      <c r="Y685" s="54">
        <f ca="1">H685*MCDA_Prioritisation!$D$2+I685*MCDA_Prioritisation!$E$2+J685*M685+K685*Q685+L685*U685</f>
        <v>86.529211917641732</v>
      </c>
      <c r="Z685" s="54">
        <f ca="1">H685*MCDA_Prioritisation!$D$3+I685*MCDA_Prioritisation!$E$3+J685*N685+K685*R685+L685*V685</f>
        <v>80.785194193993689</v>
      </c>
      <c r="AA685" s="54">
        <f ca="1">H685*MCDA_Prioritisation!$D$4+I685*MCDA_Prioritisation!$E$4+J685*O685+K685*S685+L685*W685</f>
        <v>75.656093148039631</v>
      </c>
      <c r="AB685" s="54">
        <f ca="1">H685*MCDA_Prioritisation!$D$5+I685*MCDA_Prioritisation!$E$5+J685*P685+K685*T685+L685*X685</f>
        <v>71.057690547248157</v>
      </c>
      <c r="AC685" s="54">
        <f t="shared" ca="1" si="146"/>
        <v>1</v>
      </c>
      <c r="AD685" s="54">
        <f t="shared" ca="1" si="147"/>
        <v>2</v>
      </c>
      <c r="AE685" s="54">
        <f t="shared" ca="1" si="148"/>
        <v>3</v>
      </c>
      <c r="AF685" s="54">
        <f t="shared" ca="1" si="149"/>
        <v>4</v>
      </c>
      <c r="AG685" s="54">
        <f t="shared" ca="1" si="150"/>
        <v>1</v>
      </c>
      <c r="AH685" s="54">
        <f t="shared" ca="1" si="151"/>
        <v>1</v>
      </c>
      <c r="AI685" s="54">
        <f t="shared" ca="1" si="152"/>
        <v>1</v>
      </c>
      <c r="AJ685" s="54">
        <f t="shared" ca="1" si="153"/>
        <v>1</v>
      </c>
    </row>
    <row r="686" spans="1:36" x14ac:dyDescent="0.2">
      <c r="A686" s="54">
        <v>663</v>
      </c>
      <c r="B686" s="54">
        <f ca="1">MAX(0.02,MCDA_Prioritisation!$B$9+(RAND()-0.5)*2*$B$6)</f>
        <v>0.23297864007614277</v>
      </c>
      <c r="C686" s="54">
        <f ca="1">MAX(0.02,MCDA_Prioritisation!$B$10+(RAND()-0.5)*2*$B$6)</f>
        <v>0.26594919634067327</v>
      </c>
      <c r="D686" s="54">
        <f ca="1">MAX(0.02,MCDA_Prioritisation!$B$11+(RAND()-0.5)*2*$B$6)</f>
        <v>0.2318405931303418</v>
      </c>
      <c r="E686" s="54">
        <f ca="1">MAX(0.02,MCDA_Prioritisation!$B$12+(RAND()-0.5)*2*$B$6)</f>
        <v>0.10007289235439892</v>
      </c>
      <c r="F686" s="54">
        <f ca="1">MAX(0.02,MCDA_Prioritisation!$B$13+(RAND()-0.5)*2*$B$6)</f>
        <v>8.2526227962383555E-2</v>
      </c>
      <c r="G686" s="54">
        <f t="shared" ca="1" si="140"/>
        <v>0.9133675498639402</v>
      </c>
      <c r="H686" s="54">
        <f t="shared" ca="1" si="141"/>
        <v>0.25507654625002657</v>
      </c>
      <c r="I686" s="54">
        <f t="shared" ca="1" si="142"/>
        <v>0.29117434310020146</v>
      </c>
      <c r="J686" s="54">
        <f t="shared" ca="1" si="143"/>
        <v>0.2538305561270246</v>
      </c>
      <c r="K686" s="54">
        <f t="shared" ca="1" si="144"/>
        <v>0.10956475557874405</v>
      </c>
      <c r="L686" s="54">
        <f t="shared" ca="1" si="145"/>
        <v>9.0353798944003513E-2</v>
      </c>
      <c r="M686" s="54">
        <f ca="1">MIN(100,MAX(0,MCDA_Prioritisation!$F$2+(RAND()-0.5)*2*$B$7))</f>
        <v>92.025289201958614</v>
      </c>
      <c r="N686" s="54">
        <f ca="1">MIN(100,MAX(0,MCDA_Prioritisation!$F$3+(RAND()-0.5)*2*$B$7))</f>
        <v>85.894265853406793</v>
      </c>
      <c r="O686" s="54">
        <f ca="1">MIN(100,MAX(0,MCDA_Prioritisation!$F$4+(RAND()-0.5)*2*$B$7))</f>
        <v>85.597640015834202</v>
      </c>
      <c r="P686" s="54">
        <f ca="1">MIN(100,MAX(0,MCDA_Prioritisation!$F$5+(RAND()-0.5)*2*$B$7))</f>
        <v>69.659772334264446</v>
      </c>
      <c r="Q686" s="54">
        <f ca="1">MIN(100,MAX(0,MCDA_Prioritisation!$G$2+(RAND()-0.5)*2*$B$7))</f>
        <v>79.063668726007577</v>
      </c>
      <c r="R686" s="54">
        <f ca="1">MIN(100,MAX(0,MCDA_Prioritisation!$G$3+(RAND()-0.5)*2*$B$7))</f>
        <v>100</v>
      </c>
      <c r="S686" s="54">
        <f ca="1">MIN(100,MAX(0,MCDA_Prioritisation!$G$4+(RAND()-0.5)*2*$B$7))</f>
        <v>77.618882808860931</v>
      </c>
      <c r="T686" s="54">
        <f ca="1">MIN(100,MAX(0,MCDA_Prioritisation!$G$5+(RAND()-0.5)*2*$B$7))</f>
        <v>67.350912413598081</v>
      </c>
      <c r="U686" s="54">
        <f ca="1">MIN(100,MAX(0,MCDA_Prioritisation!$H$2+(RAND()-0.5)*2*$B$7))</f>
        <v>55.350405174404145</v>
      </c>
      <c r="V686" s="54">
        <f ca="1">MIN(100,MAX(0,MCDA_Prioritisation!$H$3+(RAND()-0.5)*2*$B$7))</f>
        <v>64.205362487868683</v>
      </c>
      <c r="W686" s="54">
        <f ca="1">MIN(100,MAX(0,MCDA_Prioritisation!$H$4+(RAND()-0.5)*2*$B$7))</f>
        <v>70.227906506558355</v>
      </c>
      <c r="X686" s="54">
        <f ca="1">MIN(100,MAX(0,MCDA_Prioritisation!$H$5+(RAND()-0.5)*2*$B$7))</f>
        <v>77.502876533217943</v>
      </c>
      <c r="Y686" s="54">
        <f ca="1">H686*MCDA_Prioritisation!$D$2+I686*MCDA_Prioritisation!$E$2+J686*M686+K686*Q686+L686*U686</f>
        <v>91.647630190627282</v>
      </c>
      <c r="Z686" s="54">
        <f ca="1">H686*MCDA_Prioritisation!$D$3+I686*MCDA_Prioritisation!$E$3+J686*N686+K686*R686+L686*V686</f>
        <v>82.029463014352828</v>
      </c>
      <c r="AA686" s="54">
        <f ca="1">H686*MCDA_Prioritisation!$D$4+I686*MCDA_Prioritisation!$E$4+J686*O686+K686*S686+L686*W686</f>
        <v>70.221216720466799</v>
      </c>
      <c r="AB686" s="54">
        <f ca="1">H686*MCDA_Prioritisation!$D$5+I686*MCDA_Prioritisation!$E$5+J686*P686+K686*T686+L686*X686</f>
        <v>70.087274211900493</v>
      </c>
      <c r="AC686" s="54">
        <f t="shared" ca="1" si="146"/>
        <v>1</v>
      </c>
      <c r="AD686" s="54">
        <f t="shared" ca="1" si="147"/>
        <v>2</v>
      </c>
      <c r="AE686" s="54">
        <f t="shared" ca="1" si="148"/>
        <v>3</v>
      </c>
      <c r="AF686" s="54">
        <f t="shared" ca="1" si="149"/>
        <v>4</v>
      </c>
      <c r="AG686" s="54">
        <f t="shared" ca="1" si="150"/>
        <v>1</v>
      </c>
      <c r="AH686" s="54">
        <f t="shared" ca="1" si="151"/>
        <v>1</v>
      </c>
      <c r="AI686" s="54">
        <f t="shared" ca="1" si="152"/>
        <v>1</v>
      </c>
      <c r="AJ686" s="54">
        <f t="shared" ca="1" si="153"/>
        <v>1</v>
      </c>
    </row>
    <row r="687" spans="1:36" x14ac:dyDescent="0.2">
      <c r="A687" s="54">
        <v>664</v>
      </c>
      <c r="B687" s="54">
        <f ca="1">MAX(0.02,MCDA_Prioritisation!$B$9+(RAND()-0.5)*2*$B$6)</f>
        <v>0.23433997165002635</v>
      </c>
      <c r="C687" s="54">
        <f ca="1">MAX(0.02,MCDA_Prioritisation!$B$10+(RAND()-0.5)*2*$B$6)</f>
        <v>0.25230318024090309</v>
      </c>
      <c r="D687" s="54">
        <f ca="1">MAX(0.02,MCDA_Prioritisation!$B$11+(RAND()-0.5)*2*$B$6)</f>
        <v>0.22838705853088417</v>
      </c>
      <c r="E687" s="54">
        <f ca="1">MAX(0.02,MCDA_Prioritisation!$B$12+(RAND()-0.5)*2*$B$6)</f>
        <v>0.12910048867772048</v>
      </c>
      <c r="F687" s="54">
        <f ca="1">MAX(0.02,MCDA_Prioritisation!$B$13+(RAND()-0.5)*2*$B$6)</f>
        <v>0.1599554565075888</v>
      </c>
      <c r="G687" s="54">
        <f t="shared" ca="1" si="140"/>
        <v>1.0040861556071228</v>
      </c>
      <c r="H687" s="54">
        <f t="shared" ca="1" si="141"/>
        <v>0.23338631883469421</v>
      </c>
      <c r="I687" s="54">
        <f t="shared" ca="1" si="142"/>
        <v>0.25127642566523334</v>
      </c>
      <c r="J687" s="54">
        <f t="shared" ca="1" si="143"/>
        <v>0.22745763125554647</v>
      </c>
      <c r="K687" s="54">
        <f t="shared" ca="1" si="144"/>
        <v>0.12857511076791972</v>
      </c>
      <c r="L687" s="54">
        <f t="shared" ca="1" si="145"/>
        <v>0.1593045134766064</v>
      </c>
      <c r="M687" s="54">
        <f ca="1">MIN(100,MAX(0,MCDA_Prioritisation!$F$2+(RAND()-0.5)*2*$B$7))</f>
        <v>86.435403659572131</v>
      </c>
      <c r="N687" s="54">
        <f ca="1">MIN(100,MAX(0,MCDA_Prioritisation!$F$3+(RAND()-0.5)*2*$B$7))</f>
        <v>100</v>
      </c>
      <c r="O687" s="54">
        <f ca="1">MIN(100,MAX(0,MCDA_Prioritisation!$F$4+(RAND()-0.5)*2*$B$7))</f>
        <v>85.971159328894231</v>
      </c>
      <c r="P687" s="54">
        <f ca="1">MIN(100,MAX(0,MCDA_Prioritisation!$F$5+(RAND()-0.5)*2*$B$7))</f>
        <v>69.536099765695283</v>
      </c>
      <c r="Q687" s="54">
        <f ca="1">MIN(100,MAX(0,MCDA_Prioritisation!$G$2+(RAND()-0.5)*2*$B$7))</f>
        <v>87.955162879035086</v>
      </c>
      <c r="R687" s="54">
        <f ca="1">MIN(100,MAX(0,MCDA_Prioritisation!$G$3+(RAND()-0.5)*2*$B$7))</f>
        <v>90.243412898467653</v>
      </c>
      <c r="S687" s="54">
        <f ca="1">MIN(100,MAX(0,MCDA_Prioritisation!$G$4+(RAND()-0.5)*2*$B$7))</f>
        <v>87.349747966219084</v>
      </c>
      <c r="T687" s="54">
        <f ca="1">MIN(100,MAX(0,MCDA_Prioritisation!$G$5+(RAND()-0.5)*2*$B$7))</f>
        <v>63.735414518480667</v>
      </c>
      <c r="U687" s="54">
        <f ca="1">MIN(100,MAX(0,MCDA_Prioritisation!$H$2+(RAND()-0.5)*2*$B$7))</f>
        <v>73.557363616341163</v>
      </c>
      <c r="V687" s="54">
        <f ca="1">MIN(100,MAX(0,MCDA_Prioritisation!$H$3+(RAND()-0.5)*2*$B$7))</f>
        <v>53.707196959365085</v>
      </c>
      <c r="W687" s="54">
        <f ca="1">MIN(100,MAX(0,MCDA_Prioritisation!$H$4+(RAND()-0.5)*2*$B$7))</f>
        <v>82.712609717748265</v>
      </c>
      <c r="X687" s="54">
        <f ca="1">MIN(100,MAX(0,MCDA_Prioritisation!$H$5+(RAND()-0.5)*2*$B$7))</f>
        <v>77.046234635561262</v>
      </c>
      <c r="Y687" s="54">
        <f ca="1">H687*MCDA_Prioritisation!$D$2+I687*MCDA_Prioritisation!$E$2+J687*M687+K687*Q687+L687*U687</f>
        <v>91.153531456321431</v>
      </c>
      <c r="Z687" s="54">
        <f ca="1">H687*MCDA_Prioritisation!$D$3+I687*MCDA_Prioritisation!$E$3+J687*N687+K687*R687+L687*V687</f>
        <v>81.576494548811368</v>
      </c>
      <c r="AA687" s="54">
        <f ca="1">H687*MCDA_Prioritisation!$D$4+I687*MCDA_Prioritisation!$E$4+J687*O687+K687*S687+L687*W687</f>
        <v>73.91992994017609</v>
      </c>
      <c r="AB687" s="54">
        <f ca="1">H687*MCDA_Prioritisation!$D$5+I687*MCDA_Prioritisation!$E$5+J687*P687+K687*T687+L687*X687</f>
        <v>69.802367056529164</v>
      </c>
      <c r="AC687" s="54">
        <f t="shared" ca="1" si="146"/>
        <v>1</v>
      </c>
      <c r="AD687" s="54">
        <f t="shared" ca="1" si="147"/>
        <v>2</v>
      </c>
      <c r="AE687" s="54">
        <f t="shared" ca="1" si="148"/>
        <v>3</v>
      </c>
      <c r="AF687" s="54">
        <f t="shared" ca="1" si="149"/>
        <v>4</v>
      </c>
      <c r="AG687" s="54">
        <f t="shared" ca="1" si="150"/>
        <v>1</v>
      </c>
      <c r="AH687" s="54">
        <f t="shared" ca="1" si="151"/>
        <v>1</v>
      </c>
      <c r="AI687" s="54">
        <f t="shared" ca="1" si="152"/>
        <v>1</v>
      </c>
      <c r="AJ687" s="54">
        <f t="shared" ca="1" si="153"/>
        <v>1</v>
      </c>
    </row>
    <row r="688" spans="1:36" x14ac:dyDescent="0.2">
      <c r="A688" s="54">
        <v>665</v>
      </c>
      <c r="B688" s="54">
        <f ca="1">MAX(0.02,MCDA_Prioritisation!$B$9+(RAND()-0.5)*2*$B$6)</f>
        <v>0.23729866035389188</v>
      </c>
      <c r="C688" s="54">
        <f ca="1">MAX(0.02,MCDA_Prioritisation!$B$10+(RAND()-0.5)*2*$B$6)</f>
        <v>0.24104131955349672</v>
      </c>
      <c r="D688" s="54">
        <f ca="1">MAX(0.02,MCDA_Prioritisation!$B$11+(RAND()-0.5)*2*$B$6)</f>
        <v>0.20985517579486393</v>
      </c>
      <c r="E688" s="54">
        <f ca="1">MAX(0.02,MCDA_Prioritisation!$B$12+(RAND()-0.5)*2*$B$6)</f>
        <v>0.20607696513808355</v>
      </c>
      <c r="F688" s="54">
        <f ca="1">MAX(0.02,MCDA_Prioritisation!$B$13+(RAND()-0.5)*2*$B$6)</f>
        <v>8.3647243450038669E-2</v>
      </c>
      <c r="G688" s="54">
        <f t="shared" ca="1" si="140"/>
        <v>0.97791936429037485</v>
      </c>
      <c r="H688" s="54">
        <f t="shared" ca="1" si="141"/>
        <v>0.24265667397443055</v>
      </c>
      <c r="I688" s="54">
        <f t="shared" ca="1" si="142"/>
        <v>0.24648383942004037</v>
      </c>
      <c r="J688" s="54">
        <f t="shared" ca="1" si="143"/>
        <v>0.21459353752253887</v>
      </c>
      <c r="K688" s="54">
        <f t="shared" ca="1" si="144"/>
        <v>0.2107300178963353</v>
      </c>
      <c r="L688" s="54">
        <f t="shared" ca="1" si="145"/>
        <v>8.5535931186654757E-2</v>
      </c>
      <c r="M688" s="54">
        <f ca="1">MIN(100,MAX(0,MCDA_Prioritisation!$F$2+(RAND()-0.5)*2*$B$7))</f>
        <v>77.541663709846631</v>
      </c>
      <c r="N688" s="54">
        <f ca="1">MIN(100,MAX(0,MCDA_Prioritisation!$F$3+(RAND()-0.5)*2*$B$7))</f>
        <v>94.393926999200531</v>
      </c>
      <c r="O688" s="54">
        <f ca="1">MIN(100,MAX(0,MCDA_Prioritisation!$F$4+(RAND()-0.5)*2*$B$7))</f>
        <v>86.993229985777276</v>
      </c>
      <c r="P688" s="54">
        <f ca="1">MIN(100,MAX(0,MCDA_Prioritisation!$F$5+(RAND()-0.5)*2*$B$7))</f>
        <v>84.848680541184237</v>
      </c>
      <c r="Q688" s="54">
        <f ca="1">MIN(100,MAX(0,MCDA_Prioritisation!$G$2+(RAND()-0.5)*2*$B$7))</f>
        <v>87.773639704235791</v>
      </c>
      <c r="R688" s="54">
        <f ca="1">MIN(100,MAX(0,MCDA_Prioritisation!$G$3+(RAND()-0.5)*2*$B$7))</f>
        <v>95.992352606435176</v>
      </c>
      <c r="S688" s="54">
        <f ca="1">MIN(100,MAX(0,MCDA_Prioritisation!$G$4+(RAND()-0.5)*2*$B$7))</f>
        <v>85.375537289014659</v>
      </c>
      <c r="T688" s="54">
        <f ca="1">MIN(100,MAX(0,MCDA_Prioritisation!$G$5+(RAND()-0.5)*2*$B$7))</f>
        <v>62.751594778693281</v>
      </c>
      <c r="U688" s="54">
        <f ca="1">MIN(100,MAX(0,MCDA_Prioritisation!$H$2+(RAND()-0.5)*2*$B$7))</f>
        <v>74.418117780944016</v>
      </c>
      <c r="V688" s="54">
        <f ca="1">MIN(100,MAX(0,MCDA_Prioritisation!$H$3+(RAND()-0.5)*2*$B$7))</f>
        <v>61.257142065079236</v>
      </c>
      <c r="W688" s="54">
        <f ca="1">MIN(100,MAX(0,MCDA_Prioritisation!$H$4+(RAND()-0.5)*2*$B$7))</f>
        <v>87.86919325913081</v>
      </c>
      <c r="X688" s="54">
        <f ca="1">MIN(100,MAX(0,MCDA_Prioritisation!$H$5+(RAND()-0.5)*2*$B$7))</f>
        <v>76.237454221443741</v>
      </c>
      <c r="Y688" s="54">
        <f ca="1">H688*MCDA_Prioritisation!$D$2+I688*MCDA_Prioritisation!$E$2+J688*M688+K688*Q688+L688*U688</f>
        <v>90.415954927577459</v>
      </c>
      <c r="Z688" s="54">
        <f ca="1">H688*MCDA_Prioritisation!$D$3+I688*MCDA_Prioritisation!$E$3+J688*N688+K688*R688+L688*V688</f>
        <v>84.858007329502186</v>
      </c>
      <c r="AA688" s="54">
        <f ca="1">H688*MCDA_Prioritisation!$D$4+I688*MCDA_Prioritisation!$E$4+J688*O688+K688*S688+L688*W688</f>
        <v>74.517104085206299</v>
      </c>
      <c r="AB688" s="54">
        <f ca="1">H688*MCDA_Prioritisation!$D$5+I688*MCDA_Prioritisation!$E$5+J688*P688+K688*T688+L688*X688</f>
        <v>71.558933865771706</v>
      </c>
      <c r="AC688" s="54">
        <f t="shared" ca="1" si="146"/>
        <v>1</v>
      </c>
      <c r="AD688" s="54">
        <f t="shared" ca="1" si="147"/>
        <v>2</v>
      </c>
      <c r="AE688" s="54">
        <f t="shared" ca="1" si="148"/>
        <v>3</v>
      </c>
      <c r="AF688" s="54">
        <f t="shared" ca="1" si="149"/>
        <v>4</v>
      </c>
      <c r="AG688" s="54">
        <f t="shared" ca="1" si="150"/>
        <v>1</v>
      </c>
      <c r="AH688" s="54">
        <f t="shared" ca="1" si="151"/>
        <v>1</v>
      </c>
      <c r="AI688" s="54">
        <f t="shared" ca="1" si="152"/>
        <v>1</v>
      </c>
      <c r="AJ688" s="54">
        <f t="shared" ca="1" si="153"/>
        <v>1</v>
      </c>
    </row>
    <row r="689" spans="1:36" x14ac:dyDescent="0.2">
      <c r="A689" s="54">
        <v>666</v>
      </c>
      <c r="B689" s="54">
        <f ca="1">MAX(0.02,MCDA_Prioritisation!$B$9+(RAND()-0.5)*2*$B$6)</f>
        <v>0.23736589624119986</v>
      </c>
      <c r="C689" s="54">
        <f ca="1">MAX(0.02,MCDA_Prioritisation!$B$10+(RAND()-0.5)*2*$B$6)</f>
        <v>0.22264553243281279</v>
      </c>
      <c r="D689" s="54">
        <f ca="1">MAX(0.02,MCDA_Prioritisation!$B$11+(RAND()-0.5)*2*$B$6)</f>
        <v>0.20993940847145637</v>
      </c>
      <c r="E689" s="54">
        <f ca="1">MAX(0.02,MCDA_Prioritisation!$B$12+(RAND()-0.5)*2*$B$6)</f>
        <v>0.18253628923928611</v>
      </c>
      <c r="F689" s="54">
        <f ca="1">MAX(0.02,MCDA_Prioritisation!$B$13+(RAND()-0.5)*2*$B$6)</f>
        <v>0.11545732743527909</v>
      </c>
      <c r="G689" s="54">
        <f t="shared" ca="1" si="140"/>
        <v>0.96794445382003413</v>
      </c>
      <c r="H689" s="54">
        <f t="shared" ca="1" si="141"/>
        <v>0.24522677443362087</v>
      </c>
      <c r="I689" s="54">
        <f t="shared" ca="1" si="142"/>
        <v>0.23001891436448929</v>
      </c>
      <c r="J689" s="54">
        <f t="shared" ca="1" si="143"/>
        <v>0.21689199999330697</v>
      </c>
      <c r="K689" s="54">
        <f t="shared" ca="1" si="144"/>
        <v>0.18858136798955646</v>
      </c>
      <c r="L689" s="54">
        <f t="shared" ca="1" si="145"/>
        <v>0.11928094321902648</v>
      </c>
      <c r="M689" s="54">
        <f ca="1">MIN(100,MAX(0,MCDA_Prioritisation!$F$2+(RAND()-0.5)*2*$B$7))</f>
        <v>83.11738854392172</v>
      </c>
      <c r="N689" s="54">
        <f ca="1">MIN(100,MAX(0,MCDA_Prioritisation!$F$3+(RAND()-0.5)*2*$B$7))</f>
        <v>88.089280784552798</v>
      </c>
      <c r="O689" s="54">
        <f ca="1">MIN(100,MAX(0,MCDA_Prioritisation!$F$4+(RAND()-0.5)*2*$B$7))</f>
        <v>86.566197108091174</v>
      </c>
      <c r="P689" s="54">
        <f ca="1">MIN(100,MAX(0,MCDA_Prioritisation!$F$5+(RAND()-0.5)*2*$B$7))</f>
        <v>79.377032445455811</v>
      </c>
      <c r="Q689" s="54">
        <f ca="1">MIN(100,MAX(0,MCDA_Prioritisation!$G$2+(RAND()-0.5)*2*$B$7))</f>
        <v>74.689773689859251</v>
      </c>
      <c r="R689" s="54">
        <f ca="1">MIN(100,MAX(0,MCDA_Prioritisation!$G$3+(RAND()-0.5)*2*$B$7))</f>
        <v>100</v>
      </c>
      <c r="S689" s="54">
        <f ca="1">MIN(100,MAX(0,MCDA_Prioritisation!$G$4+(RAND()-0.5)*2*$B$7))</f>
        <v>76.216099633617688</v>
      </c>
      <c r="T689" s="54">
        <f ca="1">MIN(100,MAX(0,MCDA_Prioritisation!$G$5+(RAND()-0.5)*2*$B$7))</f>
        <v>66.916074364962014</v>
      </c>
      <c r="U689" s="54">
        <f ca="1">MIN(100,MAX(0,MCDA_Prioritisation!$H$2+(RAND()-0.5)*2*$B$7))</f>
        <v>69.970383329821132</v>
      </c>
      <c r="V689" s="54">
        <f ca="1">MIN(100,MAX(0,MCDA_Prioritisation!$H$3+(RAND()-0.5)*2*$B$7))</f>
        <v>61.110564421887034</v>
      </c>
      <c r="W689" s="54">
        <f ca="1">MIN(100,MAX(0,MCDA_Prioritisation!$H$4+(RAND()-0.5)*2*$B$7))</f>
        <v>79.01491138477752</v>
      </c>
      <c r="X689" s="54">
        <f ca="1">MIN(100,MAX(0,MCDA_Prioritisation!$H$5+(RAND()-0.5)*2*$B$7))</f>
        <v>68.055513272092028</v>
      </c>
      <c r="Y689" s="54">
        <f ca="1">H689*MCDA_Prioritisation!$D$2+I689*MCDA_Prioritisation!$E$2+J689*M689+K689*Q689+L689*U689</f>
        <v>87.983298533564934</v>
      </c>
      <c r="Z689" s="54">
        <f ca="1">H689*MCDA_Prioritisation!$D$3+I689*MCDA_Prioritisation!$E$3+J689*N689+K689*R689+L689*V689</f>
        <v>83.414016156007946</v>
      </c>
      <c r="AA689" s="54">
        <f ca="1">H689*MCDA_Prioritisation!$D$4+I689*MCDA_Prioritisation!$E$4+J689*O689+K689*S689+L689*W689</f>
        <v>72.196062332024113</v>
      </c>
      <c r="AB689" s="54">
        <f ca="1">H689*MCDA_Prioritisation!$D$5+I689*MCDA_Prioritisation!$E$5+J689*P689+K689*T689+L689*X689</f>
        <v>70.31122285743254</v>
      </c>
      <c r="AC689" s="54">
        <f t="shared" ca="1" si="146"/>
        <v>1</v>
      </c>
      <c r="AD689" s="54">
        <f t="shared" ca="1" si="147"/>
        <v>2</v>
      </c>
      <c r="AE689" s="54">
        <f t="shared" ca="1" si="148"/>
        <v>3</v>
      </c>
      <c r="AF689" s="54">
        <f t="shared" ca="1" si="149"/>
        <v>4</v>
      </c>
      <c r="AG689" s="54">
        <f t="shared" ca="1" si="150"/>
        <v>1</v>
      </c>
      <c r="AH689" s="54">
        <f t="shared" ca="1" si="151"/>
        <v>1</v>
      </c>
      <c r="AI689" s="54">
        <f t="shared" ca="1" si="152"/>
        <v>1</v>
      </c>
      <c r="AJ689" s="54">
        <f t="shared" ca="1" si="153"/>
        <v>1</v>
      </c>
    </row>
    <row r="690" spans="1:36" x14ac:dyDescent="0.2">
      <c r="A690" s="54">
        <v>667</v>
      </c>
      <c r="B690" s="54">
        <f ca="1">MAX(0.02,MCDA_Prioritisation!$B$9+(RAND()-0.5)*2*$B$6)</f>
        <v>0.14270606848102288</v>
      </c>
      <c r="C690" s="54">
        <f ca="1">MAX(0.02,MCDA_Prioritisation!$B$10+(RAND()-0.5)*2*$B$6)</f>
        <v>0.20644433357382658</v>
      </c>
      <c r="D690" s="54">
        <f ca="1">MAX(0.02,MCDA_Prioritisation!$B$11+(RAND()-0.5)*2*$B$6)</f>
        <v>0.25370956496869984</v>
      </c>
      <c r="E690" s="54">
        <f ca="1">MAX(0.02,MCDA_Prioritisation!$B$12+(RAND()-0.5)*2*$B$6)</f>
        <v>0.13778645659755601</v>
      </c>
      <c r="F690" s="54">
        <f ca="1">MAX(0.02,MCDA_Prioritisation!$B$13+(RAND()-0.5)*2*$B$6)</f>
        <v>0.20135606080536947</v>
      </c>
      <c r="G690" s="54">
        <f t="shared" ca="1" si="140"/>
        <v>0.94200248442647472</v>
      </c>
      <c r="H690" s="54">
        <f t="shared" ca="1" si="141"/>
        <v>0.15149224215465579</v>
      </c>
      <c r="I690" s="54">
        <f t="shared" ca="1" si="142"/>
        <v>0.21915476549885893</v>
      </c>
      <c r="J690" s="54">
        <f t="shared" ca="1" si="143"/>
        <v>0.26933003804461031</v>
      </c>
      <c r="K690" s="54">
        <f t="shared" ca="1" si="144"/>
        <v>0.14626973800546333</v>
      </c>
      <c r="L690" s="54">
        <f t="shared" ca="1" si="145"/>
        <v>0.21375321629641172</v>
      </c>
      <c r="M690" s="54">
        <f ca="1">MIN(100,MAX(0,MCDA_Prioritisation!$F$2+(RAND()-0.5)*2*$B$7))</f>
        <v>92.401514085866623</v>
      </c>
      <c r="N690" s="54">
        <f ca="1">MIN(100,MAX(0,MCDA_Prioritisation!$F$3+(RAND()-0.5)*2*$B$7))</f>
        <v>94.629385889876787</v>
      </c>
      <c r="O690" s="54">
        <f ca="1">MIN(100,MAX(0,MCDA_Prioritisation!$F$4+(RAND()-0.5)*2*$B$7))</f>
        <v>80.451396130023923</v>
      </c>
      <c r="P690" s="54">
        <f ca="1">MIN(100,MAX(0,MCDA_Prioritisation!$F$5+(RAND()-0.5)*2*$B$7))</f>
        <v>78.334332207466403</v>
      </c>
      <c r="Q690" s="54">
        <f ca="1">MIN(100,MAX(0,MCDA_Prioritisation!$G$2+(RAND()-0.5)*2*$B$7))</f>
        <v>79.680837020166919</v>
      </c>
      <c r="R690" s="54">
        <f ca="1">MIN(100,MAX(0,MCDA_Prioritisation!$G$3+(RAND()-0.5)*2*$B$7))</f>
        <v>92.596297469635147</v>
      </c>
      <c r="S690" s="54">
        <f ca="1">MIN(100,MAX(0,MCDA_Prioritisation!$G$4+(RAND()-0.5)*2*$B$7))</f>
        <v>85.285404244425365</v>
      </c>
      <c r="T690" s="54">
        <f ca="1">MIN(100,MAX(0,MCDA_Prioritisation!$G$5+(RAND()-0.5)*2*$B$7))</f>
        <v>73.088650525854803</v>
      </c>
      <c r="U690" s="54">
        <f ca="1">MIN(100,MAX(0,MCDA_Prioritisation!$H$2+(RAND()-0.5)*2*$B$7))</f>
        <v>68.468952476802912</v>
      </c>
      <c r="V690" s="54">
        <f ca="1">MIN(100,MAX(0,MCDA_Prioritisation!$H$3+(RAND()-0.5)*2*$B$7))</f>
        <v>64.177324876800199</v>
      </c>
      <c r="W690" s="54">
        <f ca="1">MIN(100,MAX(0,MCDA_Prioritisation!$H$4+(RAND()-0.5)*2*$B$7))</f>
        <v>87.184417535483959</v>
      </c>
      <c r="X690" s="54">
        <f ca="1">MIN(100,MAX(0,MCDA_Prioritisation!$H$5+(RAND()-0.5)*2*$B$7))</f>
        <v>68.050596064810605</v>
      </c>
      <c r="Y690" s="54">
        <f ca="1">H690*MCDA_Prioritisation!$D$2+I690*MCDA_Prioritisation!$E$2+J690*M690+K690*Q690+L690*U690</f>
        <v>88.241558032836139</v>
      </c>
      <c r="Z690" s="54">
        <f ca="1">H690*MCDA_Prioritisation!$D$3+I690*MCDA_Prioritisation!$E$3+J690*N690+K690*R690+L690*V690</f>
        <v>81.927153415370938</v>
      </c>
      <c r="AA690" s="54">
        <f ca="1">H690*MCDA_Prioritisation!$D$4+I690*MCDA_Prioritisation!$E$4+J690*O690+K690*S690+L690*W690</f>
        <v>75.281526455303776</v>
      </c>
      <c r="AB690" s="54">
        <f ca="1">H690*MCDA_Prioritisation!$D$5+I690*MCDA_Prioritisation!$E$5+J690*P690+K690*T690+L690*X690</f>
        <v>72.80398923283532</v>
      </c>
      <c r="AC690" s="54">
        <f t="shared" ca="1" si="146"/>
        <v>1</v>
      </c>
      <c r="AD690" s="54">
        <f t="shared" ca="1" si="147"/>
        <v>2</v>
      </c>
      <c r="AE690" s="54">
        <f t="shared" ca="1" si="148"/>
        <v>3</v>
      </c>
      <c r="AF690" s="54">
        <f t="shared" ca="1" si="149"/>
        <v>4</v>
      </c>
      <c r="AG690" s="54">
        <f t="shared" ca="1" si="150"/>
        <v>1</v>
      </c>
      <c r="AH690" s="54">
        <f t="shared" ca="1" si="151"/>
        <v>1</v>
      </c>
      <c r="AI690" s="54">
        <f t="shared" ca="1" si="152"/>
        <v>1</v>
      </c>
      <c r="AJ690" s="54">
        <f t="shared" ca="1" si="153"/>
        <v>1</v>
      </c>
    </row>
    <row r="691" spans="1:36" x14ac:dyDescent="0.2">
      <c r="A691" s="54">
        <v>668</v>
      </c>
      <c r="B691" s="54">
        <f ca="1">MAX(0.02,MCDA_Prioritisation!$B$9+(RAND()-0.5)*2*$B$6)</f>
        <v>0.23501747491162317</v>
      </c>
      <c r="C691" s="54">
        <f ca="1">MAX(0.02,MCDA_Prioritisation!$B$10+(RAND()-0.5)*2*$B$6)</f>
        <v>0.18051855670268607</v>
      </c>
      <c r="D691" s="54">
        <f ca="1">MAX(0.02,MCDA_Prioritisation!$B$11+(RAND()-0.5)*2*$B$6)</f>
        <v>0.28271262831188326</v>
      </c>
      <c r="E691" s="54">
        <f ca="1">MAX(0.02,MCDA_Prioritisation!$B$12+(RAND()-0.5)*2*$B$6)</f>
        <v>0.15496869704876931</v>
      </c>
      <c r="F691" s="54">
        <f ca="1">MAX(0.02,MCDA_Prioritisation!$B$13+(RAND()-0.5)*2*$B$6)</f>
        <v>7.7746901603845689E-2</v>
      </c>
      <c r="G691" s="54">
        <f t="shared" ca="1" si="140"/>
        <v>0.9309642585788076</v>
      </c>
      <c r="H691" s="54">
        <f t="shared" ca="1" si="141"/>
        <v>0.252445217682574</v>
      </c>
      <c r="I691" s="54">
        <f t="shared" ca="1" si="142"/>
        <v>0.19390492711101742</v>
      </c>
      <c r="J691" s="54">
        <f t="shared" ca="1" si="143"/>
        <v>0.30367720963151368</v>
      </c>
      <c r="K691" s="54">
        <f t="shared" ca="1" si="144"/>
        <v>0.16646041523155958</v>
      </c>
      <c r="L691" s="54">
        <f t="shared" ca="1" si="145"/>
        <v>8.3512230343335242E-2</v>
      </c>
      <c r="M691" s="54">
        <f ca="1">MIN(100,MAX(0,MCDA_Prioritisation!$F$2+(RAND()-0.5)*2*$B$7))</f>
        <v>76.297252603506521</v>
      </c>
      <c r="N691" s="54">
        <f ca="1">MIN(100,MAX(0,MCDA_Prioritisation!$F$3+(RAND()-0.5)*2*$B$7))</f>
        <v>86.478844745412488</v>
      </c>
      <c r="O691" s="54">
        <f ca="1">MIN(100,MAX(0,MCDA_Prioritisation!$F$4+(RAND()-0.5)*2*$B$7))</f>
        <v>83.319133219195976</v>
      </c>
      <c r="P691" s="54">
        <f ca="1">MIN(100,MAX(0,MCDA_Prioritisation!$F$5+(RAND()-0.5)*2*$B$7))</f>
        <v>77.275030956678378</v>
      </c>
      <c r="Q691" s="54">
        <f ca="1">MIN(100,MAX(0,MCDA_Prioritisation!$G$2+(RAND()-0.5)*2*$B$7))</f>
        <v>86.184548838894429</v>
      </c>
      <c r="R691" s="54">
        <f ca="1">MIN(100,MAX(0,MCDA_Prioritisation!$G$3+(RAND()-0.5)*2*$B$7))</f>
        <v>87.644434841580818</v>
      </c>
      <c r="S691" s="54">
        <f ca="1">MIN(100,MAX(0,MCDA_Prioritisation!$G$4+(RAND()-0.5)*2*$B$7))</f>
        <v>91.737556200595051</v>
      </c>
      <c r="T691" s="54">
        <f ca="1">MIN(100,MAX(0,MCDA_Prioritisation!$G$5+(RAND()-0.5)*2*$B$7))</f>
        <v>78.311893364011411</v>
      </c>
      <c r="U691" s="54">
        <f ca="1">MIN(100,MAX(0,MCDA_Prioritisation!$H$2+(RAND()-0.5)*2*$B$7))</f>
        <v>61.449000772350004</v>
      </c>
      <c r="V691" s="54">
        <f ca="1">MIN(100,MAX(0,MCDA_Prioritisation!$H$3+(RAND()-0.5)*2*$B$7))</f>
        <v>60.750625524679464</v>
      </c>
      <c r="W691" s="54">
        <f ca="1">MIN(100,MAX(0,MCDA_Prioritisation!$H$4+(RAND()-0.5)*2*$B$7))</f>
        <v>83.416485546538183</v>
      </c>
      <c r="X691" s="54">
        <f ca="1">MIN(100,MAX(0,MCDA_Prioritisation!$H$5+(RAND()-0.5)*2*$B$7))</f>
        <v>79.027087386677152</v>
      </c>
      <c r="Y691" s="54">
        <f ca="1">H691*MCDA_Prioritisation!$D$2+I691*MCDA_Prioritisation!$E$2+J691*M691+K691*Q691+L691*U691</f>
        <v>87.282810145678027</v>
      </c>
      <c r="Z691" s="54">
        <f ca="1">H691*MCDA_Prioritisation!$D$3+I691*MCDA_Prioritisation!$E$3+J691*N691+K691*R691+L691*V691</f>
        <v>82.089494142139628</v>
      </c>
      <c r="AA691" s="54">
        <f ca="1">H691*MCDA_Prioritisation!$D$4+I691*MCDA_Prioritisation!$E$4+J691*O691+K691*S691+L691*W691</f>
        <v>75.694523660473621</v>
      </c>
      <c r="AB691" s="54">
        <f ca="1">H691*MCDA_Prioritisation!$D$5+I691*MCDA_Prioritisation!$E$5+J691*P691+K691*T691+L691*X691</f>
        <v>72.806620544998125</v>
      </c>
      <c r="AC691" s="54">
        <f t="shared" ca="1" si="146"/>
        <v>1</v>
      </c>
      <c r="AD691" s="54">
        <f t="shared" ca="1" si="147"/>
        <v>2</v>
      </c>
      <c r="AE691" s="54">
        <f t="shared" ca="1" si="148"/>
        <v>3</v>
      </c>
      <c r="AF691" s="54">
        <f t="shared" ca="1" si="149"/>
        <v>4</v>
      </c>
      <c r="AG691" s="54">
        <f t="shared" ca="1" si="150"/>
        <v>1</v>
      </c>
      <c r="AH691" s="54">
        <f t="shared" ca="1" si="151"/>
        <v>1</v>
      </c>
      <c r="AI691" s="54">
        <f t="shared" ca="1" si="152"/>
        <v>1</v>
      </c>
      <c r="AJ691" s="54">
        <f t="shared" ca="1" si="153"/>
        <v>1</v>
      </c>
    </row>
    <row r="692" spans="1:36" x14ac:dyDescent="0.2">
      <c r="A692" s="54">
        <v>669</v>
      </c>
      <c r="B692" s="54">
        <f ca="1">MAX(0.02,MCDA_Prioritisation!$B$9+(RAND()-0.5)*2*$B$6)</f>
        <v>0.27721781503971832</v>
      </c>
      <c r="C692" s="54">
        <f ca="1">MAX(0.02,MCDA_Prioritisation!$B$10+(RAND()-0.5)*2*$B$6)</f>
        <v>0.32981454580785968</v>
      </c>
      <c r="D692" s="54">
        <f ca="1">MAX(0.02,MCDA_Prioritisation!$B$11+(RAND()-0.5)*2*$B$6)</f>
        <v>0.26399432289064689</v>
      </c>
      <c r="E692" s="54">
        <f ca="1">MAX(0.02,MCDA_Prioritisation!$B$12+(RAND()-0.5)*2*$B$6)</f>
        <v>0.19974594640007828</v>
      </c>
      <c r="F692" s="54">
        <f ca="1">MAX(0.02,MCDA_Prioritisation!$B$13+(RAND()-0.5)*2*$B$6)</f>
        <v>8.0720961245779613E-2</v>
      </c>
      <c r="G692" s="54">
        <f t="shared" ca="1" si="140"/>
        <v>1.1514935913840829</v>
      </c>
      <c r="H692" s="54">
        <f t="shared" ca="1" si="141"/>
        <v>0.24074629430330174</v>
      </c>
      <c r="I692" s="54">
        <f t="shared" ca="1" si="142"/>
        <v>0.28642325782415007</v>
      </c>
      <c r="J692" s="54">
        <f t="shared" ca="1" si="143"/>
        <v>0.22926252031791905</v>
      </c>
      <c r="K692" s="54">
        <f t="shared" ca="1" si="144"/>
        <v>0.17346683289829326</v>
      </c>
      <c r="L692" s="54">
        <f t="shared" ca="1" si="145"/>
        <v>7.0101094656335766E-2</v>
      </c>
      <c r="M692" s="54">
        <f ca="1">MIN(100,MAX(0,MCDA_Prioritisation!$F$2+(RAND()-0.5)*2*$B$7))</f>
        <v>85.421885616575338</v>
      </c>
      <c r="N692" s="54">
        <f ca="1">MIN(100,MAX(0,MCDA_Prioritisation!$F$3+(RAND()-0.5)*2*$B$7))</f>
        <v>95.695299754950767</v>
      </c>
      <c r="O692" s="54">
        <f ca="1">MIN(100,MAX(0,MCDA_Prioritisation!$F$4+(RAND()-0.5)*2*$B$7))</f>
        <v>98.115211675575281</v>
      </c>
      <c r="P692" s="54">
        <f ca="1">MIN(100,MAX(0,MCDA_Prioritisation!$F$5+(RAND()-0.5)*2*$B$7))</f>
        <v>75.147439205380806</v>
      </c>
      <c r="Q692" s="54">
        <f ca="1">MIN(100,MAX(0,MCDA_Prioritisation!$G$2+(RAND()-0.5)*2*$B$7))</f>
        <v>75.587126491910738</v>
      </c>
      <c r="R692" s="54">
        <f ca="1">MIN(100,MAX(0,MCDA_Prioritisation!$G$3+(RAND()-0.5)*2*$B$7))</f>
        <v>97.385077385178931</v>
      </c>
      <c r="S692" s="54">
        <f ca="1">MIN(100,MAX(0,MCDA_Prioritisation!$G$4+(RAND()-0.5)*2*$B$7))</f>
        <v>81.349943288889108</v>
      </c>
      <c r="T692" s="54">
        <f ca="1">MIN(100,MAX(0,MCDA_Prioritisation!$G$5+(RAND()-0.5)*2*$B$7))</f>
        <v>74.717005409340629</v>
      </c>
      <c r="U692" s="54">
        <f ca="1">MIN(100,MAX(0,MCDA_Prioritisation!$H$2+(RAND()-0.5)*2*$B$7))</f>
        <v>63.058176800528187</v>
      </c>
      <c r="V692" s="54">
        <f ca="1">MIN(100,MAX(0,MCDA_Prioritisation!$H$3+(RAND()-0.5)*2*$B$7))</f>
        <v>59.461622893584497</v>
      </c>
      <c r="W692" s="54">
        <f ca="1">MIN(100,MAX(0,MCDA_Prioritisation!$H$4+(RAND()-0.5)*2*$B$7))</f>
        <v>75.425631864446899</v>
      </c>
      <c r="X692" s="54">
        <f ca="1">MIN(100,MAX(0,MCDA_Prioritisation!$H$5+(RAND()-0.5)*2*$B$7))</f>
        <v>74.537242274864198</v>
      </c>
      <c r="Y692" s="54">
        <f ca="1">H692*MCDA_Prioritisation!$D$2+I692*MCDA_Prioritisation!$E$2+J692*M692+K692*Q692+L692*U692</f>
        <v>89.833298660694467</v>
      </c>
      <c r="Z692" s="54">
        <f ca="1">H692*MCDA_Prioritisation!$D$3+I692*MCDA_Prioritisation!$E$3+J692*N692+K692*R692+L692*V692</f>
        <v>84.871998977708955</v>
      </c>
      <c r="AA692" s="54">
        <f ca="1">H692*MCDA_Prioritisation!$D$4+I692*MCDA_Prioritisation!$E$4+J692*O692+K692*S692+L692*W692</f>
        <v>74.280320562269708</v>
      </c>
      <c r="AB692" s="54">
        <f ca="1">H692*MCDA_Prioritisation!$D$5+I692*MCDA_Prioritisation!$E$5+J692*P692+K692*T692+L692*X692</f>
        <v>72.277971802470105</v>
      </c>
      <c r="AC692" s="54">
        <f t="shared" ca="1" si="146"/>
        <v>1</v>
      </c>
      <c r="AD692" s="54">
        <f t="shared" ca="1" si="147"/>
        <v>2</v>
      </c>
      <c r="AE692" s="54">
        <f t="shared" ca="1" si="148"/>
        <v>3</v>
      </c>
      <c r="AF692" s="54">
        <f t="shared" ca="1" si="149"/>
        <v>4</v>
      </c>
      <c r="AG692" s="54">
        <f t="shared" ca="1" si="150"/>
        <v>1</v>
      </c>
      <c r="AH692" s="54">
        <f t="shared" ca="1" si="151"/>
        <v>1</v>
      </c>
      <c r="AI692" s="54">
        <f t="shared" ca="1" si="152"/>
        <v>1</v>
      </c>
      <c r="AJ692" s="54">
        <f t="shared" ca="1" si="153"/>
        <v>1</v>
      </c>
    </row>
    <row r="693" spans="1:36" x14ac:dyDescent="0.2">
      <c r="A693" s="54">
        <v>670</v>
      </c>
      <c r="B693" s="54">
        <f ca="1">MAX(0.02,MCDA_Prioritisation!$B$9+(RAND()-0.5)*2*$B$6)</f>
        <v>0.17605169827459996</v>
      </c>
      <c r="C693" s="54">
        <f ca="1">MAX(0.02,MCDA_Prioritisation!$B$10+(RAND()-0.5)*2*$B$6)</f>
        <v>0.22350847382867203</v>
      </c>
      <c r="D693" s="54">
        <f ca="1">MAX(0.02,MCDA_Prioritisation!$B$11+(RAND()-0.5)*2*$B$6)</f>
        <v>0.31590737687156217</v>
      </c>
      <c r="E693" s="54">
        <f ca="1">MAX(0.02,MCDA_Prioritisation!$B$12+(RAND()-0.5)*2*$B$6)</f>
        <v>9.2810259043390811E-2</v>
      </c>
      <c r="F693" s="54">
        <f ca="1">MAX(0.02,MCDA_Prioritisation!$B$13+(RAND()-0.5)*2*$B$6)</f>
        <v>0.12316595809103956</v>
      </c>
      <c r="G693" s="54">
        <f t="shared" ca="1" si="140"/>
        <v>0.93144376610926449</v>
      </c>
      <c r="H693" s="54">
        <f t="shared" ca="1" si="141"/>
        <v>0.18900947612756683</v>
      </c>
      <c r="I693" s="54">
        <f t="shared" ca="1" si="142"/>
        <v>0.23995917087114094</v>
      </c>
      <c r="J693" s="54">
        <f t="shared" ca="1" si="143"/>
        <v>0.33915882886965842</v>
      </c>
      <c r="K693" s="54">
        <f t="shared" ca="1" si="144"/>
        <v>9.9641290671866015E-2</v>
      </c>
      <c r="L693" s="54">
        <f t="shared" ca="1" si="145"/>
        <v>0.13223123345976787</v>
      </c>
      <c r="M693" s="54">
        <f ca="1">MIN(100,MAX(0,MCDA_Prioritisation!$F$2+(RAND()-0.5)*2*$B$7))</f>
        <v>91.572185991350977</v>
      </c>
      <c r="N693" s="54">
        <f ca="1">MIN(100,MAX(0,MCDA_Prioritisation!$F$3+(RAND()-0.5)*2*$B$7))</f>
        <v>88.776727626418761</v>
      </c>
      <c r="O693" s="54">
        <f ca="1">MIN(100,MAX(0,MCDA_Prioritisation!$F$4+(RAND()-0.5)*2*$B$7))</f>
        <v>82.89356254960731</v>
      </c>
      <c r="P693" s="54">
        <f ca="1">MIN(100,MAX(0,MCDA_Prioritisation!$F$5+(RAND()-0.5)*2*$B$7))</f>
        <v>84.541896809424429</v>
      </c>
      <c r="Q693" s="54">
        <f ca="1">MIN(100,MAX(0,MCDA_Prioritisation!$G$2+(RAND()-0.5)*2*$B$7))</f>
        <v>82.652905565169021</v>
      </c>
      <c r="R693" s="54">
        <f ca="1">MIN(100,MAX(0,MCDA_Prioritisation!$G$3+(RAND()-0.5)*2*$B$7))</f>
        <v>100</v>
      </c>
      <c r="S693" s="54">
        <f ca="1">MIN(100,MAX(0,MCDA_Prioritisation!$G$4+(RAND()-0.5)*2*$B$7))</f>
        <v>85.188521265244646</v>
      </c>
      <c r="T693" s="54">
        <f ca="1">MIN(100,MAX(0,MCDA_Prioritisation!$G$5+(RAND()-0.5)*2*$B$7))</f>
        <v>64.781232277279784</v>
      </c>
      <c r="U693" s="54">
        <f ca="1">MIN(100,MAX(0,MCDA_Prioritisation!$H$2+(RAND()-0.5)*2*$B$7))</f>
        <v>59.478593146393287</v>
      </c>
      <c r="V693" s="54">
        <f ca="1">MIN(100,MAX(0,MCDA_Prioritisation!$H$3+(RAND()-0.5)*2*$B$7))</f>
        <v>69.404084054568614</v>
      </c>
      <c r="W693" s="54">
        <f ca="1">MIN(100,MAX(0,MCDA_Prioritisation!$H$4+(RAND()-0.5)*2*$B$7))</f>
        <v>84.251824578073553</v>
      </c>
      <c r="X693" s="54">
        <f ca="1">MIN(100,MAX(0,MCDA_Prioritisation!$H$5+(RAND()-0.5)*2*$B$7))</f>
        <v>69.682554692740737</v>
      </c>
      <c r="Y693" s="54">
        <f ca="1">H693*MCDA_Prioritisation!$D$2+I693*MCDA_Prioritisation!$E$2+J693*M693+K693*Q693+L693*U693</f>
        <v>90.054949982224485</v>
      </c>
      <c r="Z693" s="54">
        <f ca="1">H693*MCDA_Prioritisation!$D$3+I693*MCDA_Prioritisation!$E$3+J693*N693+K693*R693+L693*V693</f>
        <v>83.221334548608695</v>
      </c>
      <c r="AA693" s="54">
        <f ca="1">H693*MCDA_Prioritisation!$D$4+I693*MCDA_Prioritisation!$E$4+J693*O693+K693*S693+L693*W693</f>
        <v>73.993291343469366</v>
      </c>
      <c r="AB693" s="54">
        <f ca="1">H693*MCDA_Prioritisation!$D$5+I693*MCDA_Prioritisation!$E$5+J693*P693+K693*T693+L693*X693</f>
        <v>74.552457418860712</v>
      </c>
      <c r="AC693" s="54">
        <f t="shared" ca="1" si="146"/>
        <v>1</v>
      </c>
      <c r="AD693" s="54">
        <f t="shared" ca="1" si="147"/>
        <v>2</v>
      </c>
      <c r="AE693" s="54">
        <f t="shared" ca="1" si="148"/>
        <v>4</v>
      </c>
      <c r="AF693" s="54">
        <f t="shared" ca="1" si="149"/>
        <v>3</v>
      </c>
      <c r="AG693" s="54">
        <f t="shared" ca="1" si="150"/>
        <v>1</v>
      </c>
      <c r="AH693" s="54">
        <f t="shared" ca="1" si="151"/>
        <v>1</v>
      </c>
      <c r="AI693" s="54">
        <f t="shared" ca="1" si="152"/>
        <v>0</v>
      </c>
      <c r="AJ693" s="54">
        <f t="shared" ca="1" si="153"/>
        <v>1</v>
      </c>
    </row>
    <row r="694" spans="1:36" x14ac:dyDescent="0.2">
      <c r="A694" s="54">
        <v>671</v>
      </c>
      <c r="B694" s="54">
        <f ca="1">MAX(0.02,MCDA_Prioritisation!$B$9+(RAND()-0.5)*2*$B$6)</f>
        <v>0.2169297775822514</v>
      </c>
      <c r="C694" s="54">
        <f ca="1">MAX(0.02,MCDA_Prioritisation!$B$10+(RAND()-0.5)*2*$B$6)</f>
        <v>0.27528614250753919</v>
      </c>
      <c r="D694" s="54">
        <f ca="1">MAX(0.02,MCDA_Prioritisation!$B$11+(RAND()-0.5)*2*$B$6)</f>
        <v>0.28699568306716078</v>
      </c>
      <c r="E694" s="54">
        <f ca="1">MAX(0.02,MCDA_Prioritisation!$B$12+(RAND()-0.5)*2*$B$6)</f>
        <v>0.10552161743826051</v>
      </c>
      <c r="F694" s="54">
        <f ca="1">MAX(0.02,MCDA_Prioritisation!$B$13+(RAND()-0.5)*2*$B$6)</f>
        <v>7.100097322688266E-2</v>
      </c>
      <c r="G694" s="54">
        <f t="shared" ca="1" si="140"/>
        <v>0.95573419382209457</v>
      </c>
      <c r="H694" s="54">
        <f t="shared" ca="1" si="141"/>
        <v>0.2269771019855672</v>
      </c>
      <c r="I694" s="54">
        <f t="shared" ca="1" si="142"/>
        <v>0.28803630160666033</v>
      </c>
      <c r="J694" s="54">
        <f t="shared" ca="1" si="143"/>
        <v>0.3002881815072776</v>
      </c>
      <c r="K694" s="54">
        <f t="shared" ca="1" si="144"/>
        <v>0.11040895901847671</v>
      </c>
      <c r="L694" s="54">
        <f t="shared" ca="1" si="145"/>
        <v>7.4289455882018129E-2</v>
      </c>
      <c r="M694" s="54">
        <f ca="1">MIN(100,MAX(0,MCDA_Prioritisation!$F$2+(RAND()-0.5)*2*$B$7))</f>
        <v>79.336492399786337</v>
      </c>
      <c r="N694" s="54">
        <f ca="1">MIN(100,MAX(0,MCDA_Prioritisation!$F$3+(RAND()-0.5)*2*$B$7))</f>
        <v>99.991852641775452</v>
      </c>
      <c r="O694" s="54">
        <f ca="1">MIN(100,MAX(0,MCDA_Prioritisation!$F$4+(RAND()-0.5)*2*$B$7))</f>
        <v>99.637482308973077</v>
      </c>
      <c r="P694" s="54">
        <f ca="1">MIN(100,MAX(0,MCDA_Prioritisation!$F$5+(RAND()-0.5)*2*$B$7))</f>
        <v>81.977383077287172</v>
      </c>
      <c r="Q694" s="54">
        <f ca="1">MIN(100,MAX(0,MCDA_Prioritisation!$G$2+(RAND()-0.5)*2*$B$7))</f>
        <v>83.709770046627554</v>
      </c>
      <c r="R694" s="54">
        <f ca="1">MIN(100,MAX(0,MCDA_Prioritisation!$G$3+(RAND()-0.5)*2*$B$7))</f>
        <v>98.326983687844105</v>
      </c>
      <c r="S694" s="54">
        <f ca="1">MIN(100,MAX(0,MCDA_Prioritisation!$G$4+(RAND()-0.5)*2*$B$7))</f>
        <v>80.666553355059889</v>
      </c>
      <c r="T694" s="54">
        <f ca="1">MIN(100,MAX(0,MCDA_Prioritisation!$G$5+(RAND()-0.5)*2*$B$7))</f>
        <v>68.912680352585596</v>
      </c>
      <c r="U694" s="54">
        <f ca="1">MIN(100,MAX(0,MCDA_Prioritisation!$H$2+(RAND()-0.5)*2*$B$7))</f>
        <v>67.565818642720018</v>
      </c>
      <c r="V694" s="54">
        <f ca="1">MIN(100,MAX(0,MCDA_Prioritisation!$H$3+(RAND()-0.5)*2*$B$7))</f>
        <v>64.798489993000075</v>
      </c>
      <c r="W694" s="54">
        <f ca="1">MIN(100,MAX(0,MCDA_Prioritisation!$H$4+(RAND()-0.5)*2*$B$7))</f>
        <v>70.49651216919645</v>
      </c>
      <c r="X694" s="54">
        <f ca="1">MIN(100,MAX(0,MCDA_Prioritisation!$H$5+(RAND()-0.5)*2*$B$7))</f>
        <v>72.676796340074404</v>
      </c>
      <c r="Y694" s="54">
        <f ca="1">H694*MCDA_Prioritisation!$D$2+I694*MCDA_Prioritisation!$E$2+J694*M694+K694*Q694+L694*U694</f>
        <v>89.586887862835553</v>
      </c>
      <c r="Z694" s="54">
        <f ca="1">H694*MCDA_Prioritisation!$D$3+I694*MCDA_Prioritisation!$E$3+J694*N694+K694*R694+L694*V694</f>
        <v>86.481572031525147</v>
      </c>
      <c r="AA694" s="54">
        <f ca="1">H694*MCDA_Prioritisation!$D$4+I694*MCDA_Prioritisation!$E$4+J694*O694+K694*S694+L694*W694</f>
        <v>75.579838157967643</v>
      </c>
      <c r="AB694" s="54">
        <f ca="1">H694*MCDA_Prioritisation!$D$5+I694*MCDA_Prioritisation!$E$5+J694*P694+K694*T694+L694*X694</f>
        <v>73.892782355612766</v>
      </c>
      <c r="AC694" s="54">
        <f t="shared" ca="1" si="146"/>
        <v>1</v>
      </c>
      <c r="AD694" s="54">
        <f t="shared" ca="1" si="147"/>
        <v>2</v>
      </c>
      <c r="AE694" s="54">
        <f t="shared" ca="1" si="148"/>
        <v>3</v>
      </c>
      <c r="AF694" s="54">
        <f t="shared" ca="1" si="149"/>
        <v>4</v>
      </c>
      <c r="AG694" s="54">
        <f t="shared" ca="1" si="150"/>
        <v>1</v>
      </c>
      <c r="AH694" s="54">
        <f t="shared" ca="1" si="151"/>
        <v>1</v>
      </c>
      <c r="AI694" s="54">
        <f t="shared" ca="1" si="152"/>
        <v>1</v>
      </c>
      <c r="AJ694" s="54">
        <f t="shared" ca="1" si="153"/>
        <v>1</v>
      </c>
    </row>
    <row r="695" spans="1:36" x14ac:dyDescent="0.2">
      <c r="A695" s="54">
        <v>672</v>
      </c>
      <c r="B695" s="54">
        <f ca="1">MAX(0.02,MCDA_Prioritisation!$B$9+(RAND()-0.5)*2*$B$6)</f>
        <v>0.2555204614786033</v>
      </c>
      <c r="C695" s="54">
        <f ca="1">MAX(0.02,MCDA_Prioritisation!$B$10+(RAND()-0.5)*2*$B$6)</f>
        <v>0.23261916472794306</v>
      </c>
      <c r="D695" s="54">
        <f ca="1">MAX(0.02,MCDA_Prioritisation!$B$11+(RAND()-0.5)*2*$B$6)</f>
        <v>0.31845939586838995</v>
      </c>
      <c r="E695" s="54">
        <f ca="1">MAX(0.02,MCDA_Prioritisation!$B$12+(RAND()-0.5)*2*$B$6)</f>
        <v>0.20302967261035523</v>
      </c>
      <c r="F695" s="54">
        <f ca="1">MAX(0.02,MCDA_Prioritisation!$B$13+(RAND()-0.5)*2*$B$6)</f>
        <v>0.10440913599481988</v>
      </c>
      <c r="G695" s="54">
        <f t="shared" ca="1" si="140"/>
        <v>1.1140378306801115</v>
      </c>
      <c r="H695" s="54">
        <f t="shared" ca="1" si="141"/>
        <v>0.2293642589521489</v>
      </c>
      <c r="I695" s="54">
        <f t="shared" ca="1" si="142"/>
        <v>0.2088072400431239</v>
      </c>
      <c r="J695" s="54">
        <f t="shared" ca="1" si="143"/>
        <v>0.2858604861506121</v>
      </c>
      <c r="K695" s="54">
        <f t="shared" ca="1" si="144"/>
        <v>0.18224665897244008</v>
      </c>
      <c r="L695" s="54">
        <f t="shared" ca="1" si="145"/>
        <v>9.3721355881674961E-2</v>
      </c>
      <c r="M695" s="54">
        <f ca="1">MIN(100,MAX(0,MCDA_Prioritisation!$F$2+(RAND()-0.5)*2*$B$7))</f>
        <v>83.771077378660266</v>
      </c>
      <c r="N695" s="54">
        <f ca="1">MIN(100,MAX(0,MCDA_Prioritisation!$F$3+(RAND()-0.5)*2*$B$7))</f>
        <v>100</v>
      </c>
      <c r="O695" s="54">
        <f ca="1">MIN(100,MAX(0,MCDA_Prioritisation!$F$4+(RAND()-0.5)*2*$B$7))</f>
        <v>92.794026452521507</v>
      </c>
      <c r="P695" s="54">
        <f ca="1">MIN(100,MAX(0,MCDA_Prioritisation!$F$5+(RAND()-0.5)*2*$B$7))</f>
        <v>72.435571590971222</v>
      </c>
      <c r="Q695" s="54">
        <f ca="1">MIN(100,MAX(0,MCDA_Prioritisation!$G$2+(RAND()-0.5)*2*$B$7))</f>
        <v>71.809942426349451</v>
      </c>
      <c r="R695" s="54">
        <f ca="1">MIN(100,MAX(0,MCDA_Prioritisation!$G$3+(RAND()-0.5)*2*$B$7))</f>
        <v>100</v>
      </c>
      <c r="S695" s="54">
        <f ca="1">MIN(100,MAX(0,MCDA_Prioritisation!$G$4+(RAND()-0.5)*2*$B$7))</f>
        <v>84.640833753753199</v>
      </c>
      <c r="T695" s="54">
        <f ca="1">MIN(100,MAX(0,MCDA_Prioritisation!$G$5+(RAND()-0.5)*2*$B$7))</f>
        <v>73.333778544551322</v>
      </c>
      <c r="U695" s="54">
        <f ca="1">MIN(100,MAX(0,MCDA_Prioritisation!$H$2+(RAND()-0.5)*2*$B$7))</f>
        <v>56.686083638593402</v>
      </c>
      <c r="V695" s="54">
        <f ca="1">MIN(100,MAX(0,MCDA_Prioritisation!$H$3+(RAND()-0.5)*2*$B$7))</f>
        <v>55.639087401760712</v>
      </c>
      <c r="W695" s="54">
        <f ca="1">MIN(100,MAX(0,MCDA_Prioritisation!$H$4+(RAND()-0.5)*2*$B$7))</f>
        <v>85.268959896199917</v>
      </c>
      <c r="X695" s="54">
        <f ca="1">MIN(100,MAX(0,MCDA_Prioritisation!$H$5+(RAND()-0.5)*2*$B$7))</f>
        <v>74.585091701189683</v>
      </c>
      <c r="Y695" s="54">
        <f ca="1">H695*MCDA_Prioritisation!$D$2+I695*MCDA_Prioritisation!$E$2+J695*M695+K695*Q695+L695*U695</f>
        <v>86.163809510788113</v>
      </c>
      <c r="Z695" s="54">
        <f ca="1">H695*MCDA_Prioritisation!$D$3+I695*MCDA_Prioritisation!$E$3+J695*N695+K695*R695+L695*V695</f>
        <v>87.256977589281419</v>
      </c>
      <c r="AA695" s="54">
        <f ca="1">H695*MCDA_Prioritisation!$D$4+I695*MCDA_Prioritisation!$E$4+J695*O695+K695*S695+L695*W695</f>
        <v>77.304241687035628</v>
      </c>
      <c r="AB695" s="54">
        <f ca="1">H695*MCDA_Prioritisation!$D$5+I695*MCDA_Prioritisation!$E$5+J695*P695+K695*T695+L695*X695</f>
        <v>70.794022539159045</v>
      </c>
      <c r="AC695" s="54">
        <f t="shared" ca="1" si="146"/>
        <v>2</v>
      </c>
      <c r="AD695" s="54">
        <f t="shared" ca="1" si="147"/>
        <v>1</v>
      </c>
      <c r="AE695" s="54">
        <f t="shared" ca="1" si="148"/>
        <v>3</v>
      </c>
      <c r="AF695" s="54">
        <f t="shared" ca="1" si="149"/>
        <v>4</v>
      </c>
      <c r="AG695" s="54">
        <f t="shared" ca="1" si="150"/>
        <v>0</v>
      </c>
      <c r="AH695" s="54">
        <f t="shared" ca="1" si="151"/>
        <v>0</v>
      </c>
      <c r="AI695" s="54">
        <f t="shared" ca="1" si="152"/>
        <v>0</v>
      </c>
      <c r="AJ695" s="54">
        <f t="shared" ca="1" si="153"/>
        <v>1</v>
      </c>
    </row>
    <row r="696" spans="1:36" x14ac:dyDescent="0.2">
      <c r="A696" s="54">
        <v>673</v>
      </c>
      <c r="B696" s="54">
        <f ca="1">MAX(0.02,MCDA_Prioritisation!$B$9+(RAND()-0.5)*2*$B$6)</f>
        <v>0.25777162550013077</v>
      </c>
      <c r="C696" s="54">
        <f ca="1">MAX(0.02,MCDA_Prioritisation!$B$10+(RAND()-0.5)*2*$B$6)</f>
        <v>0.25144122529266777</v>
      </c>
      <c r="D696" s="54">
        <f ca="1">MAX(0.02,MCDA_Prioritisation!$B$11+(RAND()-0.5)*2*$B$6)</f>
        <v>0.1974956741597482</v>
      </c>
      <c r="E696" s="54">
        <f ca="1">MAX(0.02,MCDA_Prioritisation!$B$12+(RAND()-0.5)*2*$B$6)</f>
        <v>0.19449483063293299</v>
      </c>
      <c r="F696" s="54">
        <f ca="1">MAX(0.02,MCDA_Prioritisation!$B$13+(RAND()-0.5)*2*$B$6)</f>
        <v>0.14233289365194116</v>
      </c>
      <c r="G696" s="54">
        <f t="shared" ca="1" si="140"/>
        <v>1.0435362492374209</v>
      </c>
      <c r="H696" s="54">
        <f t="shared" ca="1" si="141"/>
        <v>0.24701741380666084</v>
      </c>
      <c r="I696" s="54">
        <f t="shared" ca="1" si="142"/>
        <v>0.24095111739186065</v>
      </c>
      <c r="J696" s="54">
        <f t="shared" ca="1" si="143"/>
        <v>0.18925617035735079</v>
      </c>
      <c r="K696" s="54">
        <f t="shared" ca="1" si="144"/>
        <v>0.18638052178356321</v>
      </c>
      <c r="L696" s="54">
        <f t="shared" ca="1" si="145"/>
        <v>0.13639477666056446</v>
      </c>
      <c r="M696" s="54">
        <f ca="1">MIN(100,MAX(0,MCDA_Prioritisation!$F$2+(RAND()-0.5)*2*$B$7))</f>
        <v>83.393169094515869</v>
      </c>
      <c r="N696" s="54">
        <f ca="1">MIN(100,MAX(0,MCDA_Prioritisation!$F$3+(RAND()-0.5)*2*$B$7))</f>
        <v>96.026216364644085</v>
      </c>
      <c r="O696" s="54">
        <f ca="1">MIN(100,MAX(0,MCDA_Prioritisation!$F$4+(RAND()-0.5)*2*$B$7))</f>
        <v>84.953547936538584</v>
      </c>
      <c r="P696" s="54">
        <f ca="1">MIN(100,MAX(0,MCDA_Prioritisation!$F$5+(RAND()-0.5)*2*$B$7))</f>
        <v>81.861070890209191</v>
      </c>
      <c r="Q696" s="54">
        <f ca="1">MIN(100,MAX(0,MCDA_Prioritisation!$G$2+(RAND()-0.5)*2*$B$7))</f>
        <v>84.971505910652212</v>
      </c>
      <c r="R696" s="54">
        <f ca="1">MIN(100,MAX(0,MCDA_Prioritisation!$G$3+(RAND()-0.5)*2*$B$7))</f>
        <v>100</v>
      </c>
      <c r="S696" s="54">
        <f ca="1">MIN(100,MAX(0,MCDA_Prioritisation!$G$4+(RAND()-0.5)*2*$B$7))</f>
        <v>93.043079539869439</v>
      </c>
      <c r="T696" s="54">
        <f ca="1">MIN(100,MAX(0,MCDA_Prioritisation!$G$5+(RAND()-0.5)*2*$B$7))</f>
        <v>77.743775354688921</v>
      </c>
      <c r="U696" s="54">
        <f ca="1">MIN(100,MAX(0,MCDA_Prioritisation!$H$2+(RAND()-0.5)*2*$B$7))</f>
        <v>66.569690490751981</v>
      </c>
      <c r="V696" s="54">
        <f ca="1">MIN(100,MAX(0,MCDA_Prioritisation!$H$3+(RAND()-0.5)*2*$B$7))</f>
        <v>61.616670248074904</v>
      </c>
      <c r="W696" s="54">
        <f ca="1">MIN(100,MAX(0,MCDA_Prioritisation!$H$4+(RAND()-0.5)*2*$B$7))</f>
        <v>79.708437725771006</v>
      </c>
      <c r="X696" s="54">
        <f ca="1">MIN(100,MAX(0,MCDA_Prioritisation!$H$5+(RAND()-0.5)*2*$B$7))</f>
        <v>79.258553649090913</v>
      </c>
      <c r="Y696" s="54">
        <f ca="1">H696*MCDA_Prioritisation!$D$2+I696*MCDA_Prioritisation!$E$2+J696*M696+K696*Q696+L696*U696</f>
        <v>89.496316611854724</v>
      </c>
      <c r="Z696" s="54">
        <f ca="1">H696*MCDA_Prioritisation!$D$3+I696*MCDA_Prioritisation!$E$3+J696*N696+K696*R696+L696*V696</f>
        <v>84.328056955857605</v>
      </c>
      <c r="AA696" s="54">
        <f ca="1">H696*MCDA_Prioritisation!$D$4+I696*MCDA_Prioritisation!$E$4+J696*O696+K696*S696+L696*W696</f>
        <v>74.634844217449739</v>
      </c>
      <c r="AB696" s="54">
        <f ca="1">H696*MCDA_Prioritisation!$D$5+I696*MCDA_Prioritisation!$E$5+J696*P696+K696*T696+L696*X696</f>
        <v>74.165558464701405</v>
      </c>
      <c r="AC696" s="54">
        <f t="shared" ca="1" si="146"/>
        <v>1</v>
      </c>
      <c r="AD696" s="54">
        <f t="shared" ca="1" si="147"/>
        <v>2</v>
      </c>
      <c r="AE696" s="54">
        <f t="shared" ca="1" si="148"/>
        <v>3</v>
      </c>
      <c r="AF696" s="54">
        <f t="shared" ca="1" si="149"/>
        <v>4</v>
      </c>
      <c r="AG696" s="54">
        <f t="shared" ca="1" si="150"/>
        <v>1</v>
      </c>
      <c r="AH696" s="54">
        <f t="shared" ca="1" si="151"/>
        <v>1</v>
      </c>
      <c r="AI696" s="54">
        <f t="shared" ca="1" si="152"/>
        <v>1</v>
      </c>
      <c r="AJ696" s="54">
        <f t="shared" ca="1" si="153"/>
        <v>1</v>
      </c>
    </row>
    <row r="697" spans="1:36" x14ac:dyDescent="0.2">
      <c r="A697" s="54">
        <v>674</v>
      </c>
      <c r="B697" s="54">
        <f ca="1">MAX(0.02,MCDA_Prioritisation!$B$9+(RAND()-0.5)*2*$B$6)</f>
        <v>0.12944725896969711</v>
      </c>
      <c r="C697" s="54">
        <f ca="1">MAX(0.02,MCDA_Prioritisation!$B$10+(RAND()-0.5)*2*$B$6)</f>
        <v>0.26507186582799902</v>
      </c>
      <c r="D697" s="54">
        <f ca="1">MAX(0.02,MCDA_Prioritisation!$B$11+(RAND()-0.5)*2*$B$6)</f>
        <v>0.32629127074458314</v>
      </c>
      <c r="E697" s="54">
        <f ca="1">MAX(0.02,MCDA_Prioritisation!$B$12+(RAND()-0.5)*2*$B$6)</f>
        <v>0.21659800527351741</v>
      </c>
      <c r="F697" s="54">
        <f ca="1">MAX(0.02,MCDA_Prioritisation!$B$13+(RAND()-0.5)*2*$B$6)</f>
        <v>0.15401785438519952</v>
      </c>
      <c r="G697" s="54">
        <f t="shared" ca="1" si="140"/>
        <v>1.0914262552009963</v>
      </c>
      <c r="H697" s="54">
        <f t="shared" ca="1" si="141"/>
        <v>0.11860376122787901</v>
      </c>
      <c r="I697" s="54">
        <f t="shared" ca="1" si="142"/>
        <v>0.24286740818708227</v>
      </c>
      <c r="J697" s="54">
        <f t="shared" ca="1" si="143"/>
        <v>0.29895860502686328</v>
      </c>
      <c r="K697" s="54">
        <f t="shared" ca="1" si="144"/>
        <v>0.19845409091210553</v>
      </c>
      <c r="L697" s="54">
        <f t="shared" ca="1" si="145"/>
        <v>0.14111613464606979</v>
      </c>
      <c r="M697" s="54">
        <f ca="1">MIN(100,MAX(0,MCDA_Prioritisation!$F$2+(RAND()-0.5)*2*$B$7))</f>
        <v>76.923295100762317</v>
      </c>
      <c r="N697" s="54">
        <f ca="1">MIN(100,MAX(0,MCDA_Prioritisation!$F$3+(RAND()-0.5)*2*$B$7))</f>
        <v>89.094042665273051</v>
      </c>
      <c r="O697" s="54">
        <f ca="1">MIN(100,MAX(0,MCDA_Prioritisation!$F$4+(RAND()-0.5)*2*$B$7))</f>
        <v>92.977543123159961</v>
      </c>
      <c r="P697" s="54">
        <f ca="1">MIN(100,MAX(0,MCDA_Prioritisation!$F$5+(RAND()-0.5)*2*$B$7))</f>
        <v>75.554622709556384</v>
      </c>
      <c r="Q697" s="54">
        <f ca="1">MIN(100,MAX(0,MCDA_Prioritisation!$G$2+(RAND()-0.5)*2*$B$7))</f>
        <v>75.159112151221507</v>
      </c>
      <c r="R697" s="54">
        <f ca="1">MIN(100,MAX(0,MCDA_Prioritisation!$G$3+(RAND()-0.5)*2*$B$7))</f>
        <v>85.066060225003497</v>
      </c>
      <c r="S697" s="54">
        <f ca="1">MIN(100,MAX(0,MCDA_Prioritisation!$G$4+(RAND()-0.5)*2*$B$7))</f>
        <v>82.674668599792753</v>
      </c>
      <c r="T697" s="54">
        <f ca="1">MIN(100,MAX(0,MCDA_Prioritisation!$G$5+(RAND()-0.5)*2*$B$7))</f>
        <v>79.930481707125182</v>
      </c>
      <c r="U697" s="54">
        <f ca="1">MIN(100,MAX(0,MCDA_Prioritisation!$H$2+(RAND()-0.5)*2*$B$7))</f>
        <v>68.561870721776359</v>
      </c>
      <c r="V697" s="54">
        <f ca="1">MIN(100,MAX(0,MCDA_Prioritisation!$H$3+(RAND()-0.5)*2*$B$7))</f>
        <v>59.930807153686096</v>
      </c>
      <c r="W697" s="54">
        <f ca="1">MIN(100,MAX(0,MCDA_Prioritisation!$H$4+(RAND()-0.5)*2*$B$7))</f>
        <v>73.687564770694422</v>
      </c>
      <c r="X697" s="54">
        <f ca="1">MIN(100,MAX(0,MCDA_Prioritisation!$H$5+(RAND()-0.5)*2*$B$7))</f>
        <v>75.291667780150021</v>
      </c>
      <c r="Y697" s="54">
        <f ca="1">H697*MCDA_Prioritisation!$D$2+I697*MCDA_Prioritisation!$E$2+J697*M697+K697*Q697+L697*U697</f>
        <v>83.734817394982059</v>
      </c>
      <c r="Z697" s="54">
        <f ca="1">H697*MCDA_Prioritisation!$D$3+I697*MCDA_Prioritisation!$E$3+J697*N697+K697*R697+L697*V697</f>
        <v>80.003020300034947</v>
      </c>
      <c r="AA697" s="54">
        <f ca="1">H697*MCDA_Prioritisation!$D$4+I697*MCDA_Prioritisation!$E$4+J697*O697+K697*S697+L697*W697</f>
        <v>76.108248982886295</v>
      </c>
      <c r="AB697" s="54">
        <f ca="1">H697*MCDA_Prioritisation!$D$5+I697*MCDA_Prioritisation!$E$5+J697*P697+K697*T697+L697*X697</f>
        <v>75.793046126516586</v>
      </c>
      <c r="AC697" s="54">
        <f t="shared" ca="1" si="146"/>
        <v>1</v>
      </c>
      <c r="AD697" s="54">
        <f t="shared" ca="1" si="147"/>
        <v>2</v>
      </c>
      <c r="AE697" s="54">
        <f t="shared" ca="1" si="148"/>
        <v>3</v>
      </c>
      <c r="AF697" s="54">
        <f t="shared" ca="1" si="149"/>
        <v>4</v>
      </c>
      <c r="AG697" s="54">
        <f t="shared" ca="1" si="150"/>
        <v>1</v>
      </c>
      <c r="AH697" s="54">
        <f t="shared" ca="1" si="151"/>
        <v>1</v>
      </c>
      <c r="AI697" s="54">
        <f t="shared" ca="1" si="152"/>
        <v>1</v>
      </c>
      <c r="AJ697" s="54">
        <f t="shared" ca="1" si="153"/>
        <v>1</v>
      </c>
    </row>
    <row r="698" spans="1:36" x14ac:dyDescent="0.2">
      <c r="A698" s="54">
        <v>675</v>
      </c>
      <c r="B698" s="54">
        <f ca="1">MAX(0.02,MCDA_Prioritisation!$B$9+(RAND()-0.5)*2*$B$6)</f>
        <v>0.24003821223912836</v>
      </c>
      <c r="C698" s="54">
        <f ca="1">MAX(0.02,MCDA_Prioritisation!$B$10+(RAND()-0.5)*2*$B$6)</f>
        <v>0.29597104078268283</v>
      </c>
      <c r="D698" s="54">
        <f ca="1">MAX(0.02,MCDA_Prioritisation!$B$11+(RAND()-0.5)*2*$B$6)</f>
        <v>0.29245208400267808</v>
      </c>
      <c r="E698" s="54">
        <f ca="1">MAX(0.02,MCDA_Prioritisation!$B$12+(RAND()-0.5)*2*$B$6)</f>
        <v>9.6019622020357881E-2</v>
      </c>
      <c r="F698" s="54">
        <f ca="1">MAX(0.02,MCDA_Prioritisation!$B$13+(RAND()-0.5)*2*$B$6)</f>
        <v>0.1854773380382555</v>
      </c>
      <c r="G698" s="54">
        <f t="shared" ca="1" si="140"/>
        <v>1.1099582970831028</v>
      </c>
      <c r="H698" s="54">
        <f t="shared" ca="1" si="141"/>
        <v>0.21625876654098894</v>
      </c>
      <c r="I698" s="54">
        <f t="shared" ca="1" si="142"/>
        <v>0.26665059539666958</v>
      </c>
      <c r="J698" s="54">
        <f t="shared" ca="1" si="143"/>
        <v>0.26348024495264633</v>
      </c>
      <c r="K698" s="54">
        <f t="shared" ca="1" si="144"/>
        <v>8.650741408275528E-2</v>
      </c>
      <c r="L698" s="54">
        <f t="shared" ca="1" si="145"/>
        <v>0.16710297902693977</v>
      </c>
      <c r="M698" s="54">
        <f ca="1">MIN(100,MAX(0,MCDA_Prioritisation!$F$2+(RAND()-0.5)*2*$B$7))</f>
        <v>89.323125174139705</v>
      </c>
      <c r="N698" s="54">
        <f ca="1">MIN(100,MAX(0,MCDA_Prioritisation!$F$3+(RAND()-0.5)*2*$B$7))</f>
        <v>97.670223533713639</v>
      </c>
      <c r="O698" s="54">
        <f ca="1">MIN(100,MAX(0,MCDA_Prioritisation!$F$4+(RAND()-0.5)*2*$B$7))</f>
        <v>92.34136440901797</v>
      </c>
      <c r="P698" s="54">
        <f ca="1">MIN(100,MAX(0,MCDA_Prioritisation!$F$5+(RAND()-0.5)*2*$B$7))</f>
        <v>67.841049692054014</v>
      </c>
      <c r="Q698" s="54">
        <f ca="1">MIN(100,MAX(0,MCDA_Prioritisation!$G$2+(RAND()-0.5)*2*$B$7))</f>
        <v>78.067832530183651</v>
      </c>
      <c r="R698" s="54">
        <f ca="1">MIN(100,MAX(0,MCDA_Prioritisation!$G$3+(RAND()-0.5)*2*$B$7))</f>
        <v>100</v>
      </c>
      <c r="S698" s="54">
        <f ca="1">MIN(100,MAX(0,MCDA_Prioritisation!$G$4+(RAND()-0.5)*2*$B$7))</f>
        <v>93.320572654606607</v>
      </c>
      <c r="T698" s="54">
        <f ca="1">MIN(100,MAX(0,MCDA_Prioritisation!$G$5+(RAND()-0.5)*2*$B$7))</f>
        <v>71.794071747071868</v>
      </c>
      <c r="U698" s="54">
        <f ca="1">MIN(100,MAX(0,MCDA_Prioritisation!$H$2+(RAND()-0.5)*2*$B$7))</f>
        <v>65.504238281845105</v>
      </c>
      <c r="V698" s="54">
        <f ca="1">MIN(100,MAX(0,MCDA_Prioritisation!$H$3+(RAND()-0.5)*2*$B$7))</f>
        <v>62.145113305383852</v>
      </c>
      <c r="W698" s="54">
        <f ca="1">MIN(100,MAX(0,MCDA_Prioritisation!$H$4+(RAND()-0.5)*2*$B$7))</f>
        <v>84.556067315004356</v>
      </c>
      <c r="X698" s="54">
        <f ca="1">MIN(100,MAX(0,MCDA_Prioritisation!$H$5+(RAND()-0.5)*2*$B$7))</f>
        <v>76.438643139799481</v>
      </c>
      <c r="Y698" s="54">
        <f ca="1">H698*MCDA_Prioritisation!$D$2+I698*MCDA_Prioritisation!$E$2+J698*M698+K698*Q698+L698*U698</f>
        <v>89.525214765602669</v>
      </c>
      <c r="Z698" s="54">
        <f ca="1">H698*MCDA_Prioritisation!$D$3+I698*MCDA_Prioritisation!$E$3+J698*N698+K698*R698+L698*V698</f>
        <v>83.06265262705584</v>
      </c>
      <c r="AA698" s="54">
        <f ca="1">H698*MCDA_Prioritisation!$D$4+I698*MCDA_Prioritisation!$E$4+J698*O698+K698*S698+L698*W698</f>
        <v>76.136184611686872</v>
      </c>
      <c r="AB698" s="54">
        <f ca="1">H698*MCDA_Prioritisation!$D$5+I698*MCDA_Prioritisation!$E$5+J698*P698+K698*T698+L698*X698</f>
        <v>70.759638307930814</v>
      </c>
      <c r="AC698" s="54">
        <f t="shared" ca="1" si="146"/>
        <v>1</v>
      </c>
      <c r="AD698" s="54">
        <f t="shared" ca="1" si="147"/>
        <v>2</v>
      </c>
      <c r="AE698" s="54">
        <f t="shared" ca="1" si="148"/>
        <v>3</v>
      </c>
      <c r="AF698" s="54">
        <f t="shared" ca="1" si="149"/>
        <v>4</v>
      </c>
      <c r="AG698" s="54">
        <f t="shared" ca="1" si="150"/>
        <v>1</v>
      </c>
      <c r="AH698" s="54">
        <f t="shared" ca="1" si="151"/>
        <v>1</v>
      </c>
      <c r="AI698" s="54">
        <f t="shared" ca="1" si="152"/>
        <v>1</v>
      </c>
      <c r="AJ698" s="54">
        <f t="shared" ca="1" si="153"/>
        <v>1</v>
      </c>
    </row>
    <row r="699" spans="1:36" x14ac:dyDescent="0.2">
      <c r="A699" s="54">
        <v>676</v>
      </c>
      <c r="B699" s="54">
        <f ca="1">MAX(0.02,MCDA_Prioritisation!$B$9+(RAND()-0.5)*2*$B$6)</f>
        <v>0.13573291974837359</v>
      </c>
      <c r="C699" s="54">
        <f ca="1">MAX(0.02,MCDA_Prioritisation!$B$10+(RAND()-0.5)*2*$B$6)</f>
        <v>0.28758154839046424</v>
      </c>
      <c r="D699" s="54">
        <f ca="1">MAX(0.02,MCDA_Prioritisation!$B$11+(RAND()-0.5)*2*$B$6)</f>
        <v>0.24116055016772436</v>
      </c>
      <c r="E699" s="54">
        <f ca="1">MAX(0.02,MCDA_Prioritisation!$B$12+(RAND()-0.5)*2*$B$6)</f>
        <v>0.13071431211805404</v>
      </c>
      <c r="F699" s="54">
        <f ca="1">MAX(0.02,MCDA_Prioritisation!$B$13+(RAND()-0.5)*2*$B$6)</f>
        <v>7.9244178271093008E-2</v>
      </c>
      <c r="G699" s="54">
        <f t="shared" ca="1" si="140"/>
        <v>0.87443350869570924</v>
      </c>
      <c r="H699" s="54">
        <f t="shared" ca="1" si="141"/>
        <v>0.15522383165625778</v>
      </c>
      <c r="I699" s="54">
        <f t="shared" ca="1" si="142"/>
        <v>0.3288775481847856</v>
      </c>
      <c r="J699" s="54">
        <f t="shared" ca="1" si="143"/>
        <v>0.27579060931394944</v>
      </c>
      <c r="K699" s="54">
        <f t="shared" ca="1" si="144"/>
        <v>0.14948456437016622</v>
      </c>
      <c r="L699" s="54">
        <f t="shared" ca="1" si="145"/>
        <v>9.0623446474840982E-2</v>
      </c>
      <c r="M699" s="54">
        <f ca="1">MIN(100,MAX(0,MCDA_Prioritisation!$F$2+(RAND()-0.5)*2*$B$7))</f>
        <v>79.634980954139536</v>
      </c>
      <c r="N699" s="54">
        <f ca="1">MIN(100,MAX(0,MCDA_Prioritisation!$F$3+(RAND()-0.5)*2*$B$7))</f>
        <v>89.286504613255843</v>
      </c>
      <c r="O699" s="54">
        <f ca="1">MIN(100,MAX(0,MCDA_Prioritisation!$F$4+(RAND()-0.5)*2*$B$7))</f>
        <v>87.885975918683755</v>
      </c>
      <c r="P699" s="54">
        <f ca="1">MIN(100,MAX(0,MCDA_Prioritisation!$F$5+(RAND()-0.5)*2*$B$7))</f>
        <v>79.893522063318187</v>
      </c>
      <c r="Q699" s="54">
        <f ca="1">MIN(100,MAX(0,MCDA_Prioritisation!$G$2+(RAND()-0.5)*2*$B$7))</f>
        <v>84.671370829747573</v>
      </c>
      <c r="R699" s="54">
        <f ca="1">MIN(100,MAX(0,MCDA_Prioritisation!$G$3+(RAND()-0.5)*2*$B$7))</f>
        <v>90.520354111125073</v>
      </c>
      <c r="S699" s="54">
        <f ca="1">MIN(100,MAX(0,MCDA_Prioritisation!$G$4+(RAND()-0.5)*2*$B$7))</f>
        <v>76.189797574224116</v>
      </c>
      <c r="T699" s="54">
        <f ca="1">MIN(100,MAX(0,MCDA_Prioritisation!$G$5+(RAND()-0.5)*2*$B$7))</f>
        <v>61.793349525484913</v>
      </c>
      <c r="U699" s="54">
        <f ca="1">MIN(100,MAX(0,MCDA_Prioritisation!$H$2+(RAND()-0.5)*2*$B$7))</f>
        <v>69.387840826737857</v>
      </c>
      <c r="V699" s="54">
        <f ca="1">MIN(100,MAX(0,MCDA_Prioritisation!$H$3+(RAND()-0.5)*2*$B$7))</f>
        <v>68.86031907858964</v>
      </c>
      <c r="W699" s="54">
        <f ca="1">MIN(100,MAX(0,MCDA_Prioritisation!$H$4+(RAND()-0.5)*2*$B$7))</f>
        <v>73.858457581798845</v>
      </c>
      <c r="X699" s="54">
        <f ca="1">MIN(100,MAX(0,MCDA_Prioritisation!$H$5+(RAND()-0.5)*2*$B$7))</f>
        <v>76.353883234269517</v>
      </c>
      <c r="Y699" s="54">
        <f ca="1">H699*MCDA_Prioritisation!$D$2+I699*MCDA_Prioritisation!$E$2+J699*M699+K699*Q699+L699*U699</f>
        <v>89.317946166427518</v>
      </c>
      <c r="Z699" s="54">
        <f ca="1">H699*MCDA_Prioritisation!$D$3+I699*MCDA_Prioritisation!$E$3+J699*N699+K699*R699+L699*V699</f>
        <v>81.88057405728371</v>
      </c>
      <c r="AA699" s="54">
        <f ca="1">H699*MCDA_Prioritisation!$D$4+I699*MCDA_Prioritisation!$E$4+J699*O699+K699*S699+L699*W699</f>
        <v>71.068284019141956</v>
      </c>
      <c r="AB699" s="54">
        <f ca="1">H699*MCDA_Prioritisation!$D$5+I699*MCDA_Prioritisation!$E$5+J699*P699+K699*T699+L699*X699</f>
        <v>74.084742108457192</v>
      </c>
      <c r="AC699" s="54">
        <f t="shared" ca="1" si="146"/>
        <v>1</v>
      </c>
      <c r="AD699" s="54">
        <f t="shared" ca="1" si="147"/>
        <v>2</v>
      </c>
      <c r="AE699" s="54">
        <f t="shared" ca="1" si="148"/>
        <v>4</v>
      </c>
      <c r="AF699" s="54">
        <f t="shared" ca="1" si="149"/>
        <v>3</v>
      </c>
      <c r="AG699" s="54">
        <f t="shared" ca="1" si="150"/>
        <v>1</v>
      </c>
      <c r="AH699" s="54">
        <f t="shared" ca="1" si="151"/>
        <v>1</v>
      </c>
      <c r="AI699" s="54">
        <f t="shared" ca="1" si="152"/>
        <v>0</v>
      </c>
      <c r="AJ699" s="54">
        <f t="shared" ca="1" si="153"/>
        <v>1</v>
      </c>
    </row>
    <row r="700" spans="1:36" x14ac:dyDescent="0.2">
      <c r="A700" s="54">
        <v>677</v>
      </c>
      <c r="B700" s="54">
        <f ca="1">MAX(0.02,MCDA_Prioritisation!$B$9+(RAND()-0.5)*2*$B$6)</f>
        <v>0.18004652739468993</v>
      </c>
      <c r="C700" s="54">
        <f ca="1">MAX(0.02,MCDA_Prioritisation!$B$10+(RAND()-0.5)*2*$B$6)</f>
        <v>0.27978580504545913</v>
      </c>
      <c r="D700" s="54">
        <f ca="1">MAX(0.02,MCDA_Prioritisation!$B$11+(RAND()-0.5)*2*$B$6)</f>
        <v>0.24352546874377753</v>
      </c>
      <c r="E700" s="54">
        <f ca="1">MAX(0.02,MCDA_Prioritisation!$B$12+(RAND()-0.5)*2*$B$6)</f>
        <v>0.14445647481874935</v>
      </c>
      <c r="F700" s="54">
        <f ca="1">MAX(0.02,MCDA_Prioritisation!$B$13+(RAND()-0.5)*2*$B$6)</f>
        <v>0.18862330905749103</v>
      </c>
      <c r="G700" s="54">
        <f t="shared" ca="1" si="140"/>
        <v>1.036437585060167</v>
      </c>
      <c r="H700" s="54">
        <f t="shared" ca="1" si="141"/>
        <v>0.17371670999777369</v>
      </c>
      <c r="I700" s="54">
        <f t="shared" ca="1" si="142"/>
        <v>0.26994949727649742</v>
      </c>
      <c r="J700" s="54">
        <f t="shared" ca="1" si="143"/>
        <v>0.23496394983557109</v>
      </c>
      <c r="K700" s="54">
        <f t="shared" ca="1" si="144"/>
        <v>0.13937788140938887</v>
      </c>
      <c r="L700" s="54">
        <f t="shared" ca="1" si="145"/>
        <v>0.18199196148076888</v>
      </c>
      <c r="M700" s="54">
        <f ca="1">MIN(100,MAX(0,MCDA_Prioritisation!$F$2+(RAND()-0.5)*2*$B$7))</f>
        <v>92.234590292170083</v>
      </c>
      <c r="N700" s="54">
        <f ca="1">MIN(100,MAX(0,MCDA_Prioritisation!$F$3+(RAND()-0.5)*2*$B$7))</f>
        <v>92.911188798434011</v>
      </c>
      <c r="O700" s="54">
        <f ca="1">MIN(100,MAX(0,MCDA_Prioritisation!$F$4+(RAND()-0.5)*2*$B$7))</f>
        <v>92.205840734006145</v>
      </c>
      <c r="P700" s="54">
        <f ca="1">MIN(100,MAX(0,MCDA_Prioritisation!$F$5+(RAND()-0.5)*2*$B$7))</f>
        <v>84.562828085533269</v>
      </c>
      <c r="Q700" s="54">
        <f ca="1">MIN(100,MAX(0,MCDA_Prioritisation!$G$2+(RAND()-0.5)*2*$B$7))</f>
        <v>77.222340746691216</v>
      </c>
      <c r="R700" s="54">
        <f ca="1">MIN(100,MAX(0,MCDA_Prioritisation!$G$3+(RAND()-0.5)*2*$B$7))</f>
        <v>85.00761031400549</v>
      </c>
      <c r="S700" s="54">
        <f ca="1">MIN(100,MAX(0,MCDA_Prioritisation!$G$4+(RAND()-0.5)*2*$B$7))</f>
        <v>94.830280824628943</v>
      </c>
      <c r="T700" s="54">
        <f ca="1">MIN(100,MAX(0,MCDA_Prioritisation!$G$5+(RAND()-0.5)*2*$B$7))</f>
        <v>63.128290219756941</v>
      </c>
      <c r="U700" s="54">
        <f ca="1">MIN(100,MAX(0,MCDA_Prioritisation!$H$2+(RAND()-0.5)*2*$B$7))</f>
        <v>61.624088376938545</v>
      </c>
      <c r="V700" s="54">
        <f ca="1">MIN(100,MAX(0,MCDA_Prioritisation!$H$3+(RAND()-0.5)*2*$B$7))</f>
        <v>62.591862521049919</v>
      </c>
      <c r="W700" s="54">
        <f ca="1">MIN(100,MAX(0,MCDA_Prioritisation!$H$4+(RAND()-0.5)*2*$B$7))</f>
        <v>75.791503043964909</v>
      </c>
      <c r="X700" s="54">
        <f ca="1">MIN(100,MAX(0,MCDA_Prioritisation!$H$5+(RAND()-0.5)*2*$B$7))</f>
        <v>79.582852570325713</v>
      </c>
      <c r="Y700" s="54">
        <f ca="1">H700*MCDA_Prioritisation!$D$2+I700*MCDA_Prioritisation!$E$2+J700*M700+K700*Q700+L700*U700</f>
        <v>88.016599342872055</v>
      </c>
      <c r="Z700" s="54">
        <f ca="1">H700*MCDA_Prioritisation!$D$3+I700*MCDA_Prioritisation!$E$3+J700*N700+K700*R700+L700*V700</f>
        <v>79.885158457641012</v>
      </c>
      <c r="AA700" s="54">
        <f ca="1">H700*MCDA_Prioritisation!$D$4+I700*MCDA_Prioritisation!$E$4+J700*O700+K700*S700+L700*W700</f>
        <v>75.496864980464323</v>
      </c>
      <c r="AB700" s="54">
        <f ca="1">H700*MCDA_Prioritisation!$D$5+I700*MCDA_Prioritisation!$E$5+J700*P700+K700*T700+L700*X700</f>
        <v>75.071810478247741</v>
      </c>
      <c r="AC700" s="54">
        <f t="shared" ca="1" si="146"/>
        <v>1</v>
      </c>
      <c r="AD700" s="54">
        <f t="shared" ca="1" si="147"/>
        <v>2</v>
      </c>
      <c r="AE700" s="54">
        <f t="shared" ca="1" si="148"/>
        <v>3</v>
      </c>
      <c r="AF700" s="54">
        <f t="shared" ca="1" si="149"/>
        <v>4</v>
      </c>
      <c r="AG700" s="54">
        <f t="shared" ca="1" si="150"/>
        <v>1</v>
      </c>
      <c r="AH700" s="54">
        <f t="shared" ca="1" si="151"/>
        <v>1</v>
      </c>
      <c r="AI700" s="54">
        <f t="shared" ca="1" si="152"/>
        <v>1</v>
      </c>
      <c r="AJ700" s="54">
        <f t="shared" ca="1" si="153"/>
        <v>1</v>
      </c>
    </row>
    <row r="701" spans="1:36" x14ac:dyDescent="0.2">
      <c r="A701" s="54">
        <v>678</v>
      </c>
      <c r="B701" s="54">
        <f ca="1">MAX(0.02,MCDA_Prioritisation!$B$9+(RAND()-0.5)*2*$B$6)</f>
        <v>0.25011503925712625</v>
      </c>
      <c r="C701" s="54">
        <f ca="1">MAX(0.02,MCDA_Prioritisation!$B$10+(RAND()-0.5)*2*$B$6)</f>
        <v>0.23076161682316232</v>
      </c>
      <c r="D701" s="54">
        <f ca="1">MAX(0.02,MCDA_Prioritisation!$B$11+(RAND()-0.5)*2*$B$6)</f>
        <v>0.22296001669556395</v>
      </c>
      <c r="E701" s="54">
        <f ca="1">MAX(0.02,MCDA_Prioritisation!$B$12+(RAND()-0.5)*2*$B$6)</f>
        <v>0.19412056708758091</v>
      </c>
      <c r="F701" s="54">
        <f ca="1">MAX(0.02,MCDA_Prioritisation!$B$13+(RAND()-0.5)*2*$B$6)</f>
        <v>0.16466290979107184</v>
      </c>
      <c r="G701" s="54">
        <f t="shared" ca="1" si="140"/>
        <v>1.0626201496545054</v>
      </c>
      <c r="H701" s="54">
        <f t="shared" ca="1" si="141"/>
        <v>0.23537577311934779</v>
      </c>
      <c r="I701" s="54">
        <f t="shared" ca="1" si="142"/>
        <v>0.21716284685378018</v>
      </c>
      <c r="J701" s="54">
        <f t="shared" ca="1" si="143"/>
        <v>0.20982099461228548</v>
      </c>
      <c r="K701" s="54">
        <f t="shared" ca="1" si="144"/>
        <v>0.18268105225625189</v>
      </c>
      <c r="L701" s="54">
        <f t="shared" ca="1" si="145"/>
        <v>0.15495933315833457</v>
      </c>
      <c r="M701" s="54">
        <f ca="1">MIN(100,MAX(0,MCDA_Prioritisation!$F$2+(RAND()-0.5)*2*$B$7))</f>
        <v>80.286812115916149</v>
      </c>
      <c r="N701" s="54">
        <f ca="1">MIN(100,MAX(0,MCDA_Prioritisation!$F$3+(RAND()-0.5)*2*$B$7))</f>
        <v>97.478610966178138</v>
      </c>
      <c r="O701" s="54">
        <f ca="1">MIN(100,MAX(0,MCDA_Prioritisation!$F$4+(RAND()-0.5)*2*$B$7))</f>
        <v>88.199048265133285</v>
      </c>
      <c r="P701" s="54">
        <f ca="1">MIN(100,MAX(0,MCDA_Prioritisation!$F$5+(RAND()-0.5)*2*$B$7))</f>
        <v>84.236359315654141</v>
      </c>
      <c r="Q701" s="54">
        <f ca="1">MIN(100,MAX(0,MCDA_Prioritisation!$G$2+(RAND()-0.5)*2*$B$7))</f>
        <v>85.509333625618552</v>
      </c>
      <c r="R701" s="54">
        <f ca="1">MIN(100,MAX(0,MCDA_Prioritisation!$G$3+(RAND()-0.5)*2*$B$7))</f>
        <v>97.152434638615944</v>
      </c>
      <c r="S701" s="54">
        <f ca="1">MIN(100,MAX(0,MCDA_Prioritisation!$G$4+(RAND()-0.5)*2*$B$7))</f>
        <v>77.953092638681682</v>
      </c>
      <c r="T701" s="54">
        <f ca="1">MIN(100,MAX(0,MCDA_Prioritisation!$G$5+(RAND()-0.5)*2*$B$7))</f>
        <v>63.257245862656639</v>
      </c>
      <c r="U701" s="54">
        <f ca="1">MIN(100,MAX(0,MCDA_Prioritisation!$H$2+(RAND()-0.5)*2*$B$7))</f>
        <v>73.416503593362194</v>
      </c>
      <c r="V701" s="54">
        <f ca="1">MIN(100,MAX(0,MCDA_Prioritisation!$H$3+(RAND()-0.5)*2*$B$7))</f>
        <v>68.482010290615989</v>
      </c>
      <c r="W701" s="54">
        <f ca="1">MIN(100,MAX(0,MCDA_Prioritisation!$H$4+(RAND()-0.5)*2*$B$7))</f>
        <v>87.685160018640033</v>
      </c>
      <c r="X701" s="54">
        <f ca="1">MIN(100,MAX(0,MCDA_Prioritisation!$H$5+(RAND()-0.5)*2*$B$7))</f>
        <v>83.466116251398205</v>
      </c>
      <c r="Y701" s="54">
        <f ca="1">H701*MCDA_Prioritisation!$D$2+I701*MCDA_Prioritisation!$E$2+J701*M701+K701*Q701+L701*U701</f>
        <v>89.097228253826799</v>
      </c>
      <c r="Z701" s="54">
        <f ca="1">H701*MCDA_Prioritisation!$D$3+I701*MCDA_Prioritisation!$E$3+J701*N701+K701*R701+L701*V701</f>
        <v>85.177654941726914</v>
      </c>
      <c r="AA701" s="54">
        <f ca="1">H701*MCDA_Prioritisation!$D$4+I701*MCDA_Prioritisation!$E$4+J701*O701+K701*S701+L701*W701</f>
        <v>74.56963029697404</v>
      </c>
      <c r="AB701" s="54">
        <f ca="1">H701*MCDA_Prioritisation!$D$5+I701*MCDA_Prioritisation!$E$5+J701*P701+K701*T701+L701*X701</f>
        <v>72.91851046030132</v>
      </c>
      <c r="AC701" s="54">
        <f t="shared" ca="1" si="146"/>
        <v>1</v>
      </c>
      <c r="AD701" s="54">
        <f t="shared" ca="1" si="147"/>
        <v>2</v>
      </c>
      <c r="AE701" s="54">
        <f t="shared" ca="1" si="148"/>
        <v>3</v>
      </c>
      <c r="AF701" s="54">
        <f t="shared" ca="1" si="149"/>
        <v>4</v>
      </c>
      <c r="AG701" s="54">
        <f t="shared" ca="1" si="150"/>
        <v>1</v>
      </c>
      <c r="AH701" s="54">
        <f t="shared" ca="1" si="151"/>
        <v>1</v>
      </c>
      <c r="AI701" s="54">
        <f t="shared" ca="1" si="152"/>
        <v>1</v>
      </c>
      <c r="AJ701" s="54">
        <f t="shared" ca="1" si="153"/>
        <v>1</v>
      </c>
    </row>
    <row r="702" spans="1:36" x14ac:dyDescent="0.2">
      <c r="A702" s="54">
        <v>679</v>
      </c>
      <c r="B702" s="54">
        <f ca="1">MAX(0.02,MCDA_Prioritisation!$B$9+(RAND()-0.5)*2*$B$6)</f>
        <v>0.14897664491417287</v>
      </c>
      <c r="C702" s="54">
        <f ca="1">MAX(0.02,MCDA_Prioritisation!$B$10+(RAND()-0.5)*2*$B$6)</f>
        <v>0.30641398956688137</v>
      </c>
      <c r="D702" s="54">
        <f ca="1">MAX(0.02,MCDA_Prioritisation!$B$11+(RAND()-0.5)*2*$B$6)</f>
        <v>0.21151660379120038</v>
      </c>
      <c r="E702" s="54">
        <f ca="1">MAX(0.02,MCDA_Prioritisation!$B$12+(RAND()-0.5)*2*$B$6)</f>
        <v>0.10711472246918909</v>
      </c>
      <c r="F702" s="54">
        <f ca="1">MAX(0.02,MCDA_Prioritisation!$B$13+(RAND()-0.5)*2*$B$6)</f>
        <v>0.20884466607763513</v>
      </c>
      <c r="G702" s="54">
        <f t="shared" ca="1" si="140"/>
        <v>0.98286662681907888</v>
      </c>
      <c r="H702" s="54">
        <f t="shared" ca="1" si="141"/>
        <v>0.15157361217596388</v>
      </c>
      <c r="I702" s="54">
        <f t="shared" ca="1" si="142"/>
        <v>0.31175541137107354</v>
      </c>
      <c r="J702" s="54">
        <f t="shared" ca="1" si="143"/>
        <v>0.21520377029765128</v>
      </c>
      <c r="K702" s="54">
        <f t="shared" ca="1" si="144"/>
        <v>0.10898195090401236</v>
      </c>
      <c r="L702" s="54">
        <f t="shared" ca="1" si="145"/>
        <v>0.21248525525129891</v>
      </c>
      <c r="M702" s="54">
        <f ca="1">MIN(100,MAX(0,MCDA_Prioritisation!$F$2+(RAND()-0.5)*2*$B$7))</f>
        <v>76.399897451102845</v>
      </c>
      <c r="N702" s="54">
        <f ca="1">MIN(100,MAX(0,MCDA_Prioritisation!$F$3+(RAND()-0.5)*2*$B$7))</f>
        <v>95.461423824859807</v>
      </c>
      <c r="O702" s="54">
        <f ca="1">MIN(100,MAX(0,MCDA_Prioritisation!$F$4+(RAND()-0.5)*2*$B$7))</f>
        <v>91.204557701806579</v>
      </c>
      <c r="P702" s="54">
        <f ca="1">MIN(100,MAX(0,MCDA_Prioritisation!$F$5+(RAND()-0.5)*2*$B$7))</f>
        <v>78.024031840737777</v>
      </c>
      <c r="Q702" s="54">
        <f ca="1">MIN(100,MAX(0,MCDA_Prioritisation!$G$2+(RAND()-0.5)*2*$B$7))</f>
        <v>76.90664035444496</v>
      </c>
      <c r="R702" s="54">
        <f ca="1">MIN(100,MAX(0,MCDA_Prioritisation!$G$3+(RAND()-0.5)*2*$B$7))</f>
        <v>100</v>
      </c>
      <c r="S702" s="54">
        <f ca="1">MIN(100,MAX(0,MCDA_Prioritisation!$G$4+(RAND()-0.5)*2*$B$7))</f>
        <v>91.056597995021193</v>
      </c>
      <c r="T702" s="54">
        <f ca="1">MIN(100,MAX(0,MCDA_Prioritisation!$G$5+(RAND()-0.5)*2*$B$7))</f>
        <v>61.38788161059631</v>
      </c>
      <c r="U702" s="54">
        <f ca="1">MIN(100,MAX(0,MCDA_Prioritisation!$H$2+(RAND()-0.5)*2*$B$7))</f>
        <v>60.56297921644623</v>
      </c>
      <c r="V702" s="54">
        <f ca="1">MIN(100,MAX(0,MCDA_Prioritisation!$H$3+(RAND()-0.5)*2*$B$7))</f>
        <v>59.72285709640429</v>
      </c>
      <c r="W702" s="54">
        <f ca="1">MIN(100,MAX(0,MCDA_Prioritisation!$H$4+(RAND()-0.5)*2*$B$7))</f>
        <v>80.81667851103046</v>
      </c>
      <c r="X702" s="54">
        <f ca="1">MIN(100,MAX(0,MCDA_Prioritisation!$H$5+(RAND()-0.5)*2*$B$7))</f>
        <v>73.888480750759385</v>
      </c>
      <c r="Y702" s="54">
        <f ca="1">H702*MCDA_Prioritisation!$D$2+I702*MCDA_Prioritisation!$E$2+J702*M702+K702*Q702+L702*U702</f>
        <v>84.024624137421341</v>
      </c>
      <c r="Z702" s="54">
        <f ca="1">H702*MCDA_Prioritisation!$D$3+I702*MCDA_Prioritisation!$E$3+J702*N702+K702*R702+L702*V702</f>
        <v>80.05225539633949</v>
      </c>
      <c r="AA702" s="54">
        <f ca="1">H702*MCDA_Prioritisation!$D$4+I702*MCDA_Prioritisation!$E$4+J702*O702+K702*S702+L702*W702</f>
        <v>74.282978871362687</v>
      </c>
      <c r="AB702" s="54">
        <f ca="1">H702*MCDA_Prioritisation!$D$5+I702*MCDA_Prioritisation!$E$5+J702*P702+K702*T702+L702*X702</f>
        <v>73.44214991414789</v>
      </c>
      <c r="AC702" s="54">
        <f t="shared" ca="1" si="146"/>
        <v>1</v>
      </c>
      <c r="AD702" s="54">
        <f t="shared" ca="1" si="147"/>
        <v>2</v>
      </c>
      <c r="AE702" s="54">
        <f t="shared" ca="1" si="148"/>
        <v>3</v>
      </c>
      <c r="AF702" s="54">
        <f t="shared" ca="1" si="149"/>
        <v>4</v>
      </c>
      <c r="AG702" s="54">
        <f t="shared" ca="1" si="150"/>
        <v>1</v>
      </c>
      <c r="AH702" s="54">
        <f t="shared" ca="1" si="151"/>
        <v>1</v>
      </c>
      <c r="AI702" s="54">
        <f t="shared" ca="1" si="152"/>
        <v>1</v>
      </c>
      <c r="AJ702" s="54">
        <f t="shared" ca="1" si="153"/>
        <v>1</v>
      </c>
    </row>
    <row r="703" spans="1:36" x14ac:dyDescent="0.2">
      <c r="A703" s="54">
        <v>680</v>
      </c>
      <c r="B703" s="54">
        <f ca="1">MAX(0.02,MCDA_Prioritisation!$B$9+(RAND()-0.5)*2*$B$6)</f>
        <v>0.16998611199339603</v>
      </c>
      <c r="C703" s="54">
        <f ca="1">MAX(0.02,MCDA_Prioritisation!$B$10+(RAND()-0.5)*2*$B$6)</f>
        <v>0.17781937728788266</v>
      </c>
      <c r="D703" s="54">
        <f ca="1">MAX(0.02,MCDA_Prioritisation!$B$11+(RAND()-0.5)*2*$B$6)</f>
        <v>0.30769988853687552</v>
      </c>
      <c r="E703" s="54">
        <f ca="1">MAX(0.02,MCDA_Prioritisation!$B$12+(RAND()-0.5)*2*$B$6)</f>
        <v>0.17618974587128969</v>
      </c>
      <c r="F703" s="54">
        <f ca="1">MAX(0.02,MCDA_Prioritisation!$B$13+(RAND()-0.5)*2*$B$6)</f>
        <v>0.18476875869358766</v>
      </c>
      <c r="G703" s="54">
        <f t="shared" ca="1" si="140"/>
        <v>1.0164638823830314</v>
      </c>
      <c r="H703" s="54">
        <f t="shared" ca="1" si="141"/>
        <v>0.16723281066797474</v>
      </c>
      <c r="I703" s="54">
        <f t="shared" ca="1" si="142"/>
        <v>0.17493919889312451</v>
      </c>
      <c r="J703" s="54">
        <f t="shared" ca="1" si="143"/>
        <v>0.30271600778917374</v>
      </c>
      <c r="K703" s="54">
        <f t="shared" ca="1" si="144"/>
        <v>0.17333596296429601</v>
      </c>
      <c r="L703" s="54">
        <f t="shared" ca="1" si="145"/>
        <v>0.18177601968543111</v>
      </c>
      <c r="M703" s="54">
        <f ca="1">MIN(100,MAX(0,MCDA_Prioritisation!$F$2+(RAND()-0.5)*2*$B$7))</f>
        <v>76.571412117971164</v>
      </c>
      <c r="N703" s="54">
        <f ca="1">MIN(100,MAX(0,MCDA_Prioritisation!$F$3+(RAND()-0.5)*2*$B$7))</f>
        <v>97.971052220198914</v>
      </c>
      <c r="O703" s="54">
        <f ca="1">MIN(100,MAX(0,MCDA_Prioritisation!$F$4+(RAND()-0.5)*2*$B$7))</f>
        <v>93.592322892137688</v>
      </c>
      <c r="P703" s="54">
        <f ca="1">MIN(100,MAX(0,MCDA_Prioritisation!$F$5+(RAND()-0.5)*2*$B$7))</f>
        <v>82.555661295991868</v>
      </c>
      <c r="Q703" s="54">
        <f ca="1">MIN(100,MAX(0,MCDA_Prioritisation!$G$2+(RAND()-0.5)*2*$B$7))</f>
        <v>84.718135132489707</v>
      </c>
      <c r="R703" s="54">
        <f ca="1">MIN(100,MAX(0,MCDA_Prioritisation!$G$3+(RAND()-0.5)*2*$B$7))</f>
        <v>89.666489254679718</v>
      </c>
      <c r="S703" s="54">
        <f ca="1">MIN(100,MAX(0,MCDA_Prioritisation!$G$4+(RAND()-0.5)*2*$B$7))</f>
        <v>87.87847172875621</v>
      </c>
      <c r="T703" s="54">
        <f ca="1">MIN(100,MAX(0,MCDA_Prioritisation!$G$5+(RAND()-0.5)*2*$B$7))</f>
        <v>77.328323027978755</v>
      </c>
      <c r="U703" s="54">
        <f ca="1">MIN(100,MAX(0,MCDA_Prioritisation!$H$2+(RAND()-0.5)*2*$B$7))</f>
        <v>64.15287294964385</v>
      </c>
      <c r="V703" s="54">
        <f ca="1">MIN(100,MAX(0,MCDA_Prioritisation!$H$3+(RAND()-0.5)*2*$B$7))</f>
        <v>63.564068231103278</v>
      </c>
      <c r="W703" s="54">
        <f ca="1">MIN(100,MAX(0,MCDA_Prioritisation!$H$4+(RAND()-0.5)*2*$B$7))</f>
        <v>89.797140114995727</v>
      </c>
      <c r="X703" s="54">
        <f ca="1">MIN(100,MAX(0,MCDA_Prioritisation!$H$5+(RAND()-0.5)*2*$B$7))</f>
        <v>81.980184371849475</v>
      </c>
      <c r="Y703" s="54">
        <f ca="1">H703*MCDA_Prioritisation!$D$2+I703*MCDA_Prioritisation!$E$2+J703*M703+K703*Q703+L703*U703</f>
        <v>83.742746573142597</v>
      </c>
      <c r="Z703" s="54">
        <f ca="1">H703*MCDA_Prioritisation!$D$3+I703*MCDA_Prioritisation!$E$3+J703*N703+K703*R703+L703*V703</f>
        <v>84.092726287183737</v>
      </c>
      <c r="AA703" s="54">
        <f ca="1">H703*MCDA_Prioritisation!$D$4+I703*MCDA_Prioritisation!$E$4+J703*O703+K703*S703+L703*W703</f>
        <v>81.074608537255344</v>
      </c>
      <c r="AB703" s="54">
        <f ca="1">H703*MCDA_Prioritisation!$D$5+I703*MCDA_Prioritisation!$E$5+J703*P703+K703*T703+L703*X703</f>
        <v>76.883557656747911</v>
      </c>
      <c r="AC703" s="54">
        <f t="shared" ca="1" si="146"/>
        <v>2</v>
      </c>
      <c r="AD703" s="54">
        <f t="shared" ca="1" si="147"/>
        <v>1</v>
      </c>
      <c r="AE703" s="54">
        <f t="shared" ca="1" si="148"/>
        <v>3</v>
      </c>
      <c r="AF703" s="54">
        <f t="shared" ca="1" si="149"/>
        <v>4</v>
      </c>
      <c r="AG703" s="54">
        <f t="shared" ca="1" si="150"/>
        <v>0</v>
      </c>
      <c r="AH703" s="54">
        <f t="shared" ca="1" si="151"/>
        <v>0</v>
      </c>
      <c r="AI703" s="54">
        <f t="shared" ca="1" si="152"/>
        <v>0</v>
      </c>
      <c r="AJ703" s="54">
        <f t="shared" ca="1" si="153"/>
        <v>1</v>
      </c>
    </row>
    <row r="704" spans="1:36" x14ac:dyDescent="0.2">
      <c r="A704" s="54">
        <v>681</v>
      </c>
      <c r="B704" s="54">
        <f ca="1">MAX(0.02,MCDA_Prioritisation!$B$9+(RAND()-0.5)*2*$B$6)</f>
        <v>0.2385235220046435</v>
      </c>
      <c r="C704" s="54">
        <f ca="1">MAX(0.02,MCDA_Prioritisation!$B$10+(RAND()-0.5)*2*$B$6)</f>
        <v>0.19468995131943695</v>
      </c>
      <c r="D704" s="54">
        <f ca="1">MAX(0.02,MCDA_Prioritisation!$B$11+(RAND()-0.5)*2*$B$6)</f>
        <v>0.30023907190959576</v>
      </c>
      <c r="E704" s="54">
        <f ca="1">MAX(0.02,MCDA_Prioritisation!$B$12+(RAND()-0.5)*2*$B$6)</f>
        <v>0.100621540233025</v>
      </c>
      <c r="F704" s="54">
        <f ca="1">MAX(0.02,MCDA_Prioritisation!$B$13+(RAND()-0.5)*2*$B$6)</f>
        <v>0.10438505095342529</v>
      </c>
      <c r="G704" s="54">
        <f t="shared" ca="1" si="140"/>
        <v>0.93845913642012657</v>
      </c>
      <c r="H704" s="54">
        <f t="shared" ca="1" si="141"/>
        <v>0.2541650592422407</v>
      </c>
      <c r="I704" s="54">
        <f t="shared" ca="1" si="142"/>
        <v>0.207457036501458</v>
      </c>
      <c r="J704" s="54">
        <f t="shared" ca="1" si="143"/>
        <v>0.31992769877535254</v>
      </c>
      <c r="K704" s="54">
        <f t="shared" ca="1" si="144"/>
        <v>0.10721994845386539</v>
      </c>
      <c r="L704" s="54">
        <f t="shared" ca="1" si="145"/>
        <v>0.11123025702708328</v>
      </c>
      <c r="M704" s="54">
        <f ca="1">MIN(100,MAX(0,MCDA_Prioritisation!$F$2+(RAND()-0.5)*2*$B$7))</f>
        <v>87.586562062737102</v>
      </c>
      <c r="N704" s="54">
        <f ca="1">MIN(100,MAX(0,MCDA_Prioritisation!$F$3+(RAND()-0.5)*2*$B$7))</f>
        <v>98.512655324810254</v>
      </c>
      <c r="O704" s="54">
        <f ca="1">MIN(100,MAX(0,MCDA_Prioritisation!$F$4+(RAND()-0.5)*2*$B$7))</f>
        <v>95.278613191789347</v>
      </c>
      <c r="P704" s="54">
        <f ca="1">MIN(100,MAX(0,MCDA_Prioritisation!$F$5+(RAND()-0.5)*2*$B$7))</f>
        <v>80.152928278606623</v>
      </c>
      <c r="Q704" s="54">
        <f ca="1">MIN(100,MAX(0,MCDA_Prioritisation!$G$2+(RAND()-0.5)*2*$B$7))</f>
        <v>88.192431580833272</v>
      </c>
      <c r="R704" s="54">
        <f ca="1">MIN(100,MAX(0,MCDA_Prioritisation!$G$3+(RAND()-0.5)*2*$B$7))</f>
        <v>87.402310184382742</v>
      </c>
      <c r="S704" s="54">
        <f ca="1">MIN(100,MAX(0,MCDA_Prioritisation!$G$4+(RAND()-0.5)*2*$B$7))</f>
        <v>89.043075309589568</v>
      </c>
      <c r="T704" s="54">
        <f ca="1">MIN(100,MAX(0,MCDA_Prioritisation!$G$5+(RAND()-0.5)*2*$B$7))</f>
        <v>73.323023984464029</v>
      </c>
      <c r="U704" s="54">
        <f ca="1">MIN(100,MAX(0,MCDA_Prioritisation!$H$2+(RAND()-0.5)*2*$B$7))</f>
        <v>68.462385178777808</v>
      </c>
      <c r="V704" s="54">
        <f ca="1">MIN(100,MAX(0,MCDA_Prioritisation!$H$3+(RAND()-0.5)*2*$B$7))</f>
        <v>53.367270890943288</v>
      </c>
      <c r="W704" s="54">
        <f ca="1">MIN(100,MAX(0,MCDA_Prioritisation!$H$4+(RAND()-0.5)*2*$B$7))</f>
        <v>79.251208985591518</v>
      </c>
      <c r="X704" s="54">
        <f ca="1">MIN(100,MAX(0,MCDA_Prioritisation!$H$5+(RAND()-0.5)*2*$B$7))</f>
        <v>68.725581067532715</v>
      </c>
      <c r="Y704" s="54">
        <f ca="1">H704*MCDA_Prioritisation!$D$2+I704*MCDA_Prioritisation!$E$2+J704*M704+K704*Q704+L704*U704</f>
        <v>91.25465348698657</v>
      </c>
      <c r="Z704" s="54">
        <f ca="1">H704*MCDA_Prioritisation!$D$3+I704*MCDA_Prioritisation!$E$3+J704*N704+K704*R704+L704*V704</f>
        <v>84.125260869991308</v>
      </c>
      <c r="AA704" s="54">
        <f ca="1">H704*MCDA_Prioritisation!$D$4+I704*MCDA_Prioritisation!$E$4+J704*O704+K704*S704+L704*W704</f>
        <v>77.858992696381492</v>
      </c>
      <c r="AB704" s="54">
        <f ca="1">H704*MCDA_Prioritisation!$D$5+I704*MCDA_Prioritisation!$E$5+J704*P704+K704*T704+L704*X704</f>
        <v>72.084484270470227</v>
      </c>
      <c r="AC704" s="54">
        <f t="shared" ca="1" si="146"/>
        <v>1</v>
      </c>
      <c r="AD704" s="54">
        <f t="shared" ca="1" si="147"/>
        <v>2</v>
      </c>
      <c r="AE704" s="54">
        <f t="shared" ca="1" si="148"/>
        <v>3</v>
      </c>
      <c r="AF704" s="54">
        <f t="shared" ca="1" si="149"/>
        <v>4</v>
      </c>
      <c r="AG704" s="54">
        <f t="shared" ca="1" si="150"/>
        <v>1</v>
      </c>
      <c r="AH704" s="54">
        <f t="shared" ca="1" si="151"/>
        <v>1</v>
      </c>
      <c r="AI704" s="54">
        <f t="shared" ca="1" si="152"/>
        <v>1</v>
      </c>
      <c r="AJ704" s="54">
        <f t="shared" ca="1" si="153"/>
        <v>1</v>
      </c>
    </row>
    <row r="705" spans="1:36" x14ac:dyDescent="0.2">
      <c r="A705" s="54">
        <v>682</v>
      </c>
      <c r="B705" s="54">
        <f ca="1">MAX(0.02,MCDA_Prioritisation!$B$9+(RAND()-0.5)*2*$B$6)</f>
        <v>0.25098566777287862</v>
      </c>
      <c r="C705" s="54">
        <f ca="1">MAX(0.02,MCDA_Prioritisation!$B$10+(RAND()-0.5)*2*$B$6)</f>
        <v>0.32355786373424583</v>
      </c>
      <c r="D705" s="54">
        <f ca="1">MAX(0.02,MCDA_Prioritisation!$B$11+(RAND()-0.5)*2*$B$6)</f>
        <v>0.18285554880942112</v>
      </c>
      <c r="E705" s="54">
        <f ca="1">MAX(0.02,MCDA_Prioritisation!$B$12+(RAND()-0.5)*2*$B$6)</f>
        <v>0.15279963660133303</v>
      </c>
      <c r="F705" s="54">
        <f ca="1">MAX(0.02,MCDA_Prioritisation!$B$13+(RAND()-0.5)*2*$B$6)</f>
        <v>0.13567935822212482</v>
      </c>
      <c r="G705" s="54">
        <f t="shared" ca="1" si="140"/>
        <v>1.0458780751400034</v>
      </c>
      <c r="H705" s="54">
        <f t="shared" ca="1" si="141"/>
        <v>0.23997602946144669</v>
      </c>
      <c r="I705" s="54">
        <f t="shared" ca="1" si="142"/>
        <v>0.30936480209792494</v>
      </c>
      <c r="J705" s="54">
        <f t="shared" ca="1" si="143"/>
        <v>0.17483447942528454</v>
      </c>
      <c r="K705" s="54">
        <f t="shared" ca="1" si="144"/>
        <v>0.14609698800778376</v>
      </c>
      <c r="L705" s="54">
        <f t="shared" ca="1" si="145"/>
        <v>0.12972770100756009</v>
      </c>
      <c r="M705" s="54">
        <f ca="1">MIN(100,MAX(0,MCDA_Prioritisation!$F$2+(RAND()-0.5)*2*$B$7))</f>
        <v>82.005398058451746</v>
      </c>
      <c r="N705" s="54">
        <f ca="1">MIN(100,MAX(0,MCDA_Prioritisation!$F$3+(RAND()-0.5)*2*$B$7))</f>
        <v>99.497486805254013</v>
      </c>
      <c r="O705" s="54">
        <f ca="1">MIN(100,MAX(0,MCDA_Prioritisation!$F$4+(RAND()-0.5)*2*$B$7))</f>
        <v>82.460317125040319</v>
      </c>
      <c r="P705" s="54">
        <f ca="1">MIN(100,MAX(0,MCDA_Prioritisation!$F$5+(RAND()-0.5)*2*$B$7))</f>
        <v>78.028239903593942</v>
      </c>
      <c r="Q705" s="54">
        <f ca="1">MIN(100,MAX(0,MCDA_Prioritisation!$G$2+(RAND()-0.5)*2*$B$7))</f>
        <v>89.833892714979896</v>
      </c>
      <c r="R705" s="54">
        <f ca="1">MIN(100,MAX(0,MCDA_Prioritisation!$G$3+(RAND()-0.5)*2*$B$7))</f>
        <v>100</v>
      </c>
      <c r="S705" s="54">
        <f ca="1">MIN(100,MAX(0,MCDA_Prioritisation!$G$4+(RAND()-0.5)*2*$B$7))</f>
        <v>80.319440084075026</v>
      </c>
      <c r="T705" s="54">
        <f ca="1">MIN(100,MAX(0,MCDA_Prioritisation!$G$5+(RAND()-0.5)*2*$B$7))</f>
        <v>71.666499084429503</v>
      </c>
      <c r="U705" s="54">
        <f ca="1">MIN(100,MAX(0,MCDA_Prioritisation!$H$2+(RAND()-0.5)*2*$B$7))</f>
        <v>72.610275301263542</v>
      </c>
      <c r="V705" s="54">
        <f ca="1">MIN(100,MAX(0,MCDA_Prioritisation!$H$3+(RAND()-0.5)*2*$B$7))</f>
        <v>55.969299008396739</v>
      </c>
      <c r="W705" s="54">
        <f ca="1">MIN(100,MAX(0,MCDA_Prioritisation!$H$4+(RAND()-0.5)*2*$B$7))</f>
        <v>84.947890035636249</v>
      </c>
      <c r="X705" s="54">
        <f ca="1">MIN(100,MAX(0,MCDA_Prioritisation!$H$5+(RAND()-0.5)*2*$B$7))</f>
        <v>78.141534943848328</v>
      </c>
      <c r="Y705" s="54">
        <f ca="1">H705*MCDA_Prioritisation!$D$2+I705*MCDA_Prioritisation!$E$2+J705*M705+K705*Q705+L705*U705</f>
        <v>91.815479466581706</v>
      </c>
      <c r="Z705" s="54">
        <f ca="1">H705*MCDA_Prioritisation!$D$3+I705*MCDA_Prioritisation!$E$3+J705*N705+K705*R705+L705*V705</f>
        <v>82.738463405341022</v>
      </c>
      <c r="AA705" s="54">
        <f ca="1">H705*MCDA_Prioritisation!$D$4+I705*MCDA_Prioritisation!$E$4+J705*O705+K705*S705+L705*W705</f>
        <v>70.756393091580037</v>
      </c>
      <c r="AB705" s="54">
        <f ca="1">H705*MCDA_Prioritisation!$D$5+I705*MCDA_Prioritisation!$E$5+J705*P705+K705*T705+L705*X705</f>
        <v>73.001116791503748</v>
      </c>
      <c r="AC705" s="54">
        <f t="shared" ca="1" si="146"/>
        <v>1</v>
      </c>
      <c r="AD705" s="54">
        <f t="shared" ca="1" si="147"/>
        <v>2</v>
      </c>
      <c r="AE705" s="54">
        <f t="shared" ca="1" si="148"/>
        <v>4</v>
      </c>
      <c r="AF705" s="54">
        <f t="shared" ca="1" si="149"/>
        <v>3</v>
      </c>
      <c r="AG705" s="54">
        <f t="shared" ca="1" si="150"/>
        <v>1</v>
      </c>
      <c r="AH705" s="54">
        <f t="shared" ca="1" si="151"/>
        <v>1</v>
      </c>
      <c r="AI705" s="54">
        <f t="shared" ca="1" si="152"/>
        <v>0</v>
      </c>
      <c r="AJ705" s="54">
        <f t="shared" ca="1" si="153"/>
        <v>1</v>
      </c>
    </row>
    <row r="706" spans="1:36" x14ac:dyDescent="0.2">
      <c r="A706" s="54">
        <v>683</v>
      </c>
      <c r="B706" s="54">
        <f ca="1">MAX(0.02,MCDA_Prioritisation!$B$9+(RAND()-0.5)*2*$B$6)</f>
        <v>0.22834709108347262</v>
      </c>
      <c r="C706" s="54">
        <f ca="1">MAX(0.02,MCDA_Prioritisation!$B$10+(RAND()-0.5)*2*$B$6)</f>
        <v>0.19650231979242738</v>
      </c>
      <c r="D706" s="54">
        <f ca="1">MAX(0.02,MCDA_Prioritisation!$B$11+(RAND()-0.5)*2*$B$6)</f>
        <v>0.18322643527545845</v>
      </c>
      <c r="E706" s="54">
        <f ca="1">MAX(0.02,MCDA_Prioritisation!$B$12+(RAND()-0.5)*2*$B$6)</f>
        <v>8.0286434588099462E-2</v>
      </c>
      <c r="F706" s="54">
        <f ca="1">MAX(0.02,MCDA_Prioritisation!$B$13+(RAND()-0.5)*2*$B$6)</f>
        <v>0.13498697615938904</v>
      </c>
      <c r="G706" s="54">
        <f t="shared" ca="1" si="140"/>
        <v>0.82334925689884697</v>
      </c>
      <c r="H706" s="54">
        <f t="shared" ca="1" si="141"/>
        <v>0.27733928119829021</v>
      </c>
      <c r="I706" s="54">
        <f t="shared" ca="1" si="142"/>
        <v>0.23866216936000562</v>
      </c>
      <c r="J706" s="54">
        <f t="shared" ca="1" si="143"/>
        <v>0.22253792511525741</v>
      </c>
      <c r="K706" s="54">
        <f t="shared" ca="1" si="144"/>
        <v>9.7512002246165991E-2</v>
      </c>
      <c r="L706" s="54">
        <f t="shared" ca="1" si="145"/>
        <v>0.16394862208028074</v>
      </c>
      <c r="M706" s="54">
        <f ca="1">MIN(100,MAX(0,MCDA_Prioritisation!$F$2+(RAND()-0.5)*2*$B$7))</f>
        <v>86.618741746800509</v>
      </c>
      <c r="N706" s="54">
        <f ca="1">MIN(100,MAX(0,MCDA_Prioritisation!$F$3+(RAND()-0.5)*2*$B$7))</f>
        <v>100</v>
      </c>
      <c r="O706" s="54">
        <f ca="1">MIN(100,MAX(0,MCDA_Prioritisation!$F$4+(RAND()-0.5)*2*$B$7))</f>
        <v>87.323679379910942</v>
      </c>
      <c r="P706" s="54">
        <f ca="1">MIN(100,MAX(0,MCDA_Prioritisation!$F$5+(RAND()-0.5)*2*$B$7))</f>
        <v>80.130066306858424</v>
      </c>
      <c r="Q706" s="54">
        <f ca="1">MIN(100,MAX(0,MCDA_Prioritisation!$G$2+(RAND()-0.5)*2*$B$7))</f>
        <v>77.584043219418163</v>
      </c>
      <c r="R706" s="54">
        <f ca="1">MIN(100,MAX(0,MCDA_Prioritisation!$G$3+(RAND()-0.5)*2*$B$7))</f>
        <v>87.712819576583527</v>
      </c>
      <c r="S706" s="54">
        <f ca="1">MIN(100,MAX(0,MCDA_Prioritisation!$G$4+(RAND()-0.5)*2*$B$7))</f>
        <v>78.011207777196191</v>
      </c>
      <c r="T706" s="54">
        <f ca="1">MIN(100,MAX(0,MCDA_Prioritisation!$G$5+(RAND()-0.5)*2*$B$7))</f>
        <v>66.582370852700166</v>
      </c>
      <c r="U706" s="54">
        <f ca="1">MIN(100,MAX(0,MCDA_Prioritisation!$H$2+(RAND()-0.5)*2*$B$7))</f>
        <v>71.043357720675516</v>
      </c>
      <c r="V706" s="54">
        <f ca="1">MIN(100,MAX(0,MCDA_Prioritisation!$H$3+(RAND()-0.5)*2*$B$7))</f>
        <v>57.881820158404331</v>
      </c>
      <c r="W706" s="54">
        <f ca="1">MIN(100,MAX(0,MCDA_Prioritisation!$H$4+(RAND()-0.5)*2*$B$7))</f>
        <v>74.98703250729578</v>
      </c>
      <c r="X706" s="54">
        <f ca="1">MIN(100,MAX(0,MCDA_Prioritisation!$H$5+(RAND()-0.5)*2*$B$7))</f>
        <v>82.670304711433474</v>
      </c>
      <c r="Y706" s="54">
        <f ca="1">H706*MCDA_Prioritisation!$D$2+I706*MCDA_Prioritisation!$E$2+J706*M706+K706*Q706+L706*U706</f>
        <v>90.08893612319666</v>
      </c>
      <c r="Z706" s="54">
        <f ca="1">H706*MCDA_Prioritisation!$D$3+I706*MCDA_Prioritisation!$E$3+J706*N706+K706*R706+L706*V706</f>
        <v>81.892315089649173</v>
      </c>
      <c r="AA706" s="54">
        <f ca="1">H706*MCDA_Prioritisation!$D$4+I706*MCDA_Prioritisation!$E$4+J706*O706+K706*S706+L706*W706</f>
        <v>71.664093830419716</v>
      </c>
      <c r="AB706" s="54">
        <f ca="1">H706*MCDA_Prioritisation!$D$5+I706*MCDA_Prioritisation!$E$5+J706*P706+K706*T706+L706*X706</f>
        <v>72.667589455057026</v>
      </c>
      <c r="AC706" s="54">
        <f t="shared" ca="1" si="146"/>
        <v>1</v>
      </c>
      <c r="AD706" s="54">
        <f t="shared" ca="1" si="147"/>
        <v>2</v>
      </c>
      <c r="AE706" s="54">
        <f t="shared" ca="1" si="148"/>
        <v>4</v>
      </c>
      <c r="AF706" s="54">
        <f t="shared" ca="1" si="149"/>
        <v>3</v>
      </c>
      <c r="AG706" s="54">
        <f t="shared" ca="1" si="150"/>
        <v>1</v>
      </c>
      <c r="AH706" s="54">
        <f t="shared" ca="1" si="151"/>
        <v>1</v>
      </c>
      <c r="AI706" s="54">
        <f t="shared" ca="1" si="152"/>
        <v>0</v>
      </c>
      <c r="AJ706" s="54">
        <f t="shared" ca="1" si="153"/>
        <v>1</v>
      </c>
    </row>
    <row r="707" spans="1:36" x14ac:dyDescent="0.2">
      <c r="A707" s="54">
        <v>684</v>
      </c>
      <c r="B707" s="54">
        <f ca="1">MAX(0.02,MCDA_Prioritisation!$B$9+(RAND()-0.5)*2*$B$6)</f>
        <v>0.12724612528151483</v>
      </c>
      <c r="C707" s="54">
        <f ca="1">MAX(0.02,MCDA_Prioritisation!$B$10+(RAND()-0.5)*2*$B$6)</f>
        <v>0.20060438571904537</v>
      </c>
      <c r="D707" s="54">
        <f ca="1">MAX(0.02,MCDA_Prioritisation!$B$11+(RAND()-0.5)*2*$B$6)</f>
        <v>0.17532907463620059</v>
      </c>
      <c r="E707" s="54">
        <f ca="1">MAX(0.02,MCDA_Prioritisation!$B$12+(RAND()-0.5)*2*$B$6)</f>
        <v>0.16557416701327451</v>
      </c>
      <c r="F707" s="54">
        <f ca="1">MAX(0.02,MCDA_Prioritisation!$B$13+(RAND()-0.5)*2*$B$6)</f>
        <v>9.0650387778459407E-2</v>
      </c>
      <c r="G707" s="54">
        <f t="shared" ca="1" si="140"/>
        <v>0.7594041404284948</v>
      </c>
      <c r="H707" s="54">
        <f t="shared" ca="1" si="141"/>
        <v>0.16756048394694822</v>
      </c>
      <c r="I707" s="54">
        <f t="shared" ca="1" si="142"/>
        <v>0.26416024754072853</v>
      </c>
      <c r="J707" s="54">
        <f t="shared" ca="1" si="143"/>
        <v>0.2308771644796023</v>
      </c>
      <c r="K707" s="54">
        <f t="shared" ca="1" si="144"/>
        <v>0.21803168852865232</v>
      </c>
      <c r="L707" s="54">
        <f t="shared" ca="1" si="145"/>
        <v>0.1193704155040685</v>
      </c>
      <c r="M707" s="54">
        <f ca="1">MIN(100,MAX(0,MCDA_Prioritisation!$F$2+(RAND()-0.5)*2*$B$7))</f>
        <v>89.261529707462941</v>
      </c>
      <c r="N707" s="54">
        <f ca="1">MIN(100,MAX(0,MCDA_Prioritisation!$F$3+(RAND()-0.5)*2*$B$7))</f>
        <v>100</v>
      </c>
      <c r="O707" s="54">
        <f ca="1">MIN(100,MAX(0,MCDA_Prioritisation!$F$4+(RAND()-0.5)*2*$B$7))</f>
        <v>91.840009611252142</v>
      </c>
      <c r="P707" s="54">
        <f ca="1">MIN(100,MAX(0,MCDA_Prioritisation!$F$5+(RAND()-0.5)*2*$B$7))</f>
        <v>68.213378367437002</v>
      </c>
      <c r="Q707" s="54">
        <f ca="1">MIN(100,MAX(0,MCDA_Prioritisation!$G$2+(RAND()-0.5)*2*$B$7))</f>
        <v>82.975115312370207</v>
      </c>
      <c r="R707" s="54">
        <f ca="1">MIN(100,MAX(0,MCDA_Prioritisation!$G$3+(RAND()-0.5)*2*$B$7))</f>
        <v>100</v>
      </c>
      <c r="S707" s="54">
        <f ca="1">MIN(100,MAX(0,MCDA_Prioritisation!$G$4+(RAND()-0.5)*2*$B$7))</f>
        <v>84.362884438617286</v>
      </c>
      <c r="T707" s="54">
        <f ca="1">MIN(100,MAX(0,MCDA_Prioritisation!$G$5+(RAND()-0.5)*2*$B$7))</f>
        <v>78.247224221371994</v>
      </c>
      <c r="U707" s="54">
        <f ca="1">MIN(100,MAX(0,MCDA_Prioritisation!$H$2+(RAND()-0.5)*2*$B$7))</f>
        <v>69.940625554252023</v>
      </c>
      <c r="V707" s="54">
        <f ca="1">MIN(100,MAX(0,MCDA_Prioritisation!$H$3+(RAND()-0.5)*2*$B$7))</f>
        <v>66.421504177467085</v>
      </c>
      <c r="W707" s="54">
        <f ca="1">MIN(100,MAX(0,MCDA_Prioritisation!$H$4+(RAND()-0.5)*2*$B$7))</f>
        <v>75.374044530695159</v>
      </c>
      <c r="X707" s="54">
        <f ca="1">MIN(100,MAX(0,MCDA_Prioritisation!$H$5+(RAND()-0.5)*2*$B$7))</f>
        <v>67.158818465025774</v>
      </c>
      <c r="Y707" s="54">
        <f ca="1">H707*MCDA_Prioritisation!$D$2+I707*MCDA_Prioritisation!$E$2+J707*M707+K707*Q707+L707*U707</f>
        <v>90.220568055179754</v>
      </c>
      <c r="Z707" s="54">
        <f ca="1">H707*MCDA_Prioritisation!$D$3+I707*MCDA_Prioritisation!$E$3+J707*N707+K707*R707+L707*V707</f>
        <v>86.67555890132445</v>
      </c>
      <c r="AA707" s="54">
        <f ca="1">H707*MCDA_Prioritisation!$D$4+I707*MCDA_Prioritisation!$E$4+J707*O707+K707*S707+L707*W707</f>
        <v>74.671642017827523</v>
      </c>
      <c r="AB707" s="54">
        <f ca="1">H707*MCDA_Prioritisation!$D$5+I707*MCDA_Prioritisation!$E$5+J707*P707+K707*T707+L707*X707</f>
        <v>71.932959007488549</v>
      </c>
      <c r="AC707" s="54">
        <f t="shared" ca="1" si="146"/>
        <v>1</v>
      </c>
      <c r="AD707" s="54">
        <f t="shared" ca="1" si="147"/>
        <v>2</v>
      </c>
      <c r="AE707" s="54">
        <f t="shared" ca="1" si="148"/>
        <v>3</v>
      </c>
      <c r="AF707" s="54">
        <f t="shared" ca="1" si="149"/>
        <v>4</v>
      </c>
      <c r="AG707" s="54">
        <f t="shared" ca="1" si="150"/>
        <v>1</v>
      </c>
      <c r="AH707" s="54">
        <f t="shared" ca="1" si="151"/>
        <v>1</v>
      </c>
      <c r="AI707" s="54">
        <f t="shared" ca="1" si="152"/>
        <v>1</v>
      </c>
      <c r="AJ707" s="54">
        <f t="shared" ca="1" si="153"/>
        <v>1</v>
      </c>
    </row>
    <row r="708" spans="1:36" x14ac:dyDescent="0.2">
      <c r="A708" s="54">
        <v>685</v>
      </c>
      <c r="B708" s="54">
        <f ca="1">MAX(0.02,MCDA_Prioritisation!$B$9+(RAND()-0.5)*2*$B$6)</f>
        <v>0.22389977067797537</v>
      </c>
      <c r="C708" s="54">
        <f ca="1">MAX(0.02,MCDA_Prioritisation!$B$10+(RAND()-0.5)*2*$B$6)</f>
        <v>0.20000385034727192</v>
      </c>
      <c r="D708" s="54">
        <f ca="1">MAX(0.02,MCDA_Prioritisation!$B$11+(RAND()-0.5)*2*$B$6)</f>
        <v>0.20904129524072484</v>
      </c>
      <c r="E708" s="54">
        <f ca="1">MAX(0.02,MCDA_Prioritisation!$B$12+(RAND()-0.5)*2*$B$6)</f>
        <v>0.13629193426442454</v>
      </c>
      <c r="F708" s="54">
        <f ca="1">MAX(0.02,MCDA_Prioritisation!$B$13+(RAND()-0.5)*2*$B$6)</f>
        <v>8.3222433685434083E-2</v>
      </c>
      <c r="G708" s="54">
        <f t="shared" ca="1" si="140"/>
        <v>0.85245928421583073</v>
      </c>
      <c r="H708" s="54">
        <f t="shared" ca="1" si="141"/>
        <v>0.26265157154565882</v>
      </c>
      <c r="I708" s="54">
        <f t="shared" ca="1" si="142"/>
        <v>0.23461982765693445</v>
      </c>
      <c r="J708" s="54">
        <f t="shared" ca="1" si="143"/>
        <v>0.24522144237424778</v>
      </c>
      <c r="K708" s="54">
        <f t="shared" ca="1" si="144"/>
        <v>0.15988087265633832</v>
      </c>
      <c r="L708" s="54">
        <f t="shared" ca="1" si="145"/>
        <v>9.7626285766820656E-2</v>
      </c>
      <c r="M708" s="54">
        <f ca="1">MIN(100,MAX(0,MCDA_Prioritisation!$F$2+(RAND()-0.5)*2*$B$7))</f>
        <v>80.80070916638978</v>
      </c>
      <c r="N708" s="54">
        <f ca="1">MIN(100,MAX(0,MCDA_Prioritisation!$F$3+(RAND()-0.5)*2*$B$7))</f>
        <v>92.874165624545384</v>
      </c>
      <c r="O708" s="54">
        <f ca="1">MIN(100,MAX(0,MCDA_Prioritisation!$F$4+(RAND()-0.5)*2*$B$7))</f>
        <v>95.909729575747505</v>
      </c>
      <c r="P708" s="54">
        <f ca="1">MIN(100,MAX(0,MCDA_Prioritisation!$F$5+(RAND()-0.5)*2*$B$7))</f>
        <v>77.463327066338152</v>
      </c>
      <c r="Q708" s="54">
        <f ca="1">MIN(100,MAX(0,MCDA_Prioritisation!$G$2+(RAND()-0.5)*2*$B$7))</f>
        <v>87.71591230918942</v>
      </c>
      <c r="R708" s="54">
        <f ca="1">MIN(100,MAX(0,MCDA_Prioritisation!$G$3+(RAND()-0.5)*2*$B$7))</f>
        <v>100</v>
      </c>
      <c r="S708" s="54">
        <f ca="1">MIN(100,MAX(0,MCDA_Prioritisation!$G$4+(RAND()-0.5)*2*$B$7))</f>
        <v>87.484584624214747</v>
      </c>
      <c r="T708" s="54">
        <f ca="1">MIN(100,MAX(0,MCDA_Prioritisation!$G$5+(RAND()-0.5)*2*$B$7))</f>
        <v>79.363606675508336</v>
      </c>
      <c r="U708" s="54">
        <f ca="1">MIN(100,MAX(0,MCDA_Prioritisation!$H$2+(RAND()-0.5)*2*$B$7))</f>
        <v>62.942080103061656</v>
      </c>
      <c r="V708" s="54">
        <f ca="1">MIN(100,MAX(0,MCDA_Prioritisation!$H$3+(RAND()-0.5)*2*$B$7))</f>
        <v>56.856297992666065</v>
      </c>
      <c r="W708" s="54">
        <f ca="1">MIN(100,MAX(0,MCDA_Prioritisation!$H$4+(RAND()-0.5)*2*$B$7))</f>
        <v>76.547781260843493</v>
      </c>
      <c r="X708" s="54">
        <f ca="1">MIN(100,MAX(0,MCDA_Prioritisation!$H$5+(RAND()-0.5)*2*$B$7))</f>
        <v>74.457647009910886</v>
      </c>
      <c r="Y708" s="54">
        <f ca="1">H708*MCDA_Prioritisation!$D$2+I708*MCDA_Prioritisation!$E$2+J708*M708+K708*Q708+L708*U708</f>
        <v>89.710104471643206</v>
      </c>
      <c r="Z708" s="54">
        <f ca="1">H708*MCDA_Prioritisation!$D$3+I708*MCDA_Prioritisation!$E$3+J708*N708+K708*R708+L708*V708</f>
        <v>84.331670687846298</v>
      </c>
      <c r="AA708" s="54">
        <f ca="1">H708*MCDA_Prioritisation!$D$4+I708*MCDA_Prioritisation!$E$4+J708*O708+K708*S708+L708*W708</f>
        <v>76.066266089848241</v>
      </c>
      <c r="AB708" s="54">
        <f ca="1">H708*MCDA_Prioritisation!$D$5+I708*MCDA_Prioritisation!$E$5+J708*P708+K708*T708+L708*X708</f>
        <v>72.623275482579956</v>
      </c>
      <c r="AC708" s="54">
        <f t="shared" ca="1" si="146"/>
        <v>1</v>
      </c>
      <c r="AD708" s="54">
        <f t="shared" ca="1" si="147"/>
        <v>2</v>
      </c>
      <c r="AE708" s="54">
        <f t="shared" ca="1" si="148"/>
        <v>3</v>
      </c>
      <c r="AF708" s="54">
        <f t="shared" ca="1" si="149"/>
        <v>4</v>
      </c>
      <c r="AG708" s="54">
        <f t="shared" ca="1" si="150"/>
        <v>1</v>
      </c>
      <c r="AH708" s="54">
        <f t="shared" ca="1" si="151"/>
        <v>1</v>
      </c>
      <c r="AI708" s="54">
        <f t="shared" ca="1" si="152"/>
        <v>1</v>
      </c>
      <c r="AJ708" s="54">
        <f t="shared" ca="1" si="153"/>
        <v>1</v>
      </c>
    </row>
    <row r="709" spans="1:36" x14ac:dyDescent="0.2">
      <c r="A709" s="54">
        <v>686</v>
      </c>
      <c r="B709" s="54">
        <f ca="1">MAX(0.02,MCDA_Prioritisation!$B$9+(RAND()-0.5)*2*$B$6)</f>
        <v>0.23184217746538077</v>
      </c>
      <c r="C709" s="54">
        <f ca="1">MAX(0.02,MCDA_Prioritisation!$B$10+(RAND()-0.5)*2*$B$6)</f>
        <v>0.22136823901025152</v>
      </c>
      <c r="D709" s="54">
        <f ca="1">MAX(0.02,MCDA_Prioritisation!$B$11+(RAND()-0.5)*2*$B$6)</f>
        <v>0.22411053815806981</v>
      </c>
      <c r="E709" s="54">
        <f ca="1">MAX(0.02,MCDA_Prioritisation!$B$12+(RAND()-0.5)*2*$B$6)</f>
        <v>7.9338446355356473E-2</v>
      </c>
      <c r="F709" s="54">
        <f ca="1">MAX(0.02,MCDA_Prioritisation!$B$13+(RAND()-0.5)*2*$B$6)</f>
        <v>0.21202762997518212</v>
      </c>
      <c r="G709" s="54">
        <f t="shared" ca="1" si="140"/>
        <v>0.96868703096424069</v>
      </c>
      <c r="H709" s="54">
        <f t="shared" ca="1" si="141"/>
        <v>0.23933651432764902</v>
      </c>
      <c r="I709" s="54">
        <f t="shared" ca="1" si="142"/>
        <v>0.22852400407374027</v>
      </c>
      <c r="J709" s="54">
        <f t="shared" ca="1" si="143"/>
        <v>0.23135494849661398</v>
      </c>
      <c r="K709" s="54">
        <f t="shared" ca="1" si="144"/>
        <v>8.1903074800518588E-2</v>
      </c>
      <c r="L709" s="54">
        <f t="shared" ca="1" si="145"/>
        <v>0.21888145830147815</v>
      </c>
      <c r="M709" s="54">
        <f ca="1">MIN(100,MAX(0,MCDA_Prioritisation!$F$2+(RAND()-0.5)*2*$B$7))</f>
        <v>88.672074823065515</v>
      </c>
      <c r="N709" s="54">
        <f ca="1">MIN(100,MAX(0,MCDA_Prioritisation!$F$3+(RAND()-0.5)*2*$B$7))</f>
        <v>98.850046499501389</v>
      </c>
      <c r="O709" s="54">
        <f ca="1">MIN(100,MAX(0,MCDA_Prioritisation!$F$4+(RAND()-0.5)*2*$B$7))</f>
        <v>91.315844336180263</v>
      </c>
      <c r="P709" s="54">
        <f ca="1">MIN(100,MAX(0,MCDA_Prioritisation!$F$5+(RAND()-0.5)*2*$B$7))</f>
        <v>77.107079473651851</v>
      </c>
      <c r="Q709" s="54">
        <f ca="1">MIN(100,MAX(0,MCDA_Prioritisation!$G$2+(RAND()-0.5)*2*$B$7))</f>
        <v>81.996662913325324</v>
      </c>
      <c r="R709" s="54">
        <f ca="1">MIN(100,MAX(0,MCDA_Prioritisation!$G$3+(RAND()-0.5)*2*$B$7))</f>
        <v>94.653849211738049</v>
      </c>
      <c r="S709" s="54">
        <f ca="1">MIN(100,MAX(0,MCDA_Prioritisation!$G$4+(RAND()-0.5)*2*$B$7))</f>
        <v>94.41960988955536</v>
      </c>
      <c r="T709" s="54">
        <f ca="1">MIN(100,MAX(0,MCDA_Prioritisation!$G$5+(RAND()-0.5)*2*$B$7))</f>
        <v>63.139837851114933</v>
      </c>
      <c r="U709" s="54">
        <f ca="1">MIN(100,MAX(0,MCDA_Prioritisation!$H$2+(RAND()-0.5)*2*$B$7))</f>
        <v>66.177435617751442</v>
      </c>
      <c r="V709" s="54">
        <f ca="1">MIN(100,MAX(0,MCDA_Prioritisation!$H$3+(RAND()-0.5)*2*$B$7))</f>
        <v>69.692296614226066</v>
      </c>
      <c r="W709" s="54">
        <f ca="1">MIN(100,MAX(0,MCDA_Prioritisation!$H$4+(RAND()-0.5)*2*$B$7))</f>
        <v>81.653139821683226</v>
      </c>
      <c r="X709" s="54">
        <f ca="1">MIN(100,MAX(0,MCDA_Prioritisation!$H$5+(RAND()-0.5)*2*$B$7))</f>
        <v>79.91521018766548</v>
      </c>
      <c r="Y709" s="54">
        <f ca="1">H709*MCDA_Prioritisation!$D$2+I709*MCDA_Prioritisation!$E$2+J709*M709+K709*Q709+L709*U709</f>
        <v>88.501567574565755</v>
      </c>
      <c r="Z709" s="54">
        <f ca="1">H709*MCDA_Prioritisation!$D$3+I709*MCDA_Prioritisation!$E$3+J709*N709+K709*R709+L709*V709</f>
        <v>83.413422664956855</v>
      </c>
      <c r="AA709" s="54">
        <f ca="1">H709*MCDA_Prioritisation!$D$4+I709*MCDA_Prioritisation!$E$4+J709*O709+K709*S709+L709*W709</f>
        <v>75.862920724554911</v>
      </c>
      <c r="AB709" s="54">
        <f ca="1">H709*MCDA_Prioritisation!$D$5+I709*MCDA_Prioritisation!$E$5+J709*P709+K709*T709+L709*X709</f>
        <v>72.422198725562367</v>
      </c>
      <c r="AC709" s="54">
        <f t="shared" ca="1" si="146"/>
        <v>1</v>
      </c>
      <c r="AD709" s="54">
        <f t="shared" ca="1" si="147"/>
        <v>2</v>
      </c>
      <c r="AE709" s="54">
        <f t="shared" ca="1" si="148"/>
        <v>3</v>
      </c>
      <c r="AF709" s="54">
        <f t="shared" ca="1" si="149"/>
        <v>4</v>
      </c>
      <c r="AG709" s="54">
        <f t="shared" ca="1" si="150"/>
        <v>1</v>
      </c>
      <c r="AH709" s="54">
        <f t="shared" ca="1" si="151"/>
        <v>1</v>
      </c>
      <c r="AI709" s="54">
        <f t="shared" ca="1" si="152"/>
        <v>1</v>
      </c>
      <c r="AJ709" s="54">
        <f t="shared" ca="1" si="153"/>
        <v>1</v>
      </c>
    </row>
    <row r="710" spans="1:36" x14ac:dyDescent="0.2">
      <c r="A710" s="54">
        <v>687</v>
      </c>
      <c r="B710" s="54">
        <f ca="1">MAX(0.02,MCDA_Prioritisation!$B$9+(RAND()-0.5)*2*$B$6)</f>
        <v>0.15589887067389346</v>
      </c>
      <c r="C710" s="54">
        <f ca="1">MAX(0.02,MCDA_Prioritisation!$B$10+(RAND()-0.5)*2*$B$6)</f>
        <v>0.24763120782700254</v>
      </c>
      <c r="D710" s="54">
        <f ca="1">MAX(0.02,MCDA_Prioritisation!$B$11+(RAND()-0.5)*2*$B$6)</f>
        <v>0.3233282341378525</v>
      </c>
      <c r="E710" s="54">
        <f ca="1">MAX(0.02,MCDA_Prioritisation!$B$12+(RAND()-0.5)*2*$B$6)</f>
        <v>8.0719348651615661E-2</v>
      </c>
      <c r="F710" s="54">
        <f ca="1">MAX(0.02,MCDA_Prioritisation!$B$13+(RAND()-0.5)*2*$B$6)</f>
        <v>0.22524779531072492</v>
      </c>
      <c r="G710" s="54">
        <f t="shared" ca="1" si="140"/>
        <v>1.032825456601089</v>
      </c>
      <c r="H710" s="54">
        <f t="shared" ca="1" si="141"/>
        <v>0.15094406288835957</v>
      </c>
      <c r="I710" s="54">
        <f t="shared" ca="1" si="142"/>
        <v>0.23976094532170872</v>
      </c>
      <c r="J710" s="54">
        <f t="shared" ca="1" si="143"/>
        <v>0.31305215423512983</v>
      </c>
      <c r="K710" s="54">
        <f t="shared" ca="1" si="144"/>
        <v>7.8153910843032318E-2</v>
      </c>
      <c r="L710" s="54">
        <f t="shared" ca="1" si="145"/>
        <v>0.21808892671176963</v>
      </c>
      <c r="M710" s="54">
        <f ca="1">MIN(100,MAX(0,MCDA_Prioritisation!$F$2+(RAND()-0.5)*2*$B$7))</f>
        <v>83.178451447624482</v>
      </c>
      <c r="N710" s="54">
        <f ca="1">MIN(100,MAX(0,MCDA_Prioritisation!$F$3+(RAND()-0.5)*2*$B$7))</f>
        <v>86.348034193358174</v>
      </c>
      <c r="O710" s="54">
        <f ca="1">MIN(100,MAX(0,MCDA_Prioritisation!$F$4+(RAND()-0.5)*2*$B$7))</f>
        <v>84.349384567983805</v>
      </c>
      <c r="P710" s="54">
        <f ca="1">MIN(100,MAX(0,MCDA_Prioritisation!$F$5+(RAND()-0.5)*2*$B$7))</f>
        <v>76.083123545569777</v>
      </c>
      <c r="Q710" s="54">
        <f ca="1">MIN(100,MAX(0,MCDA_Prioritisation!$G$2+(RAND()-0.5)*2*$B$7))</f>
        <v>82.046035496491186</v>
      </c>
      <c r="R710" s="54">
        <f ca="1">MIN(100,MAX(0,MCDA_Prioritisation!$G$3+(RAND()-0.5)*2*$B$7))</f>
        <v>85.79191084622741</v>
      </c>
      <c r="S710" s="54">
        <f ca="1">MIN(100,MAX(0,MCDA_Prioritisation!$G$4+(RAND()-0.5)*2*$B$7))</f>
        <v>86.552481948996856</v>
      </c>
      <c r="T710" s="54">
        <f ca="1">MIN(100,MAX(0,MCDA_Prioritisation!$G$5+(RAND()-0.5)*2*$B$7))</f>
        <v>71.519820219901817</v>
      </c>
      <c r="U710" s="54">
        <f ca="1">MIN(100,MAX(0,MCDA_Prioritisation!$H$2+(RAND()-0.5)*2*$B$7))</f>
        <v>61.243196692298241</v>
      </c>
      <c r="V710" s="54">
        <f ca="1">MIN(100,MAX(0,MCDA_Prioritisation!$H$3+(RAND()-0.5)*2*$B$7))</f>
        <v>60.323613731898696</v>
      </c>
      <c r="W710" s="54">
        <f ca="1">MIN(100,MAX(0,MCDA_Prioritisation!$H$4+(RAND()-0.5)*2*$B$7))</f>
        <v>72.973739567001175</v>
      </c>
      <c r="X710" s="54">
        <f ca="1">MIN(100,MAX(0,MCDA_Prioritisation!$H$5+(RAND()-0.5)*2*$B$7))</f>
        <v>81.78269044455655</v>
      </c>
      <c r="Y710" s="54">
        <f ca="1">H710*MCDA_Prioritisation!$D$2+I710*MCDA_Prioritisation!$E$2+J710*M710+K710*Q710+L710*U710</f>
        <v>84.87837581086599</v>
      </c>
      <c r="Z710" s="54">
        <f ca="1">H710*MCDA_Prioritisation!$D$3+I710*MCDA_Prioritisation!$E$3+J710*N710+K710*R710+L710*V710</f>
        <v>77.521517304952582</v>
      </c>
      <c r="AA710" s="54">
        <f ca="1">H710*MCDA_Prioritisation!$D$4+I710*MCDA_Prioritisation!$E$4+J710*O710+K710*S710+L710*W710</f>
        <v>72.673662989717414</v>
      </c>
      <c r="AB710" s="54">
        <f ca="1">H710*MCDA_Prioritisation!$D$5+I710*MCDA_Prioritisation!$E$5+J710*P710+K710*T710+L710*X710</f>
        <v>75.416644870230314</v>
      </c>
      <c r="AC710" s="54">
        <f t="shared" ca="1" si="146"/>
        <v>1</v>
      </c>
      <c r="AD710" s="54">
        <f t="shared" ca="1" si="147"/>
        <v>2</v>
      </c>
      <c r="AE710" s="54">
        <f t="shared" ca="1" si="148"/>
        <v>4</v>
      </c>
      <c r="AF710" s="54">
        <f t="shared" ca="1" si="149"/>
        <v>3</v>
      </c>
      <c r="AG710" s="54">
        <f t="shared" ca="1" si="150"/>
        <v>1</v>
      </c>
      <c r="AH710" s="54">
        <f t="shared" ca="1" si="151"/>
        <v>1</v>
      </c>
      <c r="AI710" s="54">
        <f t="shared" ca="1" si="152"/>
        <v>0</v>
      </c>
      <c r="AJ710" s="54">
        <f t="shared" ca="1" si="153"/>
        <v>1</v>
      </c>
    </row>
    <row r="711" spans="1:36" x14ac:dyDescent="0.2">
      <c r="A711" s="54">
        <v>688</v>
      </c>
      <c r="B711" s="54">
        <f ca="1">MAX(0.02,MCDA_Prioritisation!$B$9+(RAND()-0.5)*2*$B$6)</f>
        <v>0.12892729572867814</v>
      </c>
      <c r="C711" s="54">
        <f ca="1">MAX(0.02,MCDA_Prioritisation!$B$10+(RAND()-0.5)*2*$B$6)</f>
        <v>0.27488644214184205</v>
      </c>
      <c r="D711" s="54">
        <f ca="1">MAX(0.02,MCDA_Prioritisation!$B$11+(RAND()-0.5)*2*$B$6)</f>
        <v>0.28846275491652251</v>
      </c>
      <c r="E711" s="54">
        <f ca="1">MAX(0.02,MCDA_Prioritisation!$B$12+(RAND()-0.5)*2*$B$6)</f>
        <v>0.10329849362760134</v>
      </c>
      <c r="F711" s="54">
        <f ca="1">MAX(0.02,MCDA_Prioritisation!$B$13+(RAND()-0.5)*2*$B$6)</f>
        <v>0.13123335714337578</v>
      </c>
      <c r="G711" s="54">
        <f t="shared" ca="1" si="140"/>
        <v>0.92680834355801989</v>
      </c>
      <c r="H711" s="54">
        <f t="shared" ca="1" si="141"/>
        <v>0.13910890706240936</v>
      </c>
      <c r="I711" s="54">
        <f t="shared" ca="1" si="142"/>
        <v>0.29659469948938116</v>
      </c>
      <c r="J711" s="54">
        <f t="shared" ca="1" si="143"/>
        <v>0.31124315714413314</v>
      </c>
      <c r="K711" s="54">
        <f t="shared" ca="1" si="144"/>
        <v>0.11145615417211084</v>
      </c>
      <c r="L711" s="54">
        <f t="shared" ca="1" si="145"/>
        <v>0.14159708213196542</v>
      </c>
      <c r="M711" s="54">
        <f ca="1">MIN(100,MAX(0,MCDA_Prioritisation!$F$2+(RAND()-0.5)*2*$B$7))</f>
        <v>82.227860065112438</v>
      </c>
      <c r="N711" s="54">
        <f ca="1">MIN(100,MAX(0,MCDA_Prioritisation!$F$3+(RAND()-0.5)*2*$B$7))</f>
        <v>100</v>
      </c>
      <c r="O711" s="54">
        <f ca="1">MIN(100,MAX(0,MCDA_Prioritisation!$F$4+(RAND()-0.5)*2*$B$7))</f>
        <v>86.845868423885335</v>
      </c>
      <c r="P711" s="54">
        <f ca="1">MIN(100,MAX(0,MCDA_Prioritisation!$F$5+(RAND()-0.5)*2*$B$7))</f>
        <v>84.019073205599355</v>
      </c>
      <c r="Q711" s="54">
        <f ca="1">MIN(100,MAX(0,MCDA_Prioritisation!$G$2+(RAND()-0.5)*2*$B$7))</f>
        <v>87.628029953347124</v>
      </c>
      <c r="R711" s="54">
        <f ca="1">MIN(100,MAX(0,MCDA_Prioritisation!$G$3+(RAND()-0.5)*2*$B$7))</f>
        <v>95.319916090531834</v>
      </c>
      <c r="S711" s="54">
        <f ca="1">MIN(100,MAX(0,MCDA_Prioritisation!$G$4+(RAND()-0.5)*2*$B$7))</f>
        <v>80.536755576510245</v>
      </c>
      <c r="T711" s="54">
        <f ca="1">MIN(100,MAX(0,MCDA_Prioritisation!$G$5+(RAND()-0.5)*2*$B$7))</f>
        <v>73.37976565808664</v>
      </c>
      <c r="U711" s="54">
        <f ca="1">MIN(100,MAX(0,MCDA_Prioritisation!$H$2+(RAND()-0.5)*2*$B$7))</f>
        <v>66.858412672048217</v>
      </c>
      <c r="V711" s="54">
        <f ca="1">MIN(100,MAX(0,MCDA_Prioritisation!$H$3+(RAND()-0.5)*2*$B$7))</f>
        <v>68.550218033334616</v>
      </c>
      <c r="W711" s="54">
        <f ca="1">MIN(100,MAX(0,MCDA_Prioritisation!$H$4+(RAND()-0.5)*2*$B$7))</f>
        <v>82.773032167663189</v>
      </c>
      <c r="X711" s="54">
        <f ca="1">MIN(100,MAX(0,MCDA_Prioritisation!$H$5+(RAND()-0.5)*2*$B$7))</f>
        <v>80.886059173296772</v>
      </c>
      <c r="Y711" s="54">
        <f ca="1">H711*MCDA_Prioritisation!$D$2+I711*MCDA_Prioritisation!$E$2+J711*M711+K711*Q711+L711*U711</f>
        <v>88.396858793666098</v>
      </c>
      <c r="Z711" s="54">
        <f ca="1">H711*MCDA_Prioritisation!$D$3+I711*MCDA_Prioritisation!$E$3+J711*N711+K711*R711+L711*V711</f>
        <v>85.183020220291141</v>
      </c>
      <c r="AA711" s="54">
        <f ca="1">H711*MCDA_Prioritisation!$D$4+I711*MCDA_Prioritisation!$E$4+J711*O711+K711*S711+L711*W711</f>
        <v>73.591538374929087</v>
      </c>
      <c r="AB711" s="54">
        <f ca="1">H711*MCDA_Prioritisation!$D$5+I711*MCDA_Prioritisation!$E$5+J711*P711+K711*T711+L711*X711</f>
        <v>78.106464979316542</v>
      </c>
      <c r="AC711" s="54">
        <f t="shared" ca="1" si="146"/>
        <v>1</v>
      </c>
      <c r="AD711" s="54">
        <f t="shared" ca="1" si="147"/>
        <v>2</v>
      </c>
      <c r="AE711" s="54">
        <f t="shared" ca="1" si="148"/>
        <v>4</v>
      </c>
      <c r="AF711" s="54">
        <f t="shared" ca="1" si="149"/>
        <v>3</v>
      </c>
      <c r="AG711" s="54">
        <f t="shared" ca="1" si="150"/>
        <v>1</v>
      </c>
      <c r="AH711" s="54">
        <f t="shared" ca="1" si="151"/>
        <v>1</v>
      </c>
      <c r="AI711" s="54">
        <f t="shared" ca="1" si="152"/>
        <v>0</v>
      </c>
      <c r="AJ711" s="54">
        <f t="shared" ca="1" si="153"/>
        <v>1</v>
      </c>
    </row>
    <row r="712" spans="1:36" x14ac:dyDescent="0.2">
      <c r="A712" s="54">
        <v>689</v>
      </c>
      <c r="B712" s="54">
        <f ca="1">MAX(0.02,MCDA_Prioritisation!$B$9+(RAND()-0.5)*2*$B$6)</f>
        <v>0.17926109623146408</v>
      </c>
      <c r="C712" s="54">
        <f ca="1">MAX(0.02,MCDA_Prioritisation!$B$10+(RAND()-0.5)*2*$B$6)</f>
        <v>0.25383918577538256</v>
      </c>
      <c r="D712" s="54">
        <f ca="1">MAX(0.02,MCDA_Prioritisation!$B$11+(RAND()-0.5)*2*$B$6)</f>
        <v>0.19201723573810134</v>
      </c>
      <c r="E712" s="54">
        <f ca="1">MAX(0.02,MCDA_Prioritisation!$B$12+(RAND()-0.5)*2*$B$6)</f>
        <v>0.15402221487925705</v>
      </c>
      <c r="F712" s="54">
        <f ca="1">MAX(0.02,MCDA_Prioritisation!$B$13+(RAND()-0.5)*2*$B$6)</f>
        <v>0.18873163114862432</v>
      </c>
      <c r="G712" s="54">
        <f t="shared" ca="1" si="140"/>
        <v>0.96787136377282934</v>
      </c>
      <c r="H712" s="54">
        <f t="shared" ca="1" si="141"/>
        <v>0.18521169541858534</v>
      </c>
      <c r="I712" s="54">
        <f t="shared" ca="1" si="142"/>
        <v>0.2622654159183922</v>
      </c>
      <c r="J712" s="54">
        <f t="shared" ca="1" si="143"/>
        <v>0.19839127690440692</v>
      </c>
      <c r="K712" s="54">
        <f t="shared" ca="1" si="144"/>
        <v>0.15913500558469654</v>
      </c>
      <c r="L712" s="54">
        <f t="shared" ca="1" si="145"/>
        <v>0.19499660617391903</v>
      </c>
      <c r="M712" s="54">
        <f ca="1">MIN(100,MAX(0,MCDA_Prioritisation!$F$2+(RAND()-0.5)*2*$B$7))</f>
        <v>91.476786374082465</v>
      </c>
      <c r="N712" s="54">
        <f ca="1">MIN(100,MAX(0,MCDA_Prioritisation!$F$3+(RAND()-0.5)*2*$B$7))</f>
        <v>100</v>
      </c>
      <c r="O712" s="54">
        <f ca="1">MIN(100,MAX(0,MCDA_Prioritisation!$F$4+(RAND()-0.5)*2*$B$7))</f>
        <v>82.45678671975071</v>
      </c>
      <c r="P712" s="54">
        <f ca="1">MIN(100,MAX(0,MCDA_Prioritisation!$F$5+(RAND()-0.5)*2*$B$7))</f>
        <v>77.470500450140591</v>
      </c>
      <c r="Q712" s="54">
        <f ca="1">MIN(100,MAX(0,MCDA_Prioritisation!$G$2+(RAND()-0.5)*2*$B$7))</f>
        <v>70.546144693682564</v>
      </c>
      <c r="R712" s="54">
        <f ca="1">MIN(100,MAX(0,MCDA_Prioritisation!$G$3+(RAND()-0.5)*2*$B$7))</f>
        <v>90.067283220848239</v>
      </c>
      <c r="S712" s="54">
        <f ca="1">MIN(100,MAX(0,MCDA_Prioritisation!$G$4+(RAND()-0.5)*2*$B$7))</f>
        <v>87.414127433243536</v>
      </c>
      <c r="T712" s="54">
        <f ca="1">MIN(100,MAX(0,MCDA_Prioritisation!$G$5+(RAND()-0.5)*2*$B$7))</f>
        <v>65.798441744603508</v>
      </c>
      <c r="U712" s="54">
        <f ca="1">MIN(100,MAX(0,MCDA_Prioritisation!$H$2+(RAND()-0.5)*2*$B$7))</f>
        <v>66.307319618734496</v>
      </c>
      <c r="V712" s="54">
        <f ca="1">MIN(100,MAX(0,MCDA_Prioritisation!$H$3+(RAND()-0.5)*2*$B$7))</f>
        <v>69.158264961008484</v>
      </c>
      <c r="W712" s="54">
        <f ca="1">MIN(100,MAX(0,MCDA_Prioritisation!$H$4+(RAND()-0.5)*2*$B$7))</f>
        <v>71.234529849907872</v>
      </c>
      <c r="X712" s="54">
        <f ca="1">MIN(100,MAX(0,MCDA_Prioritisation!$H$5+(RAND()-0.5)*2*$B$7))</f>
        <v>76.863719858035836</v>
      </c>
      <c r="Y712" s="54">
        <f ca="1">H712*MCDA_Prioritisation!$D$2+I712*MCDA_Prioritisation!$E$2+J712*M712+K712*Q712+L712*U712</f>
        <v>87.051971009514148</v>
      </c>
      <c r="Z712" s="54">
        <f ca="1">H712*MCDA_Prioritisation!$D$3+I712*MCDA_Prioritisation!$E$3+J712*N712+K712*R712+L712*V712</f>
        <v>82.918377469051819</v>
      </c>
      <c r="AA712" s="54">
        <f ca="1">H712*MCDA_Prioritisation!$D$4+I712*MCDA_Prioritisation!$E$4+J712*O712+K712*S712+L712*W712</f>
        <v>71.36228643334961</v>
      </c>
      <c r="AB712" s="54">
        <f ca="1">H712*MCDA_Prioritisation!$D$5+I712*MCDA_Prioritisation!$E$5+J712*P712+K712*T712+L712*X712</f>
        <v>72.712884198874889</v>
      </c>
      <c r="AC712" s="54">
        <f t="shared" ca="1" si="146"/>
        <v>1</v>
      </c>
      <c r="AD712" s="54">
        <f t="shared" ca="1" si="147"/>
        <v>2</v>
      </c>
      <c r="AE712" s="54">
        <f t="shared" ca="1" si="148"/>
        <v>4</v>
      </c>
      <c r="AF712" s="54">
        <f t="shared" ca="1" si="149"/>
        <v>3</v>
      </c>
      <c r="AG712" s="54">
        <f t="shared" ca="1" si="150"/>
        <v>1</v>
      </c>
      <c r="AH712" s="54">
        <f t="shared" ca="1" si="151"/>
        <v>1</v>
      </c>
      <c r="AI712" s="54">
        <f t="shared" ca="1" si="152"/>
        <v>0</v>
      </c>
      <c r="AJ712" s="54">
        <f t="shared" ca="1" si="153"/>
        <v>1</v>
      </c>
    </row>
    <row r="713" spans="1:36" x14ac:dyDescent="0.2">
      <c r="A713" s="54">
        <v>690</v>
      </c>
      <c r="B713" s="54">
        <f ca="1">MAX(0.02,MCDA_Prioritisation!$B$9+(RAND()-0.5)*2*$B$6)</f>
        <v>0.22412392392695688</v>
      </c>
      <c r="C713" s="54">
        <f ca="1">MAX(0.02,MCDA_Prioritisation!$B$10+(RAND()-0.5)*2*$B$6)</f>
        <v>0.22393015648077308</v>
      </c>
      <c r="D713" s="54">
        <f ca="1">MAX(0.02,MCDA_Prioritisation!$B$11+(RAND()-0.5)*2*$B$6)</f>
        <v>0.19970025220013349</v>
      </c>
      <c r="E713" s="54">
        <f ca="1">MAX(0.02,MCDA_Prioritisation!$B$12+(RAND()-0.5)*2*$B$6)</f>
        <v>0.19768937120047683</v>
      </c>
      <c r="F713" s="54">
        <f ca="1">MAX(0.02,MCDA_Prioritisation!$B$13+(RAND()-0.5)*2*$B$6)</f>
        <v>0.21366201155416592</v>
      </c>
      <c r="G713" s="54">
        <f t="shared" ca="1" si="140"/>
        <v>1.0591057153625061</v>
      </c>
      <c r="H713" s="54">
        <f t="shared" ca="1" si="141"/>
        <v>0.21161619720864666</v>
      </c>
      <c r="I713" s="54">
        <f t="shared" ca="1" si="142"/>
        <v>0.21143324337941774</v>
      </c>
      <c r="J713" s="54">
        <f t="shared" ca="1" si="143"/>
        <v>0.18855554200439845</v>
      </c>
      <c r="K713" s="54">
        <f t="shared" ca="1" si="144"/>
        <v>0.18665688262555791</v>
      </c>
      <c r="L713" s="54">
        <f t="shared" ca="1" si="145"/>
        <v>0.20173813478197936</v>
      </c>
      <c r="M713" s="54">
        <f ca="1">MIN(100,MAX(0,MCDA_Prioritisation!$F$2+(RAND()-0.5)*2*$B$7))</f>
        <v>89.668526379417969</v>
      </c>
      <c r="N713" s="54">
        <f ca="1">MIN(100,MAX(0,MCDA_Prioritisation!$F$3+(RAND()-0.5)*2*$B$7))</f>
        <v>86.496577360057813</v>
      </c>
      <c r="O713" s="54">
        <f ca="1">MIN(100,MAX(0,MCDA_Prioritisation!$F$4+(RAND()-0.5)*2*$B$7))</f>
        <v>98.057922022653202</v>
      </c>
      <c r="P713" s="54">
        <f ca="1">MIN(100,MAX(0,MCDA_Prioritisation!$F$5+(RAND()-0.5)*2*$B$7))</f>
        <v>78.249595762322656</v>
      </c>
      <c r="Q713" s="54">
        <f ca="1">MIN(100,MAX(0,MCDA_Prioritisation!$G$2+(RAND()-0.5)*2*$B$7))</f>
        <v>75.39233158420015</v>
      </c>
      <c r="R713" s="54">
        <f ca="1">MIN(100,MAX(0,MCDA_Prioritisation!$G$3+(RAND()-0.5)*2*$B$7))</f>
        <v>100</v>
      </c>
      <c r="S713" s="54">
        <f ca="1">MIN(100,MAX(0,MCDA_Prioritisation!$G$4+(RAND()-0.5)*2*$B$7))</f>
        <v>78.470373380464963</v>
      </c>
      <c r="T713" s="54">
        <f ca="1">MIN(100,MAX(0,MCDA_Prioritisation!$G$5+(RAND()-0.5)*2*$B$7))</f>
        <v>78.333152171546544</v>
      </c>
      <c r="U713" s="54">
        <f ca="1">MIN(100,MAX(0,MCDA_Prioritisation!$H$2+(RAND()-0.5)*2*$B$7))</f>
        <v>74.375208883636532</v>
      </c>
      <c r="V713" s="54">
        <f ca="1">MIN(100,MAX(0,MCDA_Prioritisation!$H$3+(RAND()-0.5)*2*$B$7))</f>
        <v>53.448926744688393</v>
      </c>
      <c r="W713" s="54">
        <f ca="1">MIN(100,MAX(0,MCDA_Prioritisation!$H$4+(RAND()-0.5)*2*$B$7))</f>
        <v>71.985689341752689</v>
      </c>
      <c r="X713" s="54">
        <f ca="1">MIN(100,MAX(0,MCDA_Prioritisation!$H$5+(RAND()-0.5)*2*$B$7))</f>
        <v>69.518302527783192</v>
      </c>
      <c r="Y713" s="54">
        <f ca="1">H713*MCDA_Prioritisation!$D$2+I713*MCDA_Prioritisation!$E$2+J713*M713+K713*Q713+L713*U713</f>
        <v>88.28925515259742</v>
      </c>
      <c r="Z713" s="54">
        <f ca="1">H713*MCDA_Prioritisation!$D$3+I713*MCDA_Prioritisation!$E$3+J713*N713+K713*R713+L713*V713</f>
        <v>79.629334002891937</v>
      </c>
      <c r="AA713" s="54">
        <f ca="1">H713*MCDA_Prioritisation!$D$4+I713*MCDA_Prioritisation!$E$4+J713*O713+K713*S713+L713*W713</f>
        <v>73.927088939922626</v>
      </c>
      <c r="AB713" s="54">
        <f ca="1">H713*MCDA_Prioritisation!$D$5+I713*MCDA_Prioritisation!$E$5+J713*P713+K713*T713+L713*X713</f>
        <v>72.411641231706525</v>
      </c>
      <c r="AC713" s="54">
        <f t="shared" ca="1" si="146"/>
        <v>1</v>
      </c>
      <c r="AD713" s="54">
        <f t="shared" ca="1" si="147"/>
        <v>2</v>
      </c>
      <c r="AE713" s="54">
        <f t="shared" ca="1" si="148"/>
        <v>3</v>
      </c>
      <c r="AF713" s="54">
        <f t="shared" ca="1" si="149"/>
        <v>4</v>
      </c>
      <c r="AG713" s="54">
        <f t="shared" ca="1" si="150"/>
        <v>1</v>
      </c>
      <c r="AH713" s="54">
        <f t="shared" ca="1" si="151"/>
        <v>1</v>
      </c>
      <c r="AI713" s="54">
        <f t="shared" ca="1" si="152"/>
        <v>1</v>
      </c>
      <c r="AJ713" s="54">
        <f t="shared" ca="1" si="153"/>
        <v>1</v>
      </c>
    </row>
    <row r="714" spans="1:36" x14ac:dyDescent="0.2">
      <c r="A714" s="54">
        <v>691</v>
      </c>
      <c r="B714" s="54">
        <f ca="1">MAX(0.02,MCDA_Prioritisation!$B$9+(RAND()-0.5)*2*$B$6)</f>
        <v>0.27650677956464936</v>
      </c>
      <c r="C714" s="54">
        <f ca="1">MAX(0.02,MCDA_Prioritisation!$B$10+(RAND()-0.5)*2*$B$6)</f>
        <v>0.2504051530358124</v>
      </c>
      <c r="D714" s="54">
        <f ca="1">MAX(0.02,MCDA_Prioritisation!$B$11+(RAND()-0.5)*2*$B$6)</f>
        <v>0.24012717732074629</v>
      </c>
      <c r="E714" s="54">
        <f ca="1">MAX(0.02,MCDA_Prioritisation!$B$12+(RAND()-0.5)*2*$B$6)</f>
        <v>0.16244729427738491</v>
      </c>
      <c r="F714" s="54">
        <f ca="1">MAX(0.02,MCDA_Prioritisation!$B$13+(RAND()-0.5)*2*$B$6)</f>
        <v>0.19457030445146706</v>
      </c>
      <c r="G714" s="54">
        <f t="shared" ca="1" si="140"/>
        <v>1.1240567086500599</v>
      </c>
      <c r="H714" s="54">
        <f t="shared" ca="1" si="141"/>
        <v>0.24599006209991062</v>
      </c>
      <c r="I714" s="54">
        <f t="shared" ca="1" si="142"/>
        <v>0.22276914599490039</v>
      </c>
      <c r="J714" s="54">
        <f t="shared" ca="1" si="143"/>
        <v>0.21362550080691917</v>
      </c>
      <c r="K714" s="54">
        <f t="shared" ca="1" si="144"/>
        <v>0.14451877118590983</v>
      </c>
      <c r="L714" s="54">
        <f t="shared" ca="1" si="145"/>
        <v>0.17309651991236011</v>
      </c>
      <c r="M714" s="54">
        <f ca="1">MIN(100,MAX(0,MCDA_Prioritisation!$F$2+(RAND()-0.5)*2*$B$7))</f>
        <v>90.699332716656514</v>
      </c>
      <c r="N714" s="54">
        <f ca="1">MIN(100,MAX(0,MCDA_Prioritisation!$F$3+(RAND()-0.5)*2*$B$7))</f>
        <v>95.599307158183919</v>
      </c>
      <c r="O714" s="54">
        <f ca="1">MIN(100,MAX(0,MCDA_Prioritisation!$F$4+(RAND()-0.5)*2*$B$7))</f>
        <v>88.401640338893117</v>
      </c>
      <c r="P714" s="54">
        <f ca="1">MIN(100,MAX(0,MCDA_Prioritisation!$F$5+(RAND()-0.5)*2*$B$7))</f>
        <v>71.268794519955307</v>
      </c>
      <c r="Q714" s="54">
        <f ca="1">MIN(100,MAX(0,MCDA_Prioritisation!$G$2+(RAND()-0.5)*2*$B$7))</f>
        <v>86.952718947326801</v>
      </c>
      <c r="R714" s="54">
        <f ca="1">MIN(100,MAX(0,MCDA_Prioritisation!$G$3+(RAND()-0.5)*2*$B$7))</f>
        <v>92.403412696383469</v>
      </c>
      <c r="S714" s="54">
        <f ca="1">MIN(100,MAX(0,MCDA_Prioritisation!$G$4+(RAND()-0.5)*2*$B$7))</f>
        <v>92.517354342072721</v>
      </c>
      <c r="T714" s="54">
        <f ca="1">MIN(100,MAX(0,MCDA_Prioritisation!$G$5+(RAND()-0.5)*2*$B$7))</f>
        <v>74.375154554699733</v>
      </c>
      <c r="U714" s="54">
        <f ca="1">MIN(100,MAX(0,MCDA_Prioritisation!$H$2+(RAND()-0.5)*2*$B$7))</f>
        <v>68.694325035681132</v>
      </c>
      <c r="V714" s="54">
        <f ca="1">MIN(100,MAX(0,MCDA_Prioritisation!$H$3+(RAND()-0.5)*2*$B$7))</f>
        <v>55.0538224425704</v>
      </c>
      <c r="W714" s="54">
        <f ca="1">MIN(100,MAX(0,MCDA_Prioritisation!$H$4+(RAND()-0.5)*2*$B$7))</f>
        <v>85.223745152393704</v>
      </c>
      <c r="X714" s="54">
        <f ca="1">MIN(100,MAX(0,MCDA_Prioritisation!$H$5+(RAND()-0.5)*2*$B$7))</f>
        <v>82.518452102073553</v>
      </c>
      <c r="Y714" s="54">
        <f ca="1">H714*MCDA_Prioritisation!$D$2+I714*MCDA_Prioritisation!$E$2+J714*M714+K714*Q714+L714*U714</f>
        <v>90.708659878876603</v>
      </c>
      <c r="Z714" s="54">
        <f ca="1">H714*MCDA_Prioritisation!$D$3+I714*MCDA_Prioritisation!$E$3+J714*N714+K714*R714+L714*V714</f>
        <v>81.006248950293354</v>
      </c>
      <c r="AA714" s="54">
        <f ca="1">H714*MCDA_Prioritisation!$D$4+I714*MCDA_Prioritisation!$E$4+J714*O714+K714*S714+L714*W714</f>
        <v>76.287618926518135</v>
      </c>
      <c r="AB714" s="54">
        <f ca="1">H714*MCDA_Prioritisation!$D$5+I714*MCDA_Prioritisation!$E$5+J714*P714+K714*T714+L714*X714</f>
        <v>72.046096189061501</v>
      </c>
      <c r="AC714" s="54">
        <f t="shared" ca="1" si="146"/>
        <v>1</v>
      </c>
      <c r="AD714" s="54">
        <f t="shared" ca="1" si="147"/>
        <v>2</v>
      </c>
      <c r="AE714" s="54">
        <f t="shared" ca="1" si="148"/>
        <v>3</v>
      </c>
      <c r="AF714" s="54">
        <f t="shared" ca="1" si="149"/>
        <v>4</v>
      </c>
      <c r="AG714" s="54">
        <f t="shared" ca="1" si="150"/>
        <v>1</v>
      </c>
      <c r="AH714" s="54">
        <f t="shared" ca="1" si="151"/>
        <v>1</v>
      </c>
      <c r="AI714" s="54">
        <f t="shared" ca="1" si="152"/>
        <v>1</v>
      </c>
      <c r="AJ714" s="54">
        <f t="shared" ca="1" si="153"/>
        <v>1</v>
      </c>
    </row>
    <row r="715" spans="1:36" x14ac:dyDescent="0.2">
      <c r="A715" s="54">
        <v>692</v>
      </c>
      <c r="B715" s="54">
        <f ca="1">MAX(0.02,MCDA_Prioritisation!$B$9+(RAND()-0.5)*2*$B$6)</f>
        <v>0.15473472498378135</v>
      </c>
      <c r="C715" s="54">
        <f ca="1">MAX(0.02,MCDA_Prioritisation!$B$10+(RAND()-0.5)*2*$B$6)</f>
        <v>0.32758745861824523</v>
      </c>
      <c r="D715" s="54">
        <f ca="1">MAX(0.02,MCDA_Prioritisation!$B$11+(RAND()-0.5)*2*$B$6)</f>
        <v>0.28717095078032923</v>
      </c>
      <c r="E715" s="54">
        <f ca="1">MAX(0.02,MCDA_Prioritisation!$B$12+(RAND()-0.5)*2*$B$6)</f>
        <v>0.14792709408669552</v>
      </c>
      <c r="F715" s="54">
        <f ca="1">MAX(0.02,MCDA_Prioritisation!$B$13+(RAND()-0.5)*2*$B$6)</f>
        <v>8.4586719962393697E-2</v>
      </c>
      <c r="G715" s="54">
        <f t="shared" ca="1" si="140"/>
        <v>1.0020069484314451</v>
      </c>
      <c r="H715" s="54">
        <f t="shared" ca="1" si="141"/>
        <v>0.15442480236889089</v>
      </c>
      <c r="I715" s="54">
        <f t="shared" ca="1" si="142"/>
        <v>0.32693132430973154</v>
      </c>
      <c r="J715" s="54">
        <f t="shared" ca="1" si="143"/>
        <v>0.28659576785357671</v>
      </c>
      <c r="K715" s="54">
        <f t="shared" ca="1" si="144"/>
        <v>0.14763080667081455</v>
      </c>
      <c r="L715" s="54">
        <f t="shared" ca="1" si="145"/>
        <v>8.4417298796986256E-2</v>
      </c>
      <c r="M715" s="54">
        <f ca="1">MIN(100,MAX(0,MCDA_Prioritisation!$F$2+(RAND()-0.5)*2*$B$7))</f>
        <v>86.563371616760264</v>
      </c>
      <c r="N715" s="54">
        <f ca="1">MIN(100,MAX(0,MCDA_Prioritisation!$F$3+(RAND()-0.5)*2*$B$7))</f>
        <v>99.518584494010128</v>
      </c>
      <c r="O715" s="54">
        <f ca="1">MIN(100,MAX(0,MCDA_Prioritisation!$F$4+(RAND()-0.5)*2*$B$7))</f>
        <v>84.747996318020554</v>
      </c>
      <c r="P715" s="54">
        <f ca="1">MIN(100,MAX(0,MCDA_Prioritisation!$F$5+(RAND()-0.5)*2*$B$7))</f>
        <v>75.141441752454654</v>
      </c>
      <c r="Q715" s="54">
        <f ca="1">MIN(100,MAX(0,MCDA_Prioritisation!$G$2+(RAND()-0.5)*2*$B$7))</f>
        <v>74.502345415127223</v>
      </c>
      <c r="R715" s="54">
        <f ca="1">MIN(100,MAX(0,MCDA_Prioritisation!$G$3+(RAND()-0.5)*2*$B$7))</f>
        <v>100</v>
      </c>
      <c r="S715" s="54">
        <f ca="1">MIN(100,MAX(0,MCDA_Prioritisation!$G$4+(RAND()-0.5)*2*$B$7))</f>
        <v>77.992181419712196</v>
      </c>
      <c r="T715" s="54">
        <f ca="1">MIN(100,MAX(0,MCDA_Prioritisation!$G$5+(RAND()-0.5)*2*$B$7))</f>
        <v>68.556215801184209</v>
      </c>
      <c r="U715" s="54">
        <f ca="1">MIN(100,MAX(0,MCDA_Prioritisation!$H$2+(RAND()-0.5)*2*$B$7))</f>
        <v>55.17224414246494</v>
      </c>
      <c r="V715" s="54">
        <f ca="1">MIN(100,MAX(0,MCDA_Prioritisation!$H$3+(RAND()-0.5)*2*$B$7))</f>
        <v>55.192486439701824</v>
      </c>
      <c r="W715" s="54">
        <f ca="1">MIN(100,MAX(0,MCDA_Prioritisation!$H$4+(RAND()-0.5)*2*$B$7))</f>
        <v>88.319048294669258</v>
      </c>
      <c r="X715" s="54">
        <f ca="1">MIN(100,MAX(0,MCDA_Prioritisation!$H$5+(RAND()-0.5)*2*$B$7))</f>
        <v>76.030691798665103</v>
      </c>
      <c r="Y715" s="54">
        <f ca="1">H715*MCDA_Prioritisation!$D$2+I715*MCDA_Prioritisation!$E$2+J715*M715+K715*Q715+L715*U715</f>
        <v>88.600641795939779</v>
      </c>
      <c r="Z715" s="54">
        <f ca="1">H715*MCDA_Prioritisation!$D$3+I715*MCDA_Prioritisation!$E$3+J715*N715+K715*R715+L715*V715</f>
        <v>85.216949641518255</v>
      </c>
      <c r="AA715" s="54">
        <f ca="1">H715*MCDA_Prioritisation!$D$4+I715*MCDA_Prioritisation!$E$4+J715*O715+K715*S715+L715*W715</f>
        <v>71.843974350034728</v>
      </c>
      <c r="AB715" s="54">
        <f ca="1">H715*MCDA_Prioritisation!$D$5+I715*MCDA_Prioritisation!$E$5+J715*P715+K715*T715+L715*X715</f>
        <v>73.762720332797457</v>
      </c>
      <c r="AC715" s="54">
        <f t="shared" ca="1" si="146"/>
        <v>1</v>
      </c>
      <c r="AD715" s="54">
        <f t="shared" ca="1" si="147"/>
        <v>2</v>
      </c>
      <c r="AE715" s="54">
        <f t="shared" ca="1" si="148"/>
        <v>4</v>
      </c>
      <c r="AF715" s="54">
        <f t="shared" ca="1" si="149"/>
        <v>3</v>
      </c>
      <c r="AG715" s="54">
        <f t="shared" ca="1" si="150"/>
        <v>1</v>
      </c>
      <c r="AH715" s="54">
        <f t="shared" ca="1" si="151"/>
        <v>1</v>
      </c>
      <c r="AI715" s="54">
        <f t="shared" ca="1" si="152"/>
        <v>0</v>
      </c>
      <c r="AJ715" s="54">
        <f t="shared" ca="1" si="153"/>
        <v>1</v>
      </c>
    </row>
    <row r="716" spans="1:36" x14ac:dyDescent="0.2">
      <c r="A716" s="54">
        <v>693</v>
      </c>
      <c r="B716" s="54">
        <f ca="1">MAX(0.02,MCDA_Prioritisation!$B$9+(RAND()-0.5)*2*$B$6)</f>
        <v>0.26744320905691826</v>
      </c>
      <c r="C716" s="54">
        <f ca="1">MAX(0.02,MCDA_Prioritisation!$B$10+(RAND()-0.5)*2*$B$6)</f>
        <v>0.32445672103499523</v>
      </c>
      <c r="D716" s="54">
        <f ca="1">MAX(0.02,MCDA_Prioritisation!$B$11+(RAND()-0.5)*2*$B$6)</f>
        <v>0.2930889849399908</v>
      </c>
      <c r="E716" s="54">
        <f ca="1">MAX(0.02,MCDA_Prioritisation!$B$12+(RAND()-0.5)*2*$B$6)</f>
        <v>0.20725865616732936</v>
      </c>
      <c r="F716" s="54">
        <f ca="1">MAX(0.02,MCDA_Prioritisation!$B$13+(RAND()-0.5)*2*$B$6)</f>
        <v>0.12076546181948822</v>
      </c>
      <c r="G716" s="54">
        <f t="shared" ca="1" si="140"/>
        <v>1.2130130330187219</v>
      </c>
      <c r="H716" s="54">
        <f t="shared" ca="1" si="141"/>
        <v>0.22047842997313491</v>
      </c>
      <c r="I716" s="54">
        <f t="shared" ca="1" si="142"/>
        <v>0.26747999584765181</v>
      </c>
      <c r="J716" s="54">
        <f t="shared" ca="1" si="143"/>
        <v>0.24162063964853311</v>
      </c>
      <c r="K716" s="54">
        <f t="shared" ca="1" si="144"/>
        <v>0.17086267873935571</v>
      </c>
      <c r="L716" s="54">
        <f t="shared" ca="1" si="145"/>
        <v>9.9558255791324463E-2</v>
      </c>
      <c r="M716" s="54">
        <f ca="1">MIN(100,MAX(0,MCDA_Prioritisation!$F$2+(RAND()-0.5)*2*$B$7))</f>
        <v>91.132038071832937</v>
      </c>
      <c r="N716" s="54">
        <f ca="1">MIN(100,MAX(0,MCDA_Prioritisation!$F$3+(RAND()-0.5)*2*$B$7))</f>
        <v>100</v>
      </c>
      <c r="O716" s="54">
        <f ca="1">MIN(100,MAX(0,MCDA_Prioritisation!$F$4+(RAND()-0.5)*2*$B$7))</f>
        <v>85.902242639293959</v>
      </c>
      <c r="P716" s="54">
        <f ca="1">MIN(100,MAX(0,MCDA_Prioritisation!$F$5+(RAND()-0.5)*2*$B$7))</f>
        <v>81.414118881489046</v>
      </c>
      <c r="Q716" s="54">
        <f ca="1">MIN(100,MAX(0,MCDA_Prioritisation!$G$2+(RAND()-0.5)*2*$B$7))</f>
        <v>84.034674611269949</v>
      </c>
      <c r="R716" s="54">
        <f ca="1">MIN(100,MAX(0,MCDA_Prioritisation!$G$3+(RAND()-0.5)*2*$B$7))</f>
        <v>100</v>
      </c>
      <c r="S716" s="54">
        <f ca="1">MIN(100,MAX(0,MCDA_Prioritisation!$G$4+(RAND()-0.5)*2*$B$7))</f>
        <v>92.815013893309214</v>
      </c>
      <c r="T716" s="54">
        <f ca="1">MIN(100,MAX(0,MCDA_Prioritisation!$G$5+(RAND()-0.5)*2*$B$7))</f>
        <v>63.548771198480196</v>
      </c>
      <c r="U716" s="54">
        <f ca="1">MIN(100,MAX(0,MCDA_Prioritisation!$H$2+(RAND()-0.5)*2*$B$7))</f>
        <v>64.856078575135115</v>
      </c>
      <c r="V716" s="54">
        <f ca="1">MIN(100,MAX(0,MCDA_Prioritisation!$H$3+(RAND()-0.5)*2*$B$7))</f>
        <v>54.388953604135381</v>
      </c>
      <c r="W716" s="54">
        <f ca="1">MIN(100,MAX(0,MCDA_Prioritisation!$H$4+(RAND()-0.5)*2*$B$7))</f>
        <v>81.275766736214337</v>
      </c>
      <c r="X716" s="54">
        <f ca="1">MIN(100,MAX(0,MCDA_Prioritisation!$H$5+(RAND()-0.5)*2*$B$7))</f>
        <v>70.400098461097741</v>
      </c>
      <c r="Y716" s="54">
        <f ca="1">H716*MCDA_Prioritisation!$D$2+I716*MCDA_Prioritisation!$E$2+J716*M716+K716*Q716+L716*U716</f>
        <v>91.630571584946679</v>
      </c>
      <c r="Z716" s="54">
        <f ca="1">H716*MCDA_Prioritisation!$D$3+I716*MCDA_Prioritisation!$E$3+J716*N716+K716*R716+L716*V716</f>
        <v>85.385409705682306</v>
      </c>
      <c r="AA716" s="54">
        <f ca="1">H716*MCDA_Prioritisation!$D$4+I716*MCDA_Prioritisation!$E$4+J716*O716+K716*S716+L716*W716</f>
        <v>74.648690003174394</v>
      </c>
      <c r="AB716" s="54">
        <f ca="1">H716*MCDA_Prioritisation!$D$5+I716*MCDA_Prioritisation!$E$5+J716*P716+K716*T716+L716*X716</f>
        <v>71.733080640266721</v>
      </c>
      <c r="AC716" s="54">
        <f t="shared" ca="1" si="146"/>
        <v>1</v>
      </c>
      <c r="AD716" s="54">
        <f t="shared" ca="1" si="147"/>
        <v>2</v>
      </c>
      <c r="AE716" s="54">
        <f t="shared" ca="1" si="148"/>
        <v>3</v>
      </c>
      <c r="AF716" s="54">
        <f t="shared" ca="1" si="149"/>
        <v>4</v>
      </c>
      <c r="AG716" s="54">
        <f t="shared" ca="1" si="150"/>
        <v>1</v>
      </c>
      <c r="AH716" s="54">
        <f t="shared" ca="1" si="151"/>
        <v>1</v>
      </c>
      <c r="AI716" s="54">
        <f t="shared" ca="1" si="152"/>
        <v>1</v>
      </c>
      <c r="AJ716" s="54">
        <f t="shared" ca="1" si="153"/>
        <v>1</v>
      </c>
    </row>
    <row r="717" spans="1:36" x14ac:dyDescent="0.2">
      <c r="A717" s="54">
        <v>694</v>
      </c>
      <c r="B717" s="54">
        <f ca="1">MAX(0.02,MCDA_Prioritisation!$B$9+(RAND()-0.5)*2*$B$6)</f>
        <v>0.263687500212681</v>
      </c>
      <c r="C717" s="54">
        <f ca="1">MAX(0.02,MCDA_Prioritisation!$B$10+(RAND()-0.5)*2*$B$6)</f>
        <v>0.20811809149993898</v>
      </c>
      <c r="D717" s="54">
        <f ca="1">MAX(0.02,MCDA_Prioritisation!$B$11+(RAND()-0.5)*2*$B$6)</f>
        <v>0.24772320276322884</v>
      </c>
      <c r="E717" s="54">
        <f ca="1">MAX(0.02,MCDA_Prioritisation!$B$12+(RAND()-0.5)*2*$B$6)</f>
        <v>0.11787395335706589</v>
      </c>
      <c r="F717" s="54">
        <f ca="1">MAX(0.02,MCDA_Prioritisation!$B$13+(RAND()-0.5)*2*$B$6)</f>
        <v>0.19630647622801539</v>
      </c>
      <c r="G717" s="54">
        <f t="shared" ca="1" si="140"/>
        <v>1.03370922406093</v>
      </c>
      <c r="H717" s="54">
        <f t="shared" ca="1" si="141"/>
        <v>0.25508865943633918</v>
      </c>
      <c r="I717" s="54">
        <f t="shared" ca="1" si="142"/>
        <v>0.20133136732817997</v>
      </c>
      <c r="J717" s="54">
        <f t="shared" ca="1" si="143"/>
        <v>0.23964495720570958</v>
      </c>
      <c r="K717" s="54">
        <f t="shared" ca="1" si="144"/>
        <v>0.11403008758497644</v>
      </c>
      <c r="L717" s="54">
        <f t="shared" ca="1" si="145"/>
        <v>0.18990492844479492</v>
      </c>
      <c r="M717" s="54">
        <f ca="1">MIN(100,MAX(0,MCDA_Prioritisation!$F$2+(RAND()-0.5)*2*$B$7))</f>
        <v>77.309425161194739</v>
      </c>
      <c r="N717" s="54">
        <f ca="1">MIN(100,MAX(0,MCDA_Prioritisation!$F$3+(RAND()-0.5)*2*$B$7))</f>
        <v>99.519166979029094</v>
      </c>
      <c r="O717" s="54">
        <f ca="1">MIN(100,MAX(0,MCDA_Prioritisation!$F$4+(RAND()-0.5)*2*$B$7))</f>
        <v>96.020604163814809</v>
      </c>
      <c r="P717" s="54">
        <f ca="1">MIN(100,MAX(0,MCDA_Prioritisation!$F$5+(RAND()-0.5)*2*$B$7))</f>
        <v>80.268864348050457</v>
      </c>
      <c r="Q717" s="54">
        <f ca="1">MIN(100,MAX(0,MCDA_Prioritisation!$G$2+(RAND()-0.5)*2*$B$7))</f>
        <v>72.931749057006101</v>
      </c>
      <c r="R717" s="54">
        <f ca="1">MIN(100,MAX(0,MCDA_Prioritisation!$G$3+(RAND()-0.5)*2*$B$7))</f>
        <v>94.915376004795803</v>
      </c>
      <c r="S717" s="54">
        <f ca="1">MIN(100,MAX(0,MCDA_Prioritisation!$G$4+(RAND()-0.5)*2*$B$7))</f>
        <v>94.09665480035531</v>
      </c>
      <c r="T717" s="54">
        <f ca="1">MIN(100,MAX(0,MCDA_Prioritisation!$G$5+(RAND()-0.5)*2*$B$7))</f>
        <v>66.180522411601501</v>
      </c>
      <c r="U717" s="54">
        <f ca="1">MIN(100,MAX(0,MCDA_Prioritisation!$H$2+(RAND()-0.5)*2*$B$7))</f>
        <v>71.52955160402081</v>
      </c>
      <c r="V717" s="54">
        <f ca="1">MIN(100,MAX(0,MCDA_Prioritisation!$H$3+(RAND()-0.5)*2*$B$7))</f>
        <v>61.332168181119286</v>
      </c>
      <c r="W717" s="54">
        <f ca="1">MIN(100,MAX(0,MCDA_Prioritisation!$H$4+(RAND()-0.5)*2*$B$7))</f>
        <v>73.920897712883473</v>
      </c>
      <c r="X717" s="54">
        <f ca="1">MIN(100,MAX(0,MCDA_Prioritisation!$H$5+(RAND()-0.5)*2*$B$7))</f>
        <v>75.960579424235547</v>
      </c>
      <c r="Y717" s="54">
        <f ca="1">H717*MCDA_Prioritisation!$D$2+I717*MCDA_Prioritisation!$E$2+J717*M717+K717*Q717+L717*U717</f>
        <v>86.069044672550206</v>
      </c>
      <c r="Z717" s="54">
        <f ca="1">H717*MCDA_Prioritisation!$D$3+I717*MCDA_Prioritisation!$E$3+J717*N717+K717*R717+L717*V717</f>
        <v>83.255979986650161</v>
      </c>
      <c r="AA717" s="54">
        <f ca="1">H717*MCDA_Prioritisation!$D$4+I717*MCDA_Prioritisation!$E$4+J717*O717+K717*S717+L717*W717</f>
        <v>76.523231778753654</v>
      </c>
      <c r="AB717" s="54">
        <f ca="1">H717*MCDA_Prioritisation!$D$5+I717*MCDA_Prioritisation!$E$5+J717*P717+K717*T717+L717*X717</f>
        <v>71.677083019025446</v>
      </c>
      <c r="AC717" s="54">
        <f t="shared" ca="1" si="146"/>
        <v>1</v>
      </c>
      <c r="AD717" s="54">
        <f t="shared" ca="1" si="147"/>
        <v>2</v>
      </c>
      <c r="AE717" s="54">
        <f t="shared" ca="1" si="148"/>
        <v>3</v>
      </c>
      <c r="AF717" s="54">
        <f t="shared" ca="1" si="149"/>
        <v>4</v>
      </c>
      <c r="AG717" s="54">
        <f t="shared" ca="1" si="150"/>
        <v>1</v>
      </c>
      <c r="AH717" s="54">
        <f t="shared" ca="1" si="151"/>
        <v>1</v>
      </c>
      <c r="AI717" s="54">
        <f t="shared" ca="1" si="152"/>
        <v>1</v>
      </c>
      <c r="AJ717" s="54">
        <f t="shared" ca="1" si="153"/>
        <v>1</v>
      </c>
    </row>
    <row r="718" spans="1:36" x14ac:dyDescent="0.2">
      <c r="A718" s="54">
        <v>695</v>
      </c>
      <c r="B718" s="54">
        <f ca="1">MAX(0.02,MCDA_Prioritisation!$B$9+(RAND()-0.5)*2*$B$6)</f>
        <v>0.14453073617272688</v>
      </c>
      <c r="C718" s="54">
        <f ca="1">MAX(0.02,MCDA_Prioritisation!$B$10+(RAND()-0.5)*2*$B$6)</f>
        <v>0.24594783829860362</v>
      </c>
      <c r="D718" s="54">
        <f ca="1">MAX(0.02,MCDA_Prioritisation!$B$11+(RAND()-0.5)*2*$B$6)</f>
        <v>0.21905671008726857</v>
      </c>
      <c r="E718" s="54">
        <f ca="1">MAX(0.02,MCDA_Prioritisation!$B$12+(RAND()-0.5)*2*$B$6)</f>
        <v>0.19163796202423292</v>
      </c>
      <c r="F718" s="54">
        <f ca="1">MAX(0.02,MCDA_Prioritisation!$B$13+(RAND()-0.5)*2*$B$6)</f>
        <v>0.11047517829203687</v>
      </c>
      <c r="G718" s="54">
        <f t="shared" ca="1" si="140"/>
        <v>0.91164842487486886</v>
      </c>
      <c r="H718" s="54">
        <f t="shared" ca="1" si="141"/>
        <v>0.15853780056995645</v>
      </c>
      <c r="I718" s="54">
        <f t="shared" ca="1" si="142"/>
        <v>0.2697836485949745</v>
      </c>
      <c r="J718" s="54">
        <f t="shared" ca="1" si="143"/>
        <v>0.24028639123391879</v>
      </c>
      <c r="K718" s="54">
        <f t="shared" ca="1" si="144"/>
        <v>0.21021038022474156</v>
      </c>
      <c r="L718" s="54">
        <f t="shared" ca="1" si="145"/>
        <v>0.12118177937640871</v>
      </c>
      <c r="M718" s="54">
        <f ca="1">MIN(100,MAX(0,MCDA_Prioritisation!$F$2+(RAND()-0.5)*2*$B$7))</f>
        <v>82.866208147355323</v>
      </c>
      <c r="N718" s="54">
        <f ca="1">MIN(100,MAX(0,MCDA_Prioritisation!$F$3+(RAND()-0.5)*2*$B$7))</f>
        <v>100</v>
      </c>
      <c r="O718" s="54">
        <f ca="1">MIN(100,MAX(0,MCDA_Prioritisation!$F$4+(RAND()-0.5)*2*$B$7))</f>
        <v>98.5242474827687</v>
      </c>
      <c r="P718" s="54">
        <f ca="1">MIN(100,MAX(0,MCDA_Prioritisation!$F$5+(RAND()-0.5)*2*$B$7))</f>
        <v>68.03335364985152</v>
      </c>
      <c r="Q718" s="54">
        <f ca="1">MIN(100,MAX(0,MCDA_Prioritisation!$G$2+(RAND()-0.5)*2*$B$7))</f>
        <v>84.491130706268805</v>
      </c>
      <c r="R718" s="54">
        <f ca="1">MIN(100,MAX(0,MCDA_Prioritisation!$G$3+(RAND()-0.5)*2*$B$7))</f>
        <v>96.287768488911453</v>
      </c>
      <c r="S718" s="54">
        <f ca="1">MIN(100,MAX(0,MCDA_Prioritisation!$G$4+(RAND()-0.5)*2*$B$7))</f>
        <v>90.49713777067106</v>
      </c>
      <c r="T718" s="54">
        <f ca="1">MIN(100,MAX(0,MCDA_Prioritisation!$G$5+(RAND()-0.5)*2*$B$7))</f>
        <v>68.096975054745471</v>
      </c>
      <c r="U718" s="54">
        <f ca="1">MIN(100,MAX(0,MCDA_Prioritisation!$H$2+(RAND()-0.5)*2*$B$7))</f>
        <v>68.069645327905135</v>
      </c>
      <c r="V718" s="54">
        <f ca="1">MIN(100,MAX(0,MCDA_Prioritisation!$H$3+(RAND()-0.5)*2*$B$7))</f>
        <v>63.905176586222737</v>
      </c>
      <c r="W718" s="54">
        <f ca="1">MIN(100,MAX(0,MCDA_Prioritisation!$H$4+(RAND()-0.5)*2*$B$7))</f>
        <v>70.991723287575851</v>
      </c>
      <c r="X718" s="54">
        <f ca="1">MIN(100,MAX(0,MCDA_Prioritisation!$H$5+(RAND()-0.5)*2*$B$7))</f>
        <v>82.663434778704215</v>
      </c>
      <c r="Y718" s="54">
        <f ca="1">H718*MCDA_Prioritisation!$D$2+I718*MCDA_Prioritisation!$E$2+J718*M718+K718*Q718+L718*U718</f>
        <v>88.75348048119956</v>
      </c>
      <c r="Z718" s="54">
        <f ca="1">H718*MCDA_Prioritisation!$D$3+I718*MCDA_Prioritisation!$E$3+J718*N718+K718*R718+L718*V718</f>
        <v>85.489802220284034</v>
      </c>
      <c r="AA718" s="54">
        <f ca="1">H718*MCDA_Prioritisation!$D$4+I718*MCDA_Prioritisation!$E$4+J718*O718+K718*S718+L718*W718</f>
        <v>77.05548915850683</v>
      </c>
      <c r="AB718" s="54">
        <f ca="1">H718*MCDA_Prioritisation!$D$5+I718*MCDA_Prioritisation!$E$5+J718*P718+K718*T718+L718*X718</f>
        <v>71.78036927018762</v>
      </c>
      <c r="AC718" s="54">
        <f t="shared" ca="1" si="146"/>
        <v>1</v>
      </c>
      <c r="AD718" s="54">
        <f t="shared" ca="1" si="147"/>
        <v>2</v>
      </c>
      <c r="AE718" s="54">
        <f t="shared" ca="1" si="148"/>
        <v>3</v>
      </c>
      <c r="AF718" s="54">
        <f t="shared" ca="1" si="149"/>
        <v>4</v>
      </c>
      <c r="AG718" s="54">
        <f t="shared" ca="1" si="150"/>
        <v>1</v>
      </c>
      <c r="AH718" s="54">
        <f t="shared" ca="1" si="151"/>
        <v>1</v>
      </c>
      <c r="AI718" s="54">
        <f t="shared" ca="1" si="152"/>
        <v>1</v>
      </c>
      <c r="AJ718" s="54">
        <f t="shared" ca="1" si="153"/>
        <v>1</v>
      </c>
    </row>
    <row r="719" spans="1:36" x14ac:dyDescent="0.2">
      <c r="A719" s="54">
        <v>696</v>
      </c>
      <c r="B719" s="54">
        <f ca="1">MAX(0.02,MCDA_Prioritisation!$B$9+(RAND()-0.5)*2*$B$6)</f>
        <v>0.18788090684337169</v>
      </c>
      <c r="C719" s="54">
        <f ca="1">MAX(0.02,MCDA_Prioritisation!$B$10+(RAND()-0.5)*2*$B$6)</f>
        <v>0.21842913364510774</v>
      </c>
      <c r="D719" s="54">
        <f ca="1">MAX(0.02,MCDA_Prioritisation!$B$11+(RAND()-0.5)*2*$B$6)</f>
        <v>0.1701703237668849</v>
      </c>
      <c r="E719" s="54">
        <f ca="1">MAX(0.02,MCDA_Prioritisation!$B$12+(RAND()-0.5)*2*$B$6)</f>
        <v>8.3877201647587163E-2</v>
      </c>
      <c r="F719" s="54">
        <f ca="1">MAX(0.02,MCDA_Prioritisation!$B$13+(RAND()-0.5)*2*$B$6)</f>
        <v>0.15602519601990641</v>
      </c>
      <c r="G719" s="54">
        <f t="shared" ca="1" si="140"/>
        <v>0.81638276192285786</v>
      </c>
      <c r="H719" s="54">
        <f t="shared" ca="1" si="141"/>
        <v>0.23013825818767722</v>
      </c>
      <c r="I719" s="54">
        <f t="shared" ca="1" si="142"/>
        <v>0.2675572584735047</v>
      </c>
      <c r="J719" s="54">
        <f t="shared" ca="1" si="143"/>
        <v>0.20844428827242281</v>
      </c>
      <c r="K719" s="54">
        <f t="shared" ca="1" si="144"/>
        <v>0.10274249477050196</v>
      </c>
      <c r="L719" s="54">
        <f t="shared" ca="1" si="145"/>
        <v>0.19111770029589337</v>
      </c>
      <c r="M719" s="54">
        <f ca="1">MIN(100,MAX(0,MCDA_Prioritisation!$F$2+(RAND()-0.5)*2*$B$7))</f>
        <v>84.900400232779489</v>
      </c>
      <c r="N719" s="54">
        <f ca="1">MIN(100,MAX(0,MCDA_Prioritisation!$F$3+(RAND()-0.5)*2*$B$7))</f>
        <v>100</v>
      </c>
      <c r="O719" s="54">
        <f ca="1">MIN(100,MAX(0,MCDA_Prioritisation!$F$4+(RAND()-0.5)*2*$B$7))</f>
        <v>91.593378270507117</v>
      </c>
      <c r="P719" s="54">
        <f ca="1">MIN(100,MAX(0,MCDA_Prioritisation!$F$5+(RAND()-0.5)*2*$B$7))</f>
        <v>80.476315415318652</v>
      </c>
      <c r="Q719" s="54">
        <f ca="1">MIN(100,MAX(0,MCDA_Prioritisation!$G$2+(RAND()-0.5)*2*$B$7))</f>
        <v>77.206724022682295</v>
      </c>
      <c r="R719" s="54">
        <f ca="1">MIN(100,MAX(0,MCDA_Prioritisation!$G$3+(RAND()-0.5)*2*$B$7))</f>
        <v>93.58128858316087</v>
      </c>
      <c r="S719" s="54">
        <f ca="1">MIN(100,MAX(0,MCDA_Prioritisation!$G$4+(RAND()-0.5)*2*$B$7))</f>
        <v>91.408724796810191</v>
      </c>
      <c r="T719" s="54">
        <f ca="1">MIN(100,MAX(0,MCDA_Prioritisation!$G$5+(RAND()-0.5)*2*$B$7))</f>
        <v>66.524219985423841</v>
      </c>
      <c r="U719" s="54">
        <f ca="1">MIN(100,MAX(0,MCDA_Prioritisation!$H$2+(RAND()-0.5)*2*$B$7))</f>
        <v>71.541224872941314</v>
      </c>
      <c r="V719" s="54">
        <f ca="1">MIN(100,MAX(0,MCDA_Prioritisation!$H$3+(RAND()-0.5)*2*$B$7))</f>
        <v>67.805153785559497</v>
      </c>
      <c r="W719" s="54">
        <f ca="1">MIN(100,MAX(0,MCDA_Prioritisation!$H$4+(RAND()-0.5)*2*$B$7))</f>
        <v>72.037388074463635</v>
      </c>
      <c r="X719" s="54">
        <f ca="1">MIN(100,MAX(0,MCDA_Prioritisation!$H$5+(RAND()-0.5)*2*$B$7))</f>
        <v>69.984433604495806</v>
      </c>
      <c r="Y719" s="54">
        <f ca="1">H719*MCDA_Prioritisation!$D$2+I719*MCDA_Prioritisation!$E$2+J719*M719+K719*Q719+L719*U719</f>
        <v>89.071760979899679</v>
      </c>
      <c r="Z719" s="54">
        <f ca="1">H719*MCDA_Prioritisation!$D$3+I719*MCDA_Prioritisation!$E$3+J719*N719+K719*R719+L719*V719</f>
        <v>82.990035005377592</v>
      </c>
      <c r="AA719" s="54">
        <f ca="1">H719*MCDA_Prioritisation!$D$4+I719*MCDA_Prioritisation!$E$4+J719*O719+K719*S719+L719*W719</f>
        <v>72.870804607250037</v>
      </c>
      <c r="AB719" s="54">
        <f ca="1">H719*MCDA_Prioritisation!$D$5+I719*MCDA_Prioritisation!$E$5+J719*P719+K719*T719+L719*X719</f>
        <v>71.698882554767295</v>
      </c>
      <c r="AC719" s="54">
        <f t="shared" ca="1" si="146"/>
        <v>1</v>
      </c>
      <c r="AD719" s="54">
        <f t="shared" ca="1" si="147"/>
        <v>2</v>
      </c>
      <c r="AE719" s="54">
        <f t="shared" ca="1" si="148"/>
        <v>3</v>
      </c>
      <c r="AF719" s="54">
        <f t="shared" ca="1" si="149"/>
        <v>4</v>
      </c>
      <c r="AG719" s="54">
        <f t="shared" ca="1" si="150"/>
        <v>1</v>
      </c>
      <c r="AH719" s="54">
        <f t="shared" ca="1" si="151"/>
        <v>1</v>
      </c>
      <c r="AI719" s="54">
        <f t="shared" ca="1" si="152"/>
        <v>1</v>
      </c>
      <c r="AJ719" s="54">
        <f t="shared" ca="1" si="153"/>
        <v>1</v>
      </c>
    </row>
    <row r="720" spans="1:36" x14ac:dyDescent="0.2">
      <c r="A720" s="54">
        <v>697</v>
      </c>
      <c r="B720" s="54">
        <f ca="1">MAX(0.02,MCDA_Prioritisation!$B$9+(RAND()-0.5)*2*$B$6)</f>
        <v>0.23977283888253156</v>
      </c>
      <c r="C720" s="54">
        <f ca="1">MAX(0.02,MCDA_Prioritisation!$B$10+(RAND()-0.5)*2*$B$6)</f>
        <v>0.25422774492560041</v>
      </c>
      <c r="D720" s="54">
        <f ca="1">MAX(0.02,MCDA_Prioritisation!$B$11+(RAND()-0.5)*2*$B$6)</f>
        <v>0.27000087410795442</v>
      </c>
      <c r="E720" s="54">
        <f ca="1">MAX(0.02,MCDA_Prioritisation!$B$12+(RAND()-0.5)*2*$B$6)</f>
        <v>7.4133340941330922E-2</v>
      </c>
      <c r="F720" s="54">
        <f ca="1">MAX(0.02,MCDA_Prioritisation!$B$13+(RAND()-0.5)*2*$B$6)</f>
        <v>0.22709098826830626</v>
      </c>
      <c r="G720" s="54">
        <f t="shared" ca="1" si="140"/>
        <v>1.0652257871257236</v>
      </c>
      <c r="H720" s="54">
        <f t="shared" ca="1" si="141"/>
        <v>0.22509109503395106</v>
      </c>
      <c r="I720" s="54">
        <f t="shared" ca="1" si="142"/>
        <v>0.23866089987511269</v>
      </c>
      <c r="J720" s="54">
        <f t="shared" ca="1" si="143"/>
        <v>0.2534682105626565</v>
      </c>
      <c r="K720" s="54">
        <f t="shared" ca="1" si="144"/>
        <v>6.9594016439804146E-2</v>
      </c>
      <c r="L720" s="54">
        <f t="shared" ca="1" si="145"/>
        <v>0.21318577808847561</v>
      </c>
      <c r="M720" s="54">
        <f ca="1">MIN(100,MAX(0,MCDA_Prioritisation!$F$2+(RAND()-0.5)*2*$B$7))</f>
        <v>78.093385661635494</v>
      </c>
      <c r="N720" s="54">
        <f ca="1">MIN(100,MAX(0,MCDA_Prioritisation!$F$3+(RAND()-0.5)*2*$B$7))</f>
        <v>87.094568294125196</v>
      </c>
      <c r="O720" s="54">
        <f ca="1">MIN(100,MAX(0,MCDA_Prioritisation!$F$4+(RAND()-0.5)*2*$B$7))</f>
        <v>90.581759676359724</v>
      </c>
      <c r="P720" s="54">
        <f ca="1">MIN(100,MAX(0,MCDA_Prioritisation!$F$5+(RAND()-0.5)*2*$B$7))</f>
        <v>75.990760273115328</v>
      </c>
      <c r="Q720" s="54">
        <f ca="1">MIN(100,MAX(0,MCDA_Prioritisation!$G$2+(RAND()-0.5)*2*$B$7))</f>
        <v>82.37216787076521</v>
      </c>
      <c r="R720" s="54">
        <f ca="1">MIN(100,MAX(0,MCDA_Prioritisation!$G$3+(RAND()-0.5)*2*$B$7))</f>
        <v>99.724714589309485</v>
      </c>
      <c r="S720" s="54">
        <f ca="1">MIN(100,MAX(0,MCDA_Prioritisation!$G$4+(RAND()-0.5)*2*$B$7))</f>
        <v>77.733139073366345</v>
      </c>
      <c r="T720" s="54">
        <f ca="1">MIN(100,MAX(0,MCDA_Prioritisation!$G$5+(RAND()-0.5)*2*$B$7))</f>
        <v>63.540284286788619</v>
      </c>
      <c r="U720" s="54">
        <f ca="1">MIN(100,MAX(0,MCDA_Prioritisation!$H$2+(RAND()-0.5)*2*$B$7))</f>
        <v>73.460710956148404</v>
      </c>
      <c r="V720" s="54">
        <f ca="1">MIN(100,MAX(0,MCDA_Prioritisation!$H$3+(RAND()-0.5)*2*$B$7))</f>
        <v>50.261566931154668</v>
      </c>
      <c r="W720" s="54">
        <f ca="1">MIN(100,MAX(0,MCDA_Prioritisation!$H$4+(RAND()-0.5)*2*$B$7))</f>
        <v>70.487868723549838</v>
      </c>
      <c r="X720" s="54">
        <f ca="1">MIN(100,MAX(0,MCDA_Prioritisation!$H$5+(RAND()-0.5)*2*$B$7))</f>
        <v>76.230678343837297</v>
      </c>
      <c r="Y720" s="54">
        <f ca="1">H720*MCDA_Prioritisation!$D$2+I720*MCDA_Prioritisation!$E$2+J720*M720+K720*Q720+L720*U720</f>
        <v>87.562779040439992</v>
      </c>
      <c r="Z720" s="54">
        <f ca="1">H720*MCDA_Prioritisation!$D$3+I720*MCDA_Prioritisation!$E$3+J720*N720+K720*R720+L720*V720</f>
        <v>76.760405662068663</v>
      </c>
      <c r="AA720" s="54">
        <f ca="1">H720*MCDA_Prioritisation!$D$4+I720*MCDA_Prioritisation!$E$4+J720*O720+K720*S720+L720*W720</f>
        <v>72.088256936432927</v>
      </c>
      <c r="AB720" s="54">
        <f ca="1">H720*MCDA_Prioritisation!$D$5+I720*MCDA_Prioritisation!$E$5+J720*P720+K720*T720+L720*X720</f>
        <v>71.950684286762652</v>
      </c>
      <c r="AC720" s="54">
        <f t="shared" ca="1" si="146"/>
        <v>1</v>
      </c>
      <c r="AD720" s="54">
        <f t="shared" ca="1" si="147"/>
        <v>2</v>
      </c>
      <c r="AE720" s="54">
        <f t="shared" ca="1" si="148"/>
        <v>3</v>
      </c>
      <c r="AF720" s="54">
        <f t="shared" ca="1" si="149"/>
        <v>4</v>
      </c>
      <c r="AG720" s="54">
        <f t="shared" ca="1" si="150"/>
        <v>1</v>
      </c>
      <c r="AH720" s="54">
        <f t="shared" ca="1" si="151"/>
        <v>1</v>
      </c>
      <c r="AI720" s="54">
        <f t="shared" ca="1" si="152"/>
        <v>1</v>
      </c>
      <c r="AJ720" s="54">
        <f t="shared" ca="1" si="153"/>
        <v>1</v>
      </c>
    </row>
    <row r="721" spans="1:36" x14ac:dyDescent="0.2">
      <c r="A721" s="54">
        <v>698</v>
      </c>
      <c r="B721" s="54">
        <f ca="1">MAX(0.02,MCDA_Prioritisation!$B$9+(RAND()-0.5)*2*$B$6)</f>
        <v>0.13942268478020625</v>
      </c>
      <c r="C721" s="54">
        <f ca="1">MAX(0.02,MCDA_Prioritisation!$B$10+(RAND()-0.5)*2*$B$6)</f>
        <v>0.25006537281278463</v>
      </c>
      <c r="D721" s="54">
        <f ca="1">MAX(0.02,MCDA_Prioritisation!$B$11+(RAND()-0.5)*2*$B$6)</f>
        <v>0.29656640154222735</v>
      </c>
      <c r="E721" s="54">
        <f ca="1">MAX(0.02,MCDA_Prioritisation!$B$12+(RAND()-0.5)*2*$B$6)</f>
        <v>0.10231670018470793</v>
      </c>
      <c r="F721" s="54">
        <f ca="1">MAX(0.02,MCDA_Prioritisation!$B$13+(RAND()-0.5)*2*$B$6)</f>
        <v>0.18615656109034931</v>
      </c>
      <c r="G721" s="54">
        <f t="shared" ca="1" si="140"/>
        <v>0.97452772041027547</v>
      </c>
      <c r="H721" s="54">
        <f t="shared" ca="1" si="141"/>
        <v>0.14306692550675665</v>
      </c>
      <c r="I721" s="54">
        <f t="shared" ca="1" si="142"/>
        <v>0.25660160052451592</v>
      </c>
      <c r="J721" s="54">
        <f t="shared" ca="1" si="143"/>
        <v>0.30431807667551325</v>
      </c>
      <c r="K721" s="54">
        <f t="shared" ca="1" si="144"/>
        <v>0.10499106186700638</v>
      </c>
      <c r="L721" s="54">
        <f t="shared" ca="1" si="145"/>
        <v>0.19102233542620781</v>
      </c>
      <c r="M721" s="54">
        <f ca="1">MIN(100,MAX(0,MCDA_Prioritisation!$F$2+(RAND()-0.5)*2*$B$7))</f>
        <v>80.634950251603414</v>
      </c>
      <c r="N721" s="54">
        <f ca="1">MIN(100,MAX(0,MCDA_Prioritisation!$F$3+(RAND()-0.5)*2*$B$7))</f>
        <v>95.985897148801953</v>
      </c>
      <c r="O721" s="54">
        <f ca="1">MIN(100,MAX(0,MCDA_Prioritisation!$F$4+(RAND()-0.5)*2*$B$7))</f>
        <v>86.169494948522043</v>
      </c>
      <c r="P721" s="54">
        <f ca="1">MIN(100,MAX(0,MCDA_Prioritisation!$F$5+(RAND()-0.5)*2*$B$7))</f>
        <v>71.572599627291794</v>
      </c>
      <c r="Q721" s="54">
        <f ca="1">MIN(100,MAX(0,MCDA_Prioritisation!$G$2+(RAND()-0.5)*2*$B$7))</f>
        <v>71.106901818072004</v>
      </c>
      <c r="R721" s="54">
        <f ca="1">MIN(100,MAX(0,MCDA_Prioritisation!$G$3+(RAND()-0.5)*2*$B$7))</f>
        <v>100</v>
      </c>
      <c r="S721" s="54">
        <f ca="1">MIN(100,MAX(0,MCDA_Prioritisation!$G$4+(RAND()-0.5)*2*$B$7))</f>
        <v>90.301848516289837</v>
      </c>
      <c r="T721" s="54">
        <f ca="1">MIN(100,MAX(0,MCDA_Prioritisation!$G$5+(RAND()-0.5)*2*$B$7))</f>
        <v>69.178753064891225</v>
      </c>
      <c r="U721" s="54">
        <f ca="1">MIN(100,MAX(0,MCDA_Prioritisation!$H$2+(RAND()-0.5)*2*$B$7))</f>
        <v>57.342416340928509</v>
      </c>
      <c r="V721" s="54">
        <f ca="1">MIN(100,MAX(0,MCDA_Prioritisation!$H$3+(RAND()-0.5)*2*$B$7))</f>
        <v>50.49179433320802</v>
      </c>
      <c r="W721" s="54">
        <f ca="1">MIN(100,MAX(0,MCDA_Prioritisation!$H$4+(RAND()-0.5)*2*$B$7))</f>
        <v>82.024480719314113</v>
      </c>
      <c r="X721" s="54">
        <f ca="1">MIN(100,MAX(0,MCDA_Prioritisation!$H$5+(RAND()-0.5)*2*$B$7))</f>
        <v>76.073923407649872</v>
      </c>
      <c r="Y721" s="54">
        <f ca="1">H721*MCDA_Prioritisation!$D$2+I721*MCDA_Prioritisation!$E$2+J721*M721+K721*Q721+L721*U721</f>
        <v>82.92479699289936</v>
      </c>
      <c r="Z721" s="54">
        <f ca="1">H721*MCDA_Prioritisation!$D$3+I721*MCDA_Prioritisation!$E$3+J721*N721+K721*R721+L721*V721</f>
        <v>80.519941943917431</v>
      </c>
      <c r="AA721" s="54">
        <f ca="1">H721*MCDA_Prioritisation!$D$4+I721*MCDA_Prioritisation!$E$4+J721*O721+K721*S721+L721*W721</f>
        <v>75.331120400915026</v>
      </c>
      <c r="AB721" s="54">
        <f ca="1">H721*MCDA_Prioritisation!$D$5+I721*MCDA_Prioritisation!$E$5+J721*P721+K721*T721+L721*X721</f>
        <v>72.747071356161243</v>
      </c>
      <c r="AC721" s="54">
        <f t="shared" ca="1" si="146"/>
        <v>1</v>
      </c>
      <c r="AD721" s="54">
        <f t="shared" ca="1" si="147"/>
        <v>2</v>
      </c>
      <c r="AE721" s="54">
        <f t="shared" ca="1" si="148"/>
        <v>3</v>
      </c>
      <c r="AF721" s="54">
        <f t="shared" ca="1" si="149"/>
        <v>4</v>
      </c>
      <c r="AG721" s="54">
        <f t="shared" ca="1" si="150"/>
        <v>1</v>
      </c>
      <c r="AH721" s="54">
        <f t="shared" ca="1" si="151"/>
        <v>1</v>
      </c>
      <c r="AI721" s="54">
        <f t="shared" ca="1" si="152"/>
        <v>1</v>
      </c>
      <c r="AJ721" s="54">
        <f t="shared" ca="1" si="153"/>
        <v>1</v>
      </c>
    </row>
    <row r="722" spans="1:36" x14ac:dyDescent="0.2">
      <c r="A722" s="54">
        <v>699</v>
      </c>
      <c r="B722" s="54">
        <f ca="1">MAX(0.02,MCDA_Prioritisation!$B$9+(RAND()-0.5)*2*$B$6)</f>
        <v>0.21738356798563141</v>
      </c>
      <c r="C722" s="54">
        <f ca="1">MAX(0.02,MCDA_Prioritisation!$B$10+(RAND()-0.5)*2*$B$6)</f>
        <v>0.29148685762009396</v>
      </c>
      <c r="D722" s="54">
        <f ca="1">MAX(0.02,MCDA_Prioritisation!$B$11+(RAND()-0.5)*2*$B$6)</f>
        <v>0.24053897564983939</v>
      </c>
      <c r="E722" s="54">
        <f ca="1">MAX(0.02,MCDA_Prioritisation!$B$12+(RAND()-0.5)*2*$B$6)</f>
        <v>0.14461970759252346</v>
      </c>
      <c r="F722" s="54">
        <f ca="1">MAX(0.02,MCDA_Prioritisation!$B$13+(RAND()-0.5)*2*$B$6)</f>
        <v>0.11509439290844863</v>
      </c>
      <c r="G722" s="54">
        <f t="shared" ca="1" si="140"/>
        <v>1.009123501756537</v>
      </c>
      <c r="H722" s="54">
        <f t="shared" ca="1" si="141"/>
        <v>0.21541819966261946</v>
      </c>
      <c r="I722" s="54">
        <f t="shared" ca="1" si="142"/>
        <v>0.28885152026755456</v>
      </c>
      <c r="J722" s="54">
        <f t="shared" ca="1" si="143"/>
        <v>0.23836425891493337</v>
      </c>
      <c r="K722" s="54">
        <f t="shared" ca="1" si="144"/>
        <v>0.14331219849779564</v>
      </c>
      <c r="L722" s="54">
        <f t="shared" ca="1" si="145"/>
        <v>0.11405382265709685</v>
      </c>
      <c r="M722" s="54">
        <f ca="1">MIN(100,MAX(0,MCDA_Prioritisation!$F$2+(RAND()-0.5)*2*$B$7))</f>
        <v>93.603251752623478</v>
      </c>
      <c r="N722" s="54">
        <f ca="1">MIN(100,MAX(0,MCDA_Prioritisation!$F$3+(RAND()-0.5)*2*$B$7))</f>
        <v>97.986796398542083</v>
      </c>
      <c r="O722" s="54">
        <f ca="1">MIN(100,MAX(0,MCDA_Prioritisation!$F$4+(RAND()-0.5)*2*$B$7))</f>
        <v>85.477551958953455</v>
      </c>
      <c r="P722" s="54">
        <f ca="1">MIN(100,MAX(0,MCDA_Prioritisation!$F$5+(RAND()-0.5)*2*$B$7))</f>
        <v>83.282024813498609</v>
      </c>
      <c r="Q722" s="54">
        <f ca="1">MIN(100,MAX(0,MCDA_Prioritisation!$G$2+(RAND()-0.5)*2*$B$7))</f>
        <v>75.541940616876687</v>
      </c>
      <c r="R722" s="54">
        <f ca="1">MIN(100,MAX(0,MCDA_Prioritisation!$G$3+(RAND()-0.5)*2*$B$7))</f>
        <v>95.341535182152512</v>
      </c>
      <c r="S722" s="54">
        <f ca="1">MIN(100,MAX(0,MCDA_Prioritisation!$G$4+(RAND()-0.5)*2*$B$7))</f>
        <v>89.1685513739763</v>
      </c>
      <c r="T722" s="54">
        <f ca="1">MIN(100,MAX(0,MCDA_Prioritisation!$G$5+(RAND()-0.5)*2*$B$7))</f>
        <v>66.453006642091054</v>
      </c>
      <c r="U722" s="54">
        <f ca="1">MIN(100,MAX(0,MCDA_Prioritisation!$H$2+(RAND()-0.5)*2*$B$7))</f>
        <v>55.175306370960854</v>
      </c>
      <c r="V722" s="54">
        <f ca="1">MIN(100,MAX(0,MCDA_Prioritisation!$H$3+(RAND()-0.5)*2*$B$7))</f>
        <v>54.081803541029323</v>
      </c>
      <c r="W722" s="54">
        <f ca="1">MIN(100,MAX(0,MCDA_Prioritisation!$H$4+(RAND()-0.5)*2*$B$7))</f>
        <v>82.648083703570066</v>
      </c>
      <c r="X722" s="54">
        <f ca="1">MIN(100,MAX(0,MCDA_Prioritisation!$H$5+(RAND()-0.5)*2*$B$7))</f>
        <v>83.785216521950971</v>
      </c>
      <c r="Y722" s="54">
        <f ca="1">H722*MCDA_Prioritisation!$D$2+I722*MCDA_Prioritisation!$E$2+J722*M722+K722*Q722+L722*U722</f>
        <v>89.857677925538511</v>
      </c>
      <c r="Z722" s="54">
        <f ca="1">H722*MCDA_Prioritisation!$D$3+I722*MCDA_Prioritisation!$E$3+J722*N722+K722*R722+L722*V722</f>
        <v>83.022644613908497</v>
      </c>
      <c r="AA722" s="54">
        <f ca="1">H722*MCDA_Prioritisation!$D$4+I722*MCDA_Prioritisation!$E$4+J722*O722+K722*S722+L722*W722</f>
        <v>73.336058878587579</v>
      </c>
      <c r="AB722" s="54">
        <f ca="1">H722*MCDA_Prioritisation!$D$5+I722*MCDA_Prioritisation!$E$5+J722*P722+K722*T722+L722*X722</f>
        <v>74.654308393255036</v>
      </c>
      <c r="AC722" s="54">
        <f t="shared" ca="1" si="146"/>
        <v>1</v>
      </c>
      <c r="AD722" s="54">
        <f t="shared" ca="1" si="147"/>
        <v>2</v>
      </c>
      <c r="AE722" s="54">
        <f t="shared" ca="1" si="148"/>
        <v>4</v>
      </c>
      <c r="AF722" s="54">
        <f t="shared" ca="1" si="149"/>
        <v>3</v>
      </c>
      <c r="AG722" s="54">
        <f t="shared" ca="1" si="150"/>
        <v>1</v>
      </c>
      <c r="AH722" s="54">
        <f t="shared" ca="1" si="151"/>
        <v>1</v>
      </c>
      <c r="AI722" s="54">
        <f t="shared" ca="1" si="152"/>
        <v>0</v>
      </c>
      <c r="AJ722" s="54">
        <f t="shared" ca="1" si="153"/>
        <v>1</v>
      </c>
    </row>
    <row r="723" spans="1:36" x14ac:dyDescent="0.2">
      <c r="A723" s="54">
        <v>700</v>
      </c>
      <c r="B723" s="54">
        <f ca="1">MAX(0.02,MCDA_Prioritisation!$B$9+(RAND()-0.5)*2*$B$6)</f>
        <v>0.20405688535739738</v>
      </c>
      <c r="C723" s="54">
        <f ca="1">MAX(0.02,MCDA_Prioritisation!$B$10+(RAND()-0.5)*2*$B$6)</f>
        <v>0.20043936450940503</v>
      </c>
      <c r="D723" s="54">
        <f ca="1">MAX(0.02,MCDA_Prioritisation!$B$11+(RAND()-0.5)*2*$B$6)</f>
        <v>0.30036623730495726</v>
      </c>
      <c r="E723" s="54">
        <f ca="1">MAX(0.02,MCDA_Prioritisation!$B$12+(RAND()-0.5)*2*$B$6)</f>
        <v>0.11903750911783902</v>
      </c>
      <c r="F723" s="54">
        <f ca="1">MAX(0.02,MCDA_Prioritisation!$B$13+(RAND()-0.5)*2*$B$6)</f>
        <v>0.15888440746813765</v>
      </c>
      <c r="G723" s="54">
        <f t="shared" ca="1" si="140"/>
        <v>0.98278440375773646</v>
      </c>
      <c r="H723" s="54">
        <f t="shared" ca="1" si="141"/>
        <v>0.20763138342160636</v>
      </c>
      <c r="I723" s="54">
        <f t="shared" ca="1" si="142"/>
        <v>0.20395049386519853</v>
      </c>
      <c r="J723" s="54">
        <f t="shared" ca="1" si="143"/>
        <v>0.3056278021471327</v>
      </c>
      <c r="K723" s="54">
        <f t="shared" ca="1" si="144"/>
        <v>0.12112270876775394</v>
      </c>
      <c r="L723" s="54">
        <f t="shared" ca="1" si="145"/>
        <v>0.16166761179830832</v>
      </c>
      <c r="M723" s="54">
        <f ca="1">MIN(100,MAX(0,MCDA_Prioritisation!$F$2+(RAND()-0.5)*2*$B$7))</f>
        <v>92.785747183917522</v>
      </c>
      <c r="N723" s="54">
        <f ca="1">MIN(100,MAX(0,MCDA_Prioritisation!$F$3+(RAND()-0.5)*2*$B$7))</f>
        <v>99.603085518700567</v>
      </c>
      <c r="O723" s="54">
        <f ca="1">MIN(100,MAX(0,MCDA_Prioritisation!$F$4+(RAND()-0.5)*2*$B$7))</f>
        <v>82.910106233253074</v>
      </c>
      <c r="P723" s="54">
        <f ca="1">MIN(100,MAX(0,MCDA_Prioritisation!$F$5+(RAND()-0.5)*2*$B$7))</f>
        <v>69.358220054487361</v>
      </c>
      <c r="Q723" s="54">
        <f ca="1">MIN(100,MAX(0,MCDA_Prioritisation!$G$2+(RAND()-0.5)*2*$B$7))</f>
        <v>87.245763270772201</v>
      </c>
      <c r="R723" s="54">
        <f ca="1">MIN(100,MAX(0,MCDA_Prioritisation!$G$3+(RAND()-0.5)*2*$B$7))</f>
        <v>87.650275340122292</v>
      </c>
      <c r="S723" s="54">
        <f ca="1">MIN(100,MAX(0,MCDA_Prioritisation!$G$4+(RAND()-0.5)*2*$B$7))</f>
        <v>89.430477299807279</v>
      </c>
      <c r="T723" s="54">
        <f ca="1">MIN(100,MAX(0,MCDA_Prioritisation!$G$5+(RAND()-0.5)*2*$B$7))</f>
        <v>72.81865448327315</v>
      </c>
      <c r="U723" s="54">
        <f ca="1">MIN(100,MAX(0,MCDA_Prioritisation!$H$2+(RAND()-0.5)*2*$B$7))</f>
        <v>65.436542252128504</v>
      </c>
      <c r="V723" s="54">
        <f ca="1">MIN(100,MAX(0,MCDA_Prioritisation!$H$3+(RAND()-0.5)*2*$B$7))</f>
        <v>66.599448686387333</v>
      </c>
      <c r="W723" s="54">
        <f ca="1">MIN(100,MAX(0,MCDA_Prioritisation!$H$4+(RAND()-0.5)*2*$B$7))</f>
        <v>76.435771395444831</v>
      </c>
      <c r="X723" s="54">
        <f ca="1">MIN(100,MAX(0,MCDA_Prioritisation!$H$5+(RAND()-0.5)*2*$B$7))</f>
        <v>70.770302152195598</v>
      </c>
      <c r="Y723" s="54">
        <f ca="1">H723*MCDA_Prioritisation!$D$2+I723*MCDA_Prioritisation!$E$2+J723*M723+K723*Q723+L723*U723</f>
        <v>90.662504397187561</v>
      </c>
      <c r="Z723" s="54">
        <f ca="1">H723*MCDA_Prioritisation!$D$3+I723*MCDA_Prioritisation!$E$3+J723*N723+K723*R723+L723*V723</f>
        <v>84.803974536216359</v>
      </c>
      <c r="AA723" s="54">
        <f ca="1">H723*MCDA_Prioritisation!$D$4+I723*MCDA_Prioritisation!$E$4+J723*O723+K723*S723+L723*W723</f>
        <v>74.111685170414475</v>
      </c>
      <c r="AB723" s="54">
        <f ca="1">H723*MCDA_Prioritisation!$D$5+I723*MCDA_Prioritisation!$E$5+J723*P723+K723*T723+L723*X723</f>
        <v>69.629661639823752</v>
      </c>
      <c r="AC723" s="54">
        <f t="shared" ca="1" si="146"/>
        <v>1</v>
      </c>
      <c r="AD723" s="54">
        <f t="shared" ca="1" si="147"/>
        <v>2</v>
      </c>
      <c r="AE723" s="54">
        <f t="shared" ca="1" si="148"/>
        <v>3</v>
      </c>
      <c r="AF723" s="54">
        <f t="shared" ca="1" si="149"/>
        <v>4</v>
      </c>
      <c r="AG723" s="54">
        <f t="shared" ca="1" si="150"/>
        <v>1</v>
      </c>
      <c r="AH723" s="54">
        <f t="shared" ca="1" si="151"/>
        <v>1</v>
      </c>
      <c r="AI723" s="54">
        <f t="shared" ca="1" si="152"/>
        <v>1</v>
      </c>
      <c r="AJ723" s="54">
        <f t="shared" ca="1" si="153"/>
        <v>1</v>
      </c>
    </row>
    <row r="724" spans="1:36" x14ac:dyDescent="0.2">
      <c r="A724" s="54">
        <v>701</v>
      </c>
      <c r="B724" s="54">
        <f ca="1">MAX(0.02,MCDA_Prioritisation!$B$9+(RAND()-0.5)*2*$B$6)</f>
        <v>0.1434146213948376</v>
      </c>
      <c r="C724" s="54">
        <f ca="1">MAX(0.02,MCDA_Prioritisation!$B$10+(RAND()-0.5)*2*$B$6)</f>
        <v>0.23850077696326635</v>
      </c>
      <c r="D724" s="54">
        <f ca="1">MAX(0.02,MCDA_Prioritisation!$B$11+(RAND()-0.5)*2*$B$6)</f>
        <v>0.20925264861087547</v>
      </c>
      <c r="E724" s="54">
        <f ca="1">MAX(0.02,MCDA_Prioritisation!$B$12+(RAND()-0.5)*2*$B$6)</f>
        <v>9.193993807677725E-2</v>
      </c>
      <c r="F724" s="54">
        <f ca="1">MAX(0.02,MCDA_Prioritisation!$B$13+(RAND()-0.5)*2*$B$6)</f>
        <v>0.15606537326260006</v>
      </c>
      <c r="G724" s="54">
        <f t="shared" ca="1" si="140"/>
        <v>0.83917335830835671</v>
      </c>
      <c r="H724" s="54">
        <f t="shared" ca="1" si="141"/>
        <v>0.17089987423330411</v>
      </c>
      <c r="I724" s="54">
        <f t="shared" ca="1" si="142"/>
        <v>0.28420918586363003</v>
      </c>
      <c r="J724" s="54">
        <f t="shared" ca="1" si="143"/>
        <v>0.24935568621088774</v>
      </c>
      <c r="K724" s="54">
        <f t="shared" ca="1" si="144"/>
        <v>0.10956012505224653</v>
      </c>
      <c r="L724" s="54">
        <f t="shared" ca="1" si="145"/>
        <v>0.1859751286399316</v>
      </c>
      <c r="M724" s="54">
        <f ca="1">MIN(100,MAX(0,MCDA_Prioritisation!$F$2+(RAND()-0.5)*2*$B$7))</f>
        <v>93.437706910105192</v>
      </c>
      <c r="N724" s="54">
        <f ca="1">MIN(100,MAX(0,MCDA_Prioritisation!$F$3+(RAND()-0.5)*2*$B$7))</f>
        <v>87.759638350625892</v>
      </c>
      <c r="O724" s="54">
        <f ca="1">MIN(100,MAX(0,MCDA_Prioritisation!$F$4+(RAND()-0.5)*2*$B$7))</f>
        <v>85.179201913551651</v>
      </c>
      <c r="P724" s="54">
        <f ca="1">MIN(100,MAX(0,MCDA_Prioritisation!$F$5+(RAND()-0.5)*2*$B$7))</f>
        <v>76.342031741184286</v>
      </c>
      <c r="Q724" s="54">
        <f ca="1">MIN(100,MAX(0,MCDA_Prioritisation!$G$2+(RAND()-0.5)*2*$B$7))</f>
        <v>85.173191972287867</v>
      </c>
      <c r="R724" s="54">
        <f ca="1">MIN(100,MAX(0,MCDA_Prioritisation!$G$3+(RAND()-0.5)*2*$B$7))</f>
        <v>89.086315601358919</v>
      </c>
      <c r="S724" s="54">
        <f ca="1">MIN(100,MAX(0,MCDA_Prioritisation!$G$4+(RAND()-0.5)*2*$B$7))</f>
        <v>79.877180664959383</v>
      </c>
      <c r="T724" s="54">
        <f ca="1">MIN(100,MAX(0,MCDA_Prioritisation!$G$5+(RAND()-0.5)*2*$B$7))</f>
        <v>66.935585901924497</v>
      </c>
      <c r="U724" s="54">
        <f ca="1">MIN(100,MAX(0,MCDA_Prioritisation!$H$2+(RAND()-0.5)*2*$B$7))</f>
        <v>69.731129673239167</v>
      </c>
      <c r="V724" s="54">
        <f ca="1">MIN(100,MAX(0,MCDA_Prioritisation!$H$3+(RAND()-0.5)*2*$B$7))</f>
        <v>53.986771048456951</v>
      </c>
      <c r="W724" s="54">
        <f ca="1">MIN(100,MAX(0,MCDA_Prioritisation!$H$4+(RAND()-0.5)*2*$B$7))</f>
        <v>80.657770536152881</v>
      </c>
      <c r="X724" s="54">
        <f ca="1">MIN(100,MAX(0,MCDA_Prioritisation!$H$5+(RAND()-0.5)*2*$B$7))</f>
        <v>78.989200324857464</v>
      </c>
      <c r="Y724" s="54">
        <f ca="1">H724*MCDA_Prioritisation!$D$2+I724*MCDA_Prioritisation!$E$2+J724*M724+K724*Q724+L724*U724</f>
        <v>91.109970909005767</v>
      </c>
      <c r="Z724" s="54">
        <f ca="1">H724*MCDA_Prioritisation!$D$3+I724*MCDA_Prioritisation!$E$3+J724*N724+K724*R724+L724*V724</f>
        <v>77.289737220674098</v>
      </c>
      <c r="AA724" s="54">
        <f ca="1">H724*MCDA_Prioritisation!$D$4+I724*MCDA_Prioritisation!$E$4+J724*O724+K724*S724+L724*W724</f>
        <v>72.394393316222562</v>
      </c>
      <c r="AB724" s="54">
        <f ca="1">H724*MCDA_Prioritisation!$D$5+I724*MCDA_Prioritisation!$E$5+J724*P724+K724*T724+L724*X724</f>
        <v>74.029889271630651</v>
      </c>
      <c r="AC724" s="54">
        <f t="shared" ca="1" si="146"/>
        <v>1</v>
      </c>
      <c r="AD724" s="54">
        <f t="shared" ca="1" si="147"/>
        <v>2</v>
      </c>
      <c r="AE724" s="54">
        <f t="shared" ca="1" si="148"/>
        <v>4</v>
      </c>
      <c r="AF724" s="54">
        <f t="shared" ca="1" si="149"/>
        <v>3</v>
      </c>
      <c r="AG724" s="54">
        <f t="shared" ca="1" si="150"/>
        <v>1</v>
      </c>
      <c r="AH724" s="54">
        <f t="shared" ca="1" si="151"/>
        <v>1</v>
      </c>
      <c r="AI724" s="54">
        <f t="shared" ca="1" si="152"/>
        <v>0</v>
      </c>
      <c r="AJ724" s="54">
        <f t="shared" ca="1" si="153"/>
        <v>1</v>
      </c>
    </row>
    <row r="725" spans="1:36" x14ac:dyDescent="0.2">
      <c r="A725" s="54">
        <v>702</v>
      </c>
      <c r="B725" s="54">
        <f ca="1">MAX(0.02,MCDA_Prioritisation!$B$9+(RAND()-0.5)*2*$B$6)</f>
        <v>0.26870201453947301</v>
      </c>
      <c r="C725" s="54">
        <f ca="1">MAX(0.02,MCDA_Prioritisation!$B$10+(RAND()-0.5)*2*$B$6)</f>
        <v>0.27060651449551765</v>
      </c>
      <c r="D725" s="54">
        <f ca="1">MAX(0.02,MCDA_Prioritisation!$B$11+(RAND()-0.5)*2*$B$6)</f>
        <v>0.25424614867255724</v>
      </c>
      <c r="E725" s="54">
        <f ca="1">MAX(0.02,MCDA_Prioritisation!$B$12+(RAND()-0.5)*2*$B$6)</f>
        <v>0.17631950224697776</v>
      </c>
      <c r="F725" s="54">
        <f ca="1">MAX(0.02,MCDA_Prioritisation!$B$13+(RAND()-0.5)*2*$B$6)</f>
        <v>0.22516438719094189</v>
      </c>
      <c r="G725" s="54">
        <f t="shared" ca="1" si="140"/>
        <v>1.1950385671454675</v>
      </c>
      <c r="H725" s="54">
        <f t="shared" ca="1" si="141"/>
        <v>0.22484798560209557</v>
      </c>
      <c r="I725" s="54">
        <f t="shared" ca="1" si="142"/>
        <v>0.22644165798088234</v>
      </c>
      <c r="J725" s="54">
        <f t="shared" ca="1" si="143"/>
        <v>0.21275141711941822</v>
      </c>
      <c r="K725" s="54">
        <f t="shared" ca="1" si="144"/>
        <v>0.14754293885940759</v>
      </c>
      <c r="L725" s="54">
        <f t="shared" ca="1" si="145"/>
        <v>0.18841600043819631</v>
      </c>
      <c r="M725" s="54">
        <f ca="1">MIN(100,MAX(0,MCDA_Prioritisation!$F$2+(RAND()-0.5)*2*$B$7))</f>
        <v>91.357530987181164</v>
      </c>
      <c r="N725" s="54">
        <f ca="1">MIN(100,MAX(0,MCDA_Prioritisation!$F$3+(RAND()-0.5)*2*$B$7))</f>
        <v>86.406930456320453</v>
      </c>
      <c r="O725" s="54">
        <f ca="1">MIN(100,MAX(0,MCDA_Prioritisation!$F$4+(RAND()-0.5)*2*$B$7))</f>
        <v>94.140367236323712</v>
      </c>
      <c r="P725" s="54">
        <f ca="1">MIN(100,MAX(0,MCDA_Prioritisation!$F$5+(RAND()-0.5)*2*$B$7))</f>
        <v>71.718779941543104</v>
      </c>
      <c r="Q725" s="54">
        <f ca="1">MIN(100,MAX(0,MCDA_Prioritisation!$G$2+(RAND()-0.5)*2*$B$7))</f>
        <v>89.892353939444533</v>
      </c>
      <c r="R725" s="54">
        <f ca="1">MIN(100,MAX(0,MCDA_Prioritisation!$G$3+(RAND()-0.5)*2*$B$7))</f>
        <v>100</v>
      </c>
      <c r="S725" s="54">
        <f ca="1">MIN(100,MAX(0,MCDA_Prioritisation!$G$4+(RAND()-0.5)*2*$B$7))</f>
        <v>85.838806708336847</v>
      </c>
      <c r="T725" s="54">
        <f ca="1">MIN(100,MAX(0,MCDA_Prioritisation!$G$5+(RAND()-0.5)*2*$B$7))</f>
        <v>79.223682949224241</v>
      </c>
      <c r="U725" s="54">
        <f ca="1">MIN(100,MAX(0,MCDA_Prioritisation!$H$2+(RAND()-0.5)*2*$B$7))</f>
        <v>57.620039328888531</v>
      </c>
      <c r="V725" s="54">
        <f ca="1">MIN(100,MAX(0,MCDA_Prioritisation!$H$3+(RAND()-0.5)*2*$B$7))</f>
        <v>62.312926924045293</v>
      </c>
      <c r="W725" s="54">
        <f ca="1">MIN(100,MAX(0,MCDA_Prioritisation!$H$4+(RAND()-0.5)*2*$B$7))</f>
        <v>74.304087867070237</v>
      </c>
      <c r="X725" s="54">
        <f ca="1">MIN(100,MAX(0,MCDA_Prioritisation!$H$5+(RAND()-0.5)*2*$B$7))</f>
        <v>69.622355320714433</v>
      </c>
      <c r="Y725" s="54">
        <f ca="1">H725*MCDA_Prioritisation!$D$2+I725*MCDA_Prioritisation!$E$2+J725*M725+K725*Q725+L725*U725</f>
        <v>88.684927977008186</v>
      </c>
      <c r="Z725" s="54">
        <f ca="1">H725*MCDA_Prioritisation!$D$3+I725*MCDA_Prioritisation!$E$3+J725*N725+K725*R725+L725*V725</f>
        <v>80.997730728469776</v>
      </c>
      <c r="AA725" s="54">
        <f ca="1">H725*MCDA_Prioritisation!$D$4+I725*MCDA_Prioritisation!$E$4+J725*O725+K725*S725+L725*W725</f>
        <v>74.701940488143535</v>
      </c>
      <c r="AB725" s="54">
        <f ca="1">H725*MCDA_Prioritisation!$D$5+I725*MCDA_Prioritisation!$E$5+J725*P725+K725*T725+L725*X725</f>
        <v>71.040824592994554</v>
      </c>
      <c r="AC725" s="54">
        <f t="shared" ca="1" si="146"/>
        <v>1</v>
      </c>
      <c r="AD725" s="54">
        <f t="shared" ca="1" si="147"/>
        <v>2</v>
      </c>
      <c r="AE725" s="54">
        <f t="shared" ca="1" si="148"/>
        <v>3</v>
      </c>
      <c r="AF725" s="54">
        <f t="shared" ca="1" si="149"/>
        <v>4</v>
      </c>
      <c r="AG725" s="54">
        <f t="shared" ca="1" si="150"/>
        <v>1</v>
      </c>
      <c r="AH725" s="54">
        <f t="shared" ca="1" si="151"/>
        <v>1</v>
      </c>
      <c r="AI725" s="54">
        <f t="shared" ca="1" si="152"/>
        <v>1</v>
      </c>
      <c r="AJ725" s="54">
        <f t="shared" ca="1" si="153"/>
        <v>1</v>
      </c>
    </row>
    <row r="726" spans="1:36" x14ac:dyDescent="0.2">
      <c r="A726" s="54">
        <v>703</v>
      </c>
      <c r="B726" s="54">
        <f ca="1">MAX(0.02,MCDA_Prioritisation!$B$9+(RAND()-0.5)*2*$B$6)</f>
        <v>0.14857910844157207</v>
      </c>
      <c r="C726" s="54">
        <f ca="1">MAX(0.02,MCDA_Prioritisation!$B$10+(RAND()-0.5)*2*$B$6)</f>
        <v>0.21356833563574812</v>
      </c>
      <c r="D726" s="54">
        <f ca="1">MAX(0.02,MCDA_Prioritisation!$B$11+(RAND()-0.5)*2*$B$6)</f>
        <v>0.29223755280556596</v>
      </c>
      <c r="E726" s="54">
        <f ca="1">MAX(0.02,MCDA_Prioritisation!$B$12+(RAND()-0.5)*2*$B$6)</f>
        <v>0.20120553236563835</v>
      </c>
      <c r="F726" s="54">
        <f ca="1">MAX(0.02,MCDA_Prioritisation!$B$13+(RAND()-0.5)*2*$B$6)</f>
        <v>0.13008785836211634</v>
      </c>
      <c r="G726" s="54">
        <f t="shared" ca="1" si="140"/>
        <v>0.98567838761064075</v>
      </c>
      <c r="H726" s="54">
        <f t="shared" ca="1" si="141"/>
        <v>0.15073791848245666</v>
      </c>
      <c r="I726" s="54">
        <f t="shared" ca="1" si="142"/>
        <v>0.21667141972490031</v>
      </c>
      <c r="J726" s="54">
        <f t="shared" ca="1" si="143"/>
        <v>0.29648367710889145</v>
      </c>
      <c r="K726" s="54">
        <f t="shared" ca="1" si="144"/>
        <v>0.20412898861805809</v>
      </c>
      <c r="L726" s="54">
        <f t="shared" ca="1" si="145"/>
        <v>0.13197799606569358</v>
      </c>
      <c r="M726" s="54">
        <f ca="1">MIN(100,MAX(0,MCDA_Prioritisation!$F$2+(RAND()-0.5)*2*$B$7))</f>
        <v>83.498993774904392</v>
      </c>
      <c r="N726" s="54">
        <f ca="1">MIN(100,MAX(0,MCDA_Prioritisation!$F$3+(RAND()-0.5)*2*$B$7))</f>
        <v>87.289250099602469</v>
      </c>
      <c r="O726" s="54">
        <f ca="1">MIN(100,MAX(0,MCDA_Prioritisation!$F$4+(RAND()-0.5)*2*$B$7))</f>
        <v>84.506591467504734</v>
      </c>
      <c r="P726" s="54">
        <f ca="1">MIN(100,MAX(0,MCDA_Prioritisation!$F$5+(RAND()-0.5)*2*$B$7))</f>
        <v>76.275378342496751</v>
      </c>
      <c r="Q726" s="54">
        <f ca="1">MIN(100,MAX(0,MCDA_Prioritisation!$G$2+(RAND()-0.5)*2*$B$7))</f>
        <v>72.497340369209567</v>
      </c>
      <c r="R726" s="54">
        <f ca="1">MIN(100,MAX(0,MCDA_Prioritisation!$G$3+(RAND()-0.5)*2*$B$7))</f>
        <v>100</v>
      </c>
      <c r="S726" s="54">
        <f ca="1">MIN(100,MAX(0,MCDA_Prioritisation!$G$4+(RAND()-0.5)*2*$B$7))</f>
        <v>94.514959941410069</v>
      </c>
      <c r="T726" s="54">
        <f ca="1">MIN(100,MAX(0,MCDA_Prioritisation!$G$5+(RAND()-0.5)*2*$B$7))</f>
        <v>60.724084431381371</v>
      </c>
      <c r="U726" s="54">
        <f ca="1">MIN(100,MAX(0,MCDA_Prioritisation!$H$2+(RAND()-0.5)*2*$B$7))</f>
        <v>66.483753699263573</v>
      </c>
      <c r="V726" s="54">
        <f ca="1">MIN(100,MAX(0,MCDA_Prioritisation!$H$3+(RAND()-0.5)*2*$B$7))</f>
        <v>54.820490021732247</v>
      </c>
      <c r="W726" s="54">
        <f ca="1">MIN(100,MAX(0,MCDA_Prioritisation!$H$4+(RAND()-0.5)*2*$B$7))</f>
        <v>85.763035104275431</v>
      </c>
      <c r="X726" s="54">
        <f ca="1">MIN(100,MAX(0,MCDA_Prioritisation!$H$5+(RAND()-0.5)*2*$B$7))</f>
        <v>81.29819865334693</v>
      </c>
      <c r="Y726" s="54">
        <f ca="1">H726*MCDA_Prioritisation!$D$2+I726*MCDA_Prioritisation!$E$2+J726*M726+K726*Q726+L726*U726</f>
        <v>85.070223881231598</v>
      </c>
      <c r="Z726" s="54">
        <f ca="1">H726*MCDA_Prioritisation!$D$3+I726*MCDA_Prioritisation!$E$3+J726*N726+K726*R726+L726*V726</f>
        <v>82.459774186350288</v>
      </c>
      <c r="AA726" s="54">
        <f ca="1">H726*MCDA_Prioritisation!$D$4+I726*MCDA_Prioritisation!$E$4+J726*O726+K726*S726+L726*W726</f>
        <v>77.981845260917851</v>
      </c>
      <c r="AB726" s="54">
        <f ca="1">H726*MCDA_Prioritisation!$D$5+I726*MCDA_Prioritisation!$E$5+J726*P726+K726*T726+L726*X726</f>
        <v>71.960169737643682</v>
      </c>
      <c r="AC726" s="54">
        <f t="shared" ca="1" si="146"/>
        <v>1</v>
      </c>
      <c r="AD726" s="54">
        <f t="shared" ca="1" si="147"/>
        <v>2</v>
      </c>
      <c r="AE726" s="54">
        <f t="shared" ca="1" si="148"/>
        <v>3</v>
      </c>
      <c r="AF726" s="54">
        <f t="shared" ca="1" si="149"/>
        <v>4</v>
      </c>
      <c r="AG726" s="54">
        <f t="shared" ca="1" si="150"/>
        <v>1</v>
      </c>
      <c r="AH726" s="54">
        <f t="shared" ca="1" si="151"/>
        <v>1</v>
      </c>
      <c r="AI726" s="54">
        <f t="shared" ca="1" si="152"/>
        <v>1</v>
      </c>
      <c r="AJ726" s="54">
        <f t="shared" ca="1" si="153"/>
        <v>1</v>
      </c>
    </row>
    <row r="727" spans="1:36" x14ac:dyDescent="0.2">
      <c r="A727" s="54">
        <v>704</v>
      </c>
      <c r="B727" s="54">
        <f ca="1">MAX(0.02,MCDA_Prioritisation!$B$9+(RAND()-0.5)*2*$B$6)</f>
        <v>0.12639386813797046</v>
      </c>
      <c r="C727" s="54">
        <f ca="1">MAX(0.02,MCDA_Prioritisation!$B$10+(RAND()-0.5)*2*$B$6)</f>
        <v>0.30606067639778245</v>
      </c>
      <c r="D727" s="54">
        <f ca="1">MAX(0.02,MCDA_Prioritisation!$B$11+(RAND()-0.5)*2*$B$6)</f>
        <v>0.32629595125066169</v>
      </c>
      <c r="E727" s="54">
        <f ca="1">MAX(0.02,MCDA_Prioritisation!$B$12+(RAND()-0.5)*2*$B$6)</f>
        <v>0.18489883157771281</v>
      </c>
      <c r="F727" s="54">
        <f ca="1">MAX(0.02,MCDA_Prioritisation!$B$13+(RAND()-0.5)*2*$B$6)</f>
        <v>0.15399446095096234</v>
      </c>
      <c r="G727" s="54">
        <f t="shared" ca="1" si="140"/>
        <v>1.0976437883150898</v>
      </c>
      <c r="H727" s="54">
        <f t="shared" ca="1" si="141"/>
        <v>0.11515016937506489</v>
      </c>
      <c r="I727" s="54">
        <f t="shared" ca="1" si="142"/>
        <v>0.27883424445702293</v>
      </c>
      <c r="J727" s="54">
        <f t="shared" ca="1" si="143"/>
        <v>0.29726943724751909</v>
      </c>
      <c r="K727" s="54">
        <f t="shared" ca="1" si="144"/>
        <v>0.16845067001339029</v>
      </c>
      <c r="L727" s="54">
        <f t="shared" ca="1" si="145"/>
        <v>0.14029547890700281</v>
      </c>
      <c r="M727" s="54">
        <f ca="1">MIN(100,MAX(0,MCDA_Prioritisation!$F$2+(RAND()-0.5)*2*$B$7))</f>
        <v>77.785588529477266</v>
      </c>
      <c r="N727" s="54">
        <f ca="1">MIN(100,MAX(0,MCDA_Prioritisation!$F$3+(RAND()-0.5)*2*$B$7))</f>
        <v>89.535083743287132</v>
      </c>
      <c r="O727" s="54">
        <f ca="1">MIN(100,MAX(0,MCDA_Prioritisation!$F$4+(RAND()-0.5)*2*$B$7))</f>
        <v>93.444051455778975</v>
      </c>
      <c r="P727" s="54">
        <f ca="1">MIN(100,MAX(0,MCDA_Prioritisation!$F$5+(RAND()-0.5)*2*$B$7))</f>
        <v>84.863283187513261</v>
      </c>
      <c r="Q727" s="54">
        <f ca="1">MIN(100,MAX(0,MCDA_Prioritisation!$G$2+(RAND()-0.5)*2*$B$7))</f>
        <v>70.897709508492454</v>
      </c>
      <c r="R727" s="54">
        <f ca="1">MIN(100,MAX(0,MCDA_Prioritisation!$G$3+(RAND()-0.5)*2*$B$7))</f>
        <v>88.715671126609223</v>
      </c>
      <c r="S727" s="54">
        <f ca="1">MIN(100,MAX(0,MCDA_Prioritisation!$G$4+(RAND()-0.5)*2*$B$7))</f>
        <v>88.469994097591908</v>
      </c>
      <c r="T727" s="54">
        <f ca="1">MIN(100,MAX(0,MCDA_Prioritisation!$G$5+(RAND()-0.5)*2*$B$7))</f>
        <v>63.353682679890049</v>
      </c>
      <c r="U727" s="54">
        <f ca="1">MIN(100,MAX(0,MCDA_Prioritisation!$H$2+(RAND()-0.5)*2*$B$7))</f>
        <v>61.741537041912387</v>
      </c>
      <c r="V727" s="54">
        <f ca="1">MIN(100,MAX(0,MCDA_Prioritisation!$H$3+(RAND()-0.5)*2*$B$7))</f>
        <v>60.974675561818493</v>
      </c>
      <c r="W727" s="54">
        <f ca="1">MIN(100,MAX(0,MCDA_Prioritisation!$H$4+(RAND()-0.5)*2*$B$7))</f>
        <v>83.363773777730373</v>
      </c>
      <c r="X727" s="54">
        <f ca="1">MIN(100,MAX(0,MCDA_Prioritisation!$H$5+(RAND()-0.5)*2*$B$7))</f>
        <v>65.391934790810225</v>
      </c>
      <c r="Y727" s="54">
        <f ca="1">H727*MCDA_Prioritisation!$D$2+I727*MCDA_Prioritisation!$E$2+J727*M727+K727*Q727+L727*U727</f>
        <v>83.126544688203381</v>
      </c>
      <c r="Z727" s="54">
        <f ca="1">H727*MCDA_Prioritisation!$D$3+I727*MCDA_Prioritisation!$E$3+J727*N727+K727*R727+L727*V727</f>
        <v>80.457344495343463</v>
      </c>
      <c r="AA727" s="54">
        <f ca="1">H727*MCDA_Prioritisation!$D$4+I727*MCDA_Prioritisation!$E$4+J727*O727+K727*S727+L727*W727</f>
        <v>77.603972418020049</v>
      </c>
      <c r="AB727" s="54">
        <f ca="1">H727*MCDA_Prioritisation!$D$5+I727*MCDA_Prioritisation!$E$5+J727*P727+K727*T727+L727*X727</f>
        <v>74.63254634428958</v>
      </c>
      <c r="AC727" s="54">
        <f t="shared" ca="1" si="146"/>
        <v>1</v>
      </c>
      <c r="AD727" s="54">
        <f t="shared" ca="1" si="147"/>
        <v>2</v>
      </c>
      <c r="AE727" s="54">
        <f t="shared" ca="1" si="148"/>
        <v>3</v>
      </c>
      <c r="AF727" s="54">
        <f t="shared" ca="1" si="149"/>
        <v>4</v>
      </c>
      <c r="AG727" s="54">
        <f t="shared" ca="1" si="150"/>
        <v>1</v>
      </c>
      <c r="AH727" s="54">
        <f t="shared" ca="1" si="151"/>
        <v>1</v>
      </c>
      <c r="AI727" s="54">
        <f t="shared" ca="1" si="152"/>
        <v>1</v>
      </c>
      <c r="AJ727" s="54">
        <f t="shared" ca="1" si="153"/>
        <v>1</v>
      </c>
    </row>
    <row r="728" spans="1:36" x14ac:dyDescent="0.2">
      <c r="A728" s="54">
        <v>705</v>
      </c>
      <c r="B728" s="54">
        <f ca="1">MAX(0.02,MCDA_Prioritisation!$B$9+(RAND()-0.5)*2*$B$6)</f>
        <v>0.20471661939146399</v>
      </c>
      <c r="C728" s="54">
        <f ca="1">MAX(0.02,MCDA_Prioritisation!$B$10+(RAND()-0.5)*2*$B$6)</f>
        <v>0.32072365832894412</v>
      </c>
      <c r="D728" s="54">
        <f ca="1">MAX(0.02,MCDA_Prioritisation!$B$11+(RAND()-0.5)*2*$B$6)</f>
        <v>0.20320929448960132</v>
      </c>
      <c r="E728" s="54">
        <f ca="1">MAX(0.02,MCDA_Prioritisation!$B$12+(RAND()-0.5)*2*$B$6)</f>
        <v>0.15034110842324655</v>
      </c>
      <c r="F728" s="54">
        <f ca="1">MAX(0.02,MCDA_Prioritisation!$B$13+(RAND()-0.5)*2*$B$6)</f>
        <v>0.21688722210028721</v>
      </c>
      <c r="G728" s="54">
        <f t="shared" ref="G728:G791" ca="1" si="154">SUM(B728:F728)</f>
        <v>1.0958779027335432</v>
      </c>
      <c r="H728" s="54">
        <f t="shared" ref="H728:H791" ca="1" si="155">B728/$G728</f>
        <v>0.18680604735328779</v>
      </c>
      <c r="I728" s="54">
        <f t="shared" ref="I728:I791" ca="1" si="156">C728/$G728</f>
        <v>0.29266367861687448</v>
      </c>
      <c r="J728" s="54">
        <f t="shared" ref="J728:J791" ca="1" si="157">D728/$G728</f>
        <v>0.18543059768129164</v>
      </c>
      <c r="K728" s="54">
        <f t="shared" ref="K728:K791" ca="1" si="158">E728/$G728</f>
        <v>0.13718782726454989</v>
      </c>
      <c r="L728" s="54">
        <f t="shared" ref="L728:L791" ca="1" si="159">F728/$G728</f>
        <v>0.19791184908399614</v>
      </c>
      <c r="M728" s="54">
        <f ca="1">MIN(100,MAX(0,MCDA_Prioritisation!$F$2+(RAND()-0.5)*2*$B$7))</f>
        <v>77.554375194709209</v>
      </c>
      <c r="N728" s="54">
        <f ca="1">MIN(100,MAX(0,MCDA_Prioritisation!$F$3+(RAND()-0.5)*2*$B$7))</f>
        <v>85.833898541069033</v>
      </c>
      <c r="O728" s="54">
        <f ca="1">MIN(100,MAX(0,MCDA_Prioritisation!$F$4+(RAND()-0.5)*2*$B$7))</f>
        <v>81.446070654444611</v>
      </c>
      <c r="P728" s="54">
        <f ca="1">MIN(100,MAX(0,MCDA_Prioritisation!$F$5+(RAND()-0.5)*2*$B$7))</f>
        <v>79.891342790272006</v>
      </c>
      <c r="Q728" s="54">
        <f ca="1">MIN(100,MAX(0,MCDA_Prioritisation!$G$2+(RAND()-0.5)*2*$B$7))</f>
        <v>86.217388864427591</v>
      </c>
      <c r="R728" s="54">
        <f ca="1">MIN(100,MAX(0,MCDA_Prioritisation!$G$3+(RAND()-0.5)*2*$B$7))</f>
        <v>100</v>
      </c>
      <c r="S728" s="54">
        <f ca="1">MIN(100,MAX(0,MCDA_Prioritisation!$G$4+(RAND()-0.5)*2*$B$7))</f>
        <v>86.417575781958433</v>
      </c>
      <c r="T728" s="54">
        <f ca="1">MIN(100,MAX(0,MCDA_Prioritisation!$G$5+(RAND()-0.5)*2*$B$7))</f>
        <v>73.280764003566091</v>
      </c>
      <c r="U728" s="54">
        <f ca="1">MIN(100,MAX(0,MCDA_Prioritisation!$H$2+(RAND()-0.5)*2*$B$7))</f>
        <v>68.569096759285387</v>
      </c>
      <c r="V728" s="54">
        <f ca="1">MIN(100,MAX(0,MCDA_Prioritisation!$H$3+(RAND()-0.5)*2*$B$7))</f>
        <v>60.403003141468879</v>
      </c>
      <c r="W728" s="54">
        <f ca="1">MIN(100,MAX(0,MCDA_Prioritisation!$H$4+(RAND()-0.5)*2*$B$7))</f>
        <v>75.31271108921581</v>
      </c>
      <c r="X728" s="54">
        <f ca="1">MIN(100,MAX(0,MCDA_Prioritisation!$H$5+(RAND()-0.5)*2*$B$7))</f>
        <v>84.933934276391881</v>
      </c>
      <c r="Y728" s="54">
        <f ca="1">H728*MCDA_Prioritisation!$D$2+I728*MCDA_Prioritisation!$E$2+J728*M728+K728*Q728+L728*U728</f>
        <v>87.726539722553539</v>
      </c>
      <c r="Z728" s="54">
        <f ca="1">H728*MCDA_Prioritisation!$D$3+I728*MCDA_Prioritisation!$E$3+J728*N728+K728*R728+L728*V728</f>
        <v>79.20037314165377</v>
      </c>
      <c r="AA728" s="54">
        <f ca="1">H728*MCDA_Prioritisation!$D$4+I728*MCDA_Prioritisation!$E$4+J728*O728+K728*S728+L728*W728</f>
        <v>70.834859289080171</v>
      </c>
      <c r="AB728" s="54">
        <f ca="1">H728*MCDA_Prioritisation!$D$5+I728*MCDA_Prioritisation!$E$5+J728*P728+K728*T728+L728*X728</f>
        <v>76.202212199875433</v>
      </c>
      <c r="AC728" s="54">
        <f t="shared" ref="AC728:AC791" ca="1" si="160">SUMPRODUCT(--($Y728:$AB728&gt;Y728))+1</f>
        <v>1</v>
      </c>
      <c r="AD728" s="54">
        <f t="shared" ref="AD728:AD791" ca="1" si="161">SUMPRODUCT(--($Y728:$AB728&gt;Z728))+1</f>
        <v>2</v>
      </c>
      <c r="AE728" s="54">
        <f t="shared" ref="AE728:AE791" ca="1" si="162">SUMPRODUCT(--($Y728:$AB728&gt;AA728))+1</f>
        <v>4</v>
      </c>
      <c r="AF728" s="54">
        <f t="shared" ref="AF728:AF791" ca="1" si="163">SUMPRODUCT(--($Y728:$AB728&gt;AB728))+1</f>
        <v>3</v>
      </c>
      <c r="AG728" s="54">
        <f t="shared" ref="AG728:AG791" ca="1" si="164">IF(AC728=1,1,0)</f>
        <v>1</v>
      </c>
      <c r="AH728" s="54">
        <f t="shared" ref="AH728:AH791" ca="1" si="165">IF(AD728=2,1,0)</f>
        <v>1</v>
      </c>
      <c r="AI728" s="54">
        <f t="shared" ref="AI728:AI791" ca="1" si="166">IF(AND(AC728=1,AD728=2,AE728=3,AF728=4),1,0)</f>
        <v>0</v>
      </c>
      <c r="AJ728" s="54">
        <f t="shared" ref="AJ728:AJ791" ca="1" si="167">IF(AND(AC728&lt;=2,AD728&lt;=2),1,0)</f>
        <v>1</v>
      </c>
    </row>
    <row r="729" spans="1:36" x14ac:dyDescent="0.2">
      <c r="A729" s="54">
        <v>706</v>
      </c>
      <c r="B729" s="54">
        <f ca="1">MAX(0.02,MCDA_Prioritisation!$B$9+(RAND()-0.5)*2*$B$6)</f>
        <v>0.24230505724144666</v>
      </c>
      <c r="C729" s="54">
        <f ca="1">MAX(0.02,MCDA_Prioritisation!$B$10+(RAND()-0.5)*2*$B$6)</f>
        <v>0.19367897035556764</v>
      </c>
      <c r="D729" s="54">
        <f ca="1">MAX(0.02,MCDA_Prioritisation!$B$11+(RAND()-0.5)*2*$B$6)</f>
        <v>0.17395642386685525</v>
      </c>
      <c r="E729" s="54">
        <f ca="1">MAX(0.02,MCDA_Prioritisation!$B$12+(RAND()-0.5)*2*$B$6)</f>
        <v>7.5101210593443893E-2</v>
      </c>
      <c r="F729" s="54">
        <f ca="1">MAX(0.02,MCDA_Prioritisation!$B$13+(RAND()-0.5)*2*$B$6)</f>
        <v>0.12828034094892057</v>
      </c>
      <c r="G729" s="54">
        <f t="shared" ca="1" si="154"/>
        <v>0.81332200300623403</v>
      </c>
      <c r="H729" s="54">
        <f t="shared" ca="1" si="155"/>
        <v>0.29792020423132387</v>
      </c>
      <c r="I729" s="54">
        <f t="shared" ca="1" si="156"/>
        <v>0.23813319895402252</v>
      </c>
      <c r="J729" s="54">
        <f t="shared" ca="1" si="157"/>
        <v>0.21388382857450114</v>
      </c>
      <c r="K729" s="54">
        <f t="shared" ca="1" si="158"/>
        <v>9.2338840355789875E-2</v>
      </c>
      <c r="L729" s="54">
        <f t="shared" ca="1" si="159"/>
        <v>0.15772392788436257</v>
      </c>
      <c r="M729" s="54">
        <f ca="1">MIN(100,MAX(0,MCDA_Prioritisation!$F$2+(RAND()-0.5)*2*$B$7))</f>
        <v>88.587642392283129</v>
      </c>
      <c r="N729" s="54">
        <f ca="1">MIN(100,MAX(0,MCDA_Prioritisation!$F$3+(RAND()-0.5)*2*$B$7))</f>
        <v>90.268882616229547</v>
      </c>
      <c r="O729" s="54">
        <f ca="1">MIN(100,MAX(0,MCDA_Prioritisation!$F$4+(RAND()-0.5)*2*$B$7))</f>
        <v>94.176849780686396</v>
      </c>
      <c r="P729" s="54">
        <f ca="1">MIN(100,MAX(0,MCDA_Prioritisation!$F$5+(RAND()-0.5)*2*$B$7))</f>
        <v>83.813436156225649</v>
      </c>
      <c r="Q729" s="54">
        <f ca="1">MIN(100,MAX(0,MCDA_Prioritisation!$G$2+(RAND()-0.5)*2*$B$7))</f>
        <v>84.445258484834525</v>
      </c>
      <c r="R729" s="54">
        <f ca="1">MIN(100,MAX(0,MCDA_Prioritisation!$G$3+(RAND()-0.5)*2*$B$7))</f>
        <v>100</v>
      </c>
      <c r="S729" s="54">
        <f ca="1">MIN(100,MAX(0,MCDA_Prioritisation!$G$4+(RAND()-0.5)*2*$B$7))</f>
        <v>80.908390968965293</v>
      </c>
      <c r="T729" s="54">
        <f ca="1">MIN(100,MAX(0,MCDA_Prioritisation!$G$5+(RAND()-0.5)*2*$B$7))</f>
        <v>60.581574436673129</v>
      </c>
      <c r="U729" s="54">
        <f ca="1">MIN(100,MAX(0,MCDA_Prioritisation!$H$2+(RAND()-0.5)*2*$B$7))</f>
        <v>57.252230293165482</v>
      </c>
      <c r="V729" s="54">
        <f ca="1">MIN(100,MAX(0,MCDA_Prioritisation!$H$3+(RAND()-0.5)*2*$B$7))</f>
        <v>50.820094508298823</v>
      </c>
      <c r="W729" s="54">
        <f ca="1">MIN(100,MAX(0,MCDA_Prioritisation!$H$4+(RAND()-0.5)*2*$B$7))</f>
        <v>83.772780708457915</v>
      </c>
      <c r="X729" s="54">
        <f ca="1">MIN(100,MAX(0,MCDA_Prioritisation!$H$5+(RAND()-0.5)*2*$B$7))</f>
        <v>69.990946405809609</v>
      </c>
      <c r="Y729" s="54">
        <f ca="1">H729*MCDA_Prioritisation!$D$2+I729*MCDA_Prioritisation!$E$2+J729*M729+K729*Q729+L729*U729</f>
        <v>89.380428321797638</v>
      </c>
      <c r="Z729" s="54">
        <f ca="1">H729*MCDA_Prioritisation!$D$3+I729*MCDA_Prioritisation!$E$3+J729*N729+K729*R729+L729*V729</f>
        <v>79.912545479227759</v>
      </c>
      <c r="AA729" s="54">
        <f ca="1">H729*MCDA_Prioritisation!$D$4+I729*MCDA_Prioritisation!$E$4+J729*O729+K729*S729+L729*W729</f>
        <v>74.56135946252563</v>
      </c>
      <c r="AB729" s="54">
        <f ca="1">H729*MCDA_Prioritisation!$D$5+I729*MCDA_Prioritisation!$E$5+J729*P729+K729*T729+L729*X729</f>
        <v>70.396835045209158</v>
      </c>
      <c r="AC729" s="54">
        <f t="shared" ca="1" si="160"/>
        <v>1</v>
      </c>
      <c r="AD729" s="54">
        <f t="shared" ca="1" si="161"/>
        <v>2</v>
      </c>
      <c r="AE729" s="54">
        <f t="shared" ca="1" si="162"/>
        <v>3</v>
      </c>
      <c r="AF729" s="54">
        <f t="shared" ca="1" si="163"/>
        <v>4</v>
      </c>
      <c r="AG729" s="54">
        <f t="shared" ca="1" si="164"/>
        <v>1</v>
      </c>
      <c r="AH729" s="54">
        <f t="shared" ca="1" si="165"/>
        <v>1</v>
      </c>
      <c r="AI729" s="54">
        <f t="shared" ca="1" si="166"/>
        <v>1</v>
      </c>
      <c r="AJ729" s="54">
        <f t="shared" ca="1" si="167"/>
        <v>1</v>
      </c>
    </row>
    <row r="730" spans="1:36" x14ac:dyDescent="0.2">
      <c r="A730" s="54">
        <v>707</v>
      </c>
      <c r="B730" s="54">
        <f ca="1">MAX(0.02,MCDA_Prioritisation!$B$9+(RAND()-0.5)*2*$B$6)</f>
        <v>0.19440250847140536</v>
      </c>
      <c r="C730" s="54">
        <f ca="1">MAX(0.02,MCDA_Prioritisation!$B$10+(RAND()-0.5)*2*$B$6)</f>
        <v>0.17432979035749785</v>
      </c>
      <c r="D730" s="54">
        <f ca="1">MAX(0.02,MCDA_Prioritisation!$B$11+(RAND()-0.5)*2*$B$6)</f>
        <v>0.28470940894338809</v>
      </c>
      <c r="E730" s="54">
        <f ca="1">MAX(0.02,MCDA_Prioritisation!$B$12+(RAND()-0.5)*2*$B$6)</f>
        <v>8.7333118884330305E-2</v>
      </c>
      <c r="F730" s="54">
        <f ca="1">MAX(0.02,MCDA_Prioritisation!$B$13+(RAND()-0.5)*2*$B$6)</f>
        <v>0.11143607482360807</v>
      </c>
      <c r="G730" s="54">
        <f t="shared" ca="1" si="154"/>
        <v>0.85221090148022971</v>
      </c>
      <c r="H730" s="54">
        <f t="shared" ca="1" si="155"/>
        <v>0.22811549128712391</v>
      </c>
      <c r="I730" s="54">
        <f t="shared" ca="1" si="156"/>
        <v>0.20456179339492067</v>
      </c>
      <c r="J730" s="54">
        <f t="shared" ca="1" si="157"/>
        <v>0.33408327498377233</v>
      </c>
      <c r="K730" s="54">
        <f t="shared" ca="1" si="158"/>
        <v>0.10247829349828651</v>
      </c>
      <c r="L730" s="54">
        <f t="shared" ca="1" si="159"/>
        <v>0.13076114683589654</v>
      </c>
      <c r="M730" s="54">
        <f ca="1">MIN(100,MAX(0,MCDA_Prioritisation!$F$2+(RAND()-0.5)*2*$B$7))</f>
        <v>79.99385427282354</v>
      </c>
      <c r="N730" s="54">
        <f ca="1">MIN(100,MAX(0,MCDA_Prioritisation!$F$3+(RAND()-0.5)*2*$B$7))</f>
        <v>88.273703990471674</v>
      </c>
      <c r="O730" s="54">
        <f ca="1">MIN(100,MAX(0,MCDA_Prioritisation!$F$4+(RAND()-0.5)*2*$B$7))</f>
        <v>85.826495817205938</v>
      </c>
      <c r="P730" s="54">
        <f ca="1">MIN(100,MAX(0,MCDA_Prioritisation!$F$5+(RAND()-0.5)*2*$B$7))</f>
        <v>73.098486597178052</v>
      </c>
      <c r="Q730" s="54">
        <f ca="1">MIN(100,MAX(0,MCDA_Prioritisation!$G$2+(RAND()-0.5)*2*$B$7))</f>
        <v>79.270041226640075</v>
      </c>
      <c r="R730" s="54">
        <f ca="1">MIN(100,MAX(0,MCDA_Prioritisation!$G$3+(RAND()-0.5)*2*$B$7))</f>
        <v>88.466343694216974</v>
      </c>
      <c r="S730" s="54">
        <f ca="1">MIN(100,MAX(0,MCDA_Prioritisation!$G$4+(RAND()-0.5)*2*$B$7))</f>
        <v>86.026965457134693</v>
      </c>
      <c r="T730" s="54">
        <f ca="1">MIN(100,MAX(0,MCDA_Prioritisation!$G$5+(RAND()-0.5)*2*$B$7))</f>
        <v>62.755823061899505</v>
      </c>
      <c r="U730" s="54">
        <f ca="1">MIN(100,MAX(0,MCDA_Prioritisation!$H$2+(RAND()-0.5)*2*$B$7))</f>
        <v>67.688525182888355</v>
      </c>
      <c r="V730" s="54">
        <f ca="1">MIN(100,MAX(0,MCDA_Prioritisation!$H$3+(RAND()-0.5)*2*$B$7))</f>
        <v>51.1568363963896</v>
      </c>
      <c r="W730" s="54">
        <f ca="1">MIN(100,MAX(0,MCDA_Prioritisation!$H$4+(RAND()-0.5)*2*$B$7))</f>
        <v>70.140826444552189</v>
      </c>
      <c r="X730" s="54">
        <f ca="1">MIN(100,MAX(0,MCDA_Prioritisation!$H$5+(RAND()-0.5)*2*$B$7))</f>
        <v>65.022526141348862</v>
      </c>
      <c r="Y730" s="54">
        <f ca="1">H730*MCDA_Prioritisation!$D$2+I730*MCDA_Prioritisation!$E$2+J730*M730+K730*Q730+L730*U730</f>
        <v>86.966825013233802</v>
      </c>
      <c r="Z730" s="54">
        <f ca="1">H730*MCDA_Prioritisation!$D$3+I730*MCDA_Prioritisation!$E$3+J730*N730+K730*R730+L730*V730</f>
        <v>80.059768916127354</v>
      </c>
      <c r="AA730" s="54">
        <f ca="1">H730*MCDA_Prioritisation!$D$4+I730*MCDA_Prioritisation!$E$4+J730*O730+K730*S730+L730*W730</f>
        <v>73.703326140512701</v>
      </c>
      <c r="AB730" s="54">
        <f ca="1">H730*MCDA_Prioritisation!$D$5+I730*MCDA_Prioritisation!$E$5+J730*P730+K730*T730+L730*X730</f>
        <v>68.663731395672727</v>
      </c>
      <c r="AC730" s="54">
        <f t="shared" ca="1" si="160"/>
        <v>1</v>
      </c>
      <c r="AD730" s="54">
        <f t="shared" ca="1" si="161"/>
        <v>2</v>
      </c>
      <c r="AE730" s="54">
        <f t="shared" ca="1" si="162"/>
        <v>3</v>
      </c>
      <c r="AF730" s="54">
        <f t="shared" ca="1" si="163"/>
        <v>4</v>
      </c>
      <c r="AG730" s="54">
        <f t="shared" ca="1" si="164"/>
        <v>1</v>
      </c>
      <c r="AH730" s="54">
        <f t="shared" ca="1" si="165"/>
        <v>1</v>
      </c>
      <c r="AI730" s="54">
        <f t="shared" ca="1" si="166"/>
        <v>1</v>
      </c>
      <c r="AJ730" s="54">
        <f t="shared" ca="1" si="167"/>
        <v>1</v>
      </c>
    </row>
    <row r="731" spans="1:36" x14ac:dyDescent="0.2">
      <c r="A731" s="54">
        <v>708</v>
      </c>
      <c r="B731" s="54">
        <f ca="1">MAX(0.02,MCDA_Prioritisation!$B$9+(RAND()-0.5)*2*$B$6)</f>
        <v>0.22481389040850605</v>
      </c>
      <c r="C731" s="54">
        <f ca="1">MAX(0.02,MCDA_Prioritisation!$B$10+(RAND()-0.5)*2*$B$6)</f>
        <v>0.20702769827923134</v>
      </c>
      <c r="D731" s="54">
        <f ca="1">MAX(0.02,MCDA_Prioritisation!$B$11+(RAND()-0.5)*2*$B$6)</f>
        <v>0.29777038801194899</v>
      </c>
      <c r="E731" s="54">
        <f ca="1">MAX(0.02,MCDA_Prioritisation!$B$12+(RAND()-0.5)*2*$B$6)</f>
        <v>0.18807638199186577</v>
      </c>
      <c r="F731" s="54">
        <f ca="1">MAX(0.02,MCDA_Prioritisation!$B$13+(RAND()-0.5)*2*$B$6)</f>
        <v>0.19464097462311952</v>
      </c>
      <c r="G731" s="54">
        <f t="shared" ca="1" si="154"/>
        <v>1.1123293333146715</v>
      </c>
      <c r="H731" s="54">
        <f t="shared" ca="1" si="155"/>
        <v>0.20211090697264522</v>
      </c>
      <c r="I731" s="54">
        <f t="shared" ca="1" si="156"/>
        <v>0.18612086553745896</v>
      </c>
      <c r="J731" s="54">
        <f t="shared" ca="1" si="157"/>
        <v>0.26769984310726747</v>
      </c>
      <c r="K731" s="54">
        <f t="shared" ca="1" si="158"/>
        <v>0.16908336079873931</v>
      </c>
      <c r="L731" s="54">
        <f t="shared" ca="1" si="159"/>
        <v>0.17498502358388918</v>
      </c>
      <c r="M731" s="54">
        <f ca="1">MIN(100,MAX(0,MCDA_Prioritisation!$F$2+(RAND()-0.5)*2*$B$7))</f>
        <v>93.082343064718557</v>
      </c>
      <c r="N731" s="54">
        <f ca="1">MIN(100,MAX(0,MCDA_Prioritisation!$F$3+(RAND()-0.5)*2*$B$7))</f>
        <v>92.138602435376953</v>
      </c>
      <c r="O731" s="54">
        <f ca="1">MIN(100,MAX(0,MCDA_Prioritisation!$F$4+(RAND()-0.5)*2*$B$7))</f>
        <v>89.30160753220548</v>
      </c>
      <c r="P731" s="54">
        <f ca="1">MIN(100,MAX(0,MCDA_Prioritisation!$F$5+(RAND()-0.5)*2*$B$7))</f>
        <v>66.298312730587114</v>
      </c>
      <c r="Q731" s="54">
        <f ca="1">MIN(100,MAX(0,MCDA_Prioritisation!$G$2+(RAND()-0.5)*2*$B$7))</f>
        <v>84.123604315326759</v>
      </c>
      <c r="R731" s="54">
        <f ca="1">MIN(100,MAX(0,MCDA_Prioritisation!$G$3+(RAND()-0.5)*2*$B$7))</f>
        <v>95.10114785170812</v>
      </c>
      <c r="S731" s="54">
        <f ca="1">MIN(100,MAX(0,MCDA_Prioritisation!$G$4+(RAND()-0.5)*2*$B$7))</f>
        <v>91.492637278060954</v>
      </c>
      <c r="T731" s="54">
        <f ca="1">MIN(100,MAX(0,MCDA_Prioritisation!$G$5+(RAND()-0.5)*2*$B$7))</f>
        <v>70.851964420327619</v>
      </c>
      <c r="U731" s="54">
        <f ca="1">MIN(100,MAX(0,MCDA_Prioritisation!$H$2+(RAND()-0.5)*2*$B$7))</f>
        <v>60.331351693742079</v>
      </c>
      <c r="V731" s="54">
        <f ca="1">MIN(100,MAX(0,MCDA_Prioritisation!$H$3+(RAND()-0.5)*2*$B$7))</f>
        <v>52.053509365388621</v>
      </c>
      <c r="W731" s="54">
        <f ca="1">MIN(100,MAX(0,MCDA_Prioritisation!$H$4+(RAND()-0.5)*2*$B$7))</f>
        <v>82.843965939754597</v>
      </c>
      <c r="X731" s="54">
        <f ca="1">MIN(100,MAX(0,MCDA_Prioritisation!$H$5+(RAND()-0.5)*2*$B$7))</f>
        <v>81.854922043035003</v>
      </c>
      <c r="Y731" s="54">
        <f ca="1">H731*MCDA_Prioritisation!$D$2+I731*MCDA_Prioritisation!$E$2+J731*M731+K731*Q731+L731*U731</f>
        <v>88.522290624608559</v>
      </c>
      <c r="Z731" s="54">
        <f ca="1">H731*MCDA_Prioritisation!$D$3+I731*MCDA_Prioritisation!$E$3+J731*N731+K731*R731+L731*V731</f>
        <v>81.054013072134708</v>
      </c>
      <c r="AA731" s="54">
        <f ca="1">H731*MCDA_Prioritisation!$D$4+I731*MCDA_Prioritisation!$E$4+J731*O731+K731*S731+L731*W731</f>
        <v>78.09822490207236</v>
      </c>
      <c r="AB731" s="54">
        <f ca="1">H731*MCDA_Prioritisation!$D$5+I731*MCDA_Prioritisation!$E$5+J731*P731+K731*T731+L731*X731</f>
        <v>70.429610657898792</v>
      </c>
      <c r="AC731" s="54">
        <f t="shared" ca="1" si="160"/>
        <v>1</v>
      </c>
      <c r="AD731" s="54">
        <f t="shared" ca="1" si="161"/>
        <v>2</v>
      </c>
      <c r="AE731" s="54">
        <f t="shared" ca="1" si="162"/>
        <v>3</v>
      </c>
      <c r="AF731" s="54">
        <f t="shared" ca="1" si="163"/>
        <v>4</v>
      </c>
      <c r="AG731" s="54">
        <f t="shared" ca="1" si="164"/>
        <v>1</v>
      </c>
      <c r="AH731" s="54">
        <f t="shared" ca="1" si="165"/>
        <v>1</v>
      </c>
      <c r="AI731" s="54">
        <f t="shared" ca="1" si="166"/>
        <v>1</v>
      </c>
      <c r="AJ731" s="54">
        <f t="shared" ca="1" si="167"/>
        <v>1</v>
      </c>
    </row>
    <row r="732" spans="1:36" x14ac:dyDescent="0.2">
      <c r="A732" s="54">
        <v>709</v>
      </c>
      <c r="B732" s="54">
        <f ca="1">MAX(0.02,MCDA_Prioritisation!$B$9+(RAND()-0.5)*2*$B$6)</f>
        <v>0.26539576301149548</v>
      </c>
      <c r="C732" s="54">
        <f ca="1">MAX(0.02,MCDA_Prioritisation!$B$10+(RAND()-0.5)*2*$B$6)</f>
        <v>0.29756414043455937</v>
      </c>
      <c r="D732" s="54">
        <f ca="1">MAX(0.02,MCDA_Prioritisation!$B$11+(RAND()-0.5)*2*$B$6)</f>
        <v>0.25282548109097985</v>
      </c>
      <c r="E732" s="54">
        <f ca="1">MAX(0.02,MCDA_Prioritisation!$B$12+(RAND()-0.5)*2*$B$6)</f>
        <v>0.14953071982924748</v>
      </c>
      <c r="F732" s="54">
        <f ca="1">MAX(0.02,MCDA_Prioritisation!$B$13+(RAND()-0.5)*2*$B$6)</f>
        <v>0.12591675652635498</v>
      </c>
      <c r="G732" s="54">
        <f t="shared" ca="1" si="154"/>
        <v>1.0912328608926372</v>
      </c>
      <c r="H732" s="54">
        <f t="shared" ca="1" si="155"/>
        <v>0.24320726814843133</v>
      </c>
      <c r="I732" s="54">
        <f t="shared" ca="1" si="156"/>
        <v>0.27268619842619984</v>
      </c>
      <c r="J732" s="54">
        <f t="shared" ca="1" si="157"/>
        <v>0.23168792853632231</v>
      </c>
      <c r="K732" s="54">
        <f t="shared" ca="1" si="158"/>
        <v>0.1370291577426748</v>
      </c>
      <c r="L732" s="54">
        <f t="shared" ca="1" si="159"/>
        <v>0.11538944714637174</v>
      </c>
      <c r="M732" s="54">
        <f ca="1">MIN(100,MAX(0,MCDA_Prioritisation!$F$2+(RAND()-0.5)*2*$B$7))</f>
        <v>76.441356990164863</v>
      </c>
      <c r="N732" s="54">
        <f ca="1">MIN(100,MAX(0,MCDA_Prioritisation!$F$3+(RAND()-0.5)*2*$B$7))</f>
        <v>100</v>
      </c>
      <c r="O732" s="54">
        <f ca="1">MIN(100,MAX(0,MCDA_Prioritisation!$F$4+(RAND()-0.5)*2*$B$7))</f>
        <v>81.549682915754062</v>
      </c>
      <c r="P732" s="54">
        <f ca="1">MIN(100,MAX(0,MCDA_Prioritisation!$F$5+(RAND()-0.5)*2*$B$7))</f>
        <v>75.93140145084007</v>
      </c>
      <c r="Q732" s="54">
        <f ca="1">MIN(100,MAX(0,MCDA_Prioritisation!$G$2+(RAND()-0.5)*2*$B$7))</f>
        <v>76.008138620648651</v>
      </c>
      <c r="R732" s="54">
        <f ca="1">MIN(100,MAX(0,MCDA_Prioritisation!$G$3+(RAND()-0.5)*2*$B$7))</f>
        <v>88.422589466731935</v>
      </c>
      <c r="S732" s="54">
        <f ca="1">MIN(100,MAX(0,MCDA_Prioritisation!$G$4+(RAND()-0.5)*2*$B$7))</f>
        <v>79.732432395675772</v>
      </c>
      <c r="T732" s="54">
        <f ca="1">MIN(100,MAX(0,MCDA_Prioritisation!$G$5+(RAND()-0.5)*2*$B$7))</f>
        <v>72.023000006546454</v>
      </c>
      <c r="U732" s="54">
        <f ca="1">MIN(100,MAX(0,MCDA_Prioritisation!$H$2+(RAND()-0.5)*2*$B$7))</f>
        <v>62.574927698908219</v>
      </c>
      <c r="V732" s="54">
        <f ca="1">MIN(100,MAX(0,MCDA_Prioritisation!$H$3+(RAND()-0.5)*2*$B$7))</f>
        <v>63.559128748785824</v>
      </c>
      <c r="W732" s="54">
        <f ca="1">MIN(100,MAX(0,MCDA_Prioritisation!$H$4+(RAND()-0.5)*2*$B$7))</f>
        <v>83.380037379091632</v>
      </c>
      <c r="X732" s="54">
        <f ca="1">MIN(100,MAX(0,MCDA_Prioritisation!$H$5+(RAND()-0.5)*2*$B$7))</f>
        <v>67.125567629110151</v>
      </c>
      <c r="Y732" s="54">
        <f ca="1">H732*MCDA_Prioritisation!$D$2+I732*MCDA_Prioritisation!$E$2+J732*M732+K732*Q732+L732*U732</f>
        <v>86.9357038421971</v>
      </c>
      <c r="Z732" s="54">
        <f ca="1">H732*MCDA_Prioritisation!$D$3+I732*MCDA_Prioritisation!$E$3+J732*N732+K732*R732+L732*V732</f>
        <v>83.706588584238034</v>
      </c>
      <c r="AA732" s="54">
        <f ca="1">H732*MCDA_Prioritisation!$D$4+I732*MCDA_Prioritisation!$E$4+J732*O732+K732*S732+L732*W732</f>
        <v>71.250238656608062</v>
      </c>
      <c r="AB732" s="54">
        <f ca="1">H732*MCDA_Prioritisation!$D$5+I732*MCDA_Prioritisation!$E$5+J732*P732+K732*T732+L732*X732</f>
        <v>71.046094770432703</v>
      </c>
      <c r="AC732" s="54">
        <f t="shared" ca="1" si="160"/>
        <v>1</v>
      </c>
      <c r="AD732" s="54">
        <f t="shared" ca="1" si="161"/>
        <v>2</v>
      </c>
      <c r="AE732" s="54">
        <f t="shared" ca="1" si="162"/>
        <v>3</v>
      </c>
      <c r="AF732" s="54">
        <f t="shared" ca="1" si="163"/>
        <v>4</v>
      </c>
      <c r="AG732" s="54">
        <f t="shared" ca="1" si="164"/>
        <v>1</v>
      </c>
      <c r="AH732" s="54">
        <f t="shared" ca="1" si="165"/>
        <v>1</v>
      </c>
      <c r="AI732" s="54">
        <f t="shared" ca="1" si="166"/>
        <v>1</v>
      </c>
      <c r="AJ732" s="54">
        <f t="shared" ca="1" si="167"/>
        <v>1</v>
      </c>
    </row>
    <row r="733" spans="1:36" x14ac:dyDescent="0.2">
      <c r="A733" s="54">
        <v>710</v>
      </c>
      <c r="B733" s="54">
        <f ca="1">MAX(0.02,MCDA_Prioritisation!$B$9+(RAND()-0.5)*2*$B$6)</f>
        <v>0.16174766341116192</v>
      </c>
      <c r="C733" s="54">
        <f ca="1">MAX(0.02,MCDA_Prioritisation!$B$10+(RAND()-0.5)*2*$B$6)</f>
        <v>0.24330052029298221</v>
      </c>
      <c r="D733" s="54">
        <f ca="1">MAX(0.02,MCDA_Prioritisation!$B$11+(RAND()-0.5)*2*$B$6)</f>
        <v>0.27709146184833811</v>
      </c>
      <c r="E733" s="54">
        <f ca="1">MAX(0.02,MCDA_Prioritisation!$B$12+(RAND()-0.5)*2*$B$6)</f>
        <v>0.22686333490154451</v>
      </c>
      <c r="F733" s="54">
        <f ca="1">MAX(0.02,MCDA_Prioritisation!$B$13+(RAND()-0.5)*2*$B$6)</f>
        <v>0.14842650186304759</v>
      </c>
      <c r="G733" s="54">
        <f t="shared" ca="1" si="154"/>
        <v>1.0574294823170742</v>
      </c>
      <c r="H733" s="54">
        <f t="shared" ca="1" si="155"/>
        <v>0.15296307329802752</v>
      </c>
      <c r="I733" s="54">
        <f t="shared" ca="1" si="156"/>
        <v>0.23008675695314842</v>
      </c>
      <c r="J733" s="54">
        <f t="shared" ca="1" si="157"/>
        <v>0.26204249690595555</v>
      </c>
      <c r="K733" s="54">
        <f t="shared" ca="1" si="158"/>
        <v>0.21454228267253728</v>
      </c>
      <c r="L733" s="54">
        <f t="shared" ca="1" si="159"/>
        <v>0.14036539017033134</v>
      </c>
      <c r="M733" s="54">
        <f ca="1">MIN(100,MAX(0,MCDA_Prioritisation!$F$2+(RAND()-0.5)*2*$B$7))</f>
        <v>91.21134159383962</v>
      </c>
      <c r="N733" s="54">
        <f ca="1">MIN(100,MAX(0,MCDA_Prioritisation!$F$3+(RAND()-0.5)*2*$B$7))</f>
        <v>91.198731580896151</v>
      </c>
      <c r="O733" s="54">
        <f ca="1">MIN(100,MAX(0,MCDA_Prioritisation!$F$4+(RAND()-0.5)*2*$B$7))</f>
        <v>96.445105214041632</v>
      </c>
      <c r="P733" s="54">
        <f ca="1">MIN(100,MAX(0,MCDA_Prioritisation!$F$5+(RAND()-0.5)*2*$B$7))</f>
        <v>74.222602903896814</v>
      </c>
      <c r="Q733" s="54">
        <f ca="1">MIN(100,MAX(0,MCDA_Prioritisation!$G$2+(RAND()-0.5)*2*$B$7))</f>
        <v>72.512218595957975</v>
      </c>
      <c r="R733" s="54">
        <f ca="1">MIN(100,MAX(0,MCDA_Prioritisation!$G$3+(RAND()-0.5)*2*$B$7))</f>
        <v>93.820836382427984</v>
      </c>
      <c r="S733" s="54">
        <f ca="1">MIN(100,MAX(0,MCDA_Prioritisation!$G$4+(RAND()-0.5)*2*$B$7))</f>
        <v>76.111117421070148</v>
      </c>
      <c r="T733" s="54">
        <f ca="1">MIN(100,MAX(0,MCDA_Prioritisation!$G$5+(RAND()-0.5)*2*$B$7))</f>
        <v>61.968337010965627</v>
      </c>
      <c r="U733" s="54">
        <f ca="1">MIN(100,MAX(0,MCDA_Prioritisation!$H$2+(RAND()-0.5)*2*$B$7))</f>
        <v>72.744283576319432</v>
      </c>
      <c r="V733" s="54">
        <f ca="1">MIN(100,MAX(0,MCDA_Prioritisation!$H$3+(RAND()-0.5)*2*$B$7))</f>
        <v>58.453788333784274</v>
      </c>
      <c r="W733" s="54">
        <f ca="1">MIN(100,MAX(0,MCDA_Prioritisation!$H$4+(RAND()-0.5)*2*$B$7))</f>
        <v>89.194717311900945</v>
      </c>
      <c r="X733" s="54">
        <f ca="1">MIN(100,MAX(0,MCDA_Prioritisation!$H$5+(RAND()-0.5)*2*$B$7))</f>
        <v>76.046614489606441</v>
      </c>
      <c r="Y733" s="54">
        <f ca="1">H733*MCDA_Prioritisation!$D$2+I733*MCDA_Prioritisation!$E$2+J733*M733+K733*Q733+L733*U733</f>
        <v>87.973947368587503</v>
      </c>
      <c r="Z733" s="54">
        <f ca="1">H733*MCDA_Prioritisation!$D$3+I733*MCDA_Prioritisation!$E$3+J733*N733+K733*R733+L733*V733</f>
        <v>82.333439997853574</v>
      </c>
      <c r="AA733" s="54">
        <f ca="1">H733*MCDA_Prioritisation!$D$4+I733*MCDA_Prioritisation!$E$4+J733*O733+K733*S733+L733*W733</f>
        <v>77.323256308094471</v>
      </c>
      <c r="AB733" s="54">
        <f ca="1">H733*MCDA_Prioritisation!$D$5+I733*MCDA_Prioritisation!$E$5+J733*P733+K733*T733+L733*X733</f>
        <v>70.885473168662145</v>
      </c>
      <c r="AC733" s="54">
        <f t="shared" ca="1" si="160"/>
        <v>1</v>
      </c>
      <c r="AD733" s="54">
        <f t="shared" ca="1" si="161"/>
        <v>2</v>
      </c>
      <c r="AE733" s="54">
        <f t="shared" ca="1" si="162"/>
        <v>3</v>
      </c>
      <c r="AF733" s="54">
        <f t="shared" ca="1" si="163"/>
        <v>4</v>
      </c>
      <c r="AG733" s="54">
        <f t="shared" ca="1" si="164"/>
        <v>1</v>
      </c>
      <c r="AH733" s="54">
        <f t="shared" ca="1" si="165"/>
        <v>1</v>
      </c>
      <c r="AI733" s="54">
        <f t="shared" ca="1" si="166"/>
        <v>1</v>
      </c>
      <c r="AJ733" s="54">
        <f t="shared" ca="1" si="167"/>
        <v>1</v>
      </c>
    </row>
    <row r="734" spans="1:36" x14ac:dyDescent="0.2">
      <c r="A734" s="54">
        <v>711</v>
      </c>
      <c r="B734" s="54">
        <f ca="1">MAX(0.02,MCDA_Prioritisation!$B$9+(RAND()-0.5)*2*$B$6)</f>
        <v>0.18016430113965112</v>
      </c>
      <c r="C734" s="54">
        <f ca="1">MAX(0.02,MCDA_Prioritisation!$B$10+(RAND()-0.5)*2*$B$6)</f>
        <v>0.32202866103390959</v>
      </c>
      <c r="D734" s="54">
        <f ca="1">MAX(0.02,MCDA_Prioritisation!$B$11+(RAND()-0.5)*2*$B$6)</f>
        <v>0.29800087349853643</v>
      </c>
      <c r="E734" s="54">
        <f ca="1">MAX(0.02,MCDA_Prioritisation!$B$12+(RAND()-0.5)*2*$B$6)</f>
        <v>0.14832795067365895</v>
      </c>
      <c r="F734" s="54">
        <f ca="1">MAX(0.02,MCDA_Prioritisation!$B$13+(RAND()-0.5)*2*$B$6)</f>
        <v>9.2979886836975251E-2</v>
      </c>
      <c r="G734" s="54">
        <f t="shared" ca="1" si="154"/>
        <v>1.0415016731827313</v>
      </c>
      <c r="H734" s="54">
        <f t="shared" ca="1" si="155"/>
        <v>0.17298512885638093</v>
      </c>
      <c r="I734" s="54">
        <f t="shared" ca="1" si="156"/>
        <v>0.30919648938231681</v>
      </c>
      <c r="J734" s="54">
        <f t="shared" ca="1" si="157"/>
        <v>0.28612615915236483</v>
      </c>
      <c r="K734" s="54">
        <f t="shared" ca="1" si="158"/>
        <v>0.1424173906705139</v>
      </c>
      <c r="L734" s="54">
        <f t="shared" ca="1" si="159"/>
        <v>8.9274831938423532E-2</v>
      </c>
      <c r="M734" s="54">
        <f ca="1">MIN(100,MAX(0,MCDA_Prioritisation!$F$2+(RAND()-0.5)*2*$B$7))</f>
        <v>83.607958561943363</v>
      </c>
      <c r="N734" s="54">
        <f ca="1">MIN(100,MAX(0,MCDA_Prioritisation!$F$3+(RAND()-0.5)*2*$B$7))</f>
        <v>95.748781318546136</v>
      </c>
      <c r="O734" s="54">
        <f ca="1">MIN(100,MAX(0,MCDA_Prioritisation!$F$4+(RAND()-0.5)*2*$B$7))</f>
        <v>98.982843943386314</v>
      </c>
      <c r="P734" s="54">
        <f ca="1">MIN(100,MAX(0,MCDA_Prioritisation!$F$5+(RAND()-0.5)*2*$B$7))</f>
        <v>68.133464305342002</v>
      </c>
      <c r="Q734" s="54">
        <f ca="1">MIN(100,MAX(0,MCDA_Prioritisation!$G$2+(RAND()-0.5)*2*$B$7))</f>
        <v>81.032464233592222</v>
      </c>
      <c r="R734" s="54">
        <f ca="1">MIN(100,MAX(0,MCDA_Prioritisation!$G$3+(RAND()-0.5)*2*$B$7))</f>
        <v>85.711088269720761</v>
      </c>
      <c r="S734" s="54">
        <f ca="1">MIN(100,MAX(0,MCDA_Prioritisation!$G$4+(RAND()-0.5)*2*$B$7))</f>
        <v>79.094915643371777</v>
      </c>
      <c r="T734" s="54">
        <f ca="1">MIN(100,MAX(0,MCDA_Prioritisation!$G$5+(RAND()-0.5)*2*$B$7))</f>
        <v>66.152015610695031</v>
      </c>
      <c r="U734" s="54">
        <f ca="1">MIN(100,MAX(0,MCDA_Prioritisation!$H$2+(RAND()-0.5)*2*$B$7))</f>
        <v>66.48639083805152</v>
      </c>
      <c r="V734" s="54">
        <f ca="1">MIN(100,MAX(0,MCDA_Prioritisation!$H$3+(RAND()-0.5)*2*$B$7))</f>
        <v>65.045137218393322</v>
      </c>
      <c r="W734" s="54">
        <f ca="1">MIN(100,MAX(0,MCDA_Prioritisation!$H$4+(RAND()-0.5)*2*$B$7))</f>
        <v>84.633533239515415</v>
      </c>
      <c r="X734" s="54">
        <f ca="1">MIN(100,MAX(0,MCDA_Prioritisation!$H$5+(RAND()-0.5)*2*$B$7))</f>
        <v>71.777334919933566</v>
      </c>
      <c r="Y734" s="54">
        <f ca="1">H734*MCDA_Prioritisation!$D$2+I734*MCDA_Prioritisation!$E$2+J734*M734+K734*Q734+L734*U734</f>
        <v>89.616579365778051</v>
      </c>
      <c r="Z734" s="54">
        <f ca="1">H734*MCDA_Prioritisation!$D$3+I734*MCDA_Prioritisation!$E$3+J734*N734+K734*R734+L734*V734</f>
        <v>83.015245189328908</v>
      </c>
      <c r="AA734" s="54">
        <f ca="1">H734*MCDA_Prioritisation!$D$4+I734*MCDA_Prioritisation!$E$4+J734*O734+K734*S734+L734*W734</f>
        <v>76.052647437337342</v>
      </c>
      <c r="AB734" s="54">
        <f ca="1">H734*MCDA_Prioritisation!$D$5+I734*MCDA_Prioritisation!$E$5+J734*P734+K734*T734+L734*X734</f>
        <v>70.505826934142632</v>
      </c>
      <c r="AC734" s="54">
        <f t="shared" ca="1" si="160"/>
        <v>1</v>
      </c>
      <c r="AD734" s="54">
        <f t="shared" ca="1" si="161"/>
        <v>2</v>
      </c>
      <c r="AE734" s="54">
        <f t="shared" ca="1" si="162"/>
        <v>3</v>
      </c>
      <c r="AF734" s="54">
        <f t="shared" ca="1" si="163"/>
        <v>4</v>
      </c>
      <c r="AG734" s="54">
        <f t="shared" ca="1" si="164"/>
        <v>1</v>
      </c>
      <c r="AH734" s="54">
        <f t="shared" ca="1" si="165"/>
        <v>1</v>
      </c>
      <c r="AI734" s="54">
        <f t="shared" ca="1" si="166"/>
        <v>1</v>
      </c>
      <c r="AJ734" s="54">
        <f t="shared" ca="1" si="167"/>
        <v>1</v>
      </c>
    </row>
    <row r="735" spans="1:36" x14ac:dyDescent="0.2">
      <c r="A735" s="54">
        <v>712</v>
      </c>
      <c r="B735" s="54">
        <f ca="1">MAX(0.02,MCDA_Prioritisation!$B$9+(RAND()-0.5)*2*$B$6)</f>
        <v>0.26483087522324594</v>
      </c>
      <c r="C735" s="54">
        <f ca="1">MAX(0.02,MCDA_Prioritisation!$B$10+(RAND()-0.5)*2*$B$6)</f>
        <v>0.26760452136845275</v>
      </c>
      <c r="D735" s="54">
        <f ca="1">MAX(0.02,MCDA_Prioritisation!$B$11+(RAND()-0.5)*2*$B$6)</f>
        <v>0.22758461262076668</v>
      </c>
      <c r="E735" s="54">
        <f ca="1">MAX(0.02,MCDA_Prioritisation!$B$12+(RAND()-0.5)*2*$B$6)</f>
        <v>0.13085630273296897</v>
      </c>
      <c r="F735" s="54">
        <f ca="1">MAX(0.02,MCDA_Prioritisation!$B$13+(RAND()-0.5)*2*$B$6)</f>
        <v>0.11584744629800629</v>
      </c>
      <c r="G735" s="54">
        <f t="shared" ca="1" si="154"/>
        <v>1.0067237582434407</v>
      </c>
      <c r="H735" s="54">
        <f t="shared" ca="1" si="155"/>
        <v>0.26306210919798906</v>
      </c>
      <c r="I735" s="54">
        <f t="shared" ca="1" si="156"/>
        <v>0.26581723057313805</v>
      </c>
      <c r="J735" s="54">
        <f t="shared" ca="1" si="157"/>
        <v>0.22606460884350496</v>
      </c>
      <c r="K735" s="54">
        <f t="shared" ca="1" si="158"/>
        <v>0.12998233295029279</v>
      </c>
      <c r="L735" s="54">
        <f t="shared" ca="1" si="159"/>
        <v>0.11507371843507508</v>
      </c>
      <c r="M735" s="54">
        <f ca="1">MIN(100,MAX(0,MCDA_Prioritisation!$F$2+(RAND()-0.5)*2*$B$7))</f>
        <v>87.666835379842226</v>
      </c>
      <c r="N735" s="54">
        <f ca="1">MIN(100,MAX(0,MCDA_Prioritisation!$F$3+(RAND()-0.5)*2*$B$7))</f>
        <v>100</v>
      </c>
      <c r="O735" s="54">
        <f ca="1">MIN(100,MAX(0,MCDA_Prioritisation!$F$4+(RAND()-0.5)*2*$B$7))</f>
        <v>99.314295970423174</v>
      </c>
      <c r="P735" s="54">
        <f ca="1">MIN(100,MAX(0,MCDA_Prioritisation!$F$5+(RAND()-0.5)*2*$B$7))</f>
        <v>79.538055777671801</v>
      </c>
      <c r="Q735" s="54">
        <f ca="1">MIN(100,MAX(0,MCDA_Prioritisation!$G$2+(RAND()-0.5)*2*$B$7))</f>
        <v>74.71944229158828</v>
      </c>
      <c r="R735" s="54">
        <f ca="1">MIN(100,MAX(0,MCDA_Prioritisation!$G$3+(RAND()-0.5)*2*$B$7))</f>
        <v>86.74178827085592</v>
      </c>
      <c r="S735" s="54">
        <f ca="1">MIN(100,MAX(0,MCDA_Prioritisation!$G$4+(RAND()-0.5)*2*$B$7))</f>
        <v>77.456138694273349</v>
      </c>
      <c r="T735" s="54">
        <f ca="1">MIN(100,MAX(0,MCDA_Prioritisation!$G$5+(RAND()-0.5)*2*$B$7))</f>
        <v>62.488755387256461</v>
      </c>
      <c r="U735" s="54">
        <f ca="1">MIN(100,MAX(0,MCDA_Prioritisation!$H$2+(RAND()-0.5)*2*$B$7))</f>
        <v>64.602960089952191</v>
      </c>
      <c r="V735" s="54">
        <f ca="1">MIN(100,MAX(0,MCDA_Prioritisation!$H$3+(RAND()-0.5)*2*$B$7))</f>
        <v>67.990034104001751</v>
      </c>
      <c r="W735" s="54">
        <f ca="1">MIN(100,MAX(0,MCDA_Prioritisation!$H$4+(RAND()-0.5)*2*$B$7))</f>
        <v>85.669621043344875</v>
      </c>
      <c r="X735" s="54">
        <f ca="1">MIN(100,MAX(0,MCDA_Prioritisation!$H$5+(RAND()-0.5)*2*$B$7))</f>
        <v>75.611197081305008</v>
      </c>
      <c r="Y735" s="54">
        <f ca="1">H735*MCDA_Prioritisation!$D$2+I735*MCDA_Prioritisation!$E$2+J735*M735+K735*Q735+L735*U735</f>
        <v>89.85261309107365</v>
      </c>
      <c r="Z735" s="54">
        <f ca="1">H735*MCDA_Prioritisation!$D$3+I735*MCDA_Prioritisation!$E$3+J735*N735+K735*R735+L735*V735</f>
        <v>84.028186025413092</v>
      </c>
      <c r="AA735" s="54">
        <f ca="1">H735*MCDA_Prioritisation!$D$4+I735*MCDA_Prioritisation!$E$4+J735*O735+K735*S735+L735*W735</f>
        <v>75.194919445405219</v>
      </c>
      <c r="AB735" s="54">
        <f ca="1">H735*MCDA_Prioritisation!$D$5+I735*MCDA_Prioritisation!$E$5+J735*P735+K735*T735+L735*X735</f>
        <v>71.119103374437941</v>
      </c>
      <c r="AC735" s="54">
        <f t="shared" ca="1" si="160"/>
        <v>1</v>
      </c>
      <c r="AD735" s="54">
        <f t="shared" ca="1" si="161"/>
        <v>2</v>
      </c>
      <c r="AE735" s="54">
        <f t="shared" ca="1" si="162"/>
        <v>3</v>
      </c>
      <c r="AF735" s="54">
        <f t="shared" ca="1" si="163"/>
        <v>4</v>
      </c>
      <c r="AG735" s="54">
        <f t="shared" ca="1" si="164"/>
        <v>1</v>
      </c>
      <c r="AH735" s="54">
        <f t="shared" ca="1" si="165"/>
        <v>1</v>
      </c>
      <c r="AI735" s="54">
        <f t="shared" ca="1" si="166"/>
        <v>1</v>
      </c>
      <c r="AJ735" s="54">
        <f t="shared" ca="1" si="167"/>
        <v>1</v>
      </c>
    </row>
    <row r="736" spans="1:36" x14ac:dyDescent="0.2">
      <c r="A736" s="54">
        <v>713</v>
      </c>
      <c r="B736" s="54">
        <f ca="1">MAX(0.02,MCDA_Prioritisation!$B$9+(RAND()-0.5)*2*$B$6)</f>
        <v>0.24775784185900687</v>
      </c>
      <c r="C736" s="54">
        <f ca="1">MAX(0.02,MCDA_Prioritisation!$B$10+(RAND()-0.5)*2*$B$6)</f>
        <v>0.32293416377816409</v>
      </c>
      <c r="D736" s="54">
        <f ca="1">MAX(0.02,MCDA_Prioritisation!$B$11+(RAND()-0.5)*2*$B$6)</f>
        <v>0.30404185894562252</v>
      </c>
      <c r="E736" s="54">
        <f ca="1">MAX(0.02,MCDA_Prioritisation!$B$12+(RAND()-0.5)*2*$B$6)</f>
        <v>0.14201004965695074</v>
      </c>
      <c r="F736" s="54">
        <f ca="1">MAX(0.02,MCDA_Prioritisation!$B$13+(RAND()-0.5)*2*$B$6)</f>
        <v>0.13987864402576497</v>
      </c>
      <c r="G736" s="54">
        <f t="shared" ca="1" si="154"/>
        <v>1.1566225582655092</v>
      </c>
      <c r="H736" s="54">
        <f t="shared" ca="1" si="155"/>
        <v>0.21420803190156409</v>
      </c>
      <c r="I736" s="54">
        <f t="shared" ca="1" si="156"/>
        <v>0.27920444873774691</v>
      </c>
      <c r="J736" s="54">
        <f t="shared" ca="1" si="157"/>
        <v>0.26287042110052639</v>
      </c>
      <c r="K736" s="54">
        <f t="shared" ca="1" si="158"/>
        <v>0.12277994116759354</v>
      </c>
      <c r="L736" s="54">
        <f t="shared" ca="1" si="159"/>
        <v>0.12093715709256904</v>
      </c>
      <c r="M736" s="54">
        <f ca="1">MIN(100,MAX(0,MCDA_Prioritisation!$F$2+(RAND()-0.5)*2*$B$7))</f>
        <v>75.509955634655512</v>
      </c>
      <c r="N736" s="54">
        <f ca="1">MIN(100,MAX(0,MCDA_Prioritisation!$F$3+(RAND()-0.5)*2*$B$7))</f>
        <v>95.048044018361239</v>
      </c>
      <c r="O736" s="54">
        <f ca="1">MIN(100,MAX(0,MCDA_Prioritisation!$F$4+(RAND()-0.5)*2*$B$7))</f>
        <v>94.377223206057693</v>
      </c>
      <c r="P736" s="54">
        <f ca="1">MIN(100,MAX(0,MCDA_Prioritisation!$F$5+(RAND()-0.5)*2*$B$7))</f>
        <v>77.542579413960709</v>
      </c>
      <c r="Q736" s="54">
        <f ca="1">MIN(100,MAX(0,MCDA_Prioritisation!$G$2+(RAND()-0.5)*2*$B$7))</f>
        <v>87.75925955192136</v>
      </c>
      <c r="R736" s="54">
        <f ca="1">MIN(100,MAX(0,MCDA_Prioritisation!$G$3+(RAND()-0.5)*2*$B$7))</f>
        <v>95.942150512634711</v>
      </c>
      <c r="S736" s="54">
        <f ca="1">MIN(100,MAX(0,MCDA_Prioritisation!$G$4+(RAND()-0.5)*2*$B$7))</f>
        <v>78.819670294431234</v>
      </c>
      <c r="T736" s="54">
        <f ca="1">MIN(100,MAX(0,MCDA_Prioritisation!$G$5+(RAND()-0.5)*2*$B$7))</f>
        <v>71.379166055177279</v>
      </c>
      <c r="U736" s="54">
        <f ca="1">MIN(100,MAX(0,MCDA_Prioritisation!$H$2+(RAND()-0.5)*2*$B$7))</f>
        <v>66.130802398408136</v>
      </c>
      <c r="V736" s="54">
        <f ca="1">MIN(100,MAX(0,MCDA_Prioritisation!$H$3+(RAND()-0.5)*2*$B$7))</f>
        <v>53.446679416904196</v>
      </c>
      <c r="W736" s="54">
        <f ca="1">MIN(100,MAX(0,MCDA_Prioritisation!$H$4+(RAND()-0.5)*2*$B$7))</f>
        <v>79.43400876398907</v>
      </c>
      <c r="X736" s="54">
        <f ca="1">MIN(100,MAX(0,MCDA_Prioritisation!$H$5+(RAND()-0.5)*2*$B$7))</f>
        <v>70.804221641787578</v>
      </c>
      <c r="Y736" s="54">
        <f ca="1">H736*MCDA_Prioritisation!$D$2+I736*MCDA_Prioritisation!$E$2+J736*M736+K736*Q736+L736*U736</f>
        <v>87.963329861905464</v>
      </c>
      <c r="Z736" s="54">
        <f ca="1">H736*MCDA_Prioritisation!$D$3+I736*MCDA_Prioritisation!$E$3+J736*N736+K736*R736+L736*V736</f>
        <v>82.255663438349458</v>
      </c>
      <c r="AA736" s="54">
        <f ca="1">H736*MCDA_Prioritisation!$D$4+I736*MCDA_Prioritisation!$E$4+J736*O736+K736*S736+L736*W736</f>
        <v>74.238499750129236</v>
      </c>
      <c r="AB736" s="54">
        <f ca="1">H736*MCDA_Prioritisation!$D$5+I736*MCDA_Prioritisation!$E$5+J736*P736+K736*T736+L736*X736</f>
        <v>72.558279404869694</v>
      </c>
      <c r="AC736" s="54">
        <f t="shared" ca="1" si="160"/>
        <v>1</v>
      </c>
      <c r="AD736" s="54">
        <f t="shared" ca="1" si="161"/>
        <v>2</v>
      </c>
      <c r="AE736" s="54">
        <f t="shared" ca="1" si="162"/>
        <v>3</v>
      </c>
      <c r="AF736" s="54">
        <f t="shared" ca="1" si="163"/>
        <v>4</v>
      </c>
      <c r="AG736" s="54">
        <f t="shared" ca="1" si="164"/>
        <v>1</v>
      </c>
      <c r="AH736" s="54">
        <f t="shared" ca="1" si="165"/>
        <v>1</v>
      </c>
      <c r="AI736" s="54">
        <f t="shared" ca="1" si="166"/>
        <v>1</v>
      </c>
      <c r="AJ736" s="54">
        <f t="shared" ca="1" si="167"/>
        <v>1</v>
      </c>
    </row>
    <row r="737" spans="1:36" x14ac:dyDescent="0.2">
      <c r="A737" s="54">
        <v>714</v>
      </c>
      <c r="B737" s="54">
        <f ca="1">MAX(0.02,MCDA_Prioritisation!$B$9+(RAND()-0.5)*2*$B$6)</f>
        <v>0.14445110356060287</v>
      </c>
      <c r="C737" s="54">
        <f ca="1">MAX(0.02,MCDA_Prioritisation!$B$10+(RAND()-0.5)*2*$B$6)</f>
        <v>0.25805713265666852</v>
      </c>
      <c r="D737" s="54">
        <f ca="1">MAX(0.02,MCDA_Prioritisation!$B$11+(RAND()-0.5)*2*$B$6)</f>
        <v>0.27925998079067915</v>
      </c>
      <c r="E737" s="54">
        <f ca="1">MAX(0.02,MCDA_Prioritisation!$B$12+(RAND()-0.5)*2*$B$6)</f>
        <v>0.12672093243024604</v>
      </c>
      <c r="F737" s="54">
        <f ca="1">MAX(0.02,MCDA_Prioritisation!$B$13+(RAND()-0.5)*2*$B$6)</f>
        <v>9.4065873425360352E-2</v>
      </c>
      <c r="G737" s="54">
        <f t="shared" ca="1" si="154"/>
        <v>0.90255502286355693</v>
      </c>
      <c r="H737" s="54">
        <f t="shared" ca="1" si="155"/>
        <v>0.16004686684064928</v>
      </c>
      <c r="I737" s="54">
        <f t="shared" ca="1" si="156"/>
        <v>0.28591844942364264</v>
      </c>
      <c r="J737" s="54">
        <f t="shared" ca="1" si="157"/>
        <v>0.30941047771765162</v>
      </c>
      <c r="K737" s="54">
        <f t="shared" ca="1" si="158"/>
        <v>0.14040244552425807</v>
      </c>
      <c r="L737" s="54">
        <f t="shared" ca="1" si="159"/>
        <v>0.10422176049379839</v>
      </c>
      <c r="M737" s="54">
        <f ca="1">MIN(100,MAX(0,MCDA_Prioritisation!$F$2+(RAND()-0.5)*2*$B$7))</f>
        <v>75.789863620944033</v>
      </c>
      <c r="N737" s="54">
        <f ca="1">MIN(100,MAX(0,MCDA_Prioritisation!$F$3+(RAND()-0.5)*2*$B$7))</f>
        <v>88.525203436064388</v>
      </c>
      <c r="O737" s="54">
        <f ca="1">MIN(100,MAX(0,MCDA_Prioritisation!$F$4+(RAND()-0.5)*2*$B$7))</f>
        <v>91.698688106065291</v>
      </c>
      <c r="P737" s="54">
        <f ca="1">MIN(100,MAX(0,MCDA_Prioritisation!$F$5+(RAND()-0.5)*2*$B$7))</f>
        <v>73.634488408815045</v>
      </c>
      <c r="Q737" s="54">
        <f ca="1">MIN(100,MAX(0,MCDA_Prioritisation!$G$2+(RAND()-0.5)*2*$B$7))</f>
        <v>88.770044958245194</v>
      </c>
      <c r="R737" s="54">
        <f ca="1">MIN(100,MAX(0,MCDA_Prioritisation!$G$3+(RAND()-0.5)*2*$B$7))</f>
        <v>99.101921156889219</v>
      </c>
      <c r="S737" s="54">
        <f ca="1">MIN(100,MAX(0,MCDA_Prioritisation!$G$4+(RAND()-0.5)*2*$B$7))</f>
        <v>88.706621606932117</v>
      </c>
      <c r="T737" s="54">
        <f ca="1">MIN(100,MAX(0,MCDA_Prioritisation!$G$5+(RAND()-0.5)*2*$B$7))</f>
        <v>60.70577277838585</v>
      </c>
      <c r="U737" s="54">
        <f ca="1">MIN(100,MAX(0,MCDA_Prioritisation!$H$2+(RAND()-0.5)*2*$B$7))</f>
        <v>74.245037690743231</v>
      </c>
      <c r="V737" s="54">
        <f ca="1">MIN(100,MAX(0,MCDA_Prioritisation!$H$3+(RAND()-0.5)*2*$B$7))</f>
        <v>52.119658006209477</v>
      </c>
      <c r="W737" s="54">
        <f ca="1">MIN(100,MAX(0,MCDA_Prioritisation!$H$4+(RAND()-0.5)*2*$B$7))</f>
        <v>85.96926706170207</v>
      </c>
      <c r="X737" s="54">
        <f ca="1">MIN(100,MAX(0,MCDA_Prioritisation!$H$5+(RAND()-0.5)*2*$B$7))</f>
        <v>78.433370605183995</v>
      </c>
      <c r="Y737" s="54">
        <f ca="1">H737*MCDA_Prioritisation!$D$2+I737*MCDA_Prioritisation!$E$2+J737*M737+K737*Q737+L737*U737</f>
        <v>88.248189473034785</v>
      </c>
      <c r="Z737" s="54">
        <f ca="1">H737*MCDA_Prioritisation!$D$3+I737*MCDA_Prioritisation!$E$3+J737*N737+K737*R737+L737*V737</f>
        <v>81.518439429849522</v>
      </c>
      <c r="AA737" s="54">
        <f ca="1">H737*MCDA_Prioritisation!$D$4+I737*MCDA_Prioritisation!$E$4+J737*O737+K737*S737+L737*W737</f>
        <v>76.527304604238381</v>
      </c>
      <c r="AB737" s="54">
        <f ca="1">H737*MCDA_Prioritisation!$D$5+I737*MCDA_Prioritisation!$E$5+J737*P737+K737*T737+L737*X737</f>
        <v>72.018757365189032</v>
      </c>
      <c r="AC737" s="54">
        <f t="shared" ca="1" si="160"/>
        <v>1</v>
      </c>
      <c r="AD737" s="54">
        <f t="shared" ca="1" si="161"/>
        <v>2</v>
      </c>
      <c r="AE737" s="54">
        <f t="shared" ca="1" si="162"/>
        <v>3</v>
      </c>
      <c r="AF737" s="54">
        <f t="shared" ca="1" si="163"/>
        <v>4</v>
      </c>
      <c r="AG737" s="54">
        <f t="shared" ca="1" si="164"/>
        <v>1</v>
      </c>
      <c r="AH737" s="54">
        <f t="shared" ca="1" si="165"/>
        <v>1</v>
      </c>
      <c r="AI737" s="54">
        <f t="shared" ca="1" si="166"/>
        <v>1</v>
      </c>
      <c r="AJ737" s="54">
        <f t="shared" ca="1" si="167"/>
        <v>1</v>
      </c>
    </row>
    <row r="738" spans="1:36" x14ac:dyDescent="0.2">
      <c r="A738" s="54">
        <v>715</v>
      </c>
      <c r="B738" s="54">
        <f ca="1">MAX(0.02,MCDA_Prioritisation!$B$9+(RAND()-0.5)*2*$B$6)</f>
        <v>0.12471439963200152</v>
      </c>
      <c r="C738" s="54">
        <f ca="1">MAX(0.02,MCDA_Prioritisation!$B$10+(RAND()-0.5)*2*$B$6)</f>
        <v>0.22212779841210492</v>
      </c>
      <c r="D738" s="54">
        <f ca="1">MAX(0.02,MCDA_Prioritisation!$B$11+(RAND()-0.5)*2*$B$6)</f>
        <v>0.19900123746531881</v>
      </c>
      <c r="E738" s="54">
        <f ca="1">MAX(0.02,MCDA_Prioritisation!$B$12+(RAND()-0.5)*2*$B$6)</f>
        <v>0.1969404531885782</v>
      </c>
      <c r="F738" s="54">
        <f ca="1">MAX(0.02,MCDA_Prioritisation!$B$13+(RAND()-0.5)*2*$B$6)</f>
        <v>0.18094373667384964</v>
      </c>
      <c r="G738" s="54">
        <f t="shared" ca="1" si="154"/>
        <v>0.92372762537185316</v>
      </c>
      <c r="H738" s="54">
        <f t="shared" ca="1" si="155"/>
        <v>0.13501209253300922</v>
      </c>
      <c r="I738" s="54">
        <f t="shared" ca="1" si="156"/>
        <v>0.2404689351178447</v>
      </c>
      <c r="J738" s="54">
        <f t="shared" ca="1" si="157"/>
        <v>0.21543280941198378</v>
      </c>
      <c r="K738" s="54">
        <f t="shared" ca="1" si="158"/>
        <v>0.21320186576567784</v>
      </c>
      <c r="L738" s="54">
        <f t="shared" ca="1" si="159"/>
        <v>0.19588429717148434</v>
      </c>
      <c r="M738" s="54">
        <f ca="1">MIN(100,MAX(0,MCDA_Prioritisation!$F$2+(RAND()-0.5)*2*$B$7))</f>
        <v>75.551804238824616</v>
      </c>
      <c r="N738" s="54">
        <f ca="1">MIN(100,MAX(0,MCDA_Prioritisation!$F$3+(RAND()-0.5)*2*$B$7))</f>
        <v>86.25238414044145</v>
      </c>
      <c r="O738" s="54">
        <f ca="1">MIN(100,MAX(0,MCDA_Prioritisation!$F$4+(RAND()-0.5)*2*$B$7))</f>
        <v>87.787067468070262</v>
      </c>
      <c r="P738" s="54">
        <f ca="1">MIN(100,MAX(0,MCDA_Prioritisation!$F$5+(RAND()-0.5)*2*$B$7))</f>
        <v>76.610216229429241</v>
      </c>
      <c r="Q738" s="54">
        <f ca="1">MIN(100,MAX(0,MCDA_Prioritisation!$G$2+(RAND()-0.5)*2*$B$7))</f>
        <v>82.782874743754107</v>
      </c>
      <c r="R738" s="54">
        <f ca="1">MIN(100,MAX(0,MCDA_Prioritisation!$G$3+(RAND()-0.5)*2*$B$7))</f>
        <v>99.489186037686125</v>
      </c>
      <c r="S738" s="54">
        <f ca="1">MIN(100,MAX(0,MCDA_Prioritisation!$G$4+(RAND()-0.5)*2*$B$7))</f>
        <v>88.806153622218218</v>
      </c>
      <c r="T738" s="54">
        <f ca="1">MIN(100,MAX(0,MCDA_Prioritisation!$G$5+(RAND()-0.5)*2*$B$7))</f>
        <v>68.301793209649318</v>
      </c>
      <c r="U738" s="54">
        <f ca="1">MIN(100,MAX(0,MCDA_Prioritisation!$H$2+(RAND()-0.5)*2*$B$7))</f>
        <v>70.209919894699638</v>
      </c>
      <c r="V738" s="54">
        <f ca="1">MIN(100,MAX(0,MCDA_Prioritisation!$H$3+(RAND()-0.5)*2*$B$7))</f>
        <v>66.226432915499728</v>
      </c>
      <c r="W738" s="54">
        <f ca="1">MIN(100,MAX(0,MCDA_Prioritisation!$H$4+(RAND()-0.5)*2*$B$7))</f>
        <v>74.175473441656933</v>
      </c>
      <c r="X738" s="54">
        <f ca="1">MIN(100,MAX(0,MCDA_Prioritisation!$H$5+(RAND()-0.5)*2*$B$7))</f>
        <v>67.71652247906934</v>
      </c>
      <c r="Y738" s="54">
        <f ca="1">H738*MCDA_Prioritisation!$D$2+I738*MCDA_Prioritisation!$E$2+J738*M738+K738*Q738+L738*U738</f>
        <v>85.22692437025384</v>
      </c>
      <c r="Z738" s="54">
        <f ca="1">H738*MCDA_Prioritisation!$D$3+I738*MCDA_Prioritisation!$E$3+J738*N738+K738*R738+L738*V738</f>
        <v>82.053871762436785</v>
      </c>
      <c r="AA738" s="54">
        <f ca="1">H738*MCDA_Prioritisation!$D$4+I738*MCDA_Prioritisation!$E$4+J738*O738+K738*S738+L738*W738</f>
        <v>74.893598512791044</v>
      </c>
      <c r="AB738" s="54">
        <f ca="1">H738*MCDA_Prioritisation!$D$5+I738*MCDA_Prioritisation!$E$5+J738*P738+K738*T738+L738*X738</f>
        <v>71.718165582194501</v>
      </c>
      <c r="AC738" s="54">
        <f t="shared" ca="1" si="160"/>
        <v>1</v>
      </c>
      <c r="AD738" s="54">
        <f t="shared" ca="1" si="161"/>
        <v>2</v>
      </c>
      <c r="AE738" s="54">
        <f t="shared" ca="1" si="162"/>
        <v>3</v>
      </c>
      <c r="AF738" s="54">
        <f t="shared" ca="1" si="163"/>
        <v>4</v>
      </c>
      <c r="AG738" s="54">
        <f t="shared" ca="1" si="164"/>
        <v>1</v>
      </c>
      <c r="AH738" s="54">
        <f t="shared" ca="1" si="165"/>
        <v>1</v>
      </c>
      <c r="AI738" s="54">
        <f t="shared" ca="1" si="166"/>
        <v>1</v>
      </c>
      <c r="AJ738" s="54">
        <f t="shared" ca="1" si="167"/>
        <v>1</v>
      </c>
    </row>
    <row r="739" spans="1:36" x14ac:dyDescent="0.2">
      <c r="A739" s="54">
        <v>716</v>
      </c>
      <c r="B739" s="54">
        <f ca="1">MAX(0.02,MCDA_Prioritisation!$B$9+(RAND()-0.5)*2*$B$6)</f>
        <v>0.2741052794953171</v>
      </c>
      <c r="C739" s="54">
        <f ca="1">MAX(0.02,MCDA_Prioritisation!$B$10+(RAND()-0.5)*2*$B$6)</f>
        <v>0.20010051215697222</v>
      </c>
      <c r="D739" s="54">
        <f ca="1">MAX(0.02,MCDA_Prioritisation!$B$11+(RAND()-0.5)*2*$B$6)</f>
        <v>0.23394662362363955</v>
      </c>
      <c r="E739" s="54">
        <f ca="1">MAX(0.02,MCDA_Prioritisation!$B$12+(RAND()-0.5)*2*$B$6)</f>
        <v>7.1544499527019523E-2</v>
      </c>
      <c r="F739" s="54">
        <f ca="1">MAX(0.02,MCDA_Prioritisation!$B$13+(RAND()-0.5)*2*$B$6)</f>
        <v>0.1933837154425411</v>
      </c>
      <c r="G739" s="54">
        <f t="shared" ca="1" si="154"/>
        <v>0.97308063024548952</v>
      </c>
      <c r="H739" s="54">
        <f t="shared" ca="1" si="155"/>
        <v>0.28168814687654981</v>
      </c>
      <c r="I739" s="54">
        <f t="shared" ca="1" si="156"/>
        <v>0.20563610654390552</v>
      </c>
      <c r="J739" s="54">
        <f t="shared" ca="1" si="157"/>
        <v>0.24041853917554531</v>
      </c>
      <c r="K739" s="54">
        <f t="shared" ca="1" si="158"/>
        <v>7.3523711502684233E-2</v>
      </c>
      <c r="L739" s="54">
        <f t="shared" ca="1" si="159"/>
        <v>0.19873349590131509</v>
      </c>
      <c r="M739" s="54">
        <f ca="1">MIN(100,MAX(0,MCDA_Prioritisation!$F$2+(RAND()-0.5)*2*$B$7))</f>
        <v>75.762971971986872</v>
      </c>
      <c r="N739" s="54">
        <f ca="1">MIN(100,MAX(0,MCDA_Prioritisation!$F$3+(RAND()-0.5)*2*$B$7))</f>
        <v>92.817992334060378</v>
      </c>
      <c r="O739" s="54">
        <f ca="1">MIN(100,MAX(0,MCDA_Prioritisation!$F$4+(RAND()-0.5)*2*$B$7))</f>
        <v>81.535734143228439</v>
      </c>
      <c r="P739" s="54">
        <f ca="1">MIN(100,MAX(0,MCDA_Prioritisation!$F$5+(RAND()-0.5)*2*$B$7))</f>
        <v>74.278969983748027</v>
      </c>
      <c r="Q739" s="54">
        <f ca="1">MIN(100,MAX(0,MCDA_Prioritisation!$G$2+(RAND()-0.5)*2*$B$7))</f>
        <v>82.124962517923649</v>
      </c>
      <c r="R739" s="54">
        <f ca="1">MIN(100,MAX(0,MCDA_Prioritisation!$G$3+(RAND()-0.5)*2*$B$7))</f>
        <v>100</v>
      </c>
      <c r="S739" s="54">
        <f ca="1">MIN(100,MAX(0,MCDA_Prioritisation!$G$4+(RAND()-0.5)*2*$B$7))</f>
        <v>92.432343352515161</v>
      </c>
      <c r="T739" s="54">
        <f ca="1">MIN(100,MAX(0,MCDA_Prioritisation!$G$5+(RAND()-0.5)*2*$B$7))</f>
        <v>63.327622734786253</v>
      </c>
      <c r="U739" s="54">
        <f ca="1">MIN(100,MAX(0,MCDA_Prioritisation!$H$2+(RAND()-0.5)*2*$B$7))</f>
        <v>55.729425735703948</v>
      </c>
      <c r="V739" s="54">
        <f ca="1">MIN(100,MAX(0,MCDA_Prioritisation!$H$3+(RAND()-0.5)*2*$B$7))</f>
        <v>53.718993223409257</v>
      </c>
      <c r="W739" s="54">
        <f ca="1">MIN(100,MAX(0,MCDA_Prioritisation!$H$4+(RAND()-0.5)*2*$B$7))</f>
        <v>84.364436471445927</v>
      </c>
      <c r="X739" s="54">
        <f ca="1">MIN(100,MAX(0,MCDA_Prioritisation!$H$5+(RAND()-0.5)*2*$B$7))</f>
        <v>71.249128572264055</v>
      </c>
      <c r="Y739" s="54">
        <f ca="1">H739*MCDA_Prioritisation!$D$2+I739*MCDA_Prioritisation!$E$2+J739*M739+K739*Q739+L739*U739</f>
        <v>84.060684039514129</v>
      </c>
      <c r="Z739" s="54">
        <f ca="1">H739*MCDA_Prioritisation!$D$3+I739*MCDA_Prioritisation!$E$3+J739*N739+K739*R739+L739*V739</f>
        <v>79.917307493213855</v>
      </c>
      <c r="AA739" s="54">
        <f ca="1">H739*MCDA_Prioritisation!$D$4+I739*MCDA_Prioritisation!$E$4+J739*O739+K739*S739+L739*W739</f>
        <v>73.996331947969423</v>
      </c>
      <c r="AB739" s="54">
        <f ca="1">H739*MCDA_Prioritisation!$D$5+I739*MCDA_Prioritisation!$E$5+J739*P739+K739*T739+L739*X739</f>
        <v>68.916687909079144</v>
      </c>
      <c r="AC739" s="54">
        <f t="shared" ca="1" si="160"/>
        <v>1</v>
      </c>
      <c r="AD739" s="54">
        <f t="shared" ca="1" si="161"/>
        <v>2</v>
      </c>
      <c r="AE739" s="54">
        <f t="shared" ca="1" si="162"/>
        <v>3</v>
      </c>
      <c r="AF739" s="54">
        <f t="shared" ca="1" si="163"/>
        <v>4</v>
      </c>
      <c r="AG739" s="54">
        <f t="shared" ca="1" si="164"/>
        <v>1</v>
      </c>
      <c r="AH739" s="54">
        <f t="shared" ca="1" si="165"/>
        <v>1</v>
      </c>
      <c r="AI739" s="54">
        <f t="shared" ca="1" si="166"/>
        <v>1</v>
      </c>
      <c r="AJ739" s="54">
        <f t="shared" ca="1" si="167"/>
        <v>1</v>
      </c>
    </row>
    <row r="740" spans="1:36" x14ac:dyDescent="0.2">
      <c r="A740" s="54">
        <v>717</v>
      </c>
      <c r="B740" s="54">
        <f ca="1">MAX(0.02,MCDA_Prioritisation!$B$9+(RAND()-0.5)*2*$B$6)</f>
        <v>0.27457302018203872</v>
      </c>
      <c r="C740" s="54">
        <f ca="1">MAX(0.02,MCDA_Prioritisation!$B$10+(RAND()-0.5)*2*$B$6)</f>
        <v>0.28939099302941845</v>
      </c>
      <c r="D740" s="54">
        <f ca="1">MAX(0.02,MCDA_Prioritisation!$B$11+(RAND()-0.5)*2*$B$6)</f>
        <v>0.26542650969445086</v>
      </c>
      <c r="E740" s="54">
        <f ca="1">MAX(0.02,MCDA_Prioritisation!$B$12+(RAND()-0.5)*2*$B$6)</f>
        <v>8.7343890680616446E-2</v>
      </c>
      <c r="F740" s="54">
        <f ca="1">MAX(0.02,MCDA_Prioritisation!$B$13+(RAND()-0.5)*2*$B$6)</f>
        <v>0.11451826324066024</v>
      </c>
      <c r="G740" s="54">
        <f t="shared" ca="1" si="154"/>
        <v>1.0312526768271846</v>
      </c>
      <c r="H740" s="54">
        <f t="shared" ca="1" si="155"/>
        <v>0.26625193451793694</v>
      </c>
      <c r="I740" s="54">
        <f t="shared" ca="1" si="156"/>
        <v>0.28062084058756248</v>
      </c>
      <c r="J740" s="54">
        <f t="shared" ca="1" si="157"/>
        <v>0.25738261403701601</v>
      </c>
      <c r="K740" s="54">
        <f t="shared" ca="1" si="158"/>
        <v>8.4696886265880081E-2</v>
      </c>
      <c r="L740" s="54">
        <f t="shared" ca="1" si="159"/>
        <v>0.11104772459160463</v>
      </c>
      <c r="M740" s="54">
        <f ca="1">MIN(100,MAX(0,MCDA_Prioritisation!$F$2+(RAND()-0.5)*2*$B$7))</f>
        <v>86.477499994477341</v>
      </c>
      <c r="N740" s="54">
        <f ca="1">MIN(100,MAX(0,MCDA_Prioritisation!$F$3+(RAND()-0.5)*2*$B$7))</f>
        <v>91.69815115272506</v>
      </c>
      <c r="O740" s="54">
        <f ca="1">MIN(100,MAX(0,MCDA_Prioritisation!$F$4+(RAND()-0.5)*2*$B$7))</f>
        <v>87.968808126982054</v>
      </c>
      <c r="P740" s="54">
        <f ca="1">MIN(100,MAX(0,MCDA_Prioritisation!$F$5+(RAND()-0.5)*2*$B$7))</f>
        <v>72.606756380979348</v>
      </c>
      <c r="Q740" s="54">
        <f ca="1">MIN(100,MAX(0,MCDA_Prioritisation!$G$2+(RAND()-0.5)*2*$B$7))</f>
        <v>86.235974391501557</v>
      </c>
      <c r="R740" s="54">
        <f ca="1">MIN(100,MAX(0,MCDA_Prioritisation!$G$3+(RAND()-0.5)*2*$B$7))</f>
        <v>97.543043367078326</v>
      </c>
      <c r="S740" s="54">
        <f ca="1">MIN(100,MAX(0,MCDA_Prioritisation!$G$4+(RAND()-0.5)*2*$B$7))</f>
        <v>83.150778895484109</v>
      </c>
      <c r="T740" s="54">
        <f ca="1">MIN(100,MAX(0,MCDA_Prioritisation!$G$5+(RAND()-0.5)*2*$B$7))</f>
        <v>71.41063752650048</v>
      </c>
      <c r="U740" s="54">
        <f ca="1">MIN(100,MAX(0,MCDA_Prioritisation!$H$2+(RAND()-0.5)*2*$B$7))</f>
        <v>71.122119180469497</v>
      </c>
      <c r="V740" s="54">
        <f ca="1">MIN(100,MAX(0,MCDA_Prioritisation!$H$3+(RAND()-0.5)*2*$B$7))</f>
        <v>66.742204741740835</v>
      </c>
      <c r="W740" s="54">
        <f ca="1">MIN(100,MAX(0,MCDA_Prioritisation!$H$4+(RAND()-0.5)*2*$B$7))</f>
        <v>77.943667047391926</v>
      </c>
      <c r="X740" s="54">
        <f ca="1">MIN(100,MAX(0,MCDA_Prioritisation!$H$5+(RAND()-0.5)*2*$B$7))</f>
        <v>76.501299357298549</v>
      </c>
      <c r="Y740" s="54">
        <f ca="1">H740*MCDA_Prioritisation!$D$2+I740*MCDA_Prioritisation!$E$2+J740*M740+K740*Q740+L740*U740</f>
        <v>92.146950532702974</v>
      </c>
      <c r="Z740" s="54">
        <f ca="1">H740*MCDA_Prioritisation!$D$3+I740*MCDA_Prioritisation!$E$3+J740*N740+K740*R740+L740*V740</f>
        <v>82.953037797019732</v>
      </c>
      <c r="AA740" s="54">
        <f ca="1">H740*MCDA_Prioritisation!$D$4+I740*MCDA_Prioritisation!$E$4+J740*O740+K740*S740+L740*W740</f>
        <v>72.186531560233419</v>
      </c>
      <c r="AB740" s="54">
        <f ca="1">H740*MCDA_Prioritisation!$D$5+I740*MCDA_Prioritisation!$E$5+J740*P740+K740*T740+L740*X740</f>
        <v>70.960490556960011</v>
      </c>
      <c r="AC740" s="54">
        <f t="shared" ca="1" si="160"/>
        <v>1</v>
      </c>
      <c r="AD740" s="54">
        <f t="shared" ca="1" si="161"/>
        <v>2</v>
      </c>
      <c r="AE740" s="54">
        <f t="shared" ca="1" si="162"/>
        <v>3</v>
      </c>
      <c r="AF740" s="54">
        <f t="shared" ca="1" si="163"/>
        <v>4</v>
      </c>
      <c r="AG740" s="54">
        <f t="shared" ca="1" si="164"/>
        <v>1</v>
      </c>
      <c r="AH740" s="54">
        <f t="shared" ca="1" si="165"/>
        <v>1</v>
      </c>
      <c r="AI740" s="54">
        <f t="shared" ca="1" si="166"/>
        <v>1</v>
      </c>
      <c r="AJ740" s="54">
        <f t="shared" ca="1" si="167"/>
        <v>1</v>
      </c>
    </row>
    <row r="741" spans="1:36" x14ac:dyDescent="0.2">
      <c r="A741" s="54">
        <v>718</v>
      </c>
      <c r="B741" s="54">
        <f ca="1">MAX(0.02,MCDA_Prioritisation!$B$9+(RAND()-0.5)*2*$B$6)</f>
        <v>0.13823841411868434</v>
      </c>
      <c r="C741" s="54">
        <f ca="1">MAX(0.02,MCDA_Prioritisation!$B$10+(RAND()-0.5)*2*$B$6)</f>
        <v>0.17472870414328007</v>
      </c>
      <c r="D741" s="54">
        <f ca="1">MAX(0.02,MCDA_Prioritisation!$B$11+(RAND()-0.5)*2*$B$6)</f>
        <v>0.18389103893167397</v>
      </c>
      <c r="E741" s="54">
        <f ca="1">MAX(0.02,MCDA_Prioritisation!$B$12+(RAND()-0.5)*2*$B$6)</f>
        <v>0.21092945724338297</v>
      </c>
      <c r="F741" s="54">
        <f ca="1">MAX(0.02,MCDA_Prioritisation!$B$13+(RAND()-0.5)*2*$B$6)</f>
        <v>0.18934782254403243</v>
      </c>
      <c r="G741" s="54">
        <f t="shared" ca="1" si="154"/>
        <v>0.8971354369810538</v>
      </c>
      <c r="H741" s="54">
        <f t="shared" ca="1" si="155"/>
        <v>0.15408867872154261</v>
      </c>
      <c r="I741" s="54">
        <f t="shared" ca="1" si="156"/>
        <v>0.19476290528803411</v>
      </c>
      <c r="J741" s="54">
        <f t="shared" ca="1" si="157"/>
        <v>0.20497578331147506</v>
      </c>
      <c r="K741" s="54">
        <f t="shared" ca="1" si="158"/>
        <v>0.23511439694454683</v>
      </c>
      <c r="L741" s="54">
        <f t="shared" ca="1" si="159"/>
        <v>0.21105823573440136</v>
      </c>
      <c r="M741" s="54">
        <f ca="1">MIN(100,MAX(0,MCDA_Prioritisation!$F$2+(RAND()-0.5)*2*$B$7))</f>
        <v>85.859241796439633</v>
      </c>
      <c r="N741" s="54">
        <f ca="1">MIN(100,MAX(0,MCDA_Prioritisation!$F$3+(RAND()-0.5)*2*$B$7))</f>
        <v>92.425328023880056</v>
      </c>
      <c r="O741" s="54">
        <f ca="1">MIN(100,MAX(0,MCDA_Prioritisation!$F$4+(RAND()-0.5)*2*$B$7))</f>
        <v>87.864183297779661</v>
      </c>
      <c r="P741" s="54">
        <f ca="1">MIN(100,MAX(0,MCDA_Prioritisation!$F$5+(RAND()-0.5)*2*$B$7))</f>
        <v>70.231498505946604</v>
      </c>
      <c r="Q741" s="54">
        <f ca="1">MIN(100,MAX(0,MCDA_Prioritisation!$G$2+(RAND()-0.5)*2*$B$7))</f>
        <v>77.592268070646853</v>
      </c>
      <c r="R741" s="54">
        <f ca="1">MIN(100,MAX(0,MCDA_Prioritisation!$G$3+(RAND()-0.5)*2*$B$7))</f>
        <v>90.860444174296063</v>
      </c>
      <c r="S741" s="54">
        <f ca="1">MIN(100,MAX(0,MCDA_Prioritisation!$G$4+(RAND()-0.5)*2*$B$7))</f>
        <v>91.749519374614707</v>
      </c>
      <c r="T741" s="54">
        <f ca="1">MIN(100,MAX(0,MCDA_Prioritisation!$G$5+(RAND()-0.5)*2*$B$7))</f>
        <v>61.16017526789625</v>
      </c>
      <c r="U741" s="54">
        <f ca="1">MIN(100,MAX(0,MCDA_Prioritisation!$H$2+(RAND()-0.5)*2*$B$7))</f>
        <v>68.035488870451033</v>
      </c>
      <c r="V741" s="54">
        <f ca="1">MIN(100,MAX(0,MCDA_Prioritisation!$H$3+(RAND()-0.5)*2*$B$7))</f>
        <v>67.793933763646322</v>
      </c>
      <c r="W741" s="54">
        <f ca="1">MIN(100,MAX(0,MCDA_Prioritisation!$H$4+(RAND()-0.5)*2*$B$7))</f>
        <v>87.916998916430018</v>
      </c>
      <c r="X741" s="54">
        <f ca="1">MIN(100,MAX(0,MCDA_Prioritisation!$H$5+(RAND()-0.5)*2*$B$7))</f>
        <v>73.676088669080229</v>
      </c>
      <c r="Y741" s="54">
        <f ca="1">H741*MCDA_Prioritisation!$D$2+I741*MCDA_Prioritisation!$E$2+J741*M741+K741*Q741+L741*U741</f>
        <v>85.086733306026872</v>
      </c>
      <c r="Z741" s="54">
        <f ca="1">H741*MCDA_Prioritisation!$D$3+I741*MCDA_Prioritisation!$E$3+J741*N741+K741*R741+L741*V741</f>
        <v>82.247459017361948</v>
      </c>
      <c r="AA741" s="54">
        <f ca="1">H741*MCDA_Prioritisation!$D$4+I741*MCDA_Prioritisation!$E$4+J741*O741+K741*S741+L741*W741</f>
        <v>79.490530354462066</v>
      </c>
      <c r="AB741" s="54">
        <f ca="1">H741*MCDA_Prioritisation!$D$5+I741*MCDA_Prioritisation!$E$5+J741*P741+K741*T741+L741*X741</f>
        <v>68.881522932311952</v>
      </c>
      <c r="AC741" s="54">
        <f t="shared" ca="1" si="160"/>
        <v>1</v>
      </c>
      <c r="AD741" s="54">
        <f t="shared" ca="1" si="161"/>
        <v>2</v>
      </c>
      <c r="AE741" s="54">
        <f t="shared" ca="1" si="162"/>
        <v>3</v>
      </c>
      <c r="AF741" s="54">
        <f t="shared" ca="1" si="163"/>
        <v>4</v>
      </c>
      <c r="AG741" s="54">
        <f t="shared" ca="1" si="164"/>
        <v>1</v>
      </c>
      <c r="AH741" s="54">
        <f t="shared" ca="1" si="165"/>
        <v>1</v>
      </c>
      <c r="AI741" s="54">
        <f t="shared" ca="1" si="166"/>
        <v>1</v>
      </c>
      <c r="AJ741" s="54">
        <f t="shared" ca="1" si="167"/>
        <v>1</v>
      </c>
    </row>
    <row r="742" spans="1:36" x14ac:dyDescent="0.2">
      <c r="A742" s="54">
        <v>719</v>
      </c>
      <c r="B742" s="54">
        <f ca="1">MAX(0.02,MCDA_Prioritisation!$B$9+(RAND()-0.5)*2*$B$6)</f>
        <v>0.14222048816357857</v>
      </c>
      <c r="C742" s="54">
        <f ca="1">MAX(0.02,MCDA_Prioritisation!$B$10+(RAND()-0.5)*2*$B$6)</f>
        <v>0.2545587634007821</v>
      </c>
      <c r="D742" s="54">
        <f ca="1">MAX(0.02,MCDA_Prioritisation!$B$11+(RAND()-0.5)*2*$B$6)</f>
        <v>0.27219768530660537</v>
      </c>
      <c r="E742" s="54">
        <f ca="1">MAX(0.02,MCDA_Prioritisation!$B$12+(RAND()-0.5)*2*$B$6)</f>
        <v>0.18376035877378558</v>
      </c>
      <c r="F742" s="54">
        <f ca="1">MAX(0.02,MCDA_Prioritisation!$B$13+(RAND()-0.5)*2*$B$6)</f>
        <v>0.14399451967028404</v>
      </c>
      <c r="G742" s="54">
        <f t="shared" ca="1" si="154"/>
        <v>0.99673181531503574</v>
      </c>
      <c r="H742" s="54">
        <f t="shared" ca="1" si="155"/>
        <v>0.14268681502719679</v>
      </c>
      <c r="I742" s="54">
        <f t="shared" ca="1" si="156"/>
        <v>0.25539343631799699</v>
      </c>
      <c r="J742" s="54">
        <f t="shared" ca="1" si="157"/>
        <v>0.27309019449787725</v>
      </c>
      <c r="K742" s="54">
        <f t="shared" ca="1" si="158"/>
        <v>0.18436289074980985</v>
      </c>
      <c r="L742" s="54">
        <f t="shared" ca="1" si="159"/>
        <v>0.14446666340711908</v>
      </c>
      <c r="M742" s="54">
        <f ca="1">MIN(100,MAX(0,MCDA_Prioritisation!$F$2+(RAND()-0.5)*2*$B$7))</f>
        <v>82.253073885634578</v>
      </c>
      <c r="N742" s="54">
        <f ca="1">MIN(100,MAX(0,MCDA_Prioritisation!$F$3+(RAND()-0.5)*2*$B$7))</f>
        <v>100</v>
      </c>
      <c r="O742" s="54">
        <f ca="1">MIN(100,MAX(0,MCDA_Prioritisation!$F$4+(RAND()-0.5)*2*$B$7))</f>
        <v>83.335214893490871</v>
      </c>
      <c r="P742" s="54">
        <f ca="1">MIN(100,MAX(0,MCDA_Prioritisation!$F$5+(RAND()-0.5)*2*$B$7))</f>
        <v>69.988389327947999</v>
      </c>
      <c r="Q742" s="54">
        <f ca="1">MIN(100,MAX(0,MCDA_Prioritisation!$G$2+(RAND()-0.5)*2*$B$7))</f>
        <v>84.92726477814162</v>
      </c>
      <c r="R742" s="54">
        <f ca="1">MIN(100,MAX(0,MCDA_Prioritisation!$G$3+(RAND()-0.5)*2*$B$7))</f>
        <v>100</v>
      </c>
      <c r="S742" s="54">
        <f ca="1">MIN(100,MAX(0,MCDA_Prioritisation!$G$4+(RAND()-0.5)*2*$B$7))</f>
        <v>77.478098792524534</v>
      </c>
      <c r="T742" s="54">
        <f ca="1">MIN(100,MAX(0,MCDA_Prioritisation!$G$5+(RAND()-0.5)*2*$B$7))</f>
        <v>67.535587451617417</v>
      </c>
      <c r="U742" s="54">
        <f ca="1">MIN(100,MAX(0,MCDA_Prioritisation!$H$2+(RAND()-0.5)*2*$B$7))</f>
        <v>63.604507604799792</v>
      </c>
      <c r="V742" s="54">
        <f ca="1">MIN(100,MAX(0,MCDA_Prioritisation!$H$3+(RAND()-0.5)*2*$B$7))</f>
        <v>63.3835177245141</v>
      </c>
      <c r="W742" s="54">
        <f ca="1">MIN(100,MAX(0,MCDA_Prioritisation!$H$4+(RAND()-0.5)*2*$B$7))</f>
        <v>70.294476238113873</v>
      </c>
      <c r="X742" s="54">
        <f ca="1">MIN(100,MAX(0,MCDA_Prioritisation!$H$5+(RAND()-0.5)*2*$B$7))</f>
        <v>82.190313345619316</v>
      </c>
      <c r="Y742" s="54">
        <f ca="1">H742*MCDA_Prioritisation!$D$2+I742*MCDA_Prioritisation!$E$2+J742*M742+K742*Q742+L742*U742</f>
        <v>87.116700109286455</v>
      </c>
      <c r="Z742" s="54">
        <f ca="1">H742*MCDA_Prioritisation!$D$3+I742*MCDA_Prioritisation!$E$3+J742*N742+K742*R742+L742*V742</f>
        <v>85.946558578735903</v>
      </c>
      <c r="AA742" s="54">
        <f ca="1">H742*MCDA_Prioritisation!$D$4+I742*MCDA_Prioritisation!$E$4+J742*O742+K742*S742+L742*W742</f>
        <v>71.063746816633625</v>
      </c>
      <c r="AB742" s="54">
        <f ca="1">H742*MCDA_Prioritisation!$D$5+I742*MCDA_Prioritisation!$E$5+J742*P742+K742*T742+L742*X742</f>
        <v>72.487455227901123</v>
      </c>
      <c r="AC742" s="54">
        <f t="shared" ca="1" si="160"/>
        <v>1</v>
      </c>
      <c r="AD742" s="54">
        <f t="shared" ca="1" si="161"/>
        <v>2</v>
      </c>
      <c r="AE742" s="54">
        <f t="shared" ca="1" si="162"/>
        <v>4</v>
      </c>
      <c r="AF742" s="54">
        <f t="shared" ca="1" si="163"/>
        <v>3</v>
      </c>
      <c r="AG742" s="54">
        <f t="shared" ca="1" si="164"/>
        <v>1</v>
      </c>
      <c r="AH742" s="54">
        <f t="shared" ca="1" si="165"/>
        <v>1</v>
      </c>
      <c r="AI742" s="54">
        <f t="shared" ca="1" si="166"/>
        <v>0</v>
      </c>
      <c r="AJ742" s="54">
        <f t="shared" ca="1" si="167"/>
        <v>1</v>
      </c>
    </row>
    <row r="743" spans="1:36" x14ac:dyDescent="0.2">
      <c r="A743" s="54">
        <v>720</v>
      </c>
      <c r="B743" s="54">
        <f ca="1">MAX(0.02,MCDA_Prioritisation!$B$9+(RAND()-0.5)*2*$B$6)</f>
        <v>0.13656932033353472</v>
      </c>
      <c r="C743" s="54">
        <f ca="1">MAX(0.02,MCDA_Prioritisation!$B$10+(RAND()-0.5)*2*$B$6)</f>
        <v>0.27228199729241354</v>
      </c>
      <c r="D743" s="54">
        <f ca="1">MAX(0.02,MCDA_Prioritisation!$B$11+(RAND()-0.5)*2*$B$6)</f>
        <v>0.21468262857108955</v>
      </c>
      <c r="E743" s="54">
        <f ca="1">MAX(0.02,MCDA_Prioritisation!$B$12+(RAND()-0.5)*2*$B$6)</f>
        <v>0.19230705031325926</v>
      </c>
      <c r="F743" s="54">
        <f ca="1">MAX(0.02,MCDA_Prioritisation!$B$13+(RAND()-0.5)*2*$B$6)</f>
        <v>0.1116711430457171</v>
      </c>
      <c r="G743" s="54">
        <f t="shared" ca="1" si="154"/>
        <v>0.92751213955601419</v>
      </c>
      <c r="H743" s="54">
        <f t="shared" ca="1" si="155"/>
        <v>0.14724262304416669</v>
      </c>
      <c r="I743" s="54">
        <f t="shared" ca="1" si="156"/>
        <v>0.29356165346013774</v>
      </c>
      <c r="J743" s="54">
        <f t="shared" ca="1" si="157"/>
        <v>0.23146072101423365</v>
      </c>
      <c r="K743" s="54">
        <f t="shared" ca="1" si="158"/>
        <v>0.20733642408746661</v>
      </c>
      <c r="L743" s="54">
        <f t="shared" ca="1" si="159"/>
        <v>0.12039857839399531</v>
      </c>
      <c r="M743" s="54">
        <f ca="1">MIN(100,MAX(0,MCDA_Prioritisation!$F$2+(RAND()-0.5)*2*$B$7))</f>
        <v>76.493326649345548</v>
      </c>
      <c r="N743" s="54">
        <f ca="1">MIN(100,MAX(0,MCDA_Prioritisation!$F$3+(RAND()-0.5)*2*$B$7))</f>
        <v>87.267137488946531</v>
      </c>
      <c r="O743" s="54">
        <f ca="1">MIN(100,MAX(0,MCDA_Prioritisation!$F$4+(RAND()-0.5)*2*$B$7))</f>
        <v>91.119091899594423</v>
      </c>
      <c r="P743" s="54">
        <f ca="1">MIN(100,MAX(0,MCDA_Prioritisation!$F$5+(RAND()-0.5)*2*$B$7))</f>
        <v>83.26818052356036</v>
      </c>
      <c r="Q743" s="54">
        <f ca="1">MIN(100,MAX(0,MCDA_Prioritisation!$G$2+(RAND()-0.5)*2*$B$7))</f>
        <v>72.228132035789685</v>
      </c>
      <c r="R743" s="54">
        <f ca="1">MIN(100,MAX(0,MCDA_Prioritisation!$G$3+(RAND()-0.5)*2*$B$7))</f>
        <v>96.054133550070247</v>
      </c>
      <c r="S743" s="54">
        <f ca="1">MIN(100,MAX(0,MCDA_Prioritisation!$G$4+(RAND()-0.5)*2*$B$7))</f>
        <v>93.076378375462298</v>
      </c>
      <c r="T743" s="54">
        <f ca="1">MIN(100,MAX(0,MCDA_Prioritisation!$G$5+(RAND()-0.5)*2*$B$7))</f>
        <v>60.73178012572577</v>
      </c>
      <c r="U743" s="54">
        <f ca="1">MIN(100,MAX(0,MCDA_Prioritisation!$H$2+(RAND()-0.5)*2*$B$7))</f>
        <v>62.107676996467532</v>
      </c>
      <c r="V743" s="54">
        <f ca="1">MIN(100,MAX(0,MCDA_Prioritisation!$H$3+(RAND()-0.5)*2*$B$7))</f>
        <v>69.950995990891073</v>
      </c>
      <c r="W743" s="54">
        <f ca="1">MIN(100,MAX(0,MCDA_Prioritisation!$H$4+(RAND()-0.5)*2*$B$7))</f>
        <v>73.876291882360505</v>
      </c>
      <c r="X743" s="54">
        <f ca="1">MIN(100,MAX(0,MCDA_Prioritisation!$H$5+(RAND()-0.5)*2*$B$7))</f>
        <v>66.251868831243215</v>
      </c>
      <c r="Y743" s="54">
        <f ca="1">H743*MCDA_Prioritisation!$D$2+I743*MCDA_Prioritisation!$E$2+J743*M743+K743*Q743+L743*U743</f>
        <v>84.238826822011418</v>
      </c>
      <c r="Z743" s="54">
        <f ca="1">H743*MCDA_Prioritisation!$D$3+I743*MCDA_Prioritisation!$E$3+J743*N743+K743*R743+L743*V743</f>
        <v>82.754913899547873</v>
      </c>
      <c r="AA743" s="54">
        <f ca="1">H743*MCDA_Prioritisation!$D$4+I743*MCDA_Prioritisation!$E$4+J743*O743+K743*S743+L743*W743</f>
        <v>75.548779201599743</v>
      </c>
      <c r="AB743" s="54">
        <f ca="1">H743*MCDA_Prioritisation!$D$5+I743*MCDA_Prioritisation!$E$5+J743*P743+K743*T743+L743*X743</f>
        <v>72.342753595952658</v>
      </c>
      <c r="AC743" s="54">
        <f t="shared" ca="1" si="160"/>
        <v>1</v>
      </c>
      <c r="AD743" s="54">
        <f t="shared" ca="1" si="161"/>
        <v>2</v>
      </c>
      <c r="AE743" s="54">
        <f t="shared" ca="1" si="162"/>
        <v>3</v>
      </c>
      <c r="AF743" s="54">
        <f t="shared" ca="1" si="163"/>
        <v>4</v>
      </c>
      <c r="AG743" s="54">
        <f t="shared" ca="1" si="164"/>
        <v>1</v>
      </c>
      <c r="AH743" s="54">
        <f t="shared" ca="1" si="165"/>
        <v>1</v>
      </c>
      <c r="AI743" s="54">
        <f t="shared" ca="1" si="166"/>
        <v>1</v>
      </c>
      <c r="AJ743" s="54">
        <f t="shared" ca="1" si="167"/>
        <v>1</v>
      </c>
    </row>
    <row r="744" spans="1:36" x14ac:dyDescent="0.2">
      <c r="A744" s="54">
        <v>721</v>
      </c>
      <c r="B744" s="54">
        <f ca="1">MAX(0.02,MCDA_Prioritisation!$B$9+(RAND()-0.5)*2*$B$6)</f>
        <v>0.15487331594303944</v>
      </c>
      <c r="C744" s="54">
        <f ca="1">MAX(0.02,MCDA_Prioritisation!$B$10+(RAND()-0.5)*2*$B$6)</f>
        <v>0.31940110863407911</v>
      </c>
      <c r="D744" s="54">
        <f ca="1">MAX(0.02,MCDA_Prioritisation!$B$11+(RAND()-0.5)*2*$B$6)</f>
        <v>0.18511227634626251</v>
      </c>
      <c r="E744" s="54">
        <f ca="1">MAX(0.02,MCDA_Prioritisation!$B$12+(RAND()-0.5)*2*$B$6)</f>
        <v>0.1411931656578162</v>
      </c>
      <c r="F744" s="54">
        <f ca="1">MAX(0.02,MCDA_Prioritisation!$B$13+(RAND()-0.5)*2*$B$6)</f>
        <v>0.17272402078058444</v>
      </c>
      <c r="G744" s="54">
        <f t="shared" ca="1" si="154"/>
        <v>0.97330388736178164</v>
      </c>
      <c r="H744" s="54">
        <f t="shared" ca="1" si="155"/>
        <v>0.15912123433806064</v>
      </c>
      <c r="I744" s="54">
        <f t="shared" ca="1" si="156"/>
        <v>0.32816175172159384</v>
      </c>
      <c r="J744" s="54">
        <f t="shared" ca="1" si="157"/>
        <v>0.19018959931211638</v>
      </c>
      <c r="K744" s="54">
        <f t="shared" ca="1" si="158"/>
        <v>0.14506586020172138</v>
      </c>
      <c r="L744" s="54">
        <f t="shared" ca="1" si="159"/>
        <v>0.17746155442650779</v>
      </c>
      <c r="M744" s="54">
        <f ca="1">MIN(100,MAX(0,MCDA_Prioritisation!$F$2+(RAND()-0.5)*2*$B$7))</f>
        <v>80.322789709400908</v>
      </c>
      <c r="N744" s="54">
        <f ca="1">MIN(100,MAX(0,MCDA_Prioritisation!$F$3+(RAND()-0.5)*2*$B$7))</f>
        <v>87.210434818884721</v>
      </c>
      <c r="O744" s="54">
        <f ca="1">MIN(100,MAX(0,MCDA_Prioritisation!$F$4+(RAND()-0.5)*2*$B$7))</f>
        <v>97.278908916148879</v>
      </c>
      <c r="P744" s="54">
        <f ca="1">MIN(100,MAX(0,MCDA_Prioritisation!$F$5+(RAND()-0.5)*2*$B$7))</f>
        <v>74.579608135775473</v>
      </c>
      <c r="Q744" s="54">
        <f ca="1">MIN(100,MAX(0,MCDA_Prioritisation!$G$2+(RAND()-0.5)*2*$B$7))</f>
        <v>77.15169095325642</v>
      </c>
      <c r="R744" s="54">
        <f ca="1">MIN(100,MAX(0,MCDA_Prioritisation!$G$3+(RAND()-0.5)*2*$B$7))</f>
        <v>86.6083800121922</v>
      </c>
      <c r="S744" s="54">
        <f ca="1">MIN(100,MAX(0,MCDA_Prioritisation!$G$4+(RAND()-0.5)*2*$B$7))</f>
        <v>93.465666006438624</v>
      </c>
      <c r="T744" s="54">
        <f ca="1">MIN(100,MAX(0,MCDA_Prioritisation!$G$5+(RAND()-0.5)*2*$B$7))</f>
        <v>66.415147498899927</v>
      </c>
      <c r="U744" s="54">
        <f ca="1">MIN(100,MAX(0,MCDA_Prioritisation!$H$2+(RAND()-0.5)*2*$B$7))</f>
        <v>56.501676297715427</v>
      </c>
      <c r="V744" s="54">
        <f ca="1">MIN(100,MAX(0,MCDA_Prioritisation!$H$3+(RAND()-0.5)*2*$B$7))</f>
        <v>59.067094752154027</v>
      </c>
      <c r="W744" s="54">
        <f ca="1">MIN(100,MAX(0,MCDA_Prioritisation!$H$4+(RAND()-0.5)*2*$B$7))</f>
        <v>83.099003193439131</v>
      </c>
      <c r="X744" s="54">
        <f ca="1">MIN(100,MAX(0,MCDA_Prioritisation!$H$5+(RAND()-0.5)*2*$B$7))</f>
        <v>82.988848977252275</v>
      </c>
      <c r="Y744" s="54">
        <f ca="1">H744*MCDA_Prioritisation!$D$2+I744*MCDA_Prioritisation!$E$2+J744*M744+K744*Q744+L744*U744</f>
        <v>85.223809514075242</v>
      </c>
      <c r="Z744" s="54">
        <f ca="1">H744*MCDA_Prioritisation!$D$3+I744*MCDA_Prioritisation!$E$3+J744*N744+K744*R744+L744*V744</f>
        <v>77.405577407764866</v>
      </c>
      <c r="AA744" s="54">
        <f ca="1">H744*MCDA_Prioritisation!$D$4+I744*MCDA_Prioritisation!$E$4+J744*O744+K744*S744+L744*W744</f>
        <v>75.786991486038787</v>
      </c>
      <c r="AB744" s="54">
        <f ca="1">H744*MCDA_Prioritisation!$D$5+I744*MCDA_Prioritisation!$E$5+J744*P744+K744*T744+L744*X744</f>
        <v>74.587087563296265</v>
      </c>
      <c r="AC744" s="54">
        <f t="shared" ca="1" si="160"/>
        <v>1</v>
      </c>
      <c r="AD744" s="54">
        <f t="shared" ca="1" si="161"/>
        <v>2</v>
      </c>
      <c r="AE744" s="54">
        <f t="shared" ca="1" si="162"/>
        <v>3</v>
      </c>
      <c r="AF744" s="54">
        <f t="shared" ca="1" si="163"/>
        <v>4</v>
      </c>
      <c r="AG744" s="54">
        <f t="shared" ca="1" si="164"/>
        <v>1</v>
      </c>
      <c r="AH744" s="54">
        <f t="shared" ca="1" si="165"/>
        <v>1</v>
      </c>
      <c r="AI744" s="54">
        <f t="shared" ca="1" si="166"/>
        <v>1</v>
      </c>
      <c r="AJ744" s="54">
        <f t="shared" ca="1" si="167"/>
        <v>1</v>
      </c>
    </row>
    <row r="745" spans="1:36" x14ac:dyDescent="0.2">
      <c r="A745" s="54">
        <v>722</v>
      </c>
      <c r="B745" s="54">
        <f ca="1">MAX(0.02,MCDA_Prioritisation!$B$9+(RAND()-0.5)*2*$B$6)</f>
        <v>0.27932300589650949</v>
      </c>
      <c r="C745" s="54">
        <f ca="1">MAX(0.02,MCDA_Prioritisation!$B$10+(RAND()-0.5)*2*$B$6)</f>
        <v>0.27088508787864424</v>
      </c>
      <c r="D745" s="54">
        <f ca="1">MAX(0.02,MCDA_Prioritisation!$B$11+(RAND()-0.5)*2*$B$6)</f>
        <v>0.17793640198575805</v>
      </c>
      <c r="E745" s="54">
        <f ca="1">MAX(0.02,MCDA_Prioritisation!$B$12+(RAND()-0.5)*2*$B$6)</f>
        <v>0.16653766500254175</v>
      </c>
      <c r="F745" s="54">
        <f ca="1">MAX(0.02,MCDA_Prioritisation!$B$13+(RAND()-0.5)*2*$B$6)</f>
        <v>0.14350735073081744</v>
      </c>
      <c r="G745" s="54">
        <f t="shared" ca="1" si="154"/>
        <v>1.038189511494271</v>
      </c>
      <c r="H745" s="54">
        <f t="shared" ca="1" si="155"/>
        <v>0.26904818706411182</v>
      </c>
      <c r="I745" s="54">
        <f t="shared" ca="1" si="156"/>
        <v>0.26092065550610127</v>
      </c>
      <c r="J745" s="54">
        <f t="shared" ca="1" si="157"/>
        <v>0.1713910610883107</v>
      </c>
      <c r="K745" s="54">
        <f t="shared" ca="1" si="158"/>
        <v>0.16041162346443213</v>
      </c>
      <c r="L745" s="54">
        <f t="shared" ca="1" si="159"/>
        <v>0.13822847287704404</v>
      </c>
      <c r="M745" s="54">
        <f ca="1">MIN(100,MAX(0,MCDA_Prioritisation!$F$2+(RAND()-0.5)*2*$B$7))</f>
        <v>88.308584960921237</v>
      </c>
      <c r="N745" s="54">
        <f ca="1">MIN(100,MAX(0,MCDA_Prioritisation!$F$3+(RAND()-0.5)*2*$B$7))</f>
        <v>98.516737776338232</v>
      </c>
      <c r="O745" s="54">
        <f ca="1">MIN(100,MAX(0,MCDA_Prioritisation!$F$4+(RAND()-0.5)*2*$B$7))</f>
        <v>81.422971402163725</v>
      </c>
      <c r="P745" s="54">
        <f ca="1">MIN(100,MAX(0,MCDA_Prioritisation!$F$5+(RAND()-0.5)*2*$B$7))</f>
        <v>72.830773539051023</v>
      </c>
      <c r="Q745" s="54">
        <f ca="1">MIN(100,MAX(0,MCDA_Prioritisation!$G$2+(RAND()-0.5)*2*$B$7))</f>
        <v>71.692371407709985</v>
      </c>
      <c r="R745" s="54">
        <f ca="1">MIN(100,MAX(0,MCDA_Prioritisation!$G$3+(RAND()-0.5)*2*$B$7))</f>
        <v>100</v>
      </c>
      <c r="S745" s="54">
        <f ca="1">MIN(100,MAX(0,MCDA_Prioritisation!$G$4+(RAND()-0.5)*2*$B$7))</f>
        <v>89.841224525912239</v>
      </c>
      <c r="T745" s="54">
        <f ca="1">MIN(100,MAX(0,MCDA_Prioritisation!$G$5+(RAND()-0.5)*2*$B$7))</f>
        <v>69.940834442239819</v>
      </c>
      <c r="U745" s="54">
        <f ca="1">MIN(100,MAX(0,MCDA_Prioritisation!$H$2+(RAND()-0.5)*2*$B$7))</f>
        <v>62.690227232791102</v>
      </c>
      <c r="V745" s="54">
        <f ca="1">MIN(100,MAX(0,MCDA_Prioritisation!$H$3+(RAND()-0.5)*2*$B$7))</f>
        <v>67.444536110231581</v>
      </c>
      <c r="W745" s="54">
        <f ca="1">MIN(100,MAX(0,MCDA_Prioritisation!$H$4+(RAND()-0.5)*2*$B$7))</f>
        <v>70.540339073635792</v>
      </c>
      <c r="X745" s="54">
        <f ca="1">MIN(100,MAX(0,MCDA_Prioritisation!$H$5+(RAND()-0.5)*2*$B$7))</f>
        <v>71.259878430891291</v>
      </c>
      <c r="Y745" s="54">
        <f ca="1">H745*MCDA_Prioritisation!$D$2+I745*MCDA_Prioritisation!$E$2+J745*M745+K745*Q745+L745*U745</f>
        <v>88.29805039891022</v>
      </c>
      <c r="Z745" s="54">
        <f ca="1">H745*MCDA_Prioritisation!$D$3+I745*MCDA_Prioritisation!$E$3+J745*N745+K745*R745+L745*V745</f>
        <v>84.738814630501125</v>
      </c>
      <c r="AA745" s="54">
        <f ca="1">H745*MCDA_Prioritisation!$D$4+I745*MCDA_Prioritisation!$E$4+J745*O745+K745*S745+L745*W745</f>
        <v>71.084399367378936</v>
      </c>
      <c r="AB745" s="54">
        <f ca="1">H745*MCDA_Prioritisation!$D$5+I745*MCDA_Prioritisation!$E$5+J745*P745+K745*T745+L745*X745</f>
        <v>69.773037584468241</v>
      </c>
      <c r="AC745" s="54">
        <f t="shared" ca="1" si="160"/>
        <v>1</v>
      </c>
      <c r="AD745" s="54">
        <f t="shared" ca="1" si="161"/>
        <v>2</v>
      </c>
      <c r="AE745" s="54">
        <f t="shared" ca="1" si="162"/>
        <v>3</v>
      </c>
      <c r="AF745" s="54">
        <f t="shared" ca="1" si="163"/>
        <v>4</v>
      </c>
      <c r="AG745" s="54">
        <f t="shared" ca="1" si="164"/>
        <v>1</v>
      </c>
      <c r="AH745" s="54">
        <f t="shared" ca="1" si="165"/>
        <v>1</v>
      </c>
      <c r="AI745" s="54">
        <f t="shared" ca="1" si="166"/>
        <v>1</v>
      </c>
      <c r="AJ745" s="54">
        <f t="shared" ca="1" si="167"/>
        <v>1</v>
      </c>
    </row>
    <row r="746" spans="1:36" x14ac:dyDescent="0.2">
      <c r="A746" s="54">
        <v>723</v>
      </c>
      <c r="B746" s="54">
        <f ca="1">MAX(0.02,MCDA_Prioritisation!$B$9+(RAND()-0.5)*2*$B$6)</f>
        <v>0.20897557020386412</v>
      </c>
      <c r="C746" s="54">
        <f ca="1">MAX(0.02,MCDA_Prioritisation!$B$10+(RAND()-0.5)*2*$B$6)</f>
        <v>0.25794338968834407</v>
      </c>
      <c r="D746" s="54">
        <f ca="1">MAX(0.02,MCDA_Prioritisation!$B$11+(RAND()-0.5)*2*$B$6)</f>
        <v>0.26214696595795872</v>
      </c>
      <c r="E746" s="54">
        <f ca="1">MAX(0.02,MCDA_Prioritisation!$B$12+(RAND()-0.5)*2*$B$6)</f>
        <v>0.16108840277914782</v>
      </c>
      <c r="F746" s="54">
        <f ca="1">MAX(0.02,MCDA_Prioritisation!$B$13+(RAND()-0.5)*2*$B$6)</f>
        <v>0.15177082878394249</v>
      </c>
      <c r="G746" s="54">
        <f t="shared" ca="1" si="154"/>
        <v>1.0419251574132573</v>
      </c>
      <c r="H746" s="54">
        <f t="shared" ca="1" si="155"/>
        <v>0.20056677652613625</v>
      </c>
      <c r="I746" s="54">
        <f t="shared" ca="1" si="156"/>
        <v>0.24756422076296633</v>
      </c>
      <c r="J746" s="54">
        <f t="shared" ca="1" si="157"/>
        <v>0.25159865283297284</v>
      </c>
      <c r="K746" s="54">
        <f t="shared" ca="1" si="158"/>
        <v>0.15460650089213226</v>
      </c>
      <c r="L746" s="54">
        <f t="shared" ca="1" si="159"/>
        <v>0.14566384898579221</v>
      </c>
      <c r="M746" s="54">
        <f ca="1">MIN(100,MAX(0,MCDA_Prioritisation!$F$2+(RAND()-0.5)*2*$B$7))</f>
        <v>82.278776149165679</v>
      </c>
      <c r="N746" s="54">
        <f ca="1">MIN(100,MAX(0,MCDA_Prioritisation!$F$3+(RAND()-0.5)*2*$B$7))</f>
        <v>88.629322121235191</v>
      </c>
      <c r="O746" s="54">
        <f ca="1">MIN(100,MAX(0,MCDA_Prioritisation!$F$4+(RAND()-0.5)*2*$B$7))</f>
        <v>82.286294456283471</v>
      </c>
      <c r="P746" s="54">
        <f ca="1">MIN(100,MAX(0,MCDA_Prioritisation!$F$5+(RAND()-0.5)*2*$B$7))</f>
        <v>71.581941273010315</v>
      </c>
      <c r="Q746" s="54">
        <f ca="1">MIN(100,MAX(0,MCDA_Prioritisation!$G$2+(RAND()-0.5)*2*$B$7))</f>
        <v>71.213253731334476</v>
      </c>
      <c r="R746" s="54">
        <f ca="1">MIN(100,MAX(0,MCDA_Prioritisation!$G$3+(RAND()-0.5)*2*$B$7))</f>
        <v>88.376373252856041</v>
      </c>
      <c r="S746" s="54">
        <f ca="1">MIN(100,MAX(0,MCDA_Prioritisation!$G$4+(RAND()-0.5)*2*$B$7))</f>
        <v>88.223994508010861</v>
      </c>
      <c r="T746" s="54">
        <f ca="1">MIN(100,MAX(0,MCDA_Prioritisation!$G$5+(RAND()-0.5)*2*$B$7))</f>
        <v>74.026169633530429</v>
      </c>
      <c r="U746" s="54">
        <f ca="1">MIN(100,MAX(0,MCDA_Prioritisation!$H$2+(RAND()-0.5)*2*$B$7))</f>
        <v>71.028538084168204</v>
      </c>
      <c r="V746" s="54">
        <f ca="1">MIN(100,MAX(0,MCDA_Prioritisation!$H$3+(RAND()-0.5)*2*$B$7))</f>
        <v>53.008903864783697</v>
      </c>
      <c r="W746" s="54">
        <f ca="1">MIN(100,MAX(0,MCDA_Prioritisation!$H$4+(RAND()-0.5)*2*$B$7))</f>
        <v>76.705391698102005</v>
      </c>
      <c r="X746" s="54">
        <f ca="1">MIN(100,MAX(0,MCDA_Prioritisation!$H$5+(RAND()-0.5)*2*$B$7))</f>
        <v>82.084924936199556</v>
      </c>
      <c r="Y746" s="54">
        <f ca="1">H746*MCDA_Prioritisation!$D$2+I746*MCDA_Prioritisation!$E$2+J746*M746+K746*Q746+L746*U746</f>
        <v>86.870651186505143</v>
      </c>
      <c r="Z746" s="54">
        <f ca="1">H746*MCDA_Prioritisation!$D$3+I746*MCDA_Prioritisation!$E$3+J746*N746+K746*R746+L746*V746</f>
        <v>79.217633774710009</v>
      </c>
      <c r="AA746" s="54">
        <f ca="1">H746*MCDA_Prioritisation!$D$4+I746*MCDA_Prioritisation!$E$4+J746*O746+K746*S746+L746*W746</f>
        <v>72.986120726150034</v>
      </c>
      <c r="AB746" s="54">
        <f ca="1">H746*MCDA_Prioritisation!$D$5+I746*MCDA_Prioritisation!$E$5+J746*P746+K746*T746+L746*X746</f>
        <v>72.874813678026186</v>
      </c>
      <c r="AC746" s="54">
        <f t="shared" ca="1" si="160"/>
        <v>1</v>
      </c>
      <c r="AD746" s="54">
        <f t="shared" ca="1" si="161"/>
        <v>2</v>
      </c>
      <c r="AE746" s="54">
        <f t="shared" ca="1" si="162"/>
        <v>3</v>
      </c>
      <c r="AF746" s="54">
        <f t="shared" ca="1" si="163"/>
        <v>4</v>
      </c>
      <c r="AG746" s="54">
        <f t="shared" ca="1" si="164"/>
        <v>1</v>
      </c>
      <c r="AH746" s="54">
        <f t="shared" ca="1" si="165"/>
        <v>1</v>
      </c>
      <c r="AI746" s="54">
        <f t="shared" ca="1" si="166"/>
        <v>1</v>
      </c>
      <c r="AJ746" s="54">
        <f t="shared" ca="1" si="167"/>
        <v>1</v>
      </c>
    </row>
    <row r="747" spans="1:36" x14ac:dyDescent="0.2">
      <c r="A747" s="54">
        <v>724</v>
      </c>
      <c r="B747" s="54">
        <f ca="1">MAX(0.02,MCDA_Prioritisation!$B$9+(RAND()-0.5)*2*$B$6)</f>
        <v>0.25434608761333144</v>
      </c>
      <c r="C747" s="54">
        <f ca="1">MAX(0.02,MCDA_Prioritisation!$B$10+(RAND()-0.5)*2*$B$6)</f>
        <v>0.25187821194819909</v>
      </c>
      <c r="D747" s="54">
        <f ca="1">MAX(0.02,MCDA_Prioritisation!$B$11+(RAND()-0.5)*2*$B$6)</f>
        <v>0.28262173730942958</v>
      </c>
      <c r="E747" s="54">
        <f ca="1">MAX(0.02,MCDA_Prioritisation!$B$12+(RAND()-0.5)*2*$B$6)</f>
        <v>0.1929023724553886</v>
      </c>
      <c r="F747" s="54">
        <f ca="1">MAX(0.02,MCDA_Prioritisation!$B$13+(RAND()-0.5)*2*$B$6)</f>
        <v>0.22627883741670718</v>
      </c>
      <c r="G747" s="54">
        <f t="shared" ca="1" si="154"/>
        <v>1.2080272467430557</v>
      </c>
      <c r="H747" s="54">
        <f t="shared" ca="1" si="155"/>
        <v>0.21054664809843499</v>
      </c>
      <c r="I747" s="54">
        <f t="shared" ca="1" si="156"/>
        <v>0.20850375074509633</v>
      </c>
      <c r="J747" s="54">
        <f t="shared" ca="1" si="157"/>
        <v>0.23395311494124146</v>
      </c>
      <c r="K747" s="54">
        <f t="shared" ca="1" si="158"/>
        <v>0.15968379270870736</v>
      </c>
      <c r="L747" s="54">
        <f t="shared" ca="1" si="159"/>
        <v>0.18731269350651997</v>
      </c>
      <c r="M747" s="54">
        <f ca="1">MIN(100,MAX(0,MCDA_Prioritisation!$F$2+(RAND()-0.5)*2*$B$7))</f>
        <v>78.586800587041807</v>
      </c>
      <c r="N747" s="54">
        <f ca="1">MIN(100,MAX(0,MCDA_Prioritisation!$F$3+(RAND()-0.5)*2*$B$7))</f>
        <v>100</v>
      </c>
      <c r="O747" s="54">
        <f ca="1">MIN(100,MAX(0,MCDA_Prioritisation!$F$4+(RAND()-0.5)*2*$B$7))</f>
        <v>85.667222313087251</v>
      </c>
      <c r="P747" s="54">
        <f ca="1">MIN(100,MAX(0,MCDA_Prioritisation!$F$5+(RAND()-0.5)*2*$B$7))</f>
        <v>73.807540453746981</v>
      </c>
      <c r="Q747" s="54">
        <f ca="1">MIN(100,MAX(0,MCDA_Prioritisation!$G$2+(RAND()-0.5)*2*$B$7))</f>
        <v>70.598098560370971</v>
      </c>
      <c r="R747" s="54">
        <f ca="1">MIN(100,MAX(0,MCDA_Prioritisation!$G$3+(RAND()-0.5)*2*$B$7))</f>
        <v>95.262295430107869</v>
      </c>
      <c r="S747" s="54">
        <f ca="1">MIN(100,MAX(0,MCDA_Prioritisation!$G$4+(RAND()-0.5)*2*$B$7))</f>
        <v>83.350097575678802</v>
      </c>
      <c r="T747" s="54">
        <f ca="1">MIN(100,MAX(0,MCDA_Prioritisation!$G$5+(RAND()-0.5)*2*$B$7))</f>
        <v>78.731759921850482</v>
      </c>
      <c r="U747" s="54">
        <f ca="1">MIN(100,MAX(0,MCDA_Prioritisation!$H$2+(RAND()-0.5)*2*$B$7))</f>
        <v>60.734523617910028</v>
      </c>
      <c r="V747" s="54">
        <f ca="1">MIN(100,MAX(0,MCDA_Prioritisation!$H$3+(RAND()-0.5)*2*$B$7))</f>
        <v>62.811566961439318</v>
      </c>
      <c r="W747" s="54">
        <f ca="1">MIN(100,MAX(0,MCDA_Prioritisation!$H$4+(RAND()-0.5)*2*$B$7))</f>
        <v>88.632019947620876</v>
      </c>
      <c r="X747" s="54">
        <f ca="1">MIN(100,MAX(0,MCDA_Prioritisation!$H$5+(RAND()-0.5)*2*$B$7))</f>
        <v>78.387256815673851</v>
      </c>
      <c r="Y747" s="54">
        <f ca="1">H747*MCDA_Prioritisation!$D$2+I747*MCDA_Prioritisation!$E$2+J747*M747+K747*Q747+L747*U747</f>
        <v>82.94038601880699</v>
      </c>
      <c r="Z747" s="54">
        <f ca="1">H747*MCDA_Prioritisation!$D$3+I747*MCDA_Prioritisation!$E$3+J747*N747+K747*R747+L747*V747</f>
        <v>83.937580627131837</v>
      </c>
      <c r="AA747" s="54">
        <f ca="1">H747*MCDA_Prioritisation!$D$4+I747*MCDA_Prioritisation!$E$4+J747*O747+K747*S747+L747*W747</f>
        <v>75.98783831209343</v>
      </c>
      <c r="AB747" s="54">
        <f ca="1">H747*MCDA_Prioritisation!$D$5+I747*MCDA_Prioritisation!$E$5+J747*P747+K747*T747+L747*X747</f>
        <v>73.230838882839649</v>
      </c>
      <c r="AC747" s="54">
        <f t="shared" ca="1" si="160"/>
        <v>2</v>
      </c>
      <c r="AD747" s="54">
        <f t="shared" ca="1" si="161"/>
        <v>1</v>
      </c>
      <c r="AE747" s="54">
        <f t="shared" ca="1" si="162"/>
        <v>3</v>
      </c>
      <c r="AF747" s="54">
        <f t="shared" ca="1" si="163"/>
        <v>4</v>
      </c>
      <c r="AG747" s="54">
        <f t="shared" ca="1" si="164"/>
        <v>0</v>
      </c>
      <c r="AH747" s="54">
        <f t="shared" ca="1" si="165"/>
        <v>0</v>
      </c>
      <c r="AI747" s="54">
        <f t="shared" ca="1" si="166"/>
        <v>0</v>
      </c>
      <c r="AJ747" s="54">
        <f t="shared" ca="1" si="167"/>
        <v>1</v>
      </c>
    </row>
    <row r="748" spans="1:36" x14ac:dyDescent="0.2">
      <c r="A748" s="54">
        <v>725</v>
      </c>
      <c r="B748" s="54">
        <f ca="1">MAX(0.02,MCDA_Prioritisation!$B$9+(RAND()-0.5)*2*$B$6)</f>
        <v>0.17131460057074804</v>
      </c>
      <c r="C748" s="54">
        <f ca="1">MAX(0.02,MCDA_Prioritisation!$B$10+(RAND()-0.5)*2*$B$6)</f>
        <v>0.17304432445395079</v>
      </c>
      <c r="D748" s="54">
        <f ca="1">MAX(0.02,MCDA_Prioritisation!$B$11+(RAND()-0.5)*2*$B$6)</f>
        <v>0.18713459913633901</v>
      </c>
      <c r="E748" s="54">
        <f ca="1">MAX(0.02,MCDA_Prioritisation!$B$12+(RAND()-0.5)*2*$B$6)</f>
        <v>0.17278892355512568</v>
      </c>
      <c r="F748" s="54">
        <f ca="1">MAX(0.02,MCDA_Prioritisation!$B$13+(RAND()-0.5)*2*$B$6)</f>
        <v>0.214411422491121</v>
      </c>
      <c r="G748" s="54">
        <f t="shared" ca="1" si="154"/>
        <v>0.91869387020728455</v>
      </c>
      <c r="H748" s="54">
        <f t="shared" ca="1" si="155"/>
        <v>0.18647626388548166</v>
      </c>
      <c r="I748" s="54">
        <f t="shared" ca="1" si="156"/>
        <v>0.1883590715750687</v>
      </c>
      <c r="J748" s="54">
        <f t="shared" ca="1" si="157"/>
        <v>0.20369636198194715</v>
      </c>
      <c r="K748" s="54">
        <f t="shared" ca="1" si="158"/>
        <v>0.18808106721789641</v>
      </c>
      <c r="L748" s="54">
        <f t="shared" ca="1" si="159"/>
        <v>0.23338723533960604</v>
      </c>
      <c r="M748" s="54">
        <f ca="1">MIN(100,MAX(0,MCDA_Prioritisation!$F$2+(RAND()-0.5)*2*$B$7))</f>
        <v>84.504595591579772</v>
      </c>
      <c r="N748" s="54">
        <f ca="1">MIN(100,MAX(0,MCDA_Prioritisation!$F$3+(RAND()-0.5)*2*$B$7))</f>
        <v>91.0021023501385</v>
      </c>
      <c r="O748" s="54">
        <f ca="1">MIN(100,MAX(0,MCDA_Prioritisation!$F$4+(RAND()-0.5)*2*$B$7))</f>
        <v>89.117115429692859</v>
      </c>
      <c r="P748" s="54">
        <f ca="1">MIN(100,MAX(0,MCDA_Prioritisation!$F$5+(RAND()-0.5)*2*$B$7))</f>
        <v>74.131554786320692</v>
      </c>
      <c r="Q748" s="54">
        <f ca="1">MIN(100,MAX(0,MCDA_Prioritisation!$G$2+(RAND()-0.5)*2*$B$7))</f>
        <v>78.393767614948388</v>
      </c>
      <c r="R748" s="54">
        <f ca="1">MIN(100,MAX(0,MCDA_Prioritisation!$G$3+(RAND()-0.5)*2*$B$7))</f>
        <v>100</v>
      </c>
      <c r="S748" s="54">
        <f ca="1">MIN(100,MAX(0,MCDA_Prioritisation!$G$4+(RAND()-0.5)*2*$B$7))</f>
        <v>90.608466174296083</v>
      </c>
      <c r="T748" s="54">
        <f ca="1">MIN(100,MAX(0,MCDA_Prioritisation!$G$5+(RAND()-0.5)*2*$B$7))</f>
        <v>68.908015169367133</v>
      </c>
      <c r="U748" s="54">
        <f ca="1">MIN(100,MAX(0,MCDA_Prioritisation!$H$2+(RAND()-0.5)*2*$B$7))</f>
        <v>70.096471076607571</v>
      </c>
      <c r="V748" s="54">
        <f ca="1">MIN(100,MAX(0,MCDA_Prioritisation!$H$3+(RAND()-0.5)*2*$B$7))</f>
        <v>65.683889915654703</v>
      </c>
      <c r="W748" s="54">
        <f ca="1">MIN(100,MAX(0,MCDA_Prioritisation!$H$4+(RAND()-0.5)*2*$B$7))</f>
        <v>77.831173590081491</v>
      </c>
      <c r="X748" s="54">
        <f ca="1">MIN(100,MAX(0,MCDA_Prioritisation!$H$5+(RAND()-0.5)*2*$B$7))</f>
        <v>81.689837907446901</v>
      </c>
      <c r="Y748" s="54">
        <f ca="1">H748*MCDA_Prioritisation!$D$2+I748*MCDA_Prioritisation!$E$2+J748*M748+K748*Q748+L748*U748</f>
        <v>85.800817306698889</v>
      </c>
      <c r="Z748" s="54">
        <f ca="1">H748*MCDA_Prioritisation!$D$3+I748*MCDA_Prioritisation!$E$3+J748*N748+K748*R748+L748*V748</f>
        <v>82.670963006678932</v>
      </c>
      <c r="AA748" s="54">
        <f ca="1">H748*MCDA_Prioritisation!$D$4+I748*MCDA_Prioritisation!$E$4+J748*O748+K748*S748+L748*W748</f>
        <v>76.618613622146853</v>
      </c>
      <c r="AB748" s="54">
        <f ca="1">H748*MCDA_Prioritisation!$D$5+I748*MCDA_Prioritisation!$E$5+J748*P748+K748*T748+L748*X748</f>
        <v>72.862665676161811</v>
      </c>
      <c r="AC748" s="54">
        <f t="shared" ca="1" si="160"/>
        <v>1</v>
      </c>
      <c r="AD748" s="54">
        <f t="shared" ca="1" si="161"/>
        <v>2</v>
      </c>
      <c r="AE748" s="54">
        <f t="shared" ca="1" si="162"/>
        <v>3</v>
      </c>
      <c r="AF748" s="54">
        <f t="shared" ca="1" si="163"/>
        <v>4</v>
      </c>
      <c r="AG748" s="54">
        <f t="shared" ca="1" si="164"/>
        <v>1</v>
      </c>
      <c r="AH748" s="54">
        <f t="shared" ca="1" si="165"/>
        <v>1</v>
      </c>
      <c r="AI748" s="54">
        <f t="shared" ca="1" si="166"/>
        <v>1</v>
      </c>
      <c r="AJ748" s="54">
        <f t="shared" ca="1" si="167"/>
        <v>1</v>
      </c>
    </row>
    <row r="749" spans="1:36" x14ac:dyDescent="0.2">
      <c r="A749" s="54">
        <v>726</v>
      </c>
      <c r="B749" s="54">
        <f ca="1">MAX(0.02,MCDA_Prioritisation!$B$9+(RAND()-0.5)*2*$B$6)</f>
        <v>0.2093488345742312</v>
      </c>
      <c r="C749" s="54">
        <f ca="1">MAX(0.02,MCDA_Prioritisation!$B$10+(RAND()-0.5)*2*$B$6)</f>
        <v>0.27605526987783779</v>
      </c>
      <c r="D749" s="54">
        <f ca="1">MAX(0.02,MCDA_Prioritisation!$B$11+(RAND()-0.5)*2*$B$6)</f>
        <v>0.30315259325836513</v>
      </c>
      <c r="E749" s="54">
        <f ca="1">MAX(0.02,MCDA_Prioritisation!$B$12+(RAND()-0.5)*2*$B$6)</f>
        <v>0.15480883415328203</v>
      </c>
      <c r="F749" s="54">
        <f ca="1">MAX(0.02,MCDA_Prioritisation!$B$13+(RAND()-0.5)*2*$B$6)</f>
        <v>0.15974178451304444</v>
      </c>
      <c r="G749" s="54">
        <f t="shared" ca="1" si="154"/>
        <v>1.1031073163767606</v>
      </c>
      <c r="H749" s="54">
        <f t="shared" ca="1" si="155"/>
        <v>0.18978102263146371</v>
      </c>
      <c r="I749" s="54">
        <f t="shared" ca="1" si="156"/>
        <v>0.25025241495502198</v>
      </c>
      <c r="J749" s="54">
        <f t="shared" ca="1" si="157"/>
        <v>0.27481695457708749</v>
      </c>
      <c r="K749" s="54">
        <f t="shared" ca="1" si="158"/>
        <v>0.14033886989505551</v>
      </c>
      <c r="L749" s="54">
        <f t="shared" ca="1" si="159"/>
        <v>0.14481073794137128</v>
      </c>
      <c r="M749" s="54">
        <f ca="1">MIN(100,MAX(0,MCDA_Prioritisation!$F$2+(RAND()-0.5)*2*$B$7))</f>
        <v>75.805411024133718</v>
      </c>
      <c r="N749" s="54">
        <f ca="1">MIN(100,MAX(0,MCDA_Prioritisation!$F$3+(RAND()-0.5)*2*$B$7))</f>
        <v>100</v>
      </c>
      <c r="O749" s="54">
        <f ca="1">MIN(100,MAX(0,MCDA_Prioritisation!$F$4+(RAND()-0.5)*2*$B$7))</f>
        <v>94.459168561787919</v>
      </c>
      <c r="P749" s="54">
        <f ca="1">MIN(100,MAX(0,MCDA_Prioritisation!$F$5+(RAND()-0.5)*2*$B$7))</f>
        <v>72.974765827576917</v>
      </c>
      <c r="Q749" s="54">
        <f ca="1">MIN(100,MAX(0,MCDA_Prioritisation!$G$2+(RAND()-0.5)*2*$B$7))</f>
        <v>70.60599032437355</v>
      </c>
      <c r="R749" s="54">
        <f ca="1">MIN(100,MAX(0,MCDA_Prioritisation!$G$3+(RAND()-0.5)*2*$B$7))</f>
        <v>90.283446835056452</v>
      </c>
      <c r="S749" s="54">
        <f ca="1">MIN(100,MAX(0,MCDA_Prioritisation!$G$4+(RAND()-0.5)*2*$B$7))</f>
        <v>85.876397136311539</v>
      </c>
      <c r="T749" s="54">
        <f ca="1">MIN(100,MAX(0,MCDA_Prioritisation!$G$5+(RAND()-0.5)*2*$B$7))</f>
        <v>72.83399640162429</v>
      </c>
      <c r="U749" s="54">
        <f ca="1">MIN(100,MAX(0,MCDA_Prioritisation!$H$2+(RAND()-0.5)*2*$B$7))</f>
        <v>59.519267909574367</v>
      </c>
      <c r="V749" s="54">
        <f ca="1">MIN(100,MAX(0,MCDA_Prioritisation!$H$3+(RAND()-0.5)*2*$B$7))</f>
        <v>50.547493930529569</v>
      </c>
      <c r="W749" s="54">
        <f ca="1">MIN(100,MAX(0,MCDA_Prioritisation!$H$4+(RAND()-0.5)*2*$B$7))</f>
        <v>73.783829048414077</v>
      </c>
      <c r="X749" s="54">
        <f ca="1">MIN(100,MAX(0,MCDA_Prioritisation!$H$5+(RAND()-0.5)*2*$B$7))</f>
        <v>84.25007973885451</v>
      </c>
      <c r="Y749" s="54">
        <f ca="1">H749*MCDA_Prioritisation!$D$2+I749*MCDA_Prioritisation!$E$2+J749*M749+K749*Q749+L749*U749</f>
        <v>83.363749954424833</v>
      </c>
      <c r="Z749" s="54">
        <f ca="1">H749*MCDA_Prioritisation!$D$3+I749*MCDA_Prioritisation!$E$3+J749*N749+K749*R749+L749*V749</f>
        <v>82.258229416541582</v>
      </c>
      <c r="AA749" s="54">
        <f ca="1">H749*MCDA_Prioritisation!$D$4+I749*MCDA_Prioritisation!$E$4+J749*O749+K749*S749+L749*W749</f>
        <v>75.560834787483785</v>
      </c>
      <c r="AB749" s="54">
        <f ca="1">H749*MCDA_Prioritisation!$D$5+I749*MCDA_Prioritisation!$E$5+J749*P749+K749*T749+L749*X749</f>
        <v>73.593209592485508</v>
      </c>
      <c r="AC749" s="54">
        <f t="shared" ca="1" si="160"/>
        <v>1</v>
      </c>
      <c r="AD749" s="54">
        <f t="shared" ca="1" si="161"/>
        <v>2</v>
      </c>
      <c r="AE749" s="54">
        <f t="shared" ca="1" si="162"/>
        <v>3</v>
      </c>
      <c r="AF749" s="54">
        <f t="shared" ca="1" si="163"/>
        <v>4</v>
      </c>
      <c r="AG749" s="54">
        <f t="shared" ca="1" si="164"/>
        <v>1</v>
      </c>
      <c r="AH749" s="54">
        <f t="shared" ca="1" si="165"/>
        <v>1</v>
      </c>
      <c r="AI749" s="54">
        <f t="shared" ca="1" si="166"/>
        <v>1</v>
      </c>
      <c r="AJ749" s="54">
        <f t="shared" ca="1" si="167"/>
        <v>1</v>
      </c>
    </row>
    <row r="750" spans="1:36" x14ac:dyDescent="0.2">
      <c r="A750" s="54">
        <v>727</v>
      </c>
      <c r="B750" s="54">
        <f ca="1">MAX(0.02,MCDA_Prioritisation!$B$9+(RAND()-0.5)*2*$B$6)</f>
        <v>0.15306649789779206</v>
      </c>
      <c r="C750" s="54">
        <f ca="1">MAX(0.02,MCDA_Prioritisation!$B$10+(RAND()-0.5)*2*$B$6)</f>
        <v>0.22171167399783137</v>
      </c>
      <c r="D750" s="54">
        <f ca="1">MAX(0.02,MCDA_Prioritisation!$B$11+(RAND()-0.5)*2*$B$6)</f>
        <v>0.31114678733521822</v>
      </c>
      <c r="E750" s="54">
        <f ca="1">MAX(0.02,MCDA_Prioritisation!$B$12+(RAND()-0.5)*2*$B$6)</f>
        <v>0.16116787638046098</v>
      </c>
      <c r="F750" s="54">
        <f ca="1">MAX(0.02,MCDA_Prioritisation!$B$13+(RAND()-0.5)*2*$B$6)</f>
        <v>7.1357352410650554E-2</v>
      </c>
      <c r="G750" s="54">
        <f t="shared" ca="1" si="154"/>
        <v>0.91845018802195311</v>
      </c>
      <c r="H750" s="54">
        <f t="shared" ca="1" si="155"/>
        <v>0.16665737553764148</v>
      </c>
      <c r="I750" s="54">
        <f t="shared" ca="1" si="156"/>
        <v>0.24139760314636893</v>
      </c>
      <c r="J750" s="54">
        <f t="shared" ca="1" si="157"/>
        <v>0.33877372054910082</v>
      </c>
      <c r="K750" s="54">
        <f t="shared" ca="1" si="158"/>
        <v>0.17547808088271488</v>
      </c>
      <c r="L750" s="54">
        <f t="shared" ca="1" si="159"/>
        <v>7.7693219884173992E-2</v>
      </c>
      <c r="M750" s="54">
        <f ca="1">MIN(100,MAX(0,MCDA_Prioritisation!$F$2+(RAND()-0.5)*2*$B$7))</f>
        <v>90.538623481671436</v>
      </c>
      <c r="N750" s="54">
        <f ca="1">MIN(100,MAX(0,MCDA_Prioritisation!$F$3+(RAND()-0.5)*2*$B$7))</f>
        <v>99.708693840299432</v>
      </c>
      <c r="O750" s="54">
        <f ca="1">MIN(100,MAX(0,MCDA_Prioritisation!$F$4+(RAND()-0.5)*2*$B$7))</f>
        <v>81.940844725664107</v>
      </c>
      <c r="P750" s="54">
        <f ca="1">MIN(100,MAX(0,MCDA_Prioritisation!$F$5+(RAND()-0.5)*2*$B$7))</f>
        <v>81.161699845820408</v>
      </c>
      <c r="Q750" s="54">
        <f ca="1">MIN(100,MAX(0,MCDA_Prioritisation!$G$2+(RAND()-0.5)*2*$B$7))</f>
        <v>71.618128643372572</v>
      </c>
      <c r="R750" s="54">
        <f ca="1">MIN(100,MAX(0,MCDA_Prioritisation!$G$3+(RAND()-0.5)*2*$B$7))</f>
        <v>100</v>
      </c>
      <c r="S750" s="54">
        <f ca="1">MIN(100,MAX(0,MCDA_Prioritisation!$G$4+(RAND()-0.5)*2*$B$7))</f>
        <v>85.514988870752887</v>
      </c>
      <c r="T750" s="54">
        <f ca="1">MIN(100,MAX(0,MCDA_Prioritisation!$G$5+(RAND()-0.5)*2*$B$7))</f>
        <v>75.620195803372866</v>
      </c>
      <c r="U750" s="54">
        <f ca="1">MIN(100,MAX(0,MCDA_Prioritisation!$H$2+(RAND()-0.5)*2*$B$7))</f>
        <v>65.959128310179878</v>
      </c>
      <c r="V750" s="54">
        <f ca="1">MIN(100,MAX(0,MCDA_Prioritisation!$H$3+(RAND()-0.5)*2*$B$7))</f>
        <v>53.996963402933268</v>
      </c>
      <c r="W750" s="54">
        <f ca="1">MIN(100,MAX(0,MCDA_Prioritisation!$H$4+(RAND()-0.5)*2*$B$7))</f>
        <v>74.341859786496968</v>
      </c>
      <c r="X750" s="54">
        <f ca="1">MIN(100,MAX(0,MCDA_Prioritisation!$H$5+(RAND()-0.5)*2*$B$7))</f>
        <v>71.787137486825799</v>
      </c>
      <c r="Y750" s="54">
        <f ca="1">H750*MCDA_Prioritisation!$D$2+I750*MCDA_Prioritisation!$E$2+J750*M750+K750*Q750+L750*U750</f>
        <v>89.169593028602719</v>
      </c>
      <c r="Z750" s="54">
        <f ca="1">H750*MCDA_Prioritisation!$D$3+I750*MCDA_Prioritisation!$E$3+J750*N750+K750*R750+L750*V750</f>
        <v>87.643208403467227</v>
      </c>
      <c r="AA750" s="54">
        <f ca="1">H750*MCDA_Prioritisation!$D$4+I750*MCDA_Prioritisation!$E$4+J750*O750+K750*S750+L750*W750</f>
        <v>73.313451335480877</v>
      </c>
      <c r="AB750" s="54">
        <f ca="1">H750*MCDA_Prioritisation!$D$5+I750*MCDA_Prioritisation!$E$5+J750*P750+K750*T750+L750*X750</f>
        <v>75.487344119006252</v>
      </c>
      <c r="AC750" s="54">
        <f t="shared" ca="1" si="160"/>
        <v>1</v>
      </c>
      <c r="AD750" s="54">
        <f t="shared" ca="1" si="161"/>
        <v>2</v>
      </c>
      <c r="AE750" s="54">
        <f t="shared" ca="1" si="162"/>
        <v>4</v>
      </c>
      <c r="AF750" s="54">
        <f t="shared" ca="1" si="163"/>
        <v>3</v>
      </c>
      <c r="AG750" s="54">
        <f t="shared" ca="1" si="164"/>
        <v>1</v>
      </c>
      <c r="AH750" s="54">
        <f t="shared" ca="1" si="165"/>
        <v>1</v>
      </c>
      <c r="AI750" s="54">
        <f t="shared" ca="1" si="166"/>
        <v>0</v>
      </c>
      <c r="AJ750" s="54">
        <f t="shared" ca="1" si="167"/>
        <v>1</v>
      </c>
    </row>
    <row r="751" spans="1:36" x14ac:dyDescent="0.2">
      <c r="A751" s="54">
        <v>728</v>
      </c>
      <c r="B751" s="54">
        <f ca="1">MAX(0.02,MCDA_Prioritisation!$B$9+(RAND()-0.5)*2*$B$6)</f>
        <v>0.14068647352162816</v>
      </c>
      <c r="C751" s="54">
        <f ca="1">MAX(0.02,MCDA_Prioritisation!$B$10+(RAND()-0.5)*2*$B$6)</f>
        <v>0.26676622822317198</v>
      </c>
      <c r="D751" s="54">
        <f ca="1">MAX(0.02,MCDA_Prioritisation!$B$11+(RAND()-0.5)*2*$B$6)</f>
        <v>0.3248634903293528</v>
      </c>
      <c r="E751" s="54">
        <f ca="1">MAX(0.02,MCDA_Prioritisation!$B$12+(RAND()-0.5)*2*$B$6)</f>
        <v>0.11464986315453476</v>
      </c>
      <c r="F751" s="54">
        <f ca="1">MAX(0.02,MCDA_Prioritisation!$B$13+(RAND()-0.5)*2*$B$6)</f>
        <v>7.9011388020001419E-2</v>
      </c>
      <c r="G751" s="54">
        <f t="shared" ca="1" si="154"/>
        <v>0.92597744324868914</v>
      </c>
      <c r="H751" s="54">
        <f t="shared" ca="1" si="155"/>
        <v>0.15193293805089386</v>
      </c>
      <c r="I751" s="54">
        <f t="shared" ca="1" si="156"/>
        <v>0.28809149744215395</v>
      </c>
      <c r="J751" s="54">
        <f t="shared" ca="1" si="157"/>
        <v>0.35083304965788936</v>
      </c>
      <c r="K751" s="54">
        <f t="shared" ca="1" si="158"/>
        <v>0.123814963302236</v>
      </c>
      <c r="L751" s="54">
        <f t="shared" ca="1" si="159"/>
        <v>8.5327551546826808E-2</v>
      </c>
      <c r="M751" s="54">
        <f ca="1">MIN(100,MAX(0,MCDA_Prioritisation!$F$2+(RAND()-0.5)*2*$B$7))</f>
        <v>75.470858113892504</v>
      </c>
      <c r="N751" s="54">
        <f ca="1">MIN(100,MAX(0,MCDA_Prioritisation!$F$3+(RAND()-0.5)*2*$B$7))</f>
        <v>100</v>
      </c>
      <c r="O751" s="54">
        <f ca="1">MIN(100,MAX(0,MCDA_Prioritisation!$F$4+(RAND()-0.5)*2*$B$7))</f>
        <v>95.093962508477006</v>
      </c>
      <c r="P751" s="54">
        <f ca="1">MIN(100,MAX(0,MCDA_Prioritisation!$F$5+(RAND()-0.5)*2*$B$7))</f>
        <v>82.252985878595226</v>
      </c>
      <c r="Q751" s="54">
        <f ca="1">MIN(100,MAX(0,MCDA_Prioritisation!$G$2+(RAND()-0.5)*2*$B$7))</f>
        <v>85.179591761635947</v>
      </c>
      <c r="R751" s="54">
        <f ca="1">MIN(100,MAX(0,MCDA_Prioritisation!$G$3+(RAND()-0.5)*2*$B$7))</f>
        <v>87.17618642601964</v>
      </c>
      <c r="S751" s="54">
        <f ca="1">MIN(100,MAX(0,MCDA_Prioritisation!$G$4+(RAND()-0.5)*2*$B$7))</f>
        <v>79.015280267918698</v>
      </c>
      <c r="T751" s="54">
        <f ca="1">MIN(100,MAX(0,MCDA_Prioritisation!$G$5+(RAND()-0.5)*2*$B$7))</f>
        <v>76.638374486138432</v>
      </c>
      <c r="U751" s="54">
        <f ca="1">MIN(100,MAX(0,MCDA_Prioritisation!$H$2+(RAND()-0.5)*2*$B$7))</f>
        <v>60.501358413662942</v>
      </c>
      <c r="V751" s="54">
        <f ca="1">MIN(100,MAX(0,MCDA_Prioritisation!$H$3+(RAND()-0.5)*2*$B$7))</f>
        <v>55.904761479835066</v>
      </c>
      <c r="W751" s="54">
        <f ca="1">MIN(100,MAX(0,MCDA_Prioritisation!$H$4+(RAND()-0.5)*2*$B$7))</f>
        <v>81.090543877180266</v>
      </c>
      <c r="X751" s="54">
        <f ca="1">MIN(100,MAX(0,MCDA_Prioritisation!$H$5+(RAND()-0.5)*2*$B$7))</f>
        <v>81.49107318013246</v>
      </c>
      <c r="Y751" s="54">
        <f ca="1">H751*MCDA_Prioritisation!$D$2+I751*MCDA_Prioritisation!$E$2+J751*M751+K751*Q751+L751*U751</f>
        <v>86.189055668460824</v>
      </c>
      <c r="Z751" s="54">
        <f ca="1">H751*MCDA_Prioritisation!$D$3+I751*MCDA_Prioritisation!$E$3+J751*N751+K751*R751+L751*V751</f>
        <v>84.877805175849147</v>
      </c>
      <c r="AA751" s="54">
        <f ca="1">H751*MCDA_Prioritisation!$D$4+I751*MCDA_Prioritisation!$E$4+J751*O751+K751*S751+L751*W751</f>
        <v>76.358434791695899</v>
      </c>
      <c r="AB751" s="54">
        <f ca="1">H751*MCDA_Prioritisation!$D$5+I751*MCDA_Prioritisation!$E$5+J751*P751+K751*T751+L751*X751</f>
        <v>77.589328952753164</v>
      </c>
      <c r="AC751" s="54">
        <f t="shared" ca="1" si="160"/>
        <v>1</v>
      </c>
      <c r="AD751" s="54">
        <f t="shared" ca="1" si="161"/>
        <v>2</v>
      </c>
      <c r="AE751" s="54">
        <f t="shared" ca="1" si="162"/>
        <v>4</v>
      </c>
      <c r="AF751" s="54">
        <f t="shared" ca="1" si="163"/>
        <v>3</v>
      </c>
      <c r="AG751" s="54">
        <f t="shared" ca="1" si="164"/>
        <v>1</v>
      </c>
      <c r="AH751" s="54">
        <f t="shared" ca="1" si="165"/>
        <v>1</v>
      </c>
      <c r="AI751" s="54">
        <f t="shared" ca="1" si="166"/>
        <v>0</v>
      </c>
      <c r="AJ751" s="54">
        <f t="shared" ca="1" si="167"/>
        <v>1</v>
      </c>
    </row>
    <row r="752" spans="1:36" x14ac:dyDescent="0.2">
      <c r="A752" s="54">
        <v>729</v>
      </c>
      <c r="B752" s="54">
        <f ca="1">MAX(0.02,MCDA_Prioritisation!$B$9+(RAND()-0.5)*2*$B$6)</f>
        <v>0.21870286152861798</v>
      </c>
      <c r="C752" s="54">
        <f ca="1">MAX(0.02,MCDA_Prioritisation!$B$10+(RAND()-0.5)*2*$B$6)</f>
        <v>0.25166831339365203</v>
      </c>
      <c r="D752" s="54">
        <f ca="1">MAX(0.02,MCDA_Prioritisation!$B$11+(RAND()-0.5)*2*$B$6)</f>
        <v>0.2651668287290081</v>
      </c>
      <c r="E752" s="54">
        <f ca="1">MAX(0.02,MCDA_Prioritisation!$B$12+(RAND()-0.5)*2*$B$6)</f>
        <v>0.1341447456133705</v>
      </c>
      <c r="F752" s="54">
        <f ca="1">MAX(0.02,MCDA_Prioritisation!$B$13+(RAND()-0.5)*2*$B$6)</f>
        <v>0.16757899466487081</v>
      </c>
      <c r="G752" s="54">
        <f t="shared" ca="1" si="154"/>
        <v>1.0372617439295193</v>
      </c>
      <c r="H752" s="54">
        <f t="shared" ca="1" si="155"/>
        <v>0.2108463585093702</v>
      </c>
      <c r="I752" s="54">
        <f t="shared" ca="1" si="156"/>
        <v>0.24262758639901463</v>
      </c>
      <c r="J752" s="54">
        <f t="shared" ca="1" si="157"/>
        <v>0.25564119209145908</v>
      </c>
      <c r="K752" s="54">
        <f t="shared" ca="1" si="158"/>
        <v>0.12932583930569166</v>
      </c>
      <c r="L752" s="54">
        <f t="shared" ca="1" si="159"/>
        <v>0.16155902369446454</v>
      </c>
      <c r="M752" s="54">
        <f ca="1">MIN(100,MAX(0,MCDA_Prioritisation!$F$2+(RAND()-0.5)*2*$B$7))</f>
        <v>81.444756103013034</v>
      </c>
      <c r="N752" s="54">
        <f ca="1">MIN(100,MAX(0,MCDA_Prioritisation!$F$3+(RAND()-0.5)*2*$B$7))</f>
        <v>99.024269816517062</v>
      </c>
      <c r="O752" s="54">
        <f ca="1">MIN(100,MAX(0,MCDA_Prioritisation!$F$4+(RAND()-0.5)*2*$B$7))</f>
        <v>96.462437992972767</v>
      </c>
      <c r="P752" s="54">
        <f ca="1">MIN(100,MAX(0,MCDA_Prioritisation!$F$5+(RAND()-0.5)*2*$B$7))</f>
        <v>67.601964464172227</v>
      </c>
      <c r="Q752" s="54">
        <f ca="1">MIN(100,MAX(0,MCDA_Prioritisation!$G$2+(RAND()-0.5)*2*$B$7))</f>
        <v>72.810930833576521</v>
      </c>
      <c r="R752" s="54">
        <f ca="1">MIN(100,MAX(0,MCDA_Prioritisation!$G$3+(RAND()-0.5)*2*$B$7))</f>
        <v>88.826583192554423</v>
      </c>
      <c r="S752" s="54">
        <f ca="1">MIN(100,MAX(0,MCDA_Prioritisation!$G$4+(RAND()-0.5)*2*$B$7))</f>
        <v>87.73141384293011</v>
      </c>
      <c r="T752" s="54">
        <f ca="1">MIN(100,MAX(0,MCDA_Prioritisation!$G$5+(RAND()-0.5)*2*$B$7))</f>
        <v>68.764276650029359</v>
      </c>
      <c r="U752" s="54">
        <f ca="1">MIN(100,MAX(0,MCDA_Prioritisation!$H$2+(RAND()-0.5)*2*$B$7))</f>
        <v>66.713929603377949</v>
      </c>
      <c r="V752" s="54">
        <f ca="1">MIN(100,MAX(0,MCDA_Prioritisation!$H$3+(RAND()-0.5)*2*$B$7))</f>
        <v>66.554578758865247</v>
      </c>
      <c r="W752" s="54">
        <f ca="1">MIN(100,MAX(0,MCDA_Prioritisation!$H$4+(RAND()-0.5)*2*$B$7))</f>
        <v>86.938577857594495</v>
      </c>
      <c r="X752" s="54">
        <f ca="1">MIN(100,MAX(0,MCDA_Prioritisation!$H$5+(RAND()-0.5)*2*$B$7))</f>
        <v>78.437187599767427</v>
      </c>
      <c r="Y752" s="54">
        <f ca="1">H752*MCDA_Prioritisation!$D$2+I752*MCDA_Prioritisation!$E$2+J752*M752+K752*Q752+L752*U752</f>
        <v>86.362601104834795</v>
      </c>
      <c r="Z752" s="54">
        <f ca="1">H752*MCDA_Prioritisation!$D$3+I752*MCDA_Prioritisation!$E$3+J752*N752+K752*R752+L752*V752</f>
        <v>83.627695522983814</v>
      </c>
      <c r="AA752" s="54">
        <f ca="1">H752*MCDA_Prioritisation!$D$4+I752*MCDA_Prioritisation!$E$4+J752*O752+K752*S752+L752*W752</f>
        <v>77.967756039804314</v>
      </c>
      <c r="AB752" s="54">
        <f ca="1">H752*MCDA_Prioritisation!$D$5+I752*MCDA_Prioritisation!$E$5+J752*P752+K752*T752+L752*X752</f>
        <v>70.440712429723447</v>
      </c>
      <c r="AC752" s="54">
        <f t="shared" ca="1" si="160"/>
        <v>1</v>
      </c>
      <c r="AD752" s="54">
        <f t="shared" ca="1" si="161"/>
        <v>2</v>
      </c>
      <c r="AE752" s="54">
        <f t="shared" ca="1" si="162"/>
        <v>3</v>
      </c>
      <c r="AF752" s="54">
        <f t="shared" ca="1" si="163"/>
        <v>4</v>
      </c>
      <c r="AG752" s="54">
        <f t="shared" ca="1" si="164"/>
        <v>1</v>
      </c>
      <c r="AH752" s="54">
        <f t="shared" ca="1" si="165"/>
        <v>1</v>
      </c>
      <c r="AI752" s="54">
        <f t="shared" ca="1" si="166"/>
        <v>1</v>
      </c>
      <c r="AJ752" s="54">
        <f t="shared" ca="1" si="167"/>
        <v>1</v>
      </c>
    </row>
    <row r="753" spans="1:36" x14ac:dyDescent="0.2">
      <c r="A753" s="54">
        <v>730</v>
      </c>
      <c r="B753" s="54">
        <f ca="1">MAX(0.02,MCDA_Prioritisation!$B$9+(RAND()-0.5)*2*$B$6)</f>
        <v>0.26651780544849035</v>
      </c>
      <c r="C753" s="54">
        <f ca="1">MAX(0.02,MCDA_Prioritisation!$B$10+(RAND()-0.5)*2*$B$6)</f>
        <v>0.30345995833179623</v>
      </c>
      <c r="D753" s="54">
        <f ca="1">MAX(0.02,MCDA_Prioritisation!$B$11+(RAND()-0.5)*2*$B$6)</f>
        <v>0.22262812855772307</v>
      </c>
      <c r="E753" s="54">
        <f ca="1">MAX(0.02,MCDA_Prioritisation!$B$12+(RAND()-0.5)*2*$B$6)</f>
        <v>0.17792199670282977</v>
      </c>
      <c r="F753" s="54">
        <f ca="1">MAX(0.02,MCDA_Prioritisation!$B$13+(RAND()-0.5)*2*$B$6)</f>
        <v>0.22854777214330957</v>
      </c>
      <c r="G753" s="54">
        <f t="shared" ca="1" si="154"/>
        <v>1.1990756611841489</v>
      </c>
      <c r="H753" s="54">
        <f t="shared" ca="1" si="155"/>
        <v>0.22226938138773522</v>
      </c>
      <c r="I753" s="54">
        <f t="shared" ca="1" si="156"/>
        <v>0.25307824031063553</v>
      </c>
      <c r="J753" s="54">
        <f t="shared" ca="1" si="157"/>
        <v>0.185666456058216</v>
      </c>
      <c r="K753" s="54">
        <f t="shared" ca="1" si="158"/>
        <v>0.1483826271038832</v>
      </c>
      <c r="L753" s="54">
        <f t="shared" ca="1" si="159"/>
        <v>0.19060329513953014</v>
      </c>
      <c r="M753" s="54">
        <f ca="1">MIN(100,MAX(0,MCDA_Prioritisation!$F$2+(RAND()-0.5)*2*$B$7))</f>
        <v>89.112756168395819</v>
      </c>
      <c r="N753" s="54">
        <f ca="1">MIN(100,MAX(0,MCDA_Prioritisation!$F$3+(RAND()-0.5)*2*$B$7))</f>
        <v>85.11286145687113</v>
      </c>
      <c r="O753" s="54">
        <f ca="1">MIN(100,MAX(0,MCDA_Prioritisation!$F$4+(RAND()-0.5)*2*$B$7))</f>
        <v>95.897546361002412</v>
      </c>
      <c r="P753" s="54">
        <f ca="1">MIN(100,MAX(0,MCDA_Prioritisation!$F$5+(RAND()-0.5)*2*$B$7))</f>
        <v>84.097010378024365</v>
      </c>
      <c r="Q753" s="54">
        <f ca="1">MIN(100,MAX(0,MCDA_Prioritisation!$G$2+(RAND()-0.5)*2*$B$7))</f>
        <v>89.751565343083328</v>
      </c>
      <c r="R753" s="54">
        <f ca="1">MIN(100,MAX(0,MCDA_Prioritisation!$G$3+(RAND()-0.5)*2*$B$7))</f>
        <v>90.196560399049417</v>
      </c>
      <c r="S753" s="54">
        <f ca="1">MIN(100,MAX(0,MCDA_Prioritisation!$G$4+(RAND()-0.5)*2*$B$7))</f>
        <v>77.919233686731957</v>
      </c>
      <c r="T753" s="54">
        <f ca="1">MIN(100,MAX(0,MCDA_Prioritisation!$G$5+(RAND()-0.5)*2*$B$7))</f>
        <v>63.110987079844072</v>
      </c>
      <c r="U753" s="54">
        <f ca="1">MIN(100,MAX(0,MCDA_Prioritisation!$H$2+(RAND()-0.5)*2*$B$7))</f>
        <v>59.652354253558819</v>
      </c>
      <c r="V753" s="54">
        <f ca="1">MIN(100,MAX(0,MCDA_Prioritisation!$H$3+(RAND()-0.5)*2*$B$7))</f>
        <v>58.196830233022133</v>
      </c>
      <c r="W753" s="54">
        <f ca="1">MIN(100,MAX(0,MCDA_Prioritisation!$H$4+(RAND()-0.5)*2*$B$7))</f>
        <v>86.551217693723871</v>
      </c>
      <c r="X753" s="54">
        <f ca="1">MIN(100,MAX(0,MCDA_Prioritisation!$H$5+(RAND()-0.5)*2*$B$7))</f>
        <v>76.522862048939075</v>
      </c>
      <c r="Y753" s="54">
        <f ca="1">H753*MCDA_Prioritisation!$D$2+I753*MCDA_Prioritisation!$E$2+J753*M753+K753*Q753+L753*U753</f>
        <v>88.767520133054475</v>
      </c>
      <c r="Z753" s="54">
        <f ca="1">H753*MCDA_Prioritisation!$D$3+I753*MCDA_Prioritisation!$E$3+J753*N753+K753*R753+L753*V753</f>
        <v>78.110045150468608</v>
      </c>
      <c r="AA753" s="54">
        <f ca="1">H753*MCDA_Prioritisation!$D$4+I753*MCDA_Prioritisation!$E$4+J753*O753+K753*S753+L753*W753</f>
        <v>75.14556620487599</v>
      </c>
      <c r="AB753" s="54">
        <f ca="1">H753*MCDA_Prioritisation!$D$5+I753*MCDA_Prioritisation!$E$5+J753*P753+K753*T753+L753*X753</f>
        <v>72.642802100194103</v>
      </c>
      <c r="AC753" s="54">
        <f t="shared" ca="1" si="160"/>
        <v>1</v>
      </c>
      <c r="AD753" s="54">
        <f t="shared" ca="1" si="161"/>
        <v>2</v>
      </c>
      <c r="AE753" s="54">
        <f t="shared" ca="1" si="162"/>
        <v>3</v>
      </c>
      <c r="AF753" s="54">
        <f t="shared" ca="1" si="163"/>
        <v>4</v>
      </c>
      <c r="AG753" s="54">
        <f t="shared" ca="1" si="164"/>
        <v>1</v>
      </c>
      <c r="AH753" s="54">
        <f t="shared" ca="1" si="165"/>
        <v>1</v>
      </c>
      <c r="AI753" s="54">
        <f t="shared" ca="1" si="166"/>
        <v>1</v>
      </c>
      <c r="AJ753" s="54">
        <f t="shared" ca="1" si="167"/>
        <v>1</v>
      </c>
    </row>
    <row r="754" spans="1:36" x14ac:dyDescent="0.2">
      <c r="A754" s="54">
        <v>731</v>
      </c>
      <c r="B754" s="54">
        <f ca="1">MAX(0.02,MCDA_Prioritisation!$B$9+(RAND()-0.5)*2*$B$6)</f>
        <v>0.13618461726037556</v>
      </c>
      <c r="C754" s="54">
        <f ca="1">MAX(0.02,MCDA_Prioritisation!$B$10+(RAND()-0.5)*2*$B$6)</f>
        <v>0.3005563353963292</v>
      </c>
      <c r="D754" s="54">
        <f ca="1">MAX(0.02,MCDA_Prioritisation!$B$11+(RAND()-0.5)*2*$B$6)</f>
        <v>0.26114363704602411</v>
      </c>
      <c r="E754" s="54">
        <f ca="1">MAX(0.02,MCDA_Prioritisation!$B$12+(RAND()-0.5)*2*$B$6)</f>
        <v>0.13643678882739799</v>
      </c>
      <c r="F754" s="54">
        <f ca="1">MAX(0.02,MCDA_Prioritisation!$B$13+(RAND()-0.5)*2*$B$6)</f>
        <v>0.12772318562010282</v>
      </c>
      <c r="G754" s="54">
        <f t="shared" ca="1" si="154"/>
        <v>0.96204456415022954</v>
      </c>
      <c r="H754" s="54">
        <f t="shared" ca="1" si="155"/>
        <v>0.14155749362886005</v>
      </c>
      <c r="I754" s="54">
        <f t="shared" ca="1" si="156"/>
        <v>0.31241415064988132</v>
      </c>
      <c r="J754" s="54">
        <f t="shared" ca="1" si="157"/>
        <v>0.27144650754998167</v>
      </c>
      <c r="K754" s="54">
        <f t="shared" ca="1" si="158"/>
        <v>0.14181961409231816</v>
      </c>
      <c r="L754" s="54">
        <f t="shared" ca="1" si="159"/>
        <v>0.13276223407895896</v>
      </c>
      <c r="M754" s="54">
        <f ca="1">MIN(100,MAX(0,MCDA_Prioritisation!$F$2+(RAND()-0.5)*2*$B$7))</f>
        <v>91.249222032795714</v>
      </c>
      <c r="N754" s="54">
        <f ca="1">MIN(100,MAX(0,MCDA_Prioritisation!$F$3+(RAND()-0.5)*2*$B$7))</f>
        <v>97.269265279902015</v>
      </c>
      <c r="O754" s="54">
        <f ca="1">MIN(100,MAX(0,MCDA_Prioritisation!$F$4+(RAND()-0.5)*2*$B$7))</f>
        <v>94.140730108123378</v>
      </c>
      <c r="P754" s="54">
        <f ca="1">MIN(100,MAX(0,MCDA_Prioritisation!$F$5+(RAND()-0.5)*2*$B$7))</f>
        <v>72.476730332923864</v>
      </c>
      <c r="Q754" s="54">
        <f ca="1">MIN(100,MAX(0,MCDA_Prioritisation!$G$2+(RAND()-0.5)*2*$B$7))</f>
        <v>79.152740684199003</v>
      </c>
      <c r="R754" s="54">
        <f ca="1">MIN(100,MAX(0,MCDA_Prioritisation!$G$3+(RAND()-0.5)*2*$B$7))</f>
        <v>100</v>
      </c>
      <c r="S754" s="54">
        <f ca="1">MIN(100,MAX(0,MCDA_Prioritisation!$G$4+(RAND()-0.5)*2*$B$7))</f>
        <v>85.45163400329514</v>
      </c>
      <c r="T754" s="54">
        <f ca="1">MIN(100,MAX(0,MCDA_Prioritisation!$G$5+(RAND()-0.5)*2*$B$7))</f>
        <v>62.840554523331704</v>
      </c>
      <c r="U754" s="54">
        <f ca="1">MIN(100,MAX(0,MCDA_Prioritisation!$H$2+(RAND()-0.5)*2*$B$7))</f>
        <v>59.840905797370169</v>
      </c>
      <c r="V754" s="54">
        <f ca="1">MIN(100,MAX(0,MCDA_Prioritisation!$H$3+(RAND()-0.5)*2*$B$7))</f>
        <v>64.473165997267742</v>
      </c>
      <c r="W754" s="54">
        <f ca="1">MIN(100,MAX(0,MCDA_Prioritisation!$H$4+(RAND()-0.5)*2*$B$7))</f>
        <v>80.987865628390338</v>
      </c>
      <c r="X754" s="54">
        <f ca="1">MIN(100,MAX(0,MCDA_Prioritisation!$H$5+(RAND()-0.5)*2*$B$7))</f>
        <v>65.740067409993372</v>
      </c>
      <c r="Y754" s="54">
        <f ca="1">H754*MCDA_Prioritisation!$D$2+I754*MCDA_Prioritisation!$E$2+J754*M754+K754*Q754+L754*U754</f>
        <v>89.336470546479205</v>
      </c>
      <c r="Z754" s="54">
        <f ca="1">H754*MCDA_Prioritisation!$D$3+I754*MCDA_Prioritisation!$E$3+J754*N754+K754*R754+L754*V754</f>
        <v>84.237671972250979</v>
      </c>
      <c r="AA754" s="54">
        <f ca="1">H754*MCDA_Prioritisation!$D$4+I754*MCDA_Prioritisation!$E$4+J754*O754+K754*S754+L754*W754</f>
        <v>75.32302368804821</v>
      </c>
      <c r="AB754" s="54">
        <f ca="1">H754*MCDA_Prioritisation!$D$5+I754*MCDA_Prioritisation!$E$5+J754*P754+K754*T754+L754*X754</f>
        <v>71.097856613526503</v>
      </c>
      <c r="AC754" s="54">
        <f t="shared" ca="1" si="160"/>
        <v>1</v>
      </c>
      <c r="AD754" s="54">
        <f t="shared" ca="1" si="161"/>
        <v>2</v>
      </c>
      <c r="AE754" s="54">
        <f t="shared" ca="1" si="162"/>
        <v>3</v>
      </c>
      <c r="AF754" s="54">
        <f t="shared" ca="1" si="163"/>
        <v>4</v>
      </c>
      <c r="AG754" s="54">
        <f t="shared" ca="1" si="164"/>
        <v>1</v>
      </c>
      <c r="AH754" s="54">
        <f t="shared" ca="1" si="165"/>
        <v>1</v>
      </c>
      <c r="AI754" s="54">
        <f t="shared" ca="1" si="166"/>
        <v>1</v>
      </c>
      <c r="AJ754" s="54">
        <f t="shared" ca="1" si="167"/>
        <v>1</v>
      </c>
    </row>
    <row r="755" spans="1:36" x14ac:dyDescent="0.2">
      <c r="A755" s="54">
        <v>732</v>
      </c>
      <c r="B755" s="54">
        <f ca="1">MAX(0.02,MCDA_Prioritisation!$B$9+(RAND()-0.5)*2*$B$6)</f>
        <v>0.19761389134944582</v>
      </c>
      <c r="C755" s="54">
        <f ca="1">MAX(0.02,MCDA_Prioritisation!$B$10+(RAND()-0.5)*2*$B$6)</f>
        <v>0.21057689119620299</v>
      </c>
      <c r="D755" s="54">
        <f ca="1">MAX(0.02,MCDA_Prioritisation!$B$11+(RAND()-0.5)*2*$B$6)</f>
        <v>0.3156842084932231</v>
      </c>
      <c r="E755" s="54">
        <f ca="1">MAX(0.02,MCDA_Prioritisation!$B$12+(RAND()-0.5)*2*$B$6)</f>
        <v>0.12773163407763158</v>
      </c>
      <c r="F755" s="54">
        <f ca="1">MAX(0.02,MCDA_Prioritisation!$B$13+(RAND()-0.5)*2*$B$6)</f>
        <v>0.15744469183224979</v>
      </c>
      <c r="G755" s="54">
        <f t="shared" ca="1" si="154"/>
        <v>1.0090513169487532</v>
      </c>
      <c r="H755" s="54">
        <f t="shared" ca="1" si="155"/>
        <v>0.19584126994354051</v>
      </c>
      <c r="I755" s="54">
        <f t="shared" ca="1" si="156"/>
        <v>0.20868799005481858</v>
      </c>
      <c r="J755" s="54">
        <f t="shared" ca="1" si="157"/>
        <v>0.31285248152473877</v>
      </c>
      <c r="K755" s="54">
        <f t="shared" ca="1" si="158"/>
        <v>0.12658586528966267</v>
      </c>
      <c r="L755" s="54">
        <f t="shared" ca="1" si="159"/>
        <v>0.1560323931872396</v>
      </c>
      <c r="M755" s="54">
        <f ca="1">MIN(100,MAX(0,MCDA_Prioritisation!$F$2+(RAND()-0.5)*2*$B$7))</f>
        <v>87.974437877531344</v>
      </c>
      <c r="N755" s="54">
        <f ca="1">MIN(100,MAX(0,MCDA_Prioritisation!$F$3+(RAND()-0.5)*2*$B$7))</f>
        <v>89.271566719786733</v>
      </c>
      <c r="O755" s="54">
        <f ca="1">MIN(100,MAX(0,MCDA_Prioritisation!$F$4+(RAND()-0.5)*2*$B$7))</f>
        <v>96.606655175187953</v>
      </c>
      <c r="P755" s="54">
        <f ca="1">MIN(100,MAX(0,MCDA_Prioritisation!$F$5+(RAND()-0.5)*2*$B$7))</f>
        <v>83.446853599887433</v>
      </c>
      <c r="Q755" s="54">
        <f ca="1">MIN(100,MAX(0,MCDA_Prioritisation!$G$2+(RAND()-0.5)*2*$B$7))</f>
        <v>72.251028217144068</v>
      </c>
      <c r="R755" s="54">
        <f ca="1">MIN(100,MAX(0,MCDA_Prioritisation!$G$3+(RAND()-0.5)*2*$B$7))</f>
        <v>97.293487372701307</v>
      </c>
      <c r="S755" s="54">
        <f ca="1">MIN(100,MAX(0,MCDA_Prioritisation!$G$4+(RAND()-0.5)*2*$B$7))</f>
        <v>83.837441161985211</v>
      </c>
      <c r="T755" s="54">
        <f ca="1">MIN(100,MAX(0,MCDA_Prioritisation!$G$5+(RAND()-0.5)*2*$B$7))</f>
        <v>70.979585951267083</v>
      </c>
      <c r="U755" s="54">
        <f ca="1">MIN(100,MAX(0,MCDA_Prioritisation!$H$2+(RAND()-0.5)*2*$B$7))</f>
        <v>73.301589062618476</v>
      </c>
      <c r="V755" s="54">
        <f ca="1">MIN(100,MAX(0,MCDA_Prioritisation!$H$3+(RAND()-0.5)*2*$B$7))</f>
        <v>69.379270645252319</v>
      </c>
      <c r="W755" s="54">
        <f ca="1">MIN(100,MAX(0,MCDA_Prioritisation!$H$4+(RAND()-0.5)*2*$B$7))</f>
        <v>78.379265700076502</v>
      </c>
      <c r="X755" s="54">
        <f ca="1">MIN(100,MAX(0,MCDA_Prioritisation!$H$5+(RAND()-0.5)*2*$B$7))</f>
        <v>66.630561115660925</v>
      </c>
      <c r="Y755" s="54">
        <f ca="1">H755*MCDA_Prioritisation!$D$2+I755*MCDA_Prioritisation!$E$2+J755*M755+K755*Q755+L755*U755</f>
        <v>88.559328491368532</v>
      </c>
      <c r="Z755" s="54">
        <f ca="1">H755*MCDA_Prioritisation!$D$3+I755*MCDA_Prioritisation!$E$3+J755*N755+K755*R755+L755*V755</f>
        <v>83.363441457716249</v>
      </c>
      <c r="AA755" s="54">
        <f ca="1">H755*MCDA_Prioritisation!$D$4+I755*MCDA_Prioritisation!$E$4+J755*O755+K755*S755+L755*W755</f>
        <v>78.086187281942017</v>
      </c>
      <c r="AB755" s="54">
        <f ca="1">H755*MCDA_Prioritisation!$D$5+I755*MCDA_Prioritisation!$E$5+J755*P755+K755*T755+L755*X755</f>
        <v>73.431305906141986</v>
      </c>
      <c r="AC755" s="54">
        <f t="shared" ca="1" si="160"/>
        <v>1</v>
      </c>
      <c r="AD755" s="54">
        <f t="shared" ca="1" si="161"/>
        <v>2</v>
      </c>
      <c r="AE755" s="54">
        <f t="shared" ca="1" si="162"/>
        <v>3</v>
      </c>
      <c r="AF755" s="54">
        <f t="shared" ca="1" si="163"/>
        <v>4</v>
      </c>
      <c r="AG755" s="54">
        <f t="shared" ca="1" si="164"/>
        <v>1</v>
      </c>
      <c r="AH755" s="54">
        <f t="shared" ca="1" si="165"/>
        <v>1</v>
      </c>
      <c r="AI755" s="54">
        <f t="shared" ca="1" si="166"/>
        <v>1</v>
      </c>
      <c r="AJ755" s="54">
        <f t="shared" ca="1" si="167"/>
        <v>1</v>
      </c>
    </row>
    <row r="756" spans="1:36" x14ac:dyDescent="0.2">
      <c r="A756" s="54">
        <v>733</v>
      </c>
      <c r="B756" s="54">
        <f ca="1">MAX(0.02,MCDA_Prioritisation!$B$9+(RAND()-0.5)*2*$B$6)</f>
        <v>0.24727981775921665</v>
      </c>
      <c r="C756" s="54">
        <f ca="1">MAX(0.02,MCDA_Prioritisation!$B$10+(RAND()-0.5)*2*$B$6)</f>
        <v>0.2180898948490802</v>
      </c>
      <c r="D756" s="54">
        <f ca="1">MAX(0.02,MCDA_Prioritisation!$B$11+(RAND()-0.5)*2*$B$6)</f>
        <v>0.23213413431575952</v>
      </c>
      <c r="E756" s="54">
        <f ca="1">MAX(0.02,MCDA_Prioritisation!$B$12+(RAND()-0.5)*2*$B$6)</f>
        <v>0.22307517708416263</v>
      </c>
      <c r="F756" s="54">
        <f ca="1">MAX(0.02,MCDA_Prioritisation!$B$13+(RAND()-0.5)*2*$B$6)</f>
        <v>0.10805907489352129</v>
      </c>
      <c r="G756" s="54">
        <f t="shared" ca="1" si="154"/>
        <v>1.0286380989017403</v>
      </c>
      <c r="H756" s="54">
        <f t="shared" ca="1" si="155"/>
        <v>0.24039535189609754</v>
      </c>
      <c r="I756" s="54">
        <f t="shared" ca="1" si="156"/>
        <v>0.21201809954534168</v>
      </c>
      <c r="J756" s="54">
        <f t="shared" ca="1" si="157"/>
        <v>0.22567133626841671</v>
      </c>
      <c r="K756" s="54">
        <f t="shared" ca="1" si="158"/>
        <v>0.21686458757685165</v>
      </c>
      <c r="L756" s="54">
        <f t="shared" ca="1" si="159"/>
        <v>0.10505062471329242</v>
      </c>
      <c r="M756" s="54">
        <f ca="1">MIN(100,MAX(0,MCDA_Prioritisation!$F$2+(RAND()-0.5)*2*$B$7))</f>
        <v>75.158719044135808</v>
      </c>
      <c r="N756" s="54">
        <f ca="1">MIN(100,MAX(0,MCDA_Prioritisation!$F$3+(RAND()-0.5)*2*$B$7))</f>
        <v>100</v>
      </c>
      <c r="O756" s="54">
        <f ca="1">MIN(100,MAX(0,MCDA_Prioritisation!$F$4+(RAND()-0.5)*2*$B$7))</f>
        <v>87.256667209064815</v>
      </c>
      <c r="P756" s="54">
        <f ca="1">MIN(100,MAX(0,MCDA_Prioritisation!$F$5+(RAND()-0.5)*2*$B$7))</f>
        <v>72.871920899269298</v>
      </c>
      <c r="Q756" s="54">
        <f ca="1">MIN(100,MAX(0,MCDA_Prioritisation!$G$2+(RAND()-0.5)*2*$B$7))</f>
        <v>85.523144590253281</v>
      </c>
      <c r="R756" s="54">
        <f ca="1">MIN(100,MAX(0,MCDA_Prioritisation!$G$3+(RAND()-0.5)*2*$B$7))</f>
        <v>100</v>
      </c>
      <c r="S756" s="54">
        <f ca="1">MIN(100,MAX(0,MCDA_Prioritisation!$G$4+(RAND()-0.5)*2*$B$7))</f>
        <v>93.879495765787482</v>
      </c>
      <c r="T756" s="54">
        <f ca="1">MIN(100,MAX(0,MCDA_Prioritisation!$G$5+(RAND()-0.5)*2*$B$7))</f>
        <v>65.813748586846884</v>
      </c>
      <c r="U756" s="54">
        <f ca="1">MIN(100,MAX(0,MCDA_Prioritisation!$H$2+(RAND()-0.5)*2*$B$7))</f>
        <v>60.659335143425395</v>
      </c>
      <c r="V756" s="54">
        <f ca="1">MIN(100,MAX(0,MCDA_Prioritisation!$H$3+(RAND()-0.5)*2*$B$7))</f>
        <v>50.343143544922526</v>
      </c>
      <c r="W756" s="54">
        <f ca="1">MIN(100,MAX(0,MCDA_Prioritisation!$H$4+(RAND()-0.5)*2*$B$7))</f>
        <v>77.209627875868435</v>
      </c>
      <c r="X756" s="54">
        <f ca="1">MIN(100,MAX(0,MCDA_Prioritisation!$H$5+(RAND()-0.5)*2*$B$7))</f>
        <v>81.613191100163178</v>
      </c>
      <c r="Y756" s="54">
        <f ca="1">H756*MCDA_Prioritisation!$D$2+I756*MCDA_Prioritisation!$E$2+J756*M756+K756*Q756+L756*U756</f>
        <v>87.121756234407087</v>
      </c>
      <c r="Z756" s="54">
        <f ca="1">H756*MCDA_Prioritisation!$D$3+I756*MCDA_Prioritisation!$E$3+J756*N756+K756*R756+L756*V756</f>
        <v>85.971463141206684</v>
      </c>
      <c r="AA756" s="54">
        <f ca="1">H756*MCDA_Prioritisation!$D$4+I756*MCDA_Prioritisation!$E$4+J756*O756+K756*S756+L756*W756</f>
        <v>76.465729190156068</v>
      </c>
      <c r="AB756" s="54">
        <f ca="1">H756*MCDA_Prioritisation!$D$5+I756*MCDA_Prioritisation!$E$5+J756*P756+K756*T756+L756*X756</f>
        <v>69.879283865289963</v>
      </c>
      <c r="AC756" s="54">
        <f t="shared" ca="1" si="160"/>
        <v>1</v>
      </c>
      <c r="AD756" s="54">
        <f t="shared" ca="1" si="161"/>
        <v>2</v>
      </c>
      <c r="AE756" s="54">
        <f t="shared" ca="1" si="162"/>
        <v>3</v>
      </c>
      <c r="AF756" s="54">
        <f t="shared" ca="1" si="163"/>
        <v>4</v>
      </c>
      <c r="AG756" s="54">
        <f t="shared" ca="1" si="164"/>
        <v>1</v>
      </c>
      <c r="AH756" s="54">
        <f t="shared" ca="1" si="165"/>
        <v>1</v>
      </c>
      <c r="AI756" s="54">
        <f t="shared" ca="1" si="166"/>
        <v>1</v>
      </c>
      <c r="AJ756" s="54">
        <f t="shared" ca="1" si="167"/>
        <v>1</v>
      </c>
    </row>
    <row r="757" spans="1:36" x14ac:dyDescent="0.2">
      <c r="A757" s="54">
        <v>734</v>
      </c>
      <c r="B757" s="54">
        <f ca="1">MAX(0.02,MCDA_Prioritisation!$B$9+(RAND()-0.5)*2*$B$6)</f>
        <v>0.22689268497820797</v>
      </c>
      <c r="C757" s="54">
        <f ca="1">MAX(0.02,MCDA_Prioritisation!$B$10+(RAND()-0.5)*2*$B$6)</f>
        <v>0.24412361269273458</v>
      </c>
      <c r="D757" s="54">
        <f ca="1">MAX(0.02,MCDA_Prioritisation!$B$11+(RAND()-0.5)*2*$B$6)</f>
        <v>0.27788169775843929</v>
      </c>
      <c r="E757" s="54">
        <f ca="1">MAX(0.02,MCDA_Prioritisation!$B$12+(RAND()-0.5)*2*$B$6)</f>
        <v>7.5838199965997444E-2</v>
      </c>
      <c r="F757" s="54">
        <f ca="1">MAX(0.02,MCDA_Prioritisation!$B$13+(RAND()-0.5)*2*$B$6)</f>
        <v>0.12860768368587089</v>
      </c>
      <c r="G757" s="54">
        <f t="shared" ca="1" si="154"/>
        <v>0.95334387908125029</v>
      </c>
      <c r="H757" s="54">
        <f t="shared" ca="1" si="155"/>
        <v>0.23799668719420253</v>
      </c>
      <c r="I757" s="54">
        <f t="shared" ca="1" si="156"/>
        <v>0.25607088695843899</v>
      </c>
      <c r="J757" s="54">
        <f t="shared" ca="1" si="157"/>
        <v>0.29148107399214379</v>
      </c>
      <c r="K757" s="54">
        <f t="shared" ca="1" si="158"/>
        <v>7.9549679428459419E-2</v>
      </c>
      <c r="L757" s="54">
        <f t="shared" ca="1" si="159"/>
        <v>0.13490167242675513</v>
      </c>
      <c r="M757" s="54">
        <f ca="1">MIN(100,MAX(0,MCDA_Prioritisation!$F$2+(RAND()-0.5)*2*$B$7))</f>
        <v>89.309362934975098</v>
      </c>
      <c r="N757" s="54">
        <f ca="1">MIN(100,MAX(0,MCDA_Prioritisation!$F$3+(RAND()-0.5)*2*$B$7))</f>
        <v>100</v>
      </c>
      <c r="O757" s="54">
        <f ca="1">MIN(100,MAX(0,MCDA_Prioritisation!$F$4+(RAND()-0.5)*2*$B$7))</f>
        <v>97.717378293506641</v>
      </c>
      <c r="P757" s="54">
        <f ca="1">MIN(100,MAX(0,MCDA_Prioritisation!$F$5+(RAND()-0.5)*2*$B$7))</f>
        <v>70.134194913910918</v>
      </c>
      <c r="Q757" s="54">
        <f ca="1">MIN(100,MAX(0,MCDA_Prioritisation!$G$2+(RAND()-0.5)*2*$B$7))</f>
        <v>84.015869279092172</v>
      </c>
      <c r="R757" s="54">
        <f ca="1">MIN(100,MAX(0,MCDA_Prioritisation!$G$3+(RAND()-0.5)*2*$B$7))</f>
        <v>91.358902910321675</v>
      </c>
      <c r="S757" s="54">
        <f ca="1">MIN(100,MAX(0,MCDA_Prioritisation!$G$4+(RAND()-0.5)*2*$B$7))</f>
        <v>82.803369073055819</v>
      </c>
      <c r="T757" s="54">
        <f ca="1">MIN(100,MAX(0,MCDA_Prioritisation!$G$5+(RAND()-0.5)*2*$B$7))</f>
        <v>71.975176436836065</v>
      </c>
      <c r="U757" s="54">
        <f ca="1">MIN(100,MAX(0,MCDA_Prioritisation!$H$2+(RAND()-0.5)*2*$B$7))</f>
        <v>74.558448708208047</v>
      </c>
      <c r="V757" s="54">
        <f ca="1">MIN(100,MAX(0,MCDA_Prioritisation!$H$3+(RAND()-0.5)*2*$B$7))</f>
        <v>58.430679078890748</v>
      </c>
      <c r="W757" s="54">
        <f ca="1">MIN(100,MAX(0,MCDA_Prioritisation!$H$4+(RAND()-0.5)*2*$B$7))</f>
        <v>82.529731872800156</v>
      </c>
      <c r="X757" s="54">
        <f ca="1">MIN(100,MAX(0,MCDA_Prioritisation!$H$5+(RAND()-0.5)*2*$B$7))</f>
        <v>77.161978488937578</v>
      </c>
      <c r="Y757" s="54">
        <f ca="1">H757*MCDA_Prioritisation!$D$2+I757*MCDA_Prioritisation!$E$2+J757*M757+K757*Q757+L757*U757</f>
        <v>92.1802413334417</v>
      </c>
      <c r="Z757" s="54">
        <f ca="1">H757*MCDA_Prioritisation!$D$3+I757*MCDA_Prioritisation!$E$3+J757*N757+K757*R757+L757*V757</f>
        <v>83.721570615893228</v>
      </c>
      <c r="AA757" s="54">
        <f ca="1">H757*MCDA_Prioritisation!$D$4+I757*MCDA_Prioritisation!$E$4+J757*O757+K757*S757+L757*W757</f>
        <v>76.743339826358579</v>
      </c>
      <c r="AB757" s="54">
        <f ca="1">H757*MCDA_Prioritisation!$D$5+I757*MCDA_Prioritisation!$E$5+J757*P757+K757*T757+L757*X757</f>
        <v>70.742792238886679</v>
      </c>
      <c r="AC757" s="54">
        <f t="shared" ca="1" si="160"/>
        <v>1</v>
      </c>
      <c r="AD757" s="54">
        <f t="shared" ca="1" si="161"/>
        <v>2</v>
      </c>
      <c r="AE757" s="54">
        <f t="shared" ca="1" si="162"/>
        <v>3</v>
      </c>
      <c r="AF757" s="54">
        <f t="shared" ca="1" si="163"/>
        <v>4</v>
      </c>
      <c r="AG757" s="54">
        <f t="shared" ca="1" si="164"/>
        <v>1</v>
      </c>
      <c r="AH757" s="54">
        <f t="shared" ca="1" si="165"/>
        <v>1</v>
      </c>
      <c r="AI757" s="54">
        <f t="shared" ca="1" si="166"/>
        <v>1</v>
      </c>
      <c r="AJ757" s="54">
        <f t="shared" ca="1" si="167"/>
        <v>1</v>
      </c>
    </row>
    <row r="758" spans="1:36" x14ac:dyDescent="0.2">
      <c r="A758" s="54">
        <v>735</v>
      </c>
      <c r="B758" s="54">
        <f ca="1">MAX(0.02,MCDA_Prioritisation!$B$9+(RAND()-0.5)*2*$B$6)</f>
        <v>0.12969774822201674</v>
      </c>
      <c r="C758" s="54">
        <f ca="1">MAX(0.02,MCDA_Prioritisation!$B$10+(RAND()-0.5)*2*$B$6)</f>
        <v>0.31314458253103705</v>
      </c>
      <c r="D758" s="54">
        <f ca="1">MAX(0.02,MCDA_Prioritisation!$B$11+(RAND()-0.5)*2*$B$6)</f>
        <v>0.25611463123704881</v>
      </c>
      <c r="E758" s="54">
        <f ca="1">MAX(0.02,MCDA_Prioritisation!$B$12+(RAND()-0.5)*2*$B$6)</f>
        <v>0.20732902755976262</v>
      </c>
      <c r="F758" s="54">
        <f ca="1">MAX(0.02,MCDA_Prioritisation!$B$13+(RAND()-0.5)*2*$B$6)</f>
        <v>7.6779738613322449E-2</v>
      </c>
      <c r="G758" s="54">
        <f t="shared" ca="1" si="154"/>
        <v>0.9830657281631876</v>
      </c>
      <c r="H758" s="54">
        <f t="shared" ca="1" si="155"/>
        <v>0.13193191920580014</v>
      </c>
      <c r="I758" s="54">
        <f t="shared" ca="1" si="156"/>
        <v>0.31853880524970907</v>
      </c>
      <c r="J758" s="54">
        <f t="shared" ca="1" si="157"/>
        <v>0.26052645708195632</v>
      </c>
      <c r="K758" s="54">
        <f t="shared" ca="1" si="158"/>
        <v>0.21090047350867092</v>
      </c>
      <c r="L758" s="54">
        <f t="shared" ca="1" si="159"/>
        <v>7.8102344953863673E-2</v>
      </c>
      <c r="M758" s="54">
        <f ca="1">MIN(100,MAX(0,MCDA_Prioritisation!$F$2+(RAND()-0.5)*2*$B$7))</f>
        <v>76.881028870618167</v>
      </c>
      <c r="N758" s="54">
        <f ca="1">MIN(100,MAX(0,MCDA_Prioritisation!$F$3+(RAND()-0.5)*2*$B$7))</f>
        <v>92.615447189124183</v>
      </c>
      <c r="O758" s="54">
        <f ca="1">MIN(100,MAX(0,MCDA_Prioritisation!$F$4+(RAND()-0.5)*2*$B$7))</f>
        <v>97.262441478146044</v>
      </c>
      <c r="P758" s="54">
        <f ca="1">MIN(100,MAX(0,MCDA_Prioritisation!$F$5+(RAND()-0.5)*2*$B$7))</f>
        <v>82.199400646034974</v>
      </c>
      <c r="Q758" s="54">
        <f ca="1">MIN(100,MAX(0,MCDA_Prioritisation!$G$2+(RAND()-0.5)*2*$B$7))</f>
        <v>88.139782522298532</v>
      </c>
      <c r="R758" s="54">
        <f ca="1">MIN(100,MAX(0,MCDA_Prioritisation!$G$3+(RAND()-0.5)*2*$B$7))</f>
        <v>86.822198635217219</v>
      </c>
      <c r="S758" s="54">
        <f ca="1">MIN(100,MAX(0,MCDA_Prioritisation!$G$4+(RAND()-0.5)*2*$B$7))</f>
        <v>83.479946648095506</v>
      </c>
      <c r="T758" s="54">
        <f ca="1">MIN(100,MAX(0,MCDA_Prioritisation!$G$5+(RAND()-0.5)*2*$B$7))</f>
        <v>67.571753728266344</v>
      </c>
      <c r="U758" s="54">
        <f ca="1">MIN(100,MAX(0,MCDA_Prioritisation!$H$2+(RAND()-0.5)*2*$B$7))</f>
        <v>62.036228017586559</v>
      </c>
      <c r="V758" s="54">
        <f ca="1">MIN(100,MAX(0,MCDA_Prioritisation!$H$3+(RAND()-0.5)*2*$B$7))</f>
        <v>50.893049282865533</v>
      </c>
      <c r="W758" s="54">
        <f ca="1">MIN(100,MAX(0,MCDA_Prioritisation!$H$4+(RAND()-0.5)*2*$B$7))</f>
        <v>80.958382648161859</v>
      </c>
      <c r="X758" s="54">
        <f ca="1">MIN(100,MAX(0,MCDA_Prioritisation!$H$5+(RAND()-0.5)*2*$B$7))</f>
        <v>72.951974586816959</v>
      </c>
      <c r="Y758" s="54">
        <f ca="1">H758*MCDA_Prioritisation!$D$2+I758*MCDA_Prioritisation!$E$2+J758*M758+K758*Q758+L758*U758</f>
        <v>88.510511263198794</v>
      </c>
      <c r="Z758" s="54">
        <f ca="1">H758*MCDA_Prioritisation!$D$3+I758*MCDA_Prioritisation!$E$3+J758*N758+K758*R758+L758*V758</f>
        <v>81.111374921020484</v>
      </c>
      <c r="AA758" s="54">
        <f ca="1">H758*MCDA_Prioritisation!$D$4+I758*MCDA_Prioritisation!$E$4+J758*O758+K758*S758+L758*W758</f>
        <v>75.83024629164106</v>
      </c>
      <c r="AB758" s="54">
        <f ca="1">H758*MCDA_Prioritisation!$D$5+I758*MCDA_Prioritisation!$E$5+J758*P758+K758*T758+L758*X758</f>
        <v>75.152375487850833</v>
      </c>
      <c r="AC758" s="54">
        <f t="shared" ca="1" si="160"/>
        <v>1</v>
      </c>
      <c r="AD758" s="54">
        <f t="shared" ca="1" si="161"/>
        <v>2</v>
      </c>
      <c r="AE758" s="54">
        <f t="shared" ca="1" si="162"/>
        <v>3</v>
      </c>
      <c r="AF758" s="54">
        <f t="shared" ca="1" si="163"/>
        <v>4</v>
      </c>
      <c r="AG758" s="54">
        <f t="shared" ca="1" si="164"/>
        <v>1</v>
      </c>
      <c r="AH758" s="54">
        <f t="shared" ca="1" si="165"/>
        <v>1</v>
      </c>
      <c r="AI758" s="54">
        <f t="shared" ca="1" si="166"/>
        <v>1</v>
      </c>
      <c r="AJ758" s="54">
        <f t="shared" ca="1" si="167"/>
        <v>1</v>
      </c>
    </row>
    <row r="759" spans="1:36" x14ac:dyDescent="0.2">
      <c r="A759" s="54">
        <v>736</v>
      </c>
      <c r="B759" s="54">
        <f ca="1">MAX(0.02,MCDA_Prioritisation!$B$9+(RAND()-0.5)*2*$B$6)</f>
        <v>0.26335212998486462</v>
      </c>
      <c r="C759" s="54">
        <f ca="1">MAX(0.02,MCDA_Prioritisation!$B$10+(RAND()-0.5)*2*$B$6)</f>
        <v>0.27101627940812334</v>
      </c>
      <c r="D759" s="54">
        <f ca="1">MAX(0.02,MCDA_Prioritisation!$B$11+(RAND()-0.5)*2*$B$6)</f>
        <v>0.31334832416712632</v>
      </c>
      <c r="E759" s="54">
        <f ca="1">MAX(0.02,MCDA_Prioritisation!$B$12+(RAND()-0.5)*2*$B$6)</f>
        <v>0.16822978041094086</v>
      </c>
      <c r="F759" s="54">
        <f ca="1">MAX(0.02,MCDA_Prioritisation!$B$13+(RAND()-0.5)*2*$B$6)</f>
        <v>0.19017900216411321</v>
      </c>
      <c r="G759" s="54">
        <f t="shared" ca="1" si="154"/>
        <v>1.2061255161351683</v>
      </c>
      <c r="H759" s="54">
        <f t="shared" ca="1" si="155"/>
        <v>0.21834554236837092</v>
      </c>
      <c r="I759" s="54">
        <f t="shared" ca="1" si="156"/>
        <v>0.22469989713554078</v>
      </c>
      <c r="J759" s="54">
        <f t="shared" ca="1" si="157"/>
        <v>0.25979744228544283</v>
      </c>
      <c r="K759" s="54">
        <f t="shared" ca="1" si="158"/>
        <v>0.13947949708418875</v>
      </c>
      <c r="L759" s="54">
        <f t="shared" ca="1" si="159"/>
        <v>0.15767762112645678</v>
      </c>
      <c r="M759" s="54">
        <f ca="1">MIN(100,MAX(0,MCDA_Prioritisation!$F$2+(RAND()-0.5)*2*$B$7))</f>
        <v>85.805623535944079</v>
      </c>
      <c r="N759" s="54">
        <f ca="1">MIN(100,MAX(0,MCDA_Prioritisation!$F$3+(RAND()-0.5)*2*$B$7))</f>
        <v>87.748334441657803</v>
      </c>
      <c r="O759" s="54">
        <f ca="1">MIN(100,MAX(0,MCDA_Prioritisation!$F$4+(RAND()-0.5)*2*$B$7))</f>
        <v>88.996231749700783</v>
      </c>
      <c r="P759" s="54">
        <f ca="1">MIN(100,MAX(0,MCDA_Prioritisation!$F$5+(RAND()-0.5)*2*$B$7))</f>
        <v>69.203362753773646</v>
      </c>
      <c r="Q759" s="54">
        <f ca="1">MIN(100,MAX(0,MCDA_Prioritisation!$G$2+(RAND()-0.5)*2*$B$7))</f>
        <v>78.717018416826221</v>
      </c>
      <c r="R759" s="54">
        <f ca="1">MIN(100,MAX(0,MCDA_Prioritisation!$G$3+(RAND()-0.5)*2*$B$7))</f>
        <v>97.912373777992215</v>
      </c>
      <c r="S759" s="54">
        <f ca="1">MIN(100,MAX(0,MCDA_Prioritisation!$G$4+(RAND()-0.5)*2*$B$7))</f>
        <v>75.129516178211858</v>
      </c>
      <c r="T759" s="54">
        <f ca="1">MIN(100,MAX(0,MCDA_Prioritisation!$G$5+(RAND()-0.5)*2*$B$7))</f>
        <v>64.894307752859135</v>
      </c>
      <c r="U759" s="54">
        <f ca="1">MIN(100,MAX(0,MCDA_Prioritisation!$H$2+(RAND()-0.5)*2*$B$7))</f>
        <v>67.564194956215815</v>
      </c>
      <c r="V759" s="54">
        <f ca="1">MIN(100,MAX(0,MCDA_Prioritisation!$H$3+(RAND()-0.5)*2*$B$7))</f>
        <v>67.11377721319289</v>
      </c>
      <c r="W759" s="54">
        <f ca="1">MIN(100,MAX(0,MCDA_Prioritisation!$H$4+(RAND()-0.5)*2*$B$7))</f>
        <v>80.541141932958709</v>
      </c>
      <c r="X759" s="54">
        <f ca="1">MIN(100,MAX(0,MCDA_Prioritisation!$H$5+(RAND()-0.5)*2*$B$7))</f>
        <v>65.00416788525969</v>
      </c>
      <c r="Y759" s="54">
        <f ca="1">H759*MCDA_Prioritisation!$D$2+I759*MCDA_Prioritisation!$E$2+J759*M759+K759*Q759+L759*U759</f>
        <v>88.229397153503044</v>
      </c>
      <c r="Z759" s="54">
        <f ca="1">H759*MCDA_Prioritisation!$D$3+I759*MCDA_Prioritisation!$E$3+J759*N759+K759*R759+L759*V759</f>
        <v>82.460423211673046</v>
      </c>
      <c r="AA759" s="54">
        <f ca="1">H759*MCDA_Prioritisation!$D$4+I759*MCDA_Prioritisation!$E$4+J759*O759+K759*S759+L759*W759</f>
        <v>73.760214206997858</v>
      </c>
      <c r="AB759" s="54">
        <f ca="1">H759*MCDA_Prioritisation!$D$5+I759*MCDA_Prioritisation!$E$5+J759*P759+K759*T759+L759*X759</f>
        <v>67.764087178025406</v>
      </c>
      <c r="AC759" s="54">
        <f t="shared" ca="1" si="160"/>
        <v>1</v>
      </c>
      <c r="AD759" s="54">
        <f t="shared" ca="1" si="161"/>
        <v>2</v>
      </c>
      <c r="AE759" s="54">
        <f t="shared" ca="1" si="162"/>
        <v>3</v>
      </c>
      <c r="AF759" s="54">
        <f t="shared" ca="1" si="163"/>
        <v>4</v>
      </c>
      <c r="AG759" s="54">
        <f t="shared" ca="1" si="164"/>
        <v>1</v>
      </c>
      <c r="AH759" s="54">
        <f t="shared" ca="1" si="165"/>
        <v>1</v>
      </c>
      <c r="AI759" s="54">
        <f t="shared" ca="1" si="166"/>
        <v>1</v>
      </c>
      <c r="AJ759" s="54">
        <f t="shared" ca="1" si="167"/>
        <v>1</v>
      </c>
    </row>
    <row r="760" spans="1:36" x14ac:dyDescent="0.2">
      <c r="A760" s="54">
        <v>737</v>
      </c>
      <c r="B760" s="54">
        <f ca="1">MAX(0.02,MCDA_Prioritisation!$B$9+(RAND()-0.5)*2*$B$6)</f>
        <v>0.27823171721063605</v>
      </c>
      <c r="C760" s="54">
        <f ca="1">MAX(0.02,MCDA_Prioritisation!$B$10+(RAND()-0.5)*2*$B$6)</f>
        <v>0.29685504036332777</v>
      </c>
      <c r="D760" s="54">
        <f ca="1">MAX(0.02,MCDA_Prioritisation!$B$11+(RAND()-0.5)*2*$B$6)</f>
        <v>0.22722329219556253</v>
      </c>
      <c r="E760" s="54">
        <f ca="1">MAX(0.02,MCDA_Prioritisation!$B$12+(RAND()-0.5)*2*$B$6)</f>
        <v>0.2015355780046269</v>
      </c>
      <c r="F760" s="54">
        <f ca="1">MAX(0.02,MCDA_Prioritisation!$B$13+(RAND()-0.5)*2*$B$6)</f>
        <v>0.17541233392413527</v>
      </c>
      <c r="G760" s="54">
        <f t="shared" ca="1" si="154"/>
        <v>1.1792579616982886</v>
      </c>
      <c r="H760" s="54">
        <f t="shared" ca="1" si="155"/>
        <v>0.23593795950289392</v>
      </c>
      <c r="I760" s="54">
        <f t="shared" ca="1" si="156"/>
        <v>0.25173036774398111</v>
      </c>
      <c r="J760" s="54">
        <f t="shared" ca="1" si="157"/>
        <v>0.19268328014366826</v>
      </c>
      <c r="K760" s="54">
        <f t="shared" ca="1" si="158"/>
        <v>0.17090033270955307</v>
      </c>
      <c r="L760" s="54">
        <f t="shared" ca="1" si="159"/>
        <v>0.14874805989990361</v>
      </c>
      <c r="M760" s="54">
        <f ca="1">MIN(100,MAX(0,MCDA_Prioritisation!$F$2+(RAND()-0.5)*2*$B$7))</f>
        <v>93.977821225464169</v>
      </c>
      <c r="N760" s="54">
        <f ca="1">MIN(100,MAX(0,MCDA_Prioritisation!$F$3+(RAND()-0.5)*2*$B$7))</f>
        <v>85.540516437885387</v>
      </c>
      <c r="O760" s="54">
        <f ca="1">MIN(100,MAX(0,MCDA_Prioritisation!$F$4+(RAND()-0.5)*2*$B$7))</f>
        <v>93.714703948161258</v>
      </c>
      <c r="P760" s="54">
        <f ca="1">MIN(100,MAX(0,MCDA_Prioritisation!$F$5+(RAND()-0.5)*2*$B$7))</f>
        <v>67.050244645791764</v>
      </c>
      <c r="Q760" s="54">
        <f ca="1">MIN(100,MAX(0,MCDA_Prioritisation!$G$2+(RAND()-0.5)*2*$B$7))</f>
        <v>73.979343213202284</v>
      </c>
      <c r="R760" s="54">
        <f ca="1">MIN(100,MAX(0,MCDA_Prioritisation!$G$3+(RAND()-0.5)*2*$B$7))</f>
        <v>87.419568307961896</v>
      </c>
      <c r="S760" s="54">
        <f ca="1">MIN(100,MAX(0,MCDA_Prioritisation!$G$4+(RAND()-0.5)*2*$B$7))</f>
        <v>79.928448104705353</v>
      </c>
      <c r="T760" s="54">
        <f ca="1">MIN(100,MAX(0,MCDA_Prioritisation!$G$5+(RAND()-0.5)*2*$B$7))</f>
        <v>77.679791321217436</v>
      </c>
      <c r="U760" s="54">
        <f ca="1">MIN(100,MAX(0,MCDA_Prioritisation!$H$2+(RAND()-0.5)*2*$B$7))</f>
        <v>57.578082162859289</v>
      </c>
      <c r="V760" s="54">
        <f ca="1">MIN(100,MAX(0,MCDA_Prioritisation!$H$3+(RAND()-0.5)*2*$B$7))</f>
        <v>61.301455718237435</v>
      </c>
      <c r="W760" s="54">
        <f ca="1">MIN(100,MAX(0,MCDA_Prioritisation!$H$4+(RAND()-0.5)*2*$B$7))</f>
        <v>76.312701289300463</v>
      </c>
      <c r="X760" s="54">
        <f ca="1">MIN(100,MAX(0,MCDA_Prioritisation!$H$5+(RAND()-0.5)*2*$B$7))</f>
        <v>71.657756934548189</v>
      </c>
      <c r="Y760" s="54">
        <f ca="1">H760*MCDA_Prioritisation!$D$2+I760*MCDA_Prioritisation!$E$2+J760*M760+K760*Q760+L760*U760</f>
        <v>88.082509962418243</v>
      </c>
      <c r="Z760" s="54">
        <f ca="1">H760*MCDA_Prioritisation!$D$3+I760*MCDA_Prioritisation!$E$3+J760*N760+K760*R760+L760*V760</f>
        <v>79.468628239367476</v>
      </c>
      <c r="AA760" s="54">
        <f ca="1">H760*MCDA_Prioritisation!$D$4+I760*MCDA_Prioritisation!$E$4+J760*O760+K760*S760+L760*W760</f>
        <v>73.228501037220681</v>
      </c>
      <c r="AB760" s="54">
        <f ca="1">H760*MCDA_Prioritisation!$D$5+I760*MCDA_Prioritisation!$E$5+J760*P760+K760*T760+L760*X760</f>
        <v>70.544768187930302</v>
      </c>
      <c r="AC760" s="54">
        <f t="shared" ca="1" si="160"/>
        <v>1</v>
      </c>
      <c r="AD760" s="54">
        <f t="shared" ca="1" si="161"/>
        <v>2</v>
      </c>
      <c r="AE760" s="54">
        <f t="shared" ca="1" si="162"/>
        <v>3</v>
      </c>
      <c r="AF760" s="54">
        <f t="shared" ca="1" si="163"/>
        <v>4</v>
      </c>
      <c r="AG760" s="54">
        <f t="shared" ca="1" si="164"/>
        <v>1</v>
      </c>
      <c r="AH760" s="54">
        <f t="shared" ca="1" si="165"/>
        <v>1</v>
      </c>
      <c r="AI760" s="54">
        <f t="shared" ca="1" si="166"/>
        <v>1</v>
      </c>
      <c r="AJ760" s="54">
        <f t="shared" ca="1" si="167"/>
        <v>1</v>
      </c>
    </row>
    <row r="761" spans="1:36" x14ac:dyDescent="0.2">
      <c r="A761" s="54">
        <v>738</v>
      </c>
      <c r="B761" s="54">
        <f ca="1">MAX(0.02,MCDA_Prioritisation!$B$9+(RAND()-0.5)*2*$B$6)</f>
        <v>0.14441419073515388</v>
      </c>
      <c r="C761" s="54">
        <f ca="1">MAX(0.02,MCDA_Prioritisation!$B$10+(RAND()-0.5)*2*$B$6)</f>
        <v>0.32751530313410737</v>
      </c>
      <c r="D761" s="54">
        <f ca="1">MAX(0.02,MCDA_Prioritisation!$B$11+(RAND()-0.5)*2*$B$6)</f>
        <v>0.27807422697240969</v>
      </c>
      <c r="E761" s="54">
        <f ca="1">MAX(0.02,MCDA_Prioritisation!$B$12+(RAND()-0.5)*2*$B$6)</f>
        <v>0.10192677732369158</v>
      </c>
      <c r="F761" s="54">
        <f ca="1">MAX(0.02,MCDA_Prioritisation!$B$13+(RAND()-0.5)*2*$B$6)</f>
        <v>0.21193077372261851</v>
      </c>
      <c r="G761" s="54">
        <f t="shared" ca="1" si="154"/>
        <v>1.0638612718879812</v>
      </c>
      <c r="H761" s="54">
        <f t="shared" ca="1" si="155"/>
        <v>0.13574532183023194</v>
      </c>
      <c r="I761" s="54">
        <f t="shared" ca="1" si="156"/>
        <v>0.30785527379230793</v>
      </c>
      <c r="J761" s="54">
        <f t="shared" ca="1" si="157"/>
        <v>0.26138203760244538</v>
      </c>
      <c r="K761" s="54">
        <f t="shared" ca="1" si="158"/>
        <v>9.580833518152912E-2</v>
      </c>
      <c r="L761" s="54">
        <f t="shared" ca="1" si="159"/>
        <v>0.19920903159348549</v>
      </c>
      <c r="M761" s="54">
        <f ca="1">MIN(100,MAX(0,MCDA_Prioritisation!$F$2+(RAND()-0.5)*2*$B$7))</f>
        <v>89.724365522302989</v>
      </c>
      <c r="N761" s="54">
        <f ca="1">MIN(100,MAX(0,MCDA_Prioritisation!$F$3+(RAND()-0.5)*2*$B$7))</f>
        <v>85.538444275093354</v>
      </c>
      <c r="O761" s="54">
        <f ca="1">MIN(100,MAX(0,MCDA_Prioritisation!$F$4+(RAND()-0.5)*2*$B$7))</f>
        <v>92.580661870180847</v>
      </c>
      <c r="P761" s="54">
        <f ca="1">MIN(100,MAX(0,MCDA_Prioritisation!$F$5+(RAND()-0.5)*2*$B$7))</f>
        <v>83.786312069178535</v>
      </c>
      <c r="Q761" s="54">
        <f ca="1">MIN(100,MAX(0,MCDA_Prioritisation!$G$2+(RAND()-0.5)*2*$B$7))</f>
        <v>76.380067423929404</v>
      </c>
      <c r="R761" s="54">
        <f ca="1">MIN(100,MAX(0,MCDA_Prioritisation!$G$3+(RAND()-0.5)*2*$B$7))</f>
        <v>87.103929445187589</v>
      </c>
      <c r="S761" s="54">
        <f ca="1">MIN(100,MAX(0,MCDA_Prioritisation!$G$4+(RAND()-0.5)*2*$B$7))</f>
        <v>82.005569625513175</v>
      </c>
      <c r="T761" s="54">
        <f ca="1">MIN(100,MAX(0,MCDA_Prioritisation!$G$5+(RAND()-0.5)*2*$B$7))</f>
        <v>69.964664218640806</v>
      </c>
      <c r="U761" s="54">
        <f ca="1">MIN(100,MAX(0,MCDA_Prioritisation!$H$2+(RAND()-0.5)*2*$B$7))</f>
        <v>55.604911128257271</v>
      </c>
      <c r="V761" s="54">
        <f ca="1">MIN(100,MAX(0,MCDA_Prioritisation!$H$3+(RAND()-0.5)*2*$B$7))</f>
        <v>57.53718912519026</v>
      </c>
      <c r="W761" s="54">
        <f ca="1">MIN(100,MAX(0,MCDA_Prioritisation!$H$4+(RAND()-0.5)*2*$B$7))</f>
        <v>80.937327020890024</v>
      </c>
      <c r="X761" s="54">
        <f ca="1">MIN(100,MAX(0,MCDA_Prioritisation!$H$5+(RAND()-0.5)*2*$B$7))</f>
        <v>66.270431125520616</v>
      </c>
      <c r="Y761" s="54">
        <f ca="1">H761*MCDA_Prioritisation!$D$2+I761*MCDA_Prioritisation!$E$2+J761*M761+K761*Q761+L761*U761</f>
        <v>86.207244643701713</v>
      </c>
      <c r="Z761" s="54">
        <f ca="1">H761*MCDA_Prioritisation!$D$3+I761*MCDA_Prioritisation!$E$3+J761*N761+K761*R761+L761*V761</f>
        <v>76.418609582029831</v>
      </c>
      <c r="AA761" s="54">
        <f ca="1">H761*MCDA_Prioritisation!$D$4+I761*MCDA_Prioritisation!$E$4+J761*O761+K761*S761+L761*W761</f>
        <v>74.423797742183879</v>
      </c>
      <c r="AB761" s="54">
        <f ca="1">H761*MCDA_Prioritisation!$D$5+I761*MCDA_Prioritisation!$E$5+J761*P761+K761*T761+L761*X761</f>
        <v>74.897736966874447</v>
      </c>
      <c r="AC761" s="54">
        <f t="shared" ca="1" si="160"/>
        <v>1</v>
      </c>
      <c r="AD761" s="54">
        <f t="shared" ca="1" si="161"/>
        <v>2</v>
      </c>
      <c r="AE761" s="54">
        <f t="shared" ca="1" si="162"/>
        <v>4</v>
      </c>
      <c r="AF761" s="54">
        <f t="shared" ca="1" si="163"/>
        <v>3</v>
      </c>
      <c r="AG761" s="54">
        <f t="shared" ca="1" si="164"/>
        <v>1</v>
      </c>
      <c r="AH761" s="54">
        <f t="shared" ca="1" si="165"/>
        <v>1</v>
      </c>
      <c r="AI761" s="54">
        <f t="shared" ca="1" si="166"/>
        <v>0</v>
      </c>
      <c r="AJ761" s="54">
        <f t="shared" ca="1" si="167"/>
        <v>1</v>
      </c>
    </row>
    <row r="762" spans="1:36" x14ac:dyDescent="0.2">
      <c r="A762" s="54">
        <v>739</v>
      </c>
      <c r="B762" s="54">
        <f ca="1">MAX(0.02,MCDA_Prioritisation!$B$9+(RAND()-0.5)*2*$B$6)</f>
        <v>0.23436980749265859</v>
      </c>
      <c r="C762" s="54">
        <f ca="1">MAX(0.02,MCDA_Prioritisation!$B$10+(RAND()-0.5)*2*$B$6)</f>
        <v>0.32309606494356019</v>
      </c>
      <c r="D762" s="54">
        <f ca="1">MAX(0.02,MCDA_Prioritisation!$B$11+(RAND()-0.5)*2*$B$6)</f>
        <v>0.29006352819635106</v>
      </c>
      <c r="E762" s="54">
        <f ca="1">MAX(0.02,MCDA_Prioritisation!$B$12+(RAND()-0.5)*2*$B$6)</f>
        <v>0.1197829092568766</v>
      </c>
      <c r="F762" s="54">
        <f ca="1">MAX(0.02,MCDA_Prioritisation!$B$13+(RAND()-0.5)*2*$B$6)</f>
        <v>0.14047071431675309</v>
      </c>
      <c r="G762" s="54">
        <f t="shared" ca="1" si="154"/>
        <v>1.1077830242061997</v>
      </c>
      <c r="H762" s="54">
        <f t="shared" ca="1" si="155"/>
        <v>0.21156652735367576</v>
      </c>
      <c r="I762" s="54">
        <f t="shared" ca="1" si="156"/>
        <v>0.29166006147736379</v>
      </c>
      <c r="J762" s="54">
        <f t="shared" ca="1" si="157"/>
        <v>0.26184146340769293</v>
      </c>
      <c r="K762" s="54">
        <f t="shared" ca="1" si="158"/>
        <v>0.10812849325138289</v>
      </c>
      <c r="L762" s="54">
        <f t="shared" ca="1" si="159"/>
        <v>0.12680345450988448</v>
      </c>
      <c r="M762" s="54">
        <f ca="1">MIN(100,MAX(0,MCDA_Prioritisation!$F$2+(RAND()-0.5)*2*$B$7))</f>
        <v>77.805203466848994</v>
      </c>
      <c r="N762" s="54">
        <f ca="1">MIN(100,MAX(0,MCDA_Prioritisation!$F$3+(RAND()-0.5)*2*$B$7))</f>
        <v>100</v>
      </c>
      <c r="O762" s="54">
        <f ca="1">MIN(100,MAX(0,MCDA_Prioritisation!$F$4+(RAND()-0.5)*2*$B$7))</f>
        <v>93.031243195859787</v>
      </c>
      <c r="P762" s="54">
        <f ca="1">MIN(100,MAX(0,MCDA_Prioritisation!$F$5+(RAND()-0.5)*2*$B$7))</f>
        <v>80.503252834272232</v>
      </c>
      <c r="Q762" s="54">
        <f ca="1">MIN(100,MAX(0,MCDA_Prioritisation!$G$2+(RAND()-0.5)*2*$B$7))</f>
        <v>82.157452875892901</v>
      </c>
      <c r="R762" s="54">
        <f ca="1">MIN(100,MAX(0,MCDA_Prioritisation!$G$3+(RAND()-0.5)*2*$B$7))</f>
        <v>97.811974099393893</v>
      </c>
      <c r="S762" s="54">
        <f ca="1">MIN(100,MAX(0,MCDA_Prioritisation!$G$4+(RAND()-0.5)*2*$B$7))</f>
        <v>87.016882907053557</v>
      </c>
      <c r="T762" s="54">
        <f ca="1">MIN(100,MAX(0,MCDA_Prioritisation!$G$5+(RAND()-0.5)*2*$B$7))</f>
        <v>68.242866340809684</v>
      </c>
      <c r="U762" s="54">
        <f ca="1">MIN(100,MAX(0,MCDA_Prioritisation!$H$2+(RAND()-0.5)*2*$B$7))</f>
        <v>65.000327227131493</v>
      </c>
      <c r="V762" s="54">
        <f ca="1">MIN(100,MAX(0,MCDA_Prioritisation!$H$3+(RAND()-0.5)*2*$B$7))</f>
        <v>55.958361025900345</v>
      </c>
      <c r="W762" s="54">
        <f ca="1">MIN(100,MAX(0,MCDA_Prioritisation!$H$4+(RAND()-0.5)*2*$B$7))</f>
        <v>89.717781073788444</v>
      </c>
      <c r="X762" s="54">
        <f ca="1">MIN(100,MAX(0,MCDA_Prioritisation!$H$5+(RAND()-0.5)*2*$B$7))</f>
        <v>66.876104788376438</v>
      </c>
      <c r="Y762" s="54">
        <f ca="1">H762*MCDA_Prioritisation!$D$2+I762*MCDA_Prioritisation!$E$2+J762*M762+K762*Q762+L762*U762</f>
        <v>87.82111484511195</v>
      </c>
      <c r="Z762" s="54">
        <f ca="1">H762*MCDA_Prioritisation!$D$3+I762*MCDA_Prioritisation!$E$3+J762*N762+K762*R762+L762*V762</f>
        <v>83.558007827508121</v>
      </c>
      <c r="AA762" s="54">
        <f ca="1">H762*MCDA_Prioritisation!$D$4+I762*MCDA_Prioritisation!$E$4+J762*O762+K762*S762+L762*W762</f>
        <v>75.785945744162419</v>
      </c>
      <c r="AB762" s="54">
        <f ca="1">H762*MCDA_Prioritisation!$D$5+I762*MCDA_Prioritisation!$E$5+J762*P762+K762*T762+L762*X762</f>
        <v>72.693250366079184</v>
      </c>
      <c r="AC762" s="54">
        <f t="shared" ca="1" si="160"/>
        <v>1</v>
      </c>
      <c r="AD762" s="54">
        <f t="shared" ca="1" si="161"/>
        <v>2</v>
      </c>
      <c r="AE762" s="54">
        <f t="shared" ca="1" si="162"/>
        <v>3</v>
      </c>
      <c r="AF762" s="54">
        <f t="shared" ca="1" si="163"/>
        <v>4</v>
      </c>
      <c r="AG762" s="54">
        <f t="shared" ca="1" si="164"/>
        <v>1</v>
      </c>
      <c r="AH762" s="54">
        <f t="shared" ca="1" si="165"/>
        <v>1</v>
      </c>
      <c r="AI762" s="54">
        <f t="shared" ca="1" si="166"/>
        <v>1</v>
      </c>
      <c r="AJ762" s="54">
        <f t="shared" ca="1" si="167"/>
        <v>1</v>
      </c>
    </row>
    <row r="763" spans="1:36" x14ac:dyDescent="0.2">
      <c r="A763" s="54">
        <v>740</v>
      </c>
      <c r="B763" s="54">
        <f ca="1">MAX(0.02,MCDA_Prioritisation!$B$9+(RAND()-0.5)*2*$B$6)</f>
        <v>0.24559993666179616</v>
      </c>
      <c r="C763" s="54">
        <f ca="1">MAX(0.02,MCDA_Prioritisation!$B$10+(RAND()-0.5)*2*$B$6)</f>
        <v>0.18307051855041653</v>
      </c>
      <c r="D763" s="54">
        <f ca="1">MAX(0.02,MCDA_Prioritisation!$B$11+(RAND()-0.5)*2*$B$6)</f>
        <v>0.17544578624809107</v>
      </c>
      <c r="E763" s="54">
        <f ca="1">MAX(0.02,MCDA_Prioritisation!$B$12+(RAND()-0.5)*2*$B$6)</f>
        <v>0.1214759079720133</v>
      </c>
      <c r="F763" s="54">
        <f ca="1">MAX(0.02,MCDA_Prioritisation!$B$13+(RAND()-0.5)*2*$B$6)</f>
        <v>9.5382291102505179E-2</v>
      </c>
      <c r="G763" s="54">
        <f t="shared" ca="1" si="154"/>
        <v>0.82097444053482216</v>
      </c>
      <c r="H763" s="54">
        <f t="shared" ca="1" si="155"/>
        <v>0.2991566174725252</v>
      </c>
      <c r="I763" s="54">
        <f t="shared" ca="1" si="156"/>
        <v>0.22299173946408807</v>
      </c>
      <c r="J763" s="54">
        <f t="shared" ca="1" si="157"/>
        <v>0.21370432206610143</v>
      </c>
      <c r="K763" s="54">
        <f t="shared" ca="1" si="158"/>
        <v>0.14796551752924009</v>
      </c>
      <c r="L763" s="54">
        <f t="shared" ca="1" si="159"/>
        <v>0.11618180346804534</v>
      </c>
      <c r="M763" s="54">
        <f ca="1">MIN(100,MAX(0,MCDA_Prioritisation!$F$2+(RAND()-0.5)*2*$B$7))</f>
        <v>94.59578397845695</v>
      </c>
      <c r="N763" s="54">
        <f ca="1">MIN(100,MAX(0,MCDA_Prioritisation!$F$3+(RAND()-0.5)*2*$B$7))</f>
        <v>91.529069273570371</v>
      </c>
      <c r="O763" s="54">
        <f ca="1">MIN(100,MAX(0,MCDA_Prioritisation!$F$4+(RAND()-0.5)*2*$B$7))</f>
        <v>82.348593724919482</v>
      </c>
      <c r="P763" s="54">
        <f ca="1">MIN(100,MAX(0,MCDA_Prioritisation!$F$5+(RAND()-0.5)*2*$B$7))</f>
        <v>73.037486069408047</v>
      </c>
      <c r="Q763" s="54">
        <f ca="1">MIN(100,MAX(0,MCDA_Prioritisation!$G$2+(RAND()-0.5)*2*$B$7))</f>
        <v>89.117037935708368</v>
      </c>
      <c r="R763" s="54">
        <f ca="1">MIN(100,MAX(0,MCDA_Prioritisation!$G$3+(RAND()-0.5)*2*$B$7))</f>
        <v>97.505732462681308</v>
      </c>
      <c r="S763" s="54">
        <f ca="1">MIN(100,MAX(0,MCDA_Prioritisation!$G$4+(RAND()-0.5)*2*$B$7))</f>
        <v>77.859281197373605</v>
      </c>
      <c r="T763" s="54">
        <f ca="1">MIN(100,MAX(0,MCDA_Prioritisation!$G$5+(RAND()-0.5)*2*$B$7))</f>
        <v>78.713656444661908</v>
      </c>
      <c r="U763" s="54">
        <f ca="1">MIN(100,MAX(0,MCDA_Prioritisation!$H$2+(RAND()-0.5)*2*$B$7))</f>
        <v>72.166409918846369</v>
      </c>
      <c r="V763" s="54">
        <f ca="1">MIN(100,MAX(0,MCDA_Prioritisation!$H$3+(RAND()-0.5)*2*$B$7))</f>
        <v>53.481708169899747</v>
      </c>
      <c r="W763" s="54">
        <f ca="1">MIN(100,MAX(0,MCDA_Prioritisation!$H$4+(RAND()-0.5)*2*$B$7))</f>
        <v>83.423751188139178</v>
      </c>
      <c r="X763" s="54">
        <f ca="1">MIN(100,MAX(0,MCDA_Prioritisation!$H$5+(RAND()-0.5)*2*$B$7))</f>
        <v>70.118226885503944</v>
      </c>
      <c r="Y763" s="54">
        <f ca="1">H763*MCDA_Prioritisation!$D$2+I763*MCDA_Prioritisation!$E$2+J763*M763+K763*Q763+L763*U763</f>
        <v>94.001035872104666</v>
      </c>
      <c r="Z763" s="54">
        <f ca="1">H763*MCDA_Prioritisation!$D$3+I763*MCDA_Prioritisation!$E$3+J763*N763+K763*R763+L763*V763</f>
        <v>82.564169034819173</v>
      </c>
      <c r="AA763" s="54">
        <f ca="1">H763*MCDA_Prioritisation!$D$4+I763*MCDA_Prioritisation!$E$4+J763*O763+K763*S763+L763*W763</f>
        <v>71.805755104476106</v>
      </c>
      <c r="AB763" s="54">
        <f ca="1">H763*MCDA_Prioritisation!$D$5+I763*MCDA_Prioritisation!$E$5+J763*P763+K763*T763+L763*X763</f>
        <v>70.031377173612853</v>
      </c>
      <c r="AC763" s="54">
        <f t="shared" ca="1" si="160"/>
        <v>1</v>
      </c>
      <c r="AD763" s="54">
        <f t="shared" ca="1" si="161"/>
        <v>2</v>
      </c>
      <c r="AE763" s="54">
        <f t="shared" ca="1" si="162"/>
        <v>3</v>
      </c>
      <c r="AF763" s="54">
        <f t="shared" ca="1" si="163"/>
        <v>4</v>
      </c>
      <c r="AG763" s="54">
        <f t="shared" ca="1" si="164"/>
        <v>1</v>
      </c>
      <c r="AH763" s="54">
        <f t="shared" ca="1" si="165"/>
        <v>1</v>
      </c>
      <c r="AI763" s="54">
        <f t="shared" ca="1" si="166"/>
        <v>1</v>
      </c>
      <c r="AJ763" s="54">
        <f t="shared" ca="1" si="167"/>
        <v>1</v>
      </c>
    </row>
    <row r="764" spans="1:36" x14ac:dyDescent="0.2">
      <c r="A764" s="54">
        <v>741</v>
      </c>
      <c r="B764" s="54">
        <f ca="1">MAX(0.02,MCDA_Prioritisation!$B$9+(RAND()-0.5)*2*$B$6)</f>
        <v>0.12575355665166188</v>
      </c>
      <c r="C764" s="54">
        <f ca="1">MAX(0.02,MCDA_Prioritisation!$B$10+(RAND()-0.5)*2*$B$6)</f>
        <v>0.28935914443731919</v>
      </c>
      <c r="D764" s="54">
        <f ca="1">MAX(0.02,MCDA_Prioritisation!$B$11+(RAND()-0.5)*2*$B$6)</f>
        <v>0.194031435963641</v>
      </c>
      <c r="E764" s="54">
        <f ca="1">MAX(0.02,MCDA_Prioritisation!$B$12+(RAND()-0.5)*2*$B$6)</f>
        <v>0.10634037925458505</v>
      </c>
      <c r="F764" s="54">
        <f ca="1">MAX(0.02,MCDA_Prioritisation!$B$13+(RAND()-0.5)*2*$B$6)</f>
        <v>0.19769669019186342</v>
      </c>
      <c r="G764" s="54">
        <f t="shared" ca="1" si="154"/>
        <v>0.91318120649907053</v>
      </c>
      <c r="H764" s="54">
        <f t="shared" ca="1" si="155"/>
        <v>0.13770931306588369</v>
      </c>
      <c r="I764" s="54">
        <f t="shared" ca="1" si="156"/>
        <v>0.31686935996707211</v>
      </c>
      <c r="J764" s="54">
        <f t="shared" ca="1" si="157"/>
        <v>0.21247856896608011</v>
      </c>
      <c r="K764" s="54">
        <f t="shared" ca="1" si="158"/>
        <v>0.11645046842594355</v>
      </c>
      <c r="L764" s="54">
        <f t="shared" ca="1" si="159"/>
        <v>0.21649228957502056</v>
      </c>
      <c r="M764" s="54">
        <f ca="1">MIN(100,MAX(0,MCDA_Prioritisation!$F$2+(RAND()-0.5)*2*$B$7))</f>
        <v>90.91444353779238</v>
      </c>
      <c r="N764" s="54">
        <f ca="1">MIN(100,MAX(0,MCDA_Prioritisation!$F$3+(RAND()-0.5)*2*$B$7))</f>
        <v>100</v>
      </c>
      <c r="O764" s="54">
        <f ca="1">MIN(100,MAX(0,MCDA_Prioritisation!$F$4+(RAND()-0.5)*2*$B$7))</f>
        <v>99.157879276326838</v>
      </c>
      <c r="P764" s="54">
        <f ca="1">MIN(100,MAX(0,MCDA_Prioritisation!$F$5+(RAND()-0.5)*2*$B$7))</f>
        <v>82.340263360847132</v>
      </c>
      <c r="Q764" s="54">
        <f ca="1">MIN(100,MAX(0,MCDA_Prioritisation!$G$2+(RAND()-0.5)*2*$B$7))</f>
        <v>80.838773986314123</v>
      </c>
      <c r="R764" s="54">
        <f ca="1">MIN(100,MAX(0,MCDA_Prioritisation!$G$3+(RAND()-0.5)*2*$B$7))</f>
        <v>97.407400109092805</v>
      </c>
      <c r="S764" s="54">
        <f ca="1">MIN(100,MAX(0,MCDA_Prioritisation!$G$4+(RAND()-0.5)*2*$B$7))</f>
        <v>92.109089459283126</v>
      </c>
      <c r="T764" s="54">
        <f ca="1">MIN(100,MAX(0,MCDA_Prioritisation!$G$5+(RAND()-0.5)*2*$B$7))</f>
        <v>79.84638511104653</v>
      </c>
      <c r="U764" s="54">
        <f ca="1">MIN(100,MAX(0,MCDA_Prioritisation!$H$2+(RAND()-0.5)*2*$B$7))</f>
        <v>72.346055253815834</v>
      </c>
      <c r="V764" s="54">
        <f ca="1">MIN(100,MAX(0,MCDA_Prioritisation!$H$3+(RAND()-0.5)*2*$B$7))</f>
        <v>63.878307124187877</v>
      </c>
      <c r="W764" s="54">
        <f ca="1">MIN(100,MAX(0,MCDA_Prioritisation!$H$4+(RAND()-0.5)*2*$B$7))</f>
        <v>86.893355360421339</v>
      </c>
      <c r="X764" s="54">
        <f ca="1">MIN(100,MAX(0,MCDA_Prioritisation!$H$5+(RAND()-0.5)*2*$B$7))</f>
        <v>67.635364436346649</v>
      </c>
      <c r="Y764" s="54">
        <f ca="1">H764*MCDA_Prioritisation!$D$2+I764*MCDA_Prioritisation!$E$2+J764*M764+K764*Q764+L764*U764</f>
        <v>89.851314405857991</v>
      </c>
      <c r="Z764" s="54">
        <f ca="1">H764*MCDA_Prioritisation!$D$3+I764*MCDA_Prioritisation!$E$3+J764*N764+K764*R764+L764*V764</f>
        <v>81.500558290815889</v>
      </c>
      <c r="AA764" s="54">
        <f ca="1">H764*MCDA_Prioritisation!$D$4+I764*MCDA_Prioritisation!$E$4+J764*O764+K764*S764+L764*W764</f>
        <v>77.479862649787393</v>
      </c>
      <c r="AB764" s="54">
        <f ca="1">H764*MCDA_Prioritisation!$D$5+I764*MCDA_Prioritisation!$E$5+J764*P764+K764*T764+L764*X764</f>
        <v>75.391102048980244</v>
      </c>
      <c r="AC764" s="54">
        <f t="shared" ca="1" si="160"/>
        <v>1</v>
      </c>
      <c r="AD764" s="54">
        <f t="shared" ca="1" si="161"/>
        <v>2</v>
      </c>
      <c r="AE764" s="54">
        <f t="shared" ca="1" si="162"/>
        <v>3</v>
      </c>
      <c r="AF764" s="54">
        <f t="shared" ca="1" si="163"/>
        <v>4</v>
      </c>
      <c r="AG764" s="54">
        <f t="shared" ca="1" si="164"/>
        <v>1</v>
      </c>
      <c r="AH764" s="54">
        <f t="shared" ca="1" si="165"/>
        <v>1</v>
      </c>
      <c r="AI764" s="54">
        <f t="shared" ca="1" si="166"/>
        <v>1</v>
      </c>
      <c r="AJ764" s="54">
        <f t="shared" ca="1" si="167"/>
        <v>1</v>
      </c>
    </row>
    <row r="765" spans="1:36" x14ac:dyDescent="0.2">
      <c r="A765" s="54">
        <v>742</v>
      </c>
      <c r="B765" s="54">
        <f ca="1">MAX(0.02,MCDA_Prioritisation!$B$9+(RAND()-0.5)*2*$B$6)</f>
        <v>0.12843767187742955</v>
      </c>
      <c r="C765" s="54">
        <f ca="1">MAX(0.02,MCDA_Prioritisation!$B$10+(RAND()-0.5)*2*$B$6)</f>
        <v>0.18925657112748617</v>
      </c>
      <c r="D765" s="54">
        <f ca="1">MAX(0.02,MCDA_Prioritisation!$B$11+(RAND()-0.5)*2*$B$6)</f>
        <v>0.20676509269240187</v>
      </c>
      <c r="E765" s="54">
        <f ca="1">MAX(0.02,MCDA_Prioritisation!$B$12+(RAND()-0.5)*2*$B$6)</f>
        <v>0.11603777293018663</v>
      </c>
      <c r="F765" s="54">
        <f ca="1">MAX(0.02,MCDA_Prioritisation!$B$13+(RAND()-0.5)*2*$B$6)</f>
        <v>0.1160412515412219</v>
      </c>
      <c r="G765" s="54">
        <f t="shared" ca="1" si="154"/>
        <v>0.75653836016872611</v>
      </c>
      <c r="H765" s="54">
        <f t="shared" ca="1" si="155"/>
        <v>0.16977020418209182</v>
      </c>
      <c r="I765" s="54">
        <f t="shared" ca="1" si="156"/>
        <v>0.25016123582322702</v>
      </c>
      <c r="J765" s="54">
        <f t="shared" ca="1" si="157"/>
        <v>0.27330417541060087</v>
      </c>
      <c r="K765" s="54">
        <f t="shared" ca="1" si="158"/>
        <v>0.15337989326054458</v>
      </c>
      <c r="L765" s="54">
        <f t="shared" ca="1" si="159"/>
        <v>0.15338449132353571</v>
      </c>
      <c r="M765" s="54">
        <f ca="1">MIN(100,MAX(0,MCDA_Prioritisation!$F$2+(RAND()-0.5)*2*$B$7))</f>
        <v>78.56533497440698</v>
      </c>
      <c r="N765" s="54">
        <f ca="1">MIN(100,MAX(0,MCDA_Prioritisation!$F$3+(RAND()-0.5)*2*$B$7))</f>
        <v>96.226023122491114</v>
      </c>
      <c r="O765" s="54">
        <f ca="1">MIN(100,MAX(0,MCDA_Prioritisation!$F$4+(RAND()-0.5)*2*$B$7))</f>
        <v>88.665843784223611</v>
      </c>
      <c r="P765" s="54">
        <f ca="1">MIN(100,MAX(0,MCDA_Prioritisation!$F$5+(RAND()-0.5)*2*$B$7))</f>
        <v>66.204196063024341</v>
      </c>
      <c r="Q765" s="54">
        <f ca="1">MIN(100,MAX(0,MCDA_Prioritisation!$G$2+(RAND()-0.5)*2*$B$7))</f>
        <v>71.959353209121318</v>
      </c>
      <c r="R765" s="54">
        <f ca="1">MIN(100,MAX(0,MCDA_Prioritisation!$G$3+(RAND()-0.5)*2*$B$7))</f>
        <v>97.802338743999996</v>
      </c>
      <c r="S765" s="54">
        <f ca="1">MIN(100,MAX(0,MCDA_Prioritisation!$G$4+(RAND()-0.5)*2*$B$7))</f>
        <v>89.981154959313756</v>
      </c>
      <c r="T765" s="54">
        <f ca="1">MIN(100,MAX(0,MCDA_Prioritisation!$G$5+(RAND()-0.5)*2*$B$7))</f>
        <v>65.225787405683221</v>
      </c>
      <c r="U765" s="54">
        <f ca="1">MIN(100,MAX(0,MCDA_Prioritisation!$H$2+(RAND()-0.5)*2*$B$7))</f>
        <v>74.075329735574044</v>
      </c>
      <c r="V765" s="54">
        <f ca="1">MIN(100,MAX(0,MCDA_Prioritisation!$H$3+(RAND()-0.5)*2*$B$7))</f>
        <v>58.300253122458081</v>
      </c>
      <c r="W765" s="54">
        <f ca="1">MIN(100,MAX(0,MCDA_Prioritisation!$H$4+(RAND()-0.5)*2*$B$7))</f>
        <v>71.867076392457108</v>
      </c>
      <c r="X765" s="54">
        <f ca="1">MIN(100,MAX(0,MCDA_Prioritisation!$H$5+(RAND()-0.5)*2*$B$7))</f>
        <v>71.250691925049509</v>
      </c>
      <c r="Y765" s="54">
        <f ca="1">H765*MCDA_Prioritisation!$D$2+I765*MCDA_Prioritisation!$E$2+J765*M765+K765*Q765+L765*U765</f>
        <v>85.864502776996886</v>
      </c>
      <c r="Z765" s="54">
        <f ca="1">H765*MCDA_Prioritisation!$D$3+I765*MCDA_Prioritisation!$E$3+J765*N765+K765*R765+L765*V765</f>
        <v>83.273164518480598</v>
      </c>
      <c r="AA765" s="54">
        <f ca="1">H765*MCDA_Prioritisation!$D$4+I765*MCDA_Prioritisation!$E$4+J765*O765+K765*S765+L765*W765</f>
        <v>74.524297546665252</v>
      </c>
      <c r="AB765" s="54">
        <f ca="1">H765*MCDA_Prioritisation!$D$5+I765*MCDA_Prioritisation!$E$5+J765*P765+K765*T765+L765*X765</f>
        <v>69.073949053099753</v>
      </c>
      <c r="AC765" s="54">
        <f t="shared" ca="1" si="160"/>
        <v>1</v>
      </c>
      <c r="AD765" s="54">
        <f t="shared" ca="1" si="161"/>
        <v>2</v>
      </c>
      <c r="AE765" s="54">
        <f t="shared" ca="1" si="162"/>
        <v>3</v>
      </c>
      <c r="AF765" s="54">
        <f t="shared" ca="1" si="163"/>
        <v>4</v>
      </c>
      <c r="AG765" s="54">
        <f t="shared" ca="1" si="164"/>
        <v>1</v>
      </c>
      <c r="AH765" s="54">
        <f t="shared" ca="1" si="165"/>
        <v>1</v>
      </c>
      <c r="AI765" s="54">
        <f t="shared" ca="1" si="166"/>
        <v>1</v>
      </c>
      <c r="AJ765" s="54">
        <f t="shared" ca="1" si="167"/>
        <v>1</v>
      </c>
    </row>
    <row r="766" spans="1:36" x14ac:dyDescent="0.2">
      <c r="A766" s="54">
        <v>743</v>
      </c>
      <c r="B766" s="54">
        <f ca="1">MAX(0.02,MCDA_Prioritisation!$B$9+(RAND()-0.5)*2*$B$6)</f>
        <v>0.21709149336172032</v>
      </c>
      <c r="C766" s="54">
        <f ca="1">MAX(0.02,MCDA_Prioritisation!$B$10+(RAND()-0.5)*2*$B$6)</f>
        <v>0.20447484197382368</v>
      </c>
      <c r="D766" s="54">
        <f ca="1">MAX(0.02,MCDA_Prioritisation!$B$11+(RAND()-0.5)*2*$B$6)</f>
        <v>0.29708134091735938</v>
      </c>
      <c r="E766" s="54">
        <f ca="1">MAX(0.02,MCDA_Prioritisation!$B$12+(RAND()-0.5)*2*$B$6)</f>
        <v>9.0427378343294396E-2</v>
      </c>
      <c r="F766" s="54">
        <f ca="1">MAX(0.02,MCDA_Prioritisation!$B$13+(RAND()-0.5)*2*$B$6)</f>
        <v>0.12149530667531601</v>
      </c>
      <c r="G766" s="54">
        <f t="shared" ca="1" si="154"/>
        <v>0.93057036127151382</v>
      </c>
      <c r="H766" s="54">
        <f t="shared" ca="1" si="155"/>
        <v>0.23328863930835986</v>
      </c>
      <c r="I766" s="54">
        <f t="shared" ca="1" si="156"/>
        <v>0.21973066248793172</v>
      </c>
      <c r="J766" s="54">
        <f t="shared" ca="1" si="157"/>
        <v>0.31924651082958738</v>
      </c>
      <c r="K766" s="54">
        <f t="shared" ca="1" si="158"/>
        <v>9.717414405906516E-2</v>
      </c>
      <c r="L766" s="54">
        <f t="shared" ca="1" si="159"/>
        <v>0.13056004331505583</v>
      </c>
      <c r="M766" s="54">
        <f ca="1">MIN(100,MAX(0,MCDA_Prioritisation!$F$2+(RAND()-0.5)*2*$B$7))</f>
        <v>75.972501424599216</v>
      </c>
      <c r="N766" s="54">
        <f ca="1">MIN(100,MAX(0,MCDA_Prioritisation!$F$3+(RAND()-0.5)*2*$B$7))</f>
        <v>94.725106558616503</v>
      </c>
      <c r="O766" s="54">
        <f ca="1">MIN(100,MAX(0,MCDA_Prioritisation!$F$4+(RAND()-0.5)*2*$B$7))</f>
        <v>82.526507838703708</v>
      </c>
      <c r="P766" s="54">
        <f ca="1">MIN(100,MAX(0,MCDA_Prioritisation!$F$5+(RAND()-0.5)*2*$B$7))</f>
        <v>83.041775737575691</v>
      </c>
      <c r="Q766" s="54">
        <f ca="1">MIN(100,MAX(0,MCDA_Prioritisation!$G$2+(RAND()-0.5)*2*$B$7))</f>
        <v>85.047191428847526</v>
      </c>
      <c r="R766" s="54">
        <f ca="1">MIN(100,MAX(0,MCDA_Prioritisation!$G$3+(RAND()-0.5)*2*$B$7))</f>
        <v>100</v>
      </c>
      <c r="S766" s="54">
        <f ca="1">MIN(100,MAX(0,MCDA_Prioritisation!$G$4+(RAND()-0.5)*2*$B$7))</f>
        <v>75.243718076047799</v>
      </c>
      <c r="T766" s="54">
        <f ca="1">MIN(100,MAX(0,MCDA_Prioritisation!$G$5+(RAND()-0.5)*2*$B$7))</f>
        <v>73.562863648548358</v>
      </c>
      <c r="U766" s="54">
        <f ca="1">MIN(100,MAX(0,MCDA_Prioritisation!$H$2+(RAND()-0.5)*2*$B$7))</f>
        <v>72.606255660894917</v>
      </c>
      <c r="V766" s="54">
        <f ca="1">MIN(100,MAX(0,MCDA_Prioritisation!$H$3+(RAND()-0.5)*2*$B$7))</f>
        <v>54.017870523664101</v>
      </c>
      <c r="W766" s="54">
        <f ca="1">MIN(100,MAX(0,MCDA_Prioritisation!$H$4+(RAND()-0.5)*2*$B$7))</f>
        <v>76.070693001240002</v>
      </c>
      <c r="X766" s="54">
        <f ca="1">MIN(100,MAX(0,MCDA_Prioritisation!$H$5+(RAND()-0.5)*2*$B$7))</f>
        <v>78.719734381109703</v>
      </c>
      <c r="Y766" s="54">
        <f ca="1">H766*MCDA_Prioritisation!$D$2+I766*MCDA_Prioritisation!$E$2+J766*M766+K766*Q766+L766*U766</f>
        <v>87.299750094184489</v>
      </c>
      <c r="Z766" s="54">
        <f ca="1">H766*MCDA_Prioritisation!$D$3+I766*MCDA_Prioritisation!$E$3+J766*N766+K766*R766+L766*V766</f>
        <v>83.37975120617196</v>
      </c>
      <c r="AA766" s="54">
        <f ca="1">H766*MCDA_Prioritisation!$D$4+I766*MCDA_Prioritisation!$E$4+J766*O766+K766*S766+L766*W766</f>
        <v>71.819994845242164</v>
      </c>
      <c r="AB766" s="54">
        <f ca="1">H766*MCDA_Prioritisation!$D$5+I766*MCDA_Prioritisation!$E$5+J766*P766+K766*T766+L766*X766</f>
        <v>74.796210677818792</v>
      </c>
      <c r="AC766" s="54">
        <f t="shared" ca="1" si="160"/>
        <v>1</v>
      </c>
      <c r="AD766" s="54">
        <f t="shared" ca="1" si="161"/>
        <v>2</v>
      </c>
      <c r="AE766" s="54">
        <f t="shared" ca="1" si="162"/>
        <v>4</v>
      </c>
      <c r="AF766" s="54">
        <f t="shared" ca="1" si="163"/>
        <v>3</v>
      </c>
      <c r="AG766" s="54">
        <f t="shared" ca="1" si="164"/>
        <v>1</v>
      </c>
      <c r="AH766" s="54">
        <f t="shared" ca="1" si="165"/>
        <v>1</v>
      </c>
      <c r="AI766" s="54">
        <f t="shared" ca="1" si="166"/>
        <v>0</v>
      </c>
      <c r="AJ766" s="54">
        <f t="shared" ca="1" si="167"/>
        <v>1</v>
      </c>
    </row>
    <row r="767" spans="1:36" x14ac:dyDescent="0.2">
      <c r="A767" s="54">
        <v>744</v>
      </c>
      <c r="B767" s="54">
        <f ca="1">MAX(0.02,MCDA_Prioritisation!$B$9+(RAND()-0.5)*2*$B$6)</f>
        <v>0.16226983738071826</v>
      </c>
      <c r="C767" s="54">
        <f ca="1">MAX(0.02,MCDA_Prioritisation!$B$10+(RAND()-0.5)*2*$B$6)</f>
        <v>0.20767193376999543</v>
      </c>
      <c r="D767" s="54">
        <f ca="1">MAX(0.02,MCDA_Prioritisation!$B$11+(RAND()-0.5)*2*$B$6)</f>
        <v>0.17416496177674928</v>
      </c>
      <c r="E767" s="54">
        <f ca="1">MAX(0.02,MCDA_Prioritisation!$B$12+(RAND()-0.5)*2*$B$6)</f>
        <v>0.19067479552847061</v>
      </c>
      <c r="F767" s="54">
        <f ca="1">MAX(0.02,MCDA_Prioritisation!$B$13+(RAND()-0.5)*2*$B$6)</f>
        <v>0.10226296483695309</v>
      </c>
      <c r="G767" s="54">
        <f t="shared" ca="1" si="154"/>
        <v>0.83704449329288666</v>
      </c>
      <c r="H767" s="54">
        <f t="shared" ca="1" si="155"/>
        <v>0.19386046820803721</v>
      </c>
      <c r="I767" s="54">
        <f t="shared" ca="1" si="156"/>
        <v>0.24810142762307122</v>
      </c>
      <c r="J767" s="54">
        <f t="shared" ca="1" si="157"/>
        <v>0.20807133094155361</v>
      </c>
      <c r="K767" s="54">
        <f t="shared" ca="1" si="158"/>
        <v>0.22779529291013734</v>
      </c>
      <c r="L767" s="54">
        <f t="shared" ca="1" si="159"/>
        <v>0.12217148031720064</v>
      </c>
      <c r="M767" s="54">
        <f ca="1">MIN(100,MAX(0,MCDA_Prioritisation!$F$2+(RAND()-0.5)*2*$B$7))</f>
        <v>81.624794873365133</v>
      </c>
      <c r="N767" s="54">
        <f ca="1">MIN(100,MAX(0,MCDA_Prioritisation!$F$3+(RAND()-0.5)*2*$B$7))</f>
        <v>97.356607101237984</v>
      </c>
      <c r="O767" s="54">
        <f ca="1">MIN(100,MAX(0,MCDA_Prioritisation!$F$4+(RAND()-0.5)*2*$B$7))</f>
        <v>87.53331617609372</v>
      </c>
      <c r="P767" s="54">
        <f ca="1">MIN(100,MAX(0,MCDA_Prioritisation!$F$5+(RAND()-0.5)*2*$B$7))</f>
        <v>83.297958850724555</v>
      </c>
      <c r="Q767" s="54">
        <f ca="1">MIN(100,MAX(0,MCDA_Prioritisation!$G$2+(RAND()-0.5)*2*$B$7))</f>
        <v>73.373164238597383</v>
      </c>
      <c r="R767" s="54">
        <f ca="1">MIN(100,MAX(0,MCDA_Prioritisation!$G$3+(RAND()-0.5)*2*$B$7))</f>
        <v>89.980815381530803</v>
      </c>
      <c r="S767" s="54">
        <f ca="1">MIN(100,MAX(0,MCDA_Prioritisation!$G$4+(RAND()-0.5)*2*$B$7))</f>
        <v>76.919035828127491</v>
      </c>
      <c r="T767" s="54">
        <f ca="1">MIN(100,MAX(0,MCDA_Prioritisation!$G$5+(RAND()-0.5)*2*$B$7))</f>
        <v>75.198987016980453</v>
      </c>
      <c r="U767" s="54">
        <f ca="1">MIN(100,MAX(0,MCDA_Prioritisation!$H$2+(RAND()-0.5)*2*$B$7))</f>
        <v>74.42090429919908</v>
      </c>
      <c r="V767" s="54">
        <f ca="1">MIN(100,MAX(0,MCDA_Prioritisation!$H$3+(RAND()-0.5)*2*$B$7))</f>
        <v>51.478570751194852</v>
      </c>
      <c r="W767" s="54">
        <f ca="1">MIN(100,MAX(0,MCDA_Prioritisation!$H$4+(RAND()-0.5)*2*$B$7))</f>
        <v>77.453108509015451</v>
      </c>
      <c r="X767" s="54">
        <f ca="1">MIN(100,MAX(0,MCDA_Prioritisation!$H$5+(RAND()-0.5)*2*$B$7))</f>
        <v>77.296449407375746</v>
      </c>
      <c r="Y767" s="54">
        <f ca="1">H767*MCDA_Prioritisation!$D$2+I767*MCDA_Prioritisation!$E$2+J767*M767+K767*Q767+L767*U767</f>
        <v>86.986142774496017</v>
      </c>
      <c r="Z767" s="54">
        <f ca="1">H767*MCDA_Prioritisation!$D$3+I767*MCDA_Prioritisation!$E$3+J767*N767+K767*R767+L767*V767</f>
        <v>82.030070574530058</v>
      </c>
      <c r="AA767" s="54">
        <f ca="1">H767*MCDA_Prioritisation!$D$4+I767*MCDA_Prioritisation!$E$4+J767*O767+K767*S767+L767*W767</f>
        <v>72.229637337854726</v>
      </c>
      <c r="AB767" s="54">
        <f ca="1">H767*MCDA_Prioritisation!$D$5+I767*MCDA_Prioritisation!$E$5+J767*P767+K767*T767+L767*X767</f>
        <v>75.057705531223363</v>
      </c>
      <c r="AC767" s="54">
        <f t="shared" ca="1" si="160"/>
        <v>1</v>
      </c>
      <c r="AD767" s="54">
        <f t="shared" ca="1" si="161"/>
        <v>2</v>
      </c>
      <c r="AE767" s="54">
        <f t="shared" ca="1" si="162"/>
        <v>4</v>
      </c>
      <c r="AF767" s="54">
        <f t="shared" ca="1" si="163"/>
        <v>3</v>
      </c>
      <c r="AG767" s="54">
        <f t="shared" ca="1" si="164"/>
        <v>1</v>
      </c>
      <c r="AH767" s="54">
        <f t="shared" ca="1" si="165"/>
        <v>1</v>
      </c>
      <c r="AI767" s="54">
        <f t="shared" ca="1" si="166"/>
        <v>0</v>
      </c>
      <c r="AJ767" s="54">
        <f t="shared" ca="1" si="167"/>
        <v>1</v>
      </c>
    </row>
    <row r="768" spans="1:36" x14ac:dyDescent="0.2">
      <c r="A768" s="54">
        <v>745</v>
      </c>
      <c r="B768" s="54">
        <f ca="1">MAX(0.02,MCDA_Prioritisation!$B$9+(RAND()-0.5)*2*$B$6)</f>
        <v>0.16473765261136697</v>
      </c>
      <c r="C768" s="54">
        <f ca="1">MAX(0.02,MCDA_Prioritisation!$B$10+(RAND()-0.5)*2*$B$6)</f>
        <v>0.22531102005702597</v>
      </c>
      <c r="D768" s="54">
        <f ca="1">MAX(0.02,MCDA_Prioritisation!$B$11+(RAND()-0.5)*2*$B$6)</f>
        <v>0.27039771695207748</v>
      </c>
      <c r="E768" s="54">
        <f ca="1">MAX(0.02,MCDA_Prioritisation!$B$12+(RAND()-0.5)*2*$B$6)</f>
        <v>0.21732900432398861</v>
      </c>
      <c r="F768" s="54">
        <f ca="1">MAX(0.02,MCDA_Prioritisation!$B$13+(RAND()-0.5)*2*$B$6)</f>
        <v>0.22549712825184814</v>
      </c>
      <c r="G768" s="54">
        <f t="shared" ca="1" si="154"/>
        <v>1.1032725221963071</v>
      </c>
      <c r="H768" s="54">
        <f t="shared" ca="1" si="155"/>
        <v>0.14931728045163345</v>
      </c>
      <c r="I768" s="54">
        <f t="shared" ca="1" si="156"/>
        <v>0.20422063952838662</v>
      </c>
      <c r="J768" s="54">
        <f t="shared" ca="1" si="157"/>
        <v>0.24508696764584623</v>
      </c>
      <c r="K768" s="54">
        <f t="shared" ca="1" si="158"/>
        <v>0.19698578542620396</v>
      </c>
      <c r="L768" s="54">
        <f t="shared" ca="1" si="159"/>
        <v>0.2043893269479298</v>
      </c>
      <c r="M768" s="54">
        <f ca="1">MIN(100,MAX(0,MCDA_Prioritisation!$F$2+(RAND()-0.5)*2*$B$7))</f>
        <v>79.902758925400249</v>
      </c>
      <c r="N768" s="54">
        <f ca="1">MIN(100,MAX(0,MCDA_Prioritisation!$F$3+(RAND()-0.5)*2*$B$7))</f>
        <v>89.307114387407495</v>
      </c>
      <c r="O768" s="54">
        <f ca="1">MIN(100,MAX(0,MCDA_Prioritisation!$F$4+(RAND()-0.5)*2*$B$7))</f>
        <v>99.454808288510606</v>
      </c>
      <c r="P768" s="54">
        <f ca="1">MIN(100,MAX(0,MCDA_Prioritisation!$F$5+(RAND()-0.5)*2*$B$7))</f>
        <v>83.928201105816669</v>
      </c>
      <c r="Q768" s="54">
        <f ca="1">MIN(100,MAX(0,MCDA_Prioritisation!$G$2+(RAND()-0.5)*2*$B$7))</f>
        <v>82.407457129815043</v>
      </c>
      <c r="R768" s="54">
        <f ca="1">MIN(100,MAX(0,MCDA_Prioritisation!$G$3+(RAND()-0.5)*2*$B$7))</f>
        <v>96.98803796542542</v>
      </c>
      <c r="S768" s="54">
        <f ca="1">MIN(100,MAX(0,MCDA_Prioritisation!$G$4+(RAND()-0.5)*2*$B$7))</f>
        <v>94.553482571606949</v>
      </c>
      <c r="T768" s="54">
        <f ca="1">MIN(100,MAX(0,MCDA_Prioritisation!$G$5+(RAND()-0.5)*2*$B$7))</f>
        <v>78.293553836866309</v>
      </c>
      <c r="U768" s="54">
        <f ca="1">MIN(100,MAX(0,MCDA_Prioritisation!$H$2+(RAND()-0.5)*2*$B$7))</f>
        <v>70.135559534603573</v>
      </c>
      <c r="V768" s="54">
        <f ca="1">MIN(100,MAX(0,MCDA_Prioritisation!$H$3+(RAND()-0.5)*2*$B$7))</f>
        <v>57.552593559874218</v>
      </c>
      <c r="W768" s="54">
        <f ca="1">MIN(100,MAX(0,MCDA_Prioritisation!$H$4+(RAND()-0.5)*2*$B$7))</f>
        <v>78.826266307379257</v>
      </c>
      <c r="X768" s="54">
        <f ca="1">MIN(100,MAX(0,MCDA_Prioritisation!$H$5+(RAND()-0.5)*2*$B$7))</f>
        <v>82.365027979234114</v>
      </c>
      <c r="Y768" s="54">
        <f ca="1">H768*MCDA_Prioritisation!$D$2+I768*MCDA_Prioritisation!$E$2+J768*M768+K768*Q768+L768*U768</f>
        <v>85.504974365652359</v>
      </c>
      <c r="Z768" s="54">
        <f ca="1">H768*MCDA_Prioritisation!$D$3+I768*MCDA_Prioritisation!$E$3+J768*N768+K768*R768+L768*V768</f>
        <v>80.658679057670199</v>
      </c>
      <c r="AA768" s="54">
        <f ca="1">H768*MCDA_Prioritisation!$D$4+I768*MCDA_Prioritisation!$E$4+J768*O768+K768*S768+L768*W768</f>
        <v>80.648902171399982</v>
      </c>
      <c r="AB768" s="54">
        <f ca="1">H768*MCDA_Prioritisation!$D$5+I768*MCDA_Prioritisation!$E$5+J768*P768+K768*T768+L768*X768</f>
        <v>77.925204896899203</v>
      </c>
      <c r="AC768" s="54">
        <f t="shared" ca="1" si="160"/>
        <v>1</v>
      </c>
      <c r="AD768" s="54">
        <f t="shared" ca="1" si="161"/>
        <v>2</v>
      </c>
      <c r="AE768" s="54">
        <f t="shared" ca="1" si="162"/>
        <v>3</v>
      </c>
      <c r="AF768" s="54">
        <f t="shared" ca="1" si="163"/>
        <v>4</v>
      </c>
      <c r="AG768" s="54">
        <f t="shared" ca="1" si="164"/>
        <v>1</v>
      </c>
      <c r="AH768" s="54">
        <f t="shared" ca="1" si="165"/>
        <v>1</v>
      </c>
      <c r="AI768" s="54">
        <f t="shared" ca="1" si="166"/>
        <v>1</v>
      </c>
      <c r="AJ768" s="54">
        <f t="shared" ca="1" si="167"/>
        <v>1</v>
      </c>
    </row>
    <row r="769" spans="1:36" x14ac:dyDescent="0.2">
      <c r="A769" s="54">
        <v>746</v>
      </c>
      <c r="B769" s="54">
        <f ca="1">MAX(0.02,MCDA_Prioritisation!$B$9+(RAND()-0.5)*2*$B$6)</f>
        <v>0.19633478866417445</v>
      </c>
      <c r="C769" s="54">
        <f ca="1">MAX(0.02,MCDA_Prioritisation!$B$10+(RAND()-0.5)*2*$B$6)</f>
        <v>0.21446262633193031</v>
      </c>
      <c r="D769" s="54">
        <f ca="1">MAX(0.02,MCDA_Prioritisation!$B$11+(RAND()-0.5)*2*$B$6)</f>
        <v>0.27649465070609969</v>
      </c>
      <c r="E769" s="54">
        <f ca="1">MAX(0.02,MCDA_Prioritisation!$B$12+(RAND()-0.5)*2*$B$6)</f>
        <v>0.11607315077337935</v>
      </c>
      <c r="F769" s="54">
        <f ca="1">MAX(0.02,MCDA_Prioritisation!$B$13+(RAND()-0.5)*2*$B$6)</f>
        <v>0.19157551032218981</v>
      </c>
      <c r="G769" s="54">
        <f t="shared" ca="1" si="154"/>
        <v>0.99494072679777357</v>
      </c>
      <c r="H769" s="54">
        <f t="shared" ca="1" si="155"/>
        <v>0.19733315098687323</v>
      </c>
      <c r="I769" s="54">
        <f t="shared" ca="1" si="156"/>
        <v>0.21555316870199934</v>
      </c>
      <c r="J769" s="54">
        <f t="shared" ca="1" si="157"/>
        <v>0.27790062589557513</v>
      </c>
      <c r="K769" s="54">
        <f t="shared" ca="1" si="158"/>
        <v>0.11666338269915025</v>
      </c>
      <c r="L769" s="54">
        <f t="shared" ca="1" si="159"/>
        <v>0.19254967171640211</v>
      </c>
      <c r="M769" s="54">
        <f ca="1">MIN(100,MAX(0,MCDA_Prioritisation!$F$2+(RAND()-0.5)*2*$B$7))</f>
        <v>88.651773963898862</v>
      </c>
      <c r="N769" s="54">
        <f ca="1">MIN(100,MAX(0,MCDA_Prioritisation!$F$3+(RAND()-0.5)*2*$B$7))</f>
        <v>96.583776023820477</v>
      </c>
      <c r="O769" s="54">
        <f ca="1">MIN(100,MAX(0,MCDA_Prioritisation!$F$4+(RAND()-0.5)*2*$B$7))</f>
        <v>80.42775413265538</v>
      </c>
      <c r="P769" s="54">
        <f ca="1">MIN(100,MAX(0,MCDA_Prioritisation!$F$5+(RAND()-0.5)*2*$B$7))</f>
        <v>84.279971761992485</v>
      </c>
      <c r="Q769" s="54">
        <f ca="1">MIN(100,MAX(0,MCDA_Prioritisation!$G$2+(RAND()-0.5)*2*$B$7))</f>
        <v>75.64259463024797</v>
      </c>
      <c r="R769" s="54">
        <f ca="1">MIN(100,MAX(0,MCDA_Prioritisation!$G$3+(RAND()-0.5)*2*$B$7))</f>
        <v>92.852200254186826</v>
      </c>
      <c r="S769" s="54">
        <f ca="1">MIN(100,MAX(0,MCDA_Prioritisation!$G$4+(RAND()-0.5)*2*$B$7))</f>
        <v>79.516611219780103</v>
      </c>
      <c r="T769" s="54">
        <f ca="1">MIN(100,MAX(0,MCDA_Prioritisation!$G$5+(RAND()-0.5)*2*$B$7))</f>
        <v>70.178623485262904</v>
      </c>
      <c r="U769" s="54">
        <f ca="1">MIN(100,MAX(0,MCDA_Prioritisation!$H$2+(RAND()-0.5)*2*$B$7))</f>
        <v>59.37062773124903</v>
      </c>
      <c r="V769" s="54">
        <f ca="1">MIN(100,MAX(0,MCDA_Prioritisation!$H$3+(RAND()-0.5)*2*$B$7))</f>
        <v>57.182073461863894</v>
      </c>
      <c r="W769" s="54">
        <f ca="1">MIN(100,MAX(0,MCDA_Prioritisation!$H$4+(RAND()-0.5)*2*$B$7))</f>
        <v>81.822315519311459</v>
      </c>
      <c r="X769" s="54">
        <f ca="1">MIN(100,MAX(0,MCDA_Prioritisation!$H$5+(RAND()-0.5)*2*$B$7))</f>
        <v>68.951234124472634</v>
      </c>
      <c r="Y769" s="54">
        <f ca="1">H769*MCDA_Prioritisation!$D$2+I769*MCDA_Prioritisation!$E$2+J769*M769+K769*Q769+L769*U769</f>
        <v>86.181531285161839</v>
      </c>
      <c r="Z769" s="54">
        <f ca="1">H769*MCDA_Prioritisation!$D$3+I769*MCDA_Prioritisation!$E$3+J769*N769+K769*R769+L769*V769</f>
        <v>81.606420819112756</v>
      </c>
      <c r="AA769" s="54">
        <f ca="1">H769*MCDA_Prioritisation!$D$4+I769*MCDA_Prioritisation!$E$4+J769*O769+K769*S769+L769*W769</f>
        <v>72.8810262083407</v>
      </c>
      <c r="AB769" s="54">
        <f ca="1">H769*MCDA_Prioritisation!$D$5+I769*MCDA_Prioritisation!$E$5+J769*P769+K769*T769+L769*X769</f>
        <v>73.484964500741341</v>
      </c>
      <c r="AC769" s="54">
        <f t="shared" ca="1" si="160"/>
        <v>1</v>
      </c>
      <c r="AD769" s="54">
        <f t="shared" ca="1" si="161"/>
        <v>2</v>
      </c>
      <c r="AE769" s="54">
        <f t="shared" ca="1" si="162"/>
        <v>4</v>
      </c>
      <c r="AF769" s="54">
        <f t="shared" ca="1" si="163"/>
        <v>3</v>
      </c>
      <c r="AG769" s="54">
        <f t="shared" ca="1" si="164"/>
        <v>1</v>
      </c>
      <c r="AH769" s="54">
        <f t="shared" ca="1" si="165"/>
        <v>1</v>
      </c>
      <c r="AI769" s="54">
        <f t="shared" ca="1" si="166"/>
        <v>0</v>
      </c>
      <c r="AJ769" s="54">
        <f t="shared" ca="1" si="167"/>
        <v>1</v>
      </c>
    </row>
    <row r="770" spans="1:36" x14ac:dyDescent="0.2">
      <c r="A770" s="54">
        <v>747</v>
      </c>
      <c r="B770" s="54">
        <f ca="1">MAX(0.02,MCDA_Prioritisation!$B$9+(RAND()-0.5)*2*$B$6)</f>
        <v>0.18586915205594984</v>
      </c>
      <c r="C770" s="54">
        <f ca="1">MAX(0.02,MCDA_Prioritisation!$B$10+(RAND()-0.5)*2*$B$6)</f>
        <v>0.3226351174305343</v>
      </c>
      <c r="D770" s="54">
        <f ca="1">MAX(0.02,MCDA_Prioritisation!$B$11+(RAND()-0.5)*2*$B$6)</f>
        <v>0.22053259262823896</v>
      </c>
      <c r="E770" s="54">
        <f ca="1">MAX(0.02,MCDA_Prioritisation!$B$12+(RAND()-0.5)*2*$B$6)</f>
        <v>0.10528724409213089</v>
      </c>
      <c r="F770" s="54">
        <f ca="1">MAX(0.02,MCDA_Prioritisation!$B$13+(RAND()-0.5)*2*$B$6)</f>
        <v>0.15015112626872687</v>
      </c>
      <c r="G770" s="54">
        <f t="shared" ca="1" si="154"/>
        <v>0.98447523247558077</v>
      </c>
      <c r="H770" s="54">
        <f t="shared" ca="1" si="155"/>
        <v>0.18880023176262101</v>
      </c>
      <c r="I770" s="54">
        <f t="shared" ca="1" si="156"/>
        <v>0.32772293988466289</v>
      </c>
      <c r="J770" s="54">
        <f t="shared" ca="1" si="157"/>
        <v>0.22401030046604969</v>
      </c>
      <c r="K770" s="54">
        <f t="shared" ca="1" si="158"/>
        <v>0.10694758041537877</v>
      </c>
      <c r="L770" s="54">
        <f t="shared" ca="1" si="159"/>
        <v>0.15251894747128772</v>
      </c>
      <c r="M770" s="54">
        <f ca="1">MIN(100,MAX(0,MCDA_Prioritisation!$F$2+(RAND()-0.5)*2*$B$7))</f>
        <v>79.169789111239979</v>
      </c>
      <c r="N770" s="54">
        <f ca="1">MIN(100,MAX(0,MCDA_Prioritisation!$F$3+(RAND()-0.5)*2*$B$7))</f>
        <v>100</v>
      </c>
      <c r="O770" s="54">
        <f ca="1">MIN(100,MAX(0,MCDA_Prioritisation!$F$4+(RAND()-0.5)*2*$B$7))</f>
        <v>89.147500482788672</v>
      </c>
      <c r="P770" s="54">
        <f ca="1">MIN(100,MAX(0,MCDA_Prioritisation!$F$5+(RAND()-0.5)*2*$B$7))</f>
        <v>81.617125433705667</v>
      </c>
      <c r="Q770" s="54">
        <f ca="1">MIN(100,MAX(0,MCDA_Prioritisation!$G$2+(RAND()-0.5)*2*$B$7))</f>
        <v>70.828258063261814</v>
      </c>
      <c r="R770" s="54">
        <f ca="1">MIN(100,MAX(0,MCDA_Prioritisation!$G$3+(RAND()-0.5)*2*$B$7))</f>
        <v>85.628150176800489</v>
      </c>
      <c r="S770" s="54">
        <f ca="1">MIN(100,MAX(0,MCDA_Prioritisation!$G$4+(RAND()-0.5)*2*$B$7))</f>
        <v>77.802356319753898</v>
      </c>
      <c r="T770" s="54">
        <f ca="1">MIN(100,MAX(0,MCDA_Prioritisation!$G$5+(RAND()-0.5)*2*$B$7))</f>
        <v>64.363555076750998</v>
      </c>
      <c r="U770" s="54">
        <f ca="1">MIN(100,MAX(0,MCDA_Prioritisation!$H$2+(RAND()-0.5)*2*$B$7))</f>
        <v>66.645988101932659</v>
      </c>
      <c r="V770" s="54">
        <f ca="1">MIN(100,MAX(0,MCDA_Prioritisation!$H$3+(RAND()-0.5)*2*$B$7))</f>
        <v>50.72178788053165</v>
      </c>
      <c r="W770" s="54">
        <f ca="1">MIN(100,MAX(0,MCDA_Prioritisation!$H$4+(RAND()-0.5)*2*$B$7))</f>
        <v>84.997903726620464</v>
      </c>
      <c r="X770" s="54">
        <f ca="1">MIN(100,MAX(0,MCDA_Prioritisation!$H$5+(RAND()-0.5)*2*$B$7))</f>
        <v>84.087684439043784</v>
      </c>
      <c r="Y770" s="54">
        <f ca="1">H770*MCDA_Prioritisation!$D$2+I770*MCDA_Prioritisation!$E$2+J770*M770+K770*Q770+L770*U770</f>
        <v>87.126852194763671</v>
      </c>
      <c r="Z770" s="54">
        <f ca="1">H770*MCDA_Prioritisation!$D$3+I770*MCDA_Prioritisation!$E$3+J770*N770+K770*R770+L770*V770</f>
        <v>79.629726360433892</v>
      </c>
      <c r="AA770" s="54">
        <f ca="1">H770*MCDA_Prioritisation!$D$4+I770*MCDA_Prioritisation!$E$4+J770*O770+K770*S770+L770*W770</f>
        <v>72.277257921383139</v>
      </c>
      <c r="AB770" s="54">
        <f ca="1">H770*MCDA_Prioritisation!$D$5+I770*MCDA_Prioritisation!$E$5+J770*P770+K770*T770+L770*X770</f>
        <v>75.570828644128682</v>
      </c>
      <c r="AC770" s="54">
        <f t="shared" ca="1" si="160"/>
        <v>1</v>
      </c>
      <c r="AD770" s="54">
        <f t="shared" ca="1" si="161"/>
        <v>2</v>
      </c>
      <c r="AE770" s="54">
        <f t="shared" ca="1" si="162"/>
        <v>4</v>
      </c>
      <c r="AF770" s="54">
        <f t="shared" ca="1" si="163"/>
        <v>3</v>
      </c>
      <c r="AG770" s="54">
        <f t="shared" ca="1" si="164"/>
        <v>1</v>
      </c>
      <c r="AH770" s="54">
        <f t="shared" ca="1" si="165"/>
        <v>1</v>
      </c>
      <c r="AI770" s="54">
        <f t="shared" ca="1" si="166"/>
        <v>0</v>
      </c>
      <c r="AJ770" s="54">
        <f t="shared" ca="1" si="167"/>
        <v>1</v>
      </c>
    </row>
    <row r="771" spans="1:36" x14ac:dyDescent="0.2">
      <c r="A771" s="54">
        <v>748</v>
      </c>
      <c r="B771" s="54">
        <f ca="1">MAX(0.02,MCDA_Prioritisation!$B$9+(RAND()-0.5)*2*$B$6)</f>
        <v>0.1326598312469105</v>
      </c>
      <c r="C771" s="54">
        <f ca="1">MAX(0.02,MCDA_Prioritisation!$B$10+(RAND()-0.5)*2*$B$6)</f>
        <v>0.17513042766074227</v>
      </c>
      <c r="D771" s="54">
        <f ca="1">MAX(0.02,MCDA_Prioritisation!$B$11+(RAND()-0.5)*2*$B$6)</f>
        <v>0.22727584156802016</v>
      </c>
      <c r="E771" s="54">
        <f ca="1">MAX(0.02,MCDA_Prioritisation!$B$12+(RAND()-0.5)*2*$B$6)</f>
        <v>0.14088980526856559</v>
      </c>
      <c r="F771" s="54">
        <f ca="1">MAX(0.02,MCDA_Prioritisation!$B$13+(RAND()-0.5)*2*$B$6)</f>
        <v>0.18447382851482688</v>
      </c>
      <c r="G771" s="54">
        <f t="shared" ca="1" si="154"/>
        <v>0.86042973425906544</v>
      </c>
      <c r="H771" s="54">
        <f t="shared" ca="1" si="155"/>
        <v>0.15417857608227212</v>
      </c>
      <c r="I771" s="54">
        <f t="shared" ca="1" si="156"/>
        <v>0.20353832589427057</v>
      </c>
      <c r="J771" s="54">
        <f t="shared" ca="1" si="157"/>
        <v>0.26414224487921989</v>
      </c>
      <c r="K771" s="54">
        <f t="shared" ca="1" si="158"/>
        <v>0.1637435337934815</v>
      </c>
      <c r="L771" s="54">
        <f t="shared" ca="1" si="159"/>
        <v>0.2143973193507559</v>
      </c>
      <c r="M771" s="54">
        <f ca="1">MIN(100,MAX(0,MCDA_Prioritisation!$F$2+(RAND()-0.5)*2*$B$7))</f>
        <v>92.341203740664255</v>
      </c>
      <c r="N771" s="54">
        <f ca="1">MIN(100,MAX(0,MCDA_Prioritisation!$F$3+(RAND()-0.5)*2*$B$7))</f>
        <v>94.861079746234608</v>
      </c>
      <c r="O771" s="54">
        <f ca="1">MIN(100,MAX(0,MCDA_Prioritisation!$F$4+(RAND()-0.5)*2*$B$7))</f>
        <v>93.770983231493233</v>
      </c>
      <c r="P771" s="54">
        <f ca="1">MIN(100,MAX(0,MCDA_Prioritisation!$F$5+(RAND()-0.5)*2*$B$7))</f>
        <v>76.614556587616619</v>
      </c>
      <c r="Q771" s="54">
        <f ca="1">MIN(100,MAX(0,MCDA_Prioritisation!$G$2+(RAND()-0.5)*2*$B$7))</f>
        <v>74.504047633317427</v>
      </c>
      <c r="R771" s="54">
        <f ca="1">MIN(100,MAX(0,MCDA_Prioritisation!$G$3+(RAND()-0.5)*2*$B$7))</f>
        <v>89.906644054951443</v>
      </c>
      <c r="S771" s="54">
        <f ca="1">MIN(100,MAX(0,MCDA_Prioritisation!$G$4+(RAND()-0.5)*2*$B$7))</f>
        <v>81.215972673388208</v>
      </c>
      <c r="T771" s="54">
        <f ca="1">MIN(100,MAX(0,MCDA_Prioritisation!$G$5+(RAND()-0.5)*2*$B$7))</f>
        <v>69.684177320523204</v>
      </c>
      <c r="U771" s="54">
        <f ca="1">MIN(100,MAX(0,MCDA_Prioritisation!$H$2+(RAND()-0.5)*2*$B$7))</f>
        <v>64.2399692172648</v>
      </c>
      <c r="V771" s="54">
        <f ca="1">MIN(100,MAX(0,MCDA_Prioritisation!$H$3+(RAND()-0.5)*2*$B$7))</f>
        <v>59.389645926308312</v>
      </c>
      <c r="W771" s="54">
        <f ca="1">MIN(100,MAX(0,MCDA_Prioritisation!$H$4+(RAND()-0.5)*2*$B$7))</f>
        <v>76.523316734056351</v>
      </c>
      <c r="X771" s="54">
        <f ca="1">MIN(100,MAX(0,MCDA_Prioritisation!$H$5+(RAND()-0.5)*2*$B$7))</f>
        <v>74.900326442716533</v>
      </c>
      <c r="Y771" s="54">
        <f ca="1">H771*MCDA_Prioritisation!$D$2+I771*MCDA_Prioritisation!$E$2+J771*M771+K771*Q771+L771*U771</f>
        <v>86.135336285316669</v>
      </c>
      <c r="Z771" s="54">
        <f ca="1">H771*MCDA_Prioritisation!$D$3+I771*MCDA_Prioritisation!$E$3+J771*N771+K771*R771+L771*V771</f>
        <v>80.788938617654239</v>
      </c>
      <c r="AA771" s="54">
        <f ca="1">H771*MCDA_Prioritisation!$D$4+I771*MCDA_Prioritisation!$E$4+J771*O771+K771*S771+L771*W771</f>
        <v>76.312042544346582</v>
      </c>
      <c r="AB771" s="54">
        <f ca="1">H771*MCDA_Prioritisation!$D$5+I771*MCDA_Prioritisation!$E$5+J771*P771+K771*T771+L771*X771</f>
        <v>73.004791595570211</v>
      </c>
      <c r="AC771" s="54">
        <f t="shared" ca="1" si="160"/>
        <v>1</v>
      </c>
      <c r="AD771" s="54">
        <f t="shared" ca="1" si="161"/>
        <v>2</v>
      </c>
      <c r="AE771" s="54">
        <f t="shared" ca="1" si="162"/>
        <v>3</v>
      </c>
      <c r="AF771" s="54">
        <f t="shared" ca="1" si="163"/>
        <v>4</v>
      </c>
      <c r="AG771" s="54">
        <f t="shared" ca="1" si="164"/>
        <v>1</v>
      </c>
      <c r="AH771" s="54">
        <f t="shared" ca="1" si="165"/>
        <v>1</v>
      </c>
      <c r="AI771" s="54">
        <f t="shared" ca="1" si="166"/>
        <v>1</v>
      </c>
      <c r="AJ771" s="54">
        <f t="shared" ca="1" si="167"/>
        <v>1</v>
      </c>
    </row>
    <row r="772" spans="1:36" x14ac:dyDescent="0.2">
      <c r="A772" s="54">
        <v>749</v>
      </c>
      <c r="B772" s="54">
        <f ca="1">MAX(0.02,MCDA_Prioritisation!$B$9+(RAND()-0.5)*2*$B$6)</f>
        <v>0.19419778808812349</v>
      </c>
      <c r="C772" s="54">
        <f ca="1">MAX(0.02,MCDA_Prioritisation!$B$10+(RAND()-0.5)*2*$B$6)</f>
        <v>0.28024610123863958</v>
      </c>
      <c r="D772" s="54">
        <f ca="1">MAX(0.02,MCDA_Prioritisation!$B$11+(RAND()-0.5)*2*$B$6)</f>
        <v>0.1714019363871675</v>
      </c>
      <c r="E772" s="54">
        <f ca="1">MAX(0.02,MCDA_Prioritisation!$B$12+(RAND()-0.5)*2*$B$6)</f>
        <v>0.17245390447223966</v>
      </c>
      <c r="F772" s="54">
        <f ca="1">MAX(0.02,MCDA_Prioritisation!$B$13+(RAND()-0.5)*2*$B$6)</f>
        <v>0.12173894147911914</v>
      </c>
      <c r="G772" s="54">
        <f t="shared" ca="1" si="154"/>
        <v>0.94003867166528932</v>
      </c>
      <c r="H772" s="54">
        <f t="shared" ca="1" si="155"/>
        <v>0.20658489266627711</v>
      </c>
      <c r="I772" s="54">
        <f t="shared" ca="1" si="156"/>
        <v>0.29812188549879592</v>
      </c>
      <c r="J772" s="54">
        <f t="shared" ca="1" si="157"/>
        <v>0.1823349842443471</v>
      </c>
      <c r="K772" s="54">
        <f t="shared" ca="1" si="158"/>
        <v>0.18345405318989227</v>
      </c>
      <c r="L772" s="54">
        <f t="shared" ca="1" si="159"/>
        <v>0.1295041844006877</v>
      </c>
      <c r="M772" s="54">
        <f ca="1">MIN(100,MAX(0,MCDA_Prioritisation!$F$2+(RAND()-0.5)*2*$B$7))</f>
        <v>86.489039951872499</v>
      </c>
      <c r="N772" s="54">
        <f ca="1">MIN(100,MAX(0,MCDA_Prioritisation!$F$3+(RAND()-0.5)*2*$B$7))</f>
        <v>95.169618632743138</v>
      </c>
      <c r="O772" s="54">
        <f ca="1">MIN(100,MAX(0,MCDA_Prioritisation!$F$4+(RAND()-0.5)*2*$B$7))</f>
        <v>89.449008400848157</v>
      </c>
      <c r="P772" s="54">
        <f ca="1">MIN(100,MAX(0,MCDA_Prioritisation!$F$5+(RAND()-0.5)*2*$B$7))</f>
        <v>66.190572017396931</v>
      </c>
      <c r="Q772" s="54">
        <f ca="1">MIN(100,MAX(0,MCDA_Prioritisation!$G$2+(RAND()-0.5)*2*$B$7))</f>
        <v>85.731863258480786</v>
      </c>
      <c r="R772" s="54">
        <f ca="1">MIN(100,MAX(0,MCDA_Prioritisation!$G$3+(RAND()-0.5)*2*$B$7))</f>
        <v>100</v>
      </c>
      <c r="S772" s="54">
        <f ca="1">MIN(100,MAX(0,MCDA_Prioritisation!$G$4+(RAND()-0.5)*2*$B$7))</f>
        <v>85.686951462346755</v>
      </c>
      <c r="T772" s="54">
        <f ca="1">MIN(100,MAX(0,MCDA_Prioritisation!$G$5+(RAND()-0.5)*2*$B$7))</f>
        <v>62.171326780394807</v>
      </c>
      <c r="U772" s="54">
        <f ca="1">MIN(100,MAX(0,MCDA_Prioritisation!$H$2+(RAND()-0.5)*2*$B$7))</f>
        <v>62.505347752508079</v>
      </c>
      <c r="V772" s="54">
        <f ca="1">MIN(100,MAX(0,MCDA_Prioritisation!$H$3+(RAND()-0.5)*2*$B$7))</f>
        <v>57.343388128033745</v>
      </c>
      <c r="W772" s="54">
        <f ca="1">MIN(100,MAX(0,MCDA_Prioritisation!$H$4+(RAND()-0.5)*2*$B$7))</f>
        <v>85.474790340361537</v>
      </c>
      <c r="X772" s="54">
        <f ca="1">MIN(100,MAX(0,MCDA_Prioritisation!$H$5+(RAND()-0.5)*2*$B$7))</f>
        <v>76.822674895338452</v>
      </c>
      <c r="Y772" s="54">
        <f ca="1">H772*MCDA_Prioritisation!$D$2+I772*MCDA_Prioritisation!$E$2+J772*M772+K772*Q772+L772*U772</f>
        <v>90.063217437100505</v>
      </c>
      <c r="Z772" s="54">
        <f ca="1">H772*MCDA_Prioritisation!$D$3+I772*MCDA_Prioritisation!$E$3+J772*N772+K772*R772+L772*V772</f>
        <v>82.860823273752658</v>
      </c>
      <c r="AA772" s="54">
        <f ca="1">H772*MCDA_Prioritisation!$D$4+I772*MCDA_Prioritisation!$E$4+J772*O772+K772*S772+L772*W772</f>
        <v>73.745196348226401</v>
      </c>
      <c r="AB772" s="54">
        <f ca="1">H772*MCDA_Prioritisation!$D$5+I772*MCDA_Prioritisation!$E$5+J772*P772+K772*T772+L772*X772</f>
        <v>69.457314025275167</v>
      </c>
      <c r="AC772" s="54">
        <f t="shared" ca="1" si="160"/>
        <v>1</v>
      </c>
      <c r="AD772" s="54">
        <f t="shared" ca="1" si="161"/>
        <v>2</v>
      </c>
      <c r="AE772" s="54">
        <f t="shared" ca="1" si="162"/>
        <v>3</v>
      </c>
      <c r="AF772" s="54">
        <f t="shared" ca="1" si="163"/>
        <v>4</v>
      </c>
      <c r="AG772" s="54">
        <f t="shared" ca="1" si="164"/>
        <v>1</v>
      </c>
      <c r="AH772" s="54">
        <f t="shared" ca="1" si="165"/>
        <v>1</v>
      </c>
      <c r="AI772" s="54">
        <f t="shared" ca="1" si="166"/>
        <v>1</v>
      </c>
      <c r="AJ772" s="54">
        <f t="shared" ca="1" si="167"/>
        <v>1</v>
      </c>
    </row>
    <row r="773" spans="1:36" x14ac:dyDescent="0.2">
      <c r="A773" s="54">
        <v>750</v>
      </c>
      <c r="B773" s="54">
        <f ca="1">MAX(0.02,MCDA_Prioritisation!$B$9+(RAND()-0.5)*2*$B$6)</f>
        <v>0.16413453560854893</v>
      </c>
      <c r="C773" s="54">
        <f ca="1">MAX(0.02,MCDA_Prioritisation!$B$10+(RAND()-0.5)*2*$B$6)</f>
        <v>0.24704587297286099</v>
      </c>
      <c r="D773" s="54">
        <f ca="1">MAX(0.02,MCDA_Prioritisation!$B$11+(RAND()-0.5)*2*$B$6)</f>
        <v>0.28134475088698718</v>
      </c>
      <c r="E773" s="54">
        <f ca="1">MAX(0.02,MCDA_Prioritisation!$B$12+(RAND()-0.5)*2*$B$6)</f>
        <v>0.2087647539941892</v>
      </c>
      <c r="F773" s="54">
        <f ca="1">MAX(0.02,MCDA_Prioritisation!$B$13+(RAND()-0.5)*2*$B$6)</f>
        <v>0.17008189977830573</v>
      </c>
      <c r="G773" s="54">
        <f t="shared" ca="1" si="154"/>
        <v>1.071371813240892</v>
      </c>
      <c r="H773" s="54">
        <f t="shared" ca="1" si="155"/>
        <v>0.15320034891719164</v>
      </c>
      <c r="I773" s="54">
        <f t="shared" ca="1" si="156"/>
        <v>0.23058836336710128</v>
      </c>
      <c r="J773" s="54">
        <f t="shared" ca="1" si="157"/>
        <v>0.26260234533884302</v>
      </c>
      <c r="K773" s="54">
        <f t="shared" ca="1" si="158"/>
        <v>0.19485742616531726</v>
      </c>
      <c r="L773" s="54">
        <f t="shared" ca="1" si="159"/>
        <v>0.15875151621154676</v>
      </c>
      <c r="M773" s="54">
        <f ca="1">MIN(100,MAX(0,MCDA_Prioritisation!$F$2+(RAND()-0.5)*2*$B$7))</f>
        <v>88.94851506275262</v>
      </c>
      <c r="N773" s="54">
        <f ca="1">MIN(100,MAX(0,MCDA_Prioritisation!$F$3+(RAND()-0.5)*2*$B$7))</f>
        <v>100</v>
      </c>
      <c r="O773" s="54">
        <f ca="1">MIN(100,MAX(0,MCDA_Prioritisation!$F$4+(RAND()-0.5)*2*$B$7))</f>
        <v>98.085689669411821</v>
      </c>
      <c r="P773" s="54">
        <f ca="1">MIN(100,MAX(0,MCDA_Prioritisation!$F$5+(RAND()-0.5)*2*$B$7))</f>
        <v>72.909092790831068</v>
      </c>
      <c r="Q773" s="54">
        <f ca="1">MIN(100,MAX(0,MCDA_Prioritisation!$G$2+(RAND()-0.5)*2*$B$7))</f>
        <v>83.631959750223459</v>
      </c>
      <c r="R773" s="54">
        <f ca="1">MIN(100,MAX(0,MCDA_Prioritisation!$G$3+(RAND()-0.5)*2*$B$7))</f>
        <v>86.31856878114057</v>
      </c>
      <c r="S773" s="54">
        <f ca="1">MIN(100,MAX(0,MCDA_Prioritisation!$G$4+(RAND()-0.5)*2*$B$7))</f>
        <v>89.704615733099047</v>
      </c>
      <c r="T773" s="54">
        <f ca="1">MIN(100,MAX(0,MCDA_Prioritisation!$G$5+(RAND()-0.5)*2*$B$7))</f>
        <v>77.718070079266738</v>
      </c>
      <c r="U773" s="54">
        <f ca="1">MIN(100,MAX(0,MCDA_Prioritisation!$H$2+(RAND()-0.5)*2*$B$7))</f>
        <v>63.771158260417458</v>
      </c>
      <c r="V773" s="54">
        <f ca="1">MIN(100,MAX(0,MCDA_Prioritisation!$H$3+(RAND()-0.5)*2*$B$7))</f>
        <v>55.752928387971856</v>
      </c>
      <c r="W773" s="54">
        <f ca="1">MIN(100,MAX(0,MCDA_Prioritisation!$H$4+(RAND()-0.5)*2*$B$7))</f>
        <v>75.824751215691535</v>
      </c>
      <c r="X773" s="54">
        <f ca="1">MIN(100,MAX(0,MCDA_Prioritisation!$H$5+(RAND()-0.5)*2*$B$7))</f>
        <v>68.677930993539306</v>
      </c>
      <c r="Y773" s="54">
        <f ca="1">H773*MCDA_Prioritisation!$D$2+I773*MCDA_Prioritisation!$E$2+J773*M773+K773*Q773+L773*U773</f>
        <v>88.157036384813267</v>
      </c>
      <c r="Z773" s="54">
        <f ca="1">H773*MCDA_Prioritisation!$D$3+I773*MCDA_Prioritisation!$E$3+J773*N773+K773*R773+L773*V773</f>
        <v>82.090199650894462</v>
      </c>
      <c r="AA773" s="54">
        <f ca="1">H773*MCDA_Prioritisation!$D$4+I773*MCDA_Prioritisation!$E$4+J773*O773+K773*S773+L773*W773</f>
        <v>78.519955697800413</v>
      </c>
      <c r="AB773" s="54">
        <f ca="1">H773*MCDA_Prioritisation!$D$5+I773*MCDA_Prioritisation!$E$5+J773*P773+K773*T773+L773*X773</f>
        <v>72.714397482198663</v>
      </c>
      <c r="AC773" s="54">
        <f t="shared" ca="1" si="160"/>
        <v>1</v>
      </c>
      <c r="AD773" s="54">
        <f t="shared" ca="1" si="161"/>
        <v>2</v>
      </c>
      <c r="AE773" s="54">
        <f t="shared" ca="1" si="162"/>
        <v>3</v>
      </c>
      <c r="AF773" s="54">
        <f t="shared" ca="1" si="163"/>
        <v>4</v>
      </c>
      <c r="AG773" s="54">
        <f t="shared" ca="1" si="164"/>
        <v>1</v>
      </c>
      <c r="AH773" s="54">
        <f t="shared" ca="1" si="165"/>
        <v>1</v>
      </c>
      <c r="AI773" s="54">
        <f t="shared" ca="1" si="166"/>
        <v>1</v>
      </c>
      <c r="AJ773" s="54">
        <f t="shared" ca="1" si="167"/>
        <v>1</v>
      </c>
    </row>
    <row r="774" spans="1:36" x14ac:dyDescent="0.2">
      <c r="A774" s="54">
        <v>751</v>
      </c>
      <c r="B774" s="54">
        <f ca="1">MAX(0.02,MCDA_Prioritisation!$B$9+(RAND()-0.5)*2*$B$6)</f>
        <v>0.17961891426277571</v>
      </c>
      <c r="C774" s="54">
        <f ca="1">MAX(0.02,MCDA_Prioritisation!$B$10+(RAND()-0.5)*2*$B$6)</f>
        <v>0.25946920979395932</v>
      </c>
      <c r="D774" s="54">
        <f ca="1">MAX(0.02,MCDA_Prioritisation!$B$11+(RAND()-0.5)*2*$B$6)</f>
        <v>0.29100146944288025</v>
      </c>
      <c r="E774" s="54">
        <f ca="1">MAX(0.02,MCDA_Prioritisation!$B$12+(RAND()-0.5)*2*$B$6)</f>
        <v>0.14116980645100094</v>
      </c>
      <c r="F774" s="54">
        <f ca="1">MAX(0.02,MCDA_Prioritisation!$B$13+(RAND()-0.5)*2*$B$6)</f>
        <v>0.14455755857143179</v>
      </c>
      <c r="G774" s="54">
        <f t="shared" ca="1" si="154"/>
        <v>1.015816958522048</v>
      </c>
      <c r="H774" s="54">
        <f t="shared" ca="1" si="155"/>
        <v>0.17682212602958541</v>
      </c>
      <c r="I774" s="54">
        <f t="shared" ca="1" si="156"/>
        <v>0.25542909834018845</v>
      </c>
      <c r="J774" s="54">
        <f t="shared" ca="1" si="157"/>
        <v>0.28647037933514097</v>
      </c>
      <c r="K774" s="54">
        <f t="shared" ca="1" si="158"/>
        <v>0.13897169688562241</v>
      </c>
      <c r="L774" s="54">
        <f t="shared" ca="1" si="159"/>
        <v>0.14230669940946278</v>
      </c>
      <c r="M774" s="54">
        <f ca="1">MIN(100,MAX(0,MCDA_Prioritisation!$F$2+(RAND()-0.5)*2*$B$7))</f>
        <v>93.770851482157923</v>
      </c>
      <c r="N774" s="54">
        <f ca="1">MIN(100,MAX(0,MCDA_Prioritisation!$F$3+(RAND()-0.5)*2*$B$7))</f>
        <v>90.737039635882596</v>
      </c>
      <c r="O774" s="54">
        <f ca="1">MIN(100,MAX(0,MCDA_Prioritisation!$F$4+(RAND()-0.5)*2*$B$7))</f>
        <v>87.651378465457796</v>
      </c>
      <c r="P774" s="54">
        <f ca="1">MIN(100,MAX(0,MCDA_Prioritisation!$F$5+(RAND()-0.5)*2*$B$7))</f>
        <v>75.774245702732003</v>
      </c>
      <c r="Q774" s="54">
        <f ca="1">MIN(100,MAX(0,MCDA_Prioritisation!$G$2+(RAND()-0.5)*2*$B$7))</f>
        <v>79.957228086906468</v>
      </c>
      <c r="R774" s="54">
        <f ca="1">MIN(100,MAX(0,MCDA_Prioritisation!$G$3+(RAND()-0.5)*2*$B$7))</f>
        <v>90.87775270792784</v>
      </c>
      <c r="S774" s="54">
        <f ca="1">MIN(100,MAX(0,MCDA_Prioritisation!$G$4+(RAND()-0.5)*2*$B$7))</f>
        <v>91.461482670271508</v>
      </c>
      <c r="T774" s="54">
        <f ca="1">MIN(100,MAX(0,MCDA_Prioritisation!$G$5+(RAND()-0.5)*2*$B$7))</f>
        <v>65.931603920385754</v>
      </c>
      <c r="U774" s="54">
        <f ca="1">MIN(100,MAX(0,MCDA_Prioritisation!$H$2+(RAND()-0.5)*2*$B$7))</f>
        <v>56.219675423695392</v>
      </c>
      <c r="V774" s="54">
        <f ca="1">MIN(100,MAX(0,MCDA_Prioritisation!$H$3+(RAND()-0.5)*2*$B$7))</f>
        <v>53.310727888690394</v>
      </c>
      <c r="W774" s="54">
        <f ca="1">MIN(100,MAX(0,MCDA_Prioritisation!$H$4+(RAND()-0.5)*2*$B$7))</f>
        <v>76.463144872740259</v>
      </c>
      <c r="X774" s="54">
        <f ca="1">MIN(100,MAX(0,MCDA_Prioritisation!$H$5+(RAND()-0.5)*2*$B$7))</f>
        <v>74.940785048227369</v>
      </c>
      <c r="Y774" s="54">
        <f ca="1">H774*MCDA_Prioritisation!$D$2+I774*MCDA_Prioritisation!$E$2+J774*M774+K774*Q774+L774*U774</f>
        <v>89.199921948575849</v>
      </c>
      <c r="Z774" s="54">
        <f ca="1">H774*MCDA_Prioritisation!$D$3+I774*MCDA_Prioritisation!$E$3+J774*N774+K774*R774+L774*V774</f>
        <v>80.239740019845996</v>
      </c>
      <c r="AA774" s="54">
        <f ca="1">H774*MCDA_Prioritisation!$D$4+I774*MCDA_Prioritisation!$E$4+J774*O774+K774*S774+L774*W774</f>
        <v>74.946648521061647</v>
      </c>
      <c r="AB774" s="54">
        <f ca="1">H774*MCDA_Prioritisation!$D$5+I774*MCDA_Prioritisation!$E$5+J774*P774+K774*T774+L774*X774</f>
        <v>72.398536323777662</v>
      </c>
      <c r="AC774" s="54">
        <f t="shared" ca="1" si="160"/>
        <v>1</v>
      </c>
      <c r="AD774" s="54">
        <f t="shared" ca="1" si="161"/>
        <v>2</v>
      </c>
      <c r="AE774" s="54">
        <f t="shared" ca="1" si="162"/>
        <v>3</v>
      </c>
      <c r="AF774" s="54">
        <f t="shared" ca="1" si="163"/>
        <v>4</v>
      </c>
      <c r="AG774" s="54">
        <f t="shared" ca="1" si="164"/>
        <v>1</v>
      </c>
      <c r="AH774" s="54">
        <f t="shared" ca="1" si="165"/>
        <v>1</v>
      </c>
      <c r="AI774" s="54">
        <f t="shared" ca="1" si="166"/>
        <v>1</v>
      </c>
      <c r="AJ774" s="54">
        <f t="shared" ca="1" si="167"/>
        <v>1</v>
      </c>
    </row>
    <row r="775" spans="1:36" x14ac:dyDescent="0.2">
      <c r="A775" s="54">
        <v>752</v>
      </c>
      <c r="B775" s="54">
        <f ca="1">MAX(0.02,MCDA_Prioritisation!$B$9+(RAND()-0.5)*2*$B$6)</f>
        <v>0.15192545697945609</v>
      </c>
      <c r="C775" s="54">
        <f ca="1">MAX(0.02,MCDA_Prioritisation!$B$10+(RAND()-0.5)*2*$B$6)</f>
        <v>0.19129498894423277</v>
      </c>
      <c r="D775" s="54">
        <f ca="1">MAX(0.02,MCDA_Prioritisation!$B$11+(RAND()-0.5)*2*$B$6)</f>
        <v>0.26818846248116446</v>
      </c>
      <c r="E775" s="54">
        <f ca="1">MAX(0.02,MCDA_Prioritisation!$B$12+(RAND()-0.5)*2*$B$6)</f>
        <v>9.198302348047295E-2</v>
      </c>
      <c r="F775" s="54">
        <f ca="1">MAX(0.02,MCDA_Prioritisation!$B$13+(RAND()-0.5)*2*$B$6)</f>
        <v>0.10482591043511877</v>
      </c>
      <c r="G775" s="54">
        <f t="shared" ca="1" si="154"/>
        <v>0.80821784232044502</v>
      </c>
      <c r="H775" s="54">
        <f t="shared" ca="1" si="155"/>
        <v>0.18797587608715541</v>
      </c>
      <c r="I775" s="54">
        <f t="shared" ca="1" si="156"/>
        <v>0.23668741139766558</v>
      </c>
      <c r="J775" s="54">
        <f t="shared" ca="1" si="157"/>
        <v>0.33182695114868815</v>
      </c>
      <c r="K775" s="54">
        <f t="shared" ca="1" si="158"/>
        <v>0.11380969172418147</v>
      </c>
      <c r="L775" s="54">
        <f t="shared" ca="1" si="159"/>
        <v>0.1297000696423094</v>
      </c>
      <c r="M775" s="54">
        <f ca="1">MIN(100,MAX(0,MCDA_Prioritisation!$F$2+(RAND()-0.5)*2*$B$7))</f>
        <v>86.720019459327489</v>
      </c>
      <c r="N775" s="54">
        <f ca="1">MIN(100,MAX(0,MCDA_Prioritisation!$F$3+(RAND()-0.5)*2*$B$7))</f>
        <v>87.546607040561369</v>
      </c>
      <c r="O775" s="54">
        <f ca="1">MIN(100,MAX(0,MCDA_Prioritisation!$F$4+(RAND()-0.5)*2*$B$7))</f>
        <v>87.871464279653338</v>
      </c>
      <c r="P775" s="54">
        <f ca="1">MIN(100,MAX(0,MCDA_Prioritisation!$F$5+(RAND()-0.5)*2*$B$7))</f>
        <v>71.618937844704263</v>
      </c>
      <c r="Q775" s="54">
        <f ca="1">MIN(100,MAX(0,MCDA_Prioritisation!$G$2+(RAND()-0.5)*2*$B$7))</f>
        <v>77.261011842878091</v>
      </c>
      <c r="R775" s="54">
        <f ca="1">MIN(100,MAX(0,MCDA_Prioritisation!$G$3+(RAND()-0.5)*2*$B$7))</f>
        <v>97.006844697091367</v>
      </c>
      <c r="S775" s="54">
        <f ca="1">MIN(100,MAX(0,MCDA_Prioritisation!$G$4+(RAND()-0.5)*2*$B$7))</f>
        <v>88.132402638333787</v>
      </c>
      <c r="T775" s="54">
        <f ca="1">MIN(100,MAX(0,MCDA_Prioritisation!$G$5+(RAND()-0.5)*2*$B$7))</f>
        <v>62.490285904778084</v>
      </c>
      <c r="U775" s="54">
        <f ca="1">MIN(100,MAX(0,MCDA_Prioritisation!$H$2+(RAND()-0.5)*2*$B$7))</f>
        <v>74.819536225454712</v>
      </c>
      <c r="V775" s="54">
        <f ca="1">MIN(100,MAX(0,MCDA_Prioritisation!$H$3+(RAND()-0.5)*2*$B$7))</f>
        <v>56.019197814969992</v>
      </c>
      <c r="W775" s="54">
        <f ca="1">MIN(100,MAX(0,MCDA_Prioritisation!$H$4+(RAND()-0.5)*2*$B$7))</f>
        <v>74.18083972992396</v>
      </c>
      <c r="X775" s="54">
        <f ca="1">MIN(100,MAX(0,MCDA_Prioritisation!$H$5+(RAND()-0.5)*2*$B$7))</f>
        <v>81.67641682512469</v>
      </c>
      <c r="Y775" s="54">
        <f ca="1">H775*MCDA_Prioritisation!$D$2+I775*MCDA_Prioritisation!$E$2+J775*M775+K775*Q775+L775*U775</f>
        <v>89.739519408408711</v>
      </c>
      <c r="Z775" s="54">
        <f ca="1">H775*MCDA_Prioritisation!$D$3+I775*MCDA_Prioritisation!$E$3+J775*N775+K775*R775+L775*V775</f>
        <v>80.998463992669045</v>
      </c>
      <c r="AA775" s="54">
        <f ca="1">H775*MCDA_Prioritisation!$D$4+I775*MCDA_Prioritisation!$E$4+J775*O775+K775*S775+L775*W775</f>
        <v>74.80945915464747</v>
      </c>
      <c r="AB775" s="54">
        <f ca="1">H775*MCDA_Prioritisation!$D$5+I775*MCDA_Prioritisation!$E$5+J775*P775+K775*T775+L775*X775</f>
        <v>71.350777397617151</v>
      </c>
      <c r="AC775" s="54">
        <f t="shared" ca="1" si="160"/>
        <v>1</v>
      </c>
      <c r="AD775" s="54">
        <f t="shared" ca="1" si="161"/>
        <v>2</v>
      </c>
      <c r="AE775" s="54">
        <f t="shared" ca="1" si="162"/>
        <v>3</v>
      </c>
      <c r="AF775" s="54">
        <f t="shared" ca="1" si="163"/>
        <v>4</v>
      </c>
      <c r="AG775" s="54">
        <f t="shared" ca="1" si="164"/>
        <v>1</v>
      </c>
      <c r="AH775" s="54">
        <f t="shared" ca="1" si="165"/>
        <v>1</v>
      </c>
      <c r="AI775" s="54">
        <f t="shared" ca="1" si="166"/>
        <v>1</v>
      </c>
      <c r="AJ775" s="54">
        <f t="shared" ca="1" si="167"/>
        <v>1</v>
      </c>
    </row>
    <row r="776" spans="1:36" x14ac:dyDescent="0.2">
      <c r="A776" s="54">
        <v>753</v>
      </c>
      <c r="B776" s="54">
        <f ca="1">MAX(0.02,MCDA_Prioritisation!$B$9+(RAND()-0.5)*2*$B$6)</f>
        <v>0.12426927658663067</v>
      </c>
      <c r="C776" s="54">
        <f ca="1">MAX(0.02,MCDA_Prioritisation!$B$10+(RAND()-0.5)*2*$B$6)</f>
        <v>0.24090212024514485</v>
      </c>
      <c r="D776" s="54">
        <f ca="1">MAX(0.02,MCDA_Prioritisation!$B$11+(RAND()-0.5)*2*$B$6)</f>
        <v>0.18182479274497509</v>
      </c>
      <c r="E776" s="54">
        <f ca="1">MAX(0.02,MCDA_Prioritisation!$B$12+(RAND()-0.5)*2*$B$6)</f>
        <v>0.21075261896083775</v>
      </c>
      <c r="F776" s="54">
        <f ca="1">MAX(0.02,MCDA_Prioritisation!$B$13+(RAND()-0.5)*2*$B$6)</f>
        <v>0.19762508814632943</v>
      </c>
      <c r="G776" s="54">
        <f t="shared" ca="1" si="154"/>
        <v>0.9553738966839177</v>
      </c>
      <c r="H776" s="54">
        <f t="shared" ca="1" si="155"/>
        <v>0.13007397105778865</v>
      </c>
      <c r="I776" s="54">
        <f t="shared" ca="1" si="156"/>
        <v>0.25215480670061319</v>
      </c>
      <c r="J776" s="54">
        <f t="shared" ca="1" si="157"/>
        <v>0.19031794083560902</v>
      </c>
      <c r="K776" s="54">
        <f t="shared" ca="1" si="158"/>
        <v>0.22059700363633084</v>
      </c>
      <c r="L776" s="54">
        <f t="shared" ca="1" si="159"/>
        <v>0.20685627776965843</v>
      </c>
      <c r="M776" s="54">
        <f ca="1">MIN(100,MAX(0,MCDA_Prioritisation!$F$2+(RAND()-0.5)*2*$B$7))</f>
        <v>94.451825693331344</v>
      </c>
      <c r="N776" s="54">
        <f ca="1">MIN(100,MAX(0,MCDA_Prioritisation!$F$3+(RAND()-0.5)*2*$B$7))</f>
        <v>94.098100783787814</v>
      </c>
      <c r="O776" s="54">
        <f ca="1">MIN(100,MAX(0,MCDA_Prioritisation!$F$4+(RAND()-0.5)*2*$B$7))</f>
        <v>90.641188833579818</v>
      </c>
      <c r="P776" s="54">
        <f ca="1">MIN(100,MAX(0,MCDA_Prioritisation!$F$5+(RAND()-0.5)*2*$B$7))</f>
        <v>78.313313297714203</v>
      </c>
      <c r="Q776" s="54">
        <f ca="1">MIN(100,MAX(0,MCDA_Prioritisation!$G$2+(RAND()-0.5)*2*$B$7))</f>
        <v>89.664982526022953</v>
      </c>
      <c r="R776" s="54">
        <f ca="1">MIN(100,MAX(0,MCDA_Prioritisation!$G$3+(RAND()-0.5)*2*$B$7))</f>
        <v>86.531987117958778</v>
      </c>
      <c r="S776" s="54">
        <f ca="1">MIN(100,MAX(0,MCDA_Prioritisation!$G$4+(RAND()-0.5)*2*$B$7))</f>
        <v>78.902483736035435</v>
      </c>
      <c r="T776" s="54">
        <f ca="1">MIN(100,MAX(0,MCDA_Prioritisation!$G$5+(RAND()-0.5)*2*$B$7))</f>
        <v>78.360466996943444</v>
      </c>
      <c r="U776" s="54">
        <f ca="1">MIN(100,MAX(0,MCDA_Prioritisation!$H$2+(RAND()-0.5)*2*$B$7))</f>
        <v>67.776451510592068</v>
      </c>
      <c r="V776" s="54">
        <f ca="1">MIN(100,MAX(0,MCDA_Prioritisation!$H$3+(RAND()-0.5)*2*$B$7))</f>
        <v>68.590928530072986</v>
      </c>
      <c r="W776" s="54">
        <f ca="1">MIN(100,MAX(0,MCDA_Prioritisation!$H$4+(RAND()-0.5)*2*$B$7))</f>
        <v>75.905097269976679</v>
      </c>
      <c r="X776" s="54">
        <f ca="1">MIN(100,MAX(0,MCDA_Prioritisation!$H$5+(RAND()-0.5)*2*$B$7))</f>
        <v>75.904409433515227</v>
      </c>
      <c r="Y776" s="54">
        <f ca="1">H776*MCDA_Prioritisation!$D$2+I776*MCDA_Prioritisation!$E$2+J776*M776+K776*Q776+L776*U776</f>
        <v>89.998565706220319</v>
      </c>
      <c r="Z776" s="54">
        <f ca="1">H776*MCDA_Prioritisation!$D$3+I776*MCDA_Prioritisation!$E$3+J776*N776+K776*R776+L776*V776</f>
        <v>80.892303355976296</v>
      </c>
      <c r="AA776" s="54">
        <f ca="1">H776*MCDA_Prioritisation!$D$4+I776*MCDA_Prioritisation!$E$4+J776*O776+K776*S776+L776*W776</f>
        <v>73.16922702918886</v>
      </c>
      <c r="AB776" s="54">
        <f ca="1">H776*MCDA_Prioritisation!$D$5+I776*MCDA_Prioritisation!$E$5+J776*P776+K776*T776+L776*X776</f>
        <v>75.999535035275002</v>
      </c>
      <c r="AC776" s="54">
        <f t="shared" ca="1" si="160"/>
        <v>1</v>
      </c>
      <c r="AD776" s="54">
        <f t="shared" ca="1" si="161"/>
        <v>2</v>
      </c>
      <c r="AE776" s="54">
        <f t="shared" ca="1" si="162"/>
        <v>4</v>
      </c>
      <c r="AF776" s="54">
        <f t="shared" ca="1" si="163"/>
        <v>3</v>
      </c>
      <c r="AG776" s="54">
        <f t="shared" ca="1" si="164"/>
        <v>1</v>
      </c>
      <c r="AH776" s="54">
        <f t="shared" ca="1" si="165"/>
        <v>1</v>
      </c>
      <c r="AI776" s="54">
        <f t="shared" ca="1" si="166"/>
        <v>0</v>
      </c>
      <c r="AJ776" s="54">
        <f t="shared" ca="1" si="167"/>
        <v>1</v>
      </c>
    </row>
    <row r="777" spans="1:36" x14ac:dyDescent="0.2">
      <c r="A777" s="54">
        <v>754</v>
      </c>
      <c r="B777" s="54">
        <f ca="1">MAX(0.02,MCDA_Prioritisation!$B$9+(RAND()-0.5)*2*$B$6)</f>
        <v>0.26140830708501839</v>
      </c>
      <c r="C777" s="54">
        <f ca="1">MAX(0.02,MCDA_Prioritisation!$B$10+(RAND()-0.5)*2*$B$6)</f>
        <v>0.31521904444225163</v>
      </c>
      <c r="D777" s="54">
        <f ca="1">MAX(0.02,MCDA_Prioritisation!$B$11+(RAND()-0.5)*2*$B$6)</f>
        <v>0.1815167670867455</v>
      </c>
      <c r="E777" s="54">
        <f ca="1">MAX(0.02,MCDA_Prioritisation!$B$12+(RAND()-0.5)*2*$B$6)</f>
        <v>0.19615635680580168</v>
      </c>
      <c r="F777" s="54">
        <f ca="1">MAX(0.02,MCDA_Prioritisation!$B$13+(RAND()-0.5)*2*$B$6)</f>
        <v>0.13203559594077527</v>
      </c>
      <c r="G777" s="54">
        <f t="shared" ca="1" si="154"/>
        <v>1.0863360713605923</v>
      </c>
      <c r="H777" s="54">
        <f t="shared" ca="1" si="155"/>
        <v>0.24063299928687351</v>
      </c>
      <c r="I777" s="54">
        <f t="shared" ca="1" si="156"/>
        <v>0.29016715246088848</v>
      </c>
      <c r="J777" s="54">
        <f t="shared" ca="1" si="157"/>
        <v>0.16709080354793249</v>
      </c>
      <c r="K777" s="54">
        <f t="shared" ca="1" si="158"/>
        <v>0.18056691844920855</v>
      </c>
      <c r="L777" s="54">
        <f t="shared" ca="1" si="159"/>
        <v>0.12154212625509708</v>
      </c>
      <c r="M777" s="54">
        <f ca="1">MIN(100,MAX(0,MCDA_Prioritisation!$F$2+(RAND()-0.5)*2*$B$7))</f>
        <v>77.881305339751293</v>
      </c>
      <c r="N777" s="54">
        <f ca="1">MIN(100,MAX(0,MCDA_Prioritisation!$F$3+(RAND()-0.5)*2*$B$7))</f>
        <v>98.450368201399371</v>
      </c>
      <c r="O777" s="54">
        <f ca="1">MIN(100,MAX(0,MCDA_Prioritisation!$F$4+(RAND()-0.5)*2*$B$7))</f>
        <v>80.540565623175993</v>
      </c>
      <c r="P777" s="54">
        <f ca="1">MIN(100,MAX(0,MCDA_Prioritisation!$F$5+(RAND()-0.5)*2*$B$7))</f>
        <v>84.849057175886003</v>
      </c>
      <c r="Q777" s="54">
        <f ca="1">MIN(100,MAX(0,MCDA_Prioritisation!$G$2+(RAND()-0.5)*2*$B$7))</f>
        <v>70.732490129181485</v>
      </c>
      <c r="R777" s="54">
        <f ca="1">MIN(100,MAX(0,MCDA_Prioritisation!$G$3+(RAND()-0.5)*2*$B$7))</f>
        <v>94.808473509048937</v>
      </c>
      <c r="S777" s="54">
        <f ca="1">MIN(100,MAX(0,MCDA_Prioritisation!$G$4+(RAND()-0.5)*2*$B$7))</f>
        <v>76.061623269392754</v>
      </c>
      <c r="T777" s="54">
        <f ca="1">MIN(100,MAX(0,MCDA_Prioritisation!$G$5+(RAND()-0.5)*2*$B$7))</f>
        <v>73.80263189605671</v>
      </c>
      <c r="U777" s="54">
        <f ca="1">MIN(100,MAX(0,MCDA_Prioritisation!$H$2+(RAND()-0.5)*2*$B$7))</f>
        <v>72.14592799133969</v>
      </c>
      <c r="V777" s="54">
        <f ca="1">MIN(100,MAX(0,MCDA_Prioritisation!$H$3+(RAND()-0.5)*2*$B$7))</f>
        <v>54.332732557109949</v>
      </c>
      <c r="W777" s="54">
        <f ca="1">MIN(100,MAX(0,MCDA_Prioritisation!$H$4+(RAND()-0.5)*2*$B$7))</f>
        <v>89.932034772181794</v>
      </c>
      <c r="X777" s="54">
        <f ca="1">MIN(100,MAX(0,MCDA_Prioritisation!$H$5+(RAND()-0.5)*2*$B$7))</f>
        <v>74.180011633403694</v>
      </c>
      <c r="Y777" s="54">
        <f ca="1">H777*MCDA_Prioritisation!$D$2+I777*MCDA_Prioritisation!$E$2+J777*M777+K777*Q777+L777*U777</f>
        <v>87.63398233093703</v>
      </c>
      <c r="Z777" s="54">
        <f ca="1">H777*MCDA_Prioritisation!$D$3+I777*MCDA_Prioritisation!$E$3+J777*N777+K777*R777+L777*V777</f>
        <v>82.30677006983872</v>
      </c>
      <c r="AA777" s="54">
        <f ca="1">H777*MCDA_Prioritisation!$D$4+I777*MCDA_Prioritisation!$E$4+J777*O777+K777*S777+L777*W777</f>
        <v>70.705898189020218</v>
      </c>
      <c r="AB777" s="54">
        <f ca="1">H777*MCDA_Prioritisation!$D$5+I777*MCDA_Prioritisation!$E$5+J777*P777+K777*T777+L777*X777</f>
        <v>73.692037494673258</v>
      </c>
      <c r="AC777" s="54">
        <f t="shared" ca="1" si="160"/>
        <v>1</v>
      </c>
      <c r="AD777" s="54">
        <f t="shared" ca="1" si="161"/>
        <v>2</v>
      </c>
      <c r="AE777" s="54">
        <f t="shared" ca="1" si="162"/>
        <v>4</v>
      </c>
      <c r="AF777" s="54">
        <f t="shared" ca="1" si="163"/>
        <v>3</v>
      </c>
      <c r="AG777" s="54">
        <f t="shared" ca="1" si="164"/>
        <v>1</v>
      </c>
      <c r="AH777" s="54">
        <f t="shared" ca="1" si="165"/>
        <v>1</v>
      </c>
      <c r="AI777" s="54">
        <f t="shared" ca="1" si="166"/>
        <v>0</v>
      </c>
      <c r="AJ777" s="54">
        <f t="shared" ca="1" si="167"/>
        <v>1</v>
      </c>
    </row>
    <row r="778" spans="1:36" x14ac:dyDescent="0.2">
      <c r="A778" s="54">
        <v>755</v>
      </c>
      <c r="B778" s="54">
        <f ca="1">MAX(0.02,MCDA_Prioritisation!$B$9+(RAND()-0.5)*2*$B$6)</f>
        <v>0.15798888826695312</v>
      </c>
      <c r="C778" s="54">
        <f ca="1">MAX(0.02,MCDA_Prioritisation!$B$10+(RAND()-0.5)*2*$B$6)</f>
        <v>0.30160971818453863</v>
      </c>
      <c r="D778" s="54">
        <f ca="1">MAX(0.02,MCDA_Prioritisation!$B$11+(RAND()-0.5)*2*$B$6)</f>
        <v>0.25852248118931909</v>
      </c>
      <c r="E778" s="54">
        <f ca="1">MAX(0.02,MCDA_Prioritisation!$B$12+(RAND()-0.5)*2*$B$6)</f>
        <v>0.16947735285648988</v>
      </c>
      <c r="F778" s="54">
        <f ca="1">MAX(0.02,MCDA_Prioritisation!$B$13+(RAND()-0.5)*2*$B$6)</f>
        <v>0.20923944875955533</v>
      </c>
      <c r="G778" s="54">
        <f t="shared" ca="1" si="154"/>
        <v>1.096837889256856</v>
      </c>
      <c r="H778" s="54">
        <f t="shared" ca="1" si="155"/>
        <v>0.14404032702954475</v>
      </c>
      <c r="I778" s="54">
        <f t="shared" ca="1" si="156"/>
        <v>0.27498112632568628</v>
      </c>
      <c r="J778" s="54">
        <f t="shared" ca="1" si="157"/>
        <v>0.23569798574744408</v>
      </c>
      <c r="K778" s="54">
        <f t="shared" ca="1" si="158"/>
        <v>0.15451449527451719</v>
      </c>
      <c r="L778" s="54">
        <f t="shared" ca="1" si="159"/>
        <v>0.19076606562280776</v>
      </c>
      <c r="M778" s="54">
        <f ca="1">MIN(100,MAX(0,MCDA_Prioritisation!$F$2+(RAND()-0.5)*2*$B$7))</f>
        <v>88.950612093401986</v>
      </c>
      <c r="N778" s="54">
        <f ca="1">MIN(100,MAX(0,MCDA_Prioritisation!$F$3+(RAND()-0.5)*2*$B$7))</f>
        <v>89.871368992845191</v>
      </c>
      <c r="O778" s="54">
        <f ca="1">MIN(100,MAX(0,MCDA_Prioritisation!$F$4+(RAND()-0.5)*2*$B$7))</f>
        <v>98.301983768472525</v>
      </c>
      <c r="P778" s="54">
        <f ca="1">MIN(100,MAX(0,MCDA_Prioritisation!$F$5+(RAND()-0.5)*2*$B$7))</f>
        <v>79.968835073890801</v>
      </c>
      <c r="Q778" s="54">
        <f ca="1">MIN(100,MAX(0,MCDA_Prioritisation!$G$2+(RAND()-0.5)*2*$B$7))</f>
        <v>73.602732143068422</v>
      </c>
      <c r="R778" s="54">
        <f ca="1">MIN(100,MAX(0,MCDA_Prioritisation!$G$3+(RAND()-0.5)*2*$B$7))</f>
        <v>90.256568817028779</v>
      </c>
      <c r="S778" s="54">
        <f ca="1">MIN(100,MAX(0,MCDA_Prioritisation!$G$4+(RAND()-0.5)*2*$B$7))</f>
        <v>84.132481167475859</v>
      </c>
      <c r="T778" s="54">
        <f ca="1">MIN(100,MAX(0,MCDA_Prioritisation!$G$5+(RAND()-0.5)*2*$B$7))</f>
        <v>74.531987315140753</v>
      </c>
      <c r="U778" s="54">
        <f ca="1">MIN(100,MAX(0,MCDA_Prioritisation!$H$2+(RAND()-0.5)*2*$B$7))</f>
        <v>66.028237567491587</v>
      </c>
      <c r="V778" s="54">
        <f ca="1">MIN(100,MAX(0,MCDA_Prioritisation!$H$3+(RAND()-0.5)*2*$B$7))</f>
        <v>55.531142755745918</v>
      </c>
      <c r="W778" s="54">
        <f ca="1">MIN(100,MAX(0,MCDA_Prioritisation!$H$4+(RAND()-0.5)*2*$B$7))</f>
        <v>75.34526380354653</v>
      </c>
      <c r="X778" s="54">
        <f ca="1">MIN(100,MAX(0,MCDA_Prioritisation!$H$5+(RAND()-0.5)*2*$B$7))</f>
        <v>67.503698585970355</v>
      </c>
      <c r="Y778" s="54">
        <f ca="1">H778*MCDA_Prioritisation!$D$2+I778*MCDA_Prioritisation!$E$2+J778*M778+K778*Q778+L778*U778</f>
        <v>86.836261545610327</v>
      </c>
      <c r="Z778" s="54">
        <f ca="1">H778*MCDA_Prioritisation!$D$3+I778*MCDA_Prioritisation!$E$3+J778*N778+K778*R778+L778*V778</f>
        <v>78.309203124496719</v>
      </c>
      <c r="AA778" s="54">
        <f ca="1">H778*MCDA_Prioritisation!$D$4+I778*MCDA_Prioritisation!$E$4+J778*O778+K778*S778+L778*W778</f>
        <v>75.571679117746598</v>
      </c>
      <c r="AB778" s="54">
        <f ca="1">H778*MCDA_Prioritisation!$D$5+I778*MCDA_Prioritisation!$E$5+J778*P778+K778*T778+L778*X778</f>
        <v>74.010662168416076</v>
      </c>
      <c r="AC778" s="54">
        <f t="shared" ca="1" si="160"/>
        <v>1</v>
      </c>
      <c r="AD778" s="54">
        <f t="shared" ca="1" si="161"/>
        <v>2</v>
      </c>
      <c r="AE778" s="54">
        <f t="shared" ca="1" si="162"/>
        <v>3</v>
      </c>
      <c r="AF778" s="54">
        <f t="shared" ca="1" si="163"/>
        <v>4</v>
      </c>
      <c r="AG778" s="54">
        <f t="shared" ca="1" si="164"/>
        <v>1</v>
      </c>
      <c r="AH778" s="54">
        <f t="shared" ca="1" si="165"/>
        <v>1</v>
      </c>
      <c r="AI778" s="54">
        <f t="shared" ca="1" si="166"/>
        <v>1</v>
      </c>
      <c r="AJ778" s="54">
        <f t="shared" ca="1" si="167"/>
        <v>1</v>
      </c>
    </row>
    <row r="779" spans="1:36" x14ac:dyDescent="0.2">
      <c r="A779" s="54">
        <v>756</v>
      </c>
      <c r="B779" s="54">
        <f ca="1">MAX(0.02,MCDA_Prioritisation!$B$9+(RAND()-0.5)*2*$B$6)</f>
        <v>0.18633418876888377</v>
      </c>
      <c r="C779" s="54">
        <f ca="1">MAX(0.02,MCDA_Prioritisation!$B$10+(RAND()-0.5)*2*$B$6)</f>
        <v>0.19008547082681337</v>
      </c>
      <c r="D779" s="54">
        <f ca="1">MAX(0.02,MCDA_Prioritisation!$B$11+(RAND()-0.5)*2*$B$6)</f>
        <v>0.17821909025192878</v>
      </c>
      <c r="E779" s="54">
        <f ca="1">MAX(0.02,MCDA_Prioritisation!$B$12+(RAND()-0.5)*2*$B$6)</f>
        <v>0.14589615391808769</v>
      </c>
      <c r="F779" s="54">
        <f ca="1">MAX(0.02,MCDA_Prioritisation!$B$13+(RAND()-0.5)*2*$B$6)</f>
        <v>0.16902777057928281</v>
      </c>
      <c r="G779" s="54">
        <f t="shared" ca="1" si="154"/>
        <v>0.86956267434499646</v>
      </c>
      <c r="H779" s="54">
        <f t="shared" ca="1" si="155"/>
        <v>0.21428494376123167</v>
      </c>
      <c r="I779" s="54">
        <f t="shared" ca="1" si="156"/>
        <v>0.21859893074411968</v>
      </c>
      <c r="J779" s="54">
        <f t="shared" ca="1" si="157"/>
        <v>0.20495255317412678</v>
      </c>
      <c r="K779" s="54">
        <f t="shared" ca="1" si="158"/>
        <v>0.16778106768207926</v>
      </c>
      <c r="L779" s="54">
        <f t="shared" ca="1" si="159"/>
        <v>0.19438250463844259</v>
      </c>
      <c r="M779" s="54">
        <f ca="1">MIN(100,MAX(0,MCDA_Prioritisation!$F$2+(RAND()-0.5)*2*$B$7))</f>
        <v>80.679203171403955</v>
      </c>
      <c r="N779" s="54">
        <f ca="1">MIN(100,MAX(0,MCDA_Prioritisation!$F$3+(RAND()-0.5)*2*$B$7))</f>
        <v>89.734992960139778</v>
      </c>
      <c r="O779" s="54">
        <f ca="1">MIN(100,MAX(0,MCDA_Prioritisation!$F$4+(RAND()-0.5)*2*$B$7))</f>
        <v>97.058898143533526</v>
      </c>
      <c r="P779" s="54">
        <f ca="1">MIN(100,MAX(0,MCDA_Prioritisation!$F$5+(RAND()-0.5)*2*$B$7))</f>
        <v>76.308223615784243</v>
      </c>
      <c r="Q779" s="54">
        <f ca="1">MIN(100,MAX(0,MCDA_Prioritisation!$G$2+(RAND()-0.5)*2*$B$7))</f>
        <v>72.284063564908607</v>
      </c>
      <c r="R779" s="54">
        <f ca="1">MIN(100,MAX(0,MCDA_Prioritisation!$G$3+(RAND()-0.5)*2*$B$7))</f>
        <v>88.945164930438835</v>
      </c>
      <c r="S779" s="54">
        <f ca="1">MIN(100,MAX(0,MCDA_Prioritisation!$G$4+(RAND()-0.5)*2*$B$7))</f>
        <v>83.950798711613174</v>
      </c>
      <c r="T779" s="54">
        <f ca="1">MIN(100,MAX(0,MCDA_Prioritisation!$G$5+(RAND()-0.5)*2*$B$7))</f>
        <v>73.47020849059966</v>
      </c>
      <c r="U779" s="54">
        <f ca="1">MIN(100,MAX(0,MCDA_Prioritisation!$H$2+(RAND()-0.5)*2*$B$7))</f>
        <v>72.393965999839182</v>
      </c>
      <c r="V779" s="54">
        <f ca="1">MIN(100,MAX(0,MCDA_Prioritisation!$H$3+(RAND()-0.5)*2*$B$7))</f>
        <v>68.447595177356945</v>
      </c>
      <c r="W779" s="54">
        <f ca="1">MIN(100,MAX(0,MCDA_Prioritisation!$H$4+(RAND()-0.5)*2*$B$7))</f>
        <v>75.092865325630711</v>
      </c>
      <c r="X779" s="54">
        <f ca="1">MIN(100,MAX(0,MCDA_Prioritisation!$H$5+(RAND()-0.5)*2*$B$7))</f>
        <v>72.674354312962905</v>
      </c>
      <c r="Y779" s="54">
        <f ca="1">H779*MCDA_Prioritisation!$D$2+I779*MCDA_Prioritisation!$E$2+J779*M779+K779*Q779+L779*U779</f>
        <v>86.023813921647118</v>
      </c>
      <c r="Z779" s="54">
        <f ca="1">H779*MCDA_Prioritisation!$D$3+I779*MCDA_Prioritisation!$E$3+J779*N779+K779*R779+L779*V779</f>
        <v>81.24567648032928</v>
      </c>
      <c r="AA779" s="54">
        <f ca="1">H779*MCDA_Prioritisation!$D$4+I779*MCDA_Prioritisation!$E$4+J779*O779+K779*S779+L779*W779</f>
        <v>75.419684694375917</v>
      </c>
      <c r="AB779" s="54">
        <f ca="1">H779*MCDA_Prioritisation!$D$5+I779*MCDA_Prioritisation!$E$5+J779*P779+K779*T779+L779*X779</f>
        <v>71.848645174074761</v>
      </c>
      <c r="AC779" s="54">
        <f t="shared" ca="1" si="160"/>
        <v>1</v>
      </c>
      <c r="AD779" s="54">
        <f t="shared" ca="1" si="161"/>
        <v>2</v>
      </c>
      <c r="AE779" s="54">
        <f t="shared" ca="1" si="162"/>
        <v>3</v>
      </c>
      <c r="AF779" s="54">
        <f t="shared" ca="1" si="163"/>
        <v>4</v>
      </c>
      <c r="AG779" s="54">
        <f t="shared" ca="1" si="164"/>
        <v>1</v>
      </c>
      <c r="AH779" s="54">
        <f t="shared" ca="1" si="165"/>
        <v>1</v>
      </c>
      <c r="AI779" s="54">
        <f t="shared" ca="1" si="166"/>
        <v>1</v>
      </c>
      <c r="AJ779" s="54">
        <f t="shared" ca="1" si="167"/>
        <v>1</v>
      </c>
    </row>
    <row r="780" spans="1:36" x14ac:dyDescent="0.2">
      <c r="A780" s="54">
        <v>757</v>
      </c>
      <c r="B780" s="54">
        <f ca="1">MAX(0.02,MCDA_Prioritisation!$B$9+(RAND()-0.5)*2*$B$6)</f>
        <v>0.2533930599809876</v>
      </c>
      <c r="C780" s="54">
        <f ca="1">MAX(0.02,MCDA_Prioritisation!$B$10+(RAND()-0.5)*2*$B$6)</f>
        <v>0.18221246119907919</v>
      </c>
      <c r="D780" s="54">
        <f ca="1">MAX(0.02,MCDA_Prioritisation!$B$11+(RAND()-0.5)*2*$B$6)</f>
        <v>0.2952032470175231</v>
      </c>
      <c r="E780" s="54">
        <f ca="1">MAX(0.02,MCDA_Prioritisation!$B$12+(RAND()-0.5)*2*$B$6)</f>
        <v>0.13841408917362136</v>
      </c>
      <c r="F780" s="54">
        <f ca="1">MAX(0.02,MCDA_Prioritisation!$B$13+(RAND()-0.5)*2*$B$6)</f>
        <v>0.2147647113883705</v>
      </c>
      <c r="G780" s="54">
        <f t="shared" ca="1" si="154"/>
        <v>1.0839875687595817</v>
      </c>
      <c r="H780" s="54">
        <f t="shared" ca="1" si="155"/>
        <v>0.23376011615239087</v>
      </c>
      <c r="I780" s="54">
        <f t="shared" ca="1" si="156"/>
        <v>0.1680946040807339</v>
      </c>
      <c r="J780" s="54">
        <f t="shared" ca="1" si="157"/>
        <v>0.27233084172296113</v>
      </c>
      <c r="K780" s="54">
        <f t="shared" ca="1" si="158"/>
        <v>0.12768973848289611</v>
      </c>
      <c r="L780" s="54">
        <f t="shared" ca="1" si="159"/>
        <v>0.19812469956101803</v>
      </c>
      <c r="M780" s="54">
        <f ca="1">MIN(100,MAX(0,MCDA_Prioritisation!$F$2+(RAND()-0.5)*2*$B$7))</f>
        <v>92.702722444533947</v>
      </c>
      <c r="N780" s="54">
        <f ca="1">MIN(100,MAX(0,MCDA_Prioritisation!$F$3+(RAND()-0.5)*2*$B$7))</f>
        <v>98.267528502371206</v>
      </c>
      <c r="O780" s="54">
        <f ca="1">MIN(100,MAX(0,MCDA_Prioritisation!$F$4+(RAND()-0.5)*2*$B$7))</f>
        <v>85.954430402060041</v>
      </c>
      <c r="P780" s="54">
        <f ca="1">MIN(100,MAX(0,MCDA_Prioritisation!$F$5+(RAND()-0.5)*2*$B$7))</f>
        <v>67.866017549870236</v>
      </c>
      <c r="Q780" s="54">
        <f ca="1">MIN(100,MAX(0,MCDA_Prioritisation!$G$2+(RAND()-0.5)*2*$B$7))</f>
        <v>86.001693114835589</v>
      </c>
      <c r="R780" s="54">
        <f ca="1">MIN(100,MAX(0,MCDA_Prioritisation!$G$3+(RAND()-0.5)*2*$B$7))</f>
        <v>93.387220486502812</v>
      </c>
      <c r="S780" s="54">
        <f ca="1">MIN(100,MAX(0,MCDA_Prioritisation!$G$4+(RAND()-0.5)*2*$B$7))</f>
        <v>85.178666707546583</v>
      </c>
      <c r="T780" s="54">
        <f ca="1">MIN(100,MAX(0,MCDA_Prioritisation!$G$5+(RAND()-0.5)*2*$B$7))</f>
        <v>75.275696424477417</v>
      </c>
      <c r="U780" s="54">
        <f ca="1">MIN(100,MAX(0,MCDA_Prioritisation!$H$2+(RAND()-0.5)*2*$B$7))</f>
        <v>62.812701198501863</v>
      </c>
      <c r="V780" s="54">
        <f ca="1">MIN(100,MAX(0,MCDA_Prioritisation!$H$3+(RAND()-0.5)*2*$B$7))</f>
        <v>56.795929649412287</v>
      </c>
      <c r="W780" s="54">
        <f ca="1">MIN(100,MAX(0,MCDA_Prioritisation!$H$4+(RAND()-0.5)*2*$B$7))</f>
        <v>80.449039980106519</v>
      </c>
      <c r="X780" s="54">
        <f ca="1">MIN(100,MAX(0,MCDA_Prioritisation!$H$5+(RAND()-0.5)*2*$B$7))</f>
        <v>70.136688317042427</v>
      </c>
      <c r="Y780" s="54">
        <f ca="1">H780*MCDA_Prioritisation!$D$2+I780*MCDA_Prioritisation!$E$2+J780*M780+K780*Q780+L780*U780</f>
        <v>88.85756371313127</v>
      </c>
      <c r="Z780" s="54">
        <f ca="1">H780*MCDA_Prioritisation!$D$3+I780*MCDA_Prioritisation!$E$3+J780*N780+K780*R780+L780*V780</f>
        <v>82.593502422450953</v>
      </c>
      <c r="AA780" s="54">
        <f ca="1">H780*MCDA_Prioritisation!$D$4+I780*MCDA_Prioritisation!$E$4+J780*O780+K780*S780+L780*W780</f>
        <v>75.669902826163678</v>
      </c>
      <c r="AB780" s="54">
        <f ca="1">H780*MCDA_Prioritisation!$D$5+I780*MCDA_Prioritisation!$E$5+J780*P780+K780*T780+L780*X780</f>
        <v>68.532008215390277</v>
      </c>
      <c r="AC780" s="54">
        <f t="shared" ca="1" si="160"/>
        <v>1</v>
      </c>
      <c r="AD780" s="54">
        <f t="shared" ca="1" si="161"/>
        <v>2</v>
      </c>
      <c r="AE780" s="54">
        <f t="shared" ca="1" si="162"/>
        <v>3</v>
      </c>
      <c r="AF780" s="54">
        <f t="shared" ca="1" si="163"/>
        <v>4</v>
      </c>
      <c r="AG780" s="54">
        <f t="shared" ca="1" si="164"/>
        <v>1</v>
      </c>
      <c r="AH780" s="54">
        <f t="shared" ca="1" si="165"/>
        <v>1</v>
      </c>
      <c r="AI780" s="54">
        <f t="shared" ca="1" si="166"/>
        <v>1</v>
      </c>
      <c r="AJ780" s="54">
        <f t="shared" ca="1" si="167"/>
        <v>1</v>
      </c>
    </row>
    <row r="781" spans="1:36" x14ac:dyDescent="0.2">
      <c r="A781" s="54">
        <v>758</v>
      </c>
      <c r="B781" s="54">
        <f ca="1">MAX(0.02,MCDA_Prioritisation!$B$9+(RAND()-0.5)*2*$B$6)</f>
        <v>0.21710911069188391</v>
      </c>
      <c r="C781" s="54">
        <f ca="1">MAX(0.02,MCDA_Prioritisation!$B$10+(RAND()-0.5)*2*$B$6)</f>
        <v>0.32994721094779311</v>
      </c>
      <c r="D781" s="54">
        <f ca="1">MAX(0.02,MCDA_Prioritisation!$B$11+(RAND()-0.5)*2*$B$6)</f>
        <v>0.21619810478952403</v>
      </c>
      <c r="E781" s="54">
        <f ca="1">MAX(0.02,MCDA_Prioritisation!$B$12+(RAND()-0.5)*2*$B$6)</f>
        <v>0.12517874748893007</v>
      </c>
      <c r="F781" s="54">
        <f ca="1">MAX(0.02,MCDA_Prioritisation!$B$13+(RAND()-0.5)*2*$B$6)</f>
        <v>0.15249545542499035</v>
      </c>
      <c r="G781" s="54">
        <f t="shared" ca="1" si="154"/>
        <v>1.0409286293431215</v>
      </c>
      <c r="H781" s="54">
        <f t="shared" ca="1" si="155"/>
        <v>0.20857252319872374</v>
      </c>
      <c r="I781" s="54">
        <f t="shared" ca="1" si="156"/>
        <v>0.31697390353842653</v>
      </c>
      <c r="J781" s="54">
        <f t="shared" ca="1" si="157"/>
        <v>0.20769733744950022</v>
      </c>
      <c r="K781" s="54">
        <f t="shared" ca="1" si="158"/>
        <v>0.12025680143692866</v>
      </c>
      <c r="L781" s="54">
        <f t="shared" ca="1" si="159"/>
        <v>0.14649943437642088</v>
      </c>
      <c r="M781" s="54">
        <f ca="1">MIN(100,MAX(0,MCDA_Prioritisation!$F$2+(RAND()-0.5)*2*$B$7))</f>
        <v>87.60889644628773</v>
      </c>
      <c r="N781" s="54">
        <f ca="1">MIN(100,MAX(0,MCDA_Prioritisation!$F$3+(RAND()-0.5)*2*$B$7))</f>
        <v>100</v>
      </c>
      <c r="O781" s="54">
        <f ca="1">MIN(100,MAX(0,MCDA_Prioritisation!$F$4+(RAND()-0.5)*2*$B$7))</f>
        <v>82.069727300163493</v>
      </c>
      <c r="P781" s="54">
        <f ca="1">MIN(100,MAX(0,MCDA_Prioritisation!$F$5+(RAND()-0.5)*2*$B$7))</f>
        <v>70.703733770425004</v>
      </c>
      <c r="Q781" s="54">
        <f ca="1">MIN(100,MAX(0,MCDA_Prioritisation!$G$2+(RAND()-0.5)*2*$B$7))</f>
        <v>82.944074564625609</v>
      </c>
      <c r="R781" s="54">
        <f ca="1">MIN(100,MAX(0,MCDA_Prioritisation!$G$3+(RAND()-0.5)*2*$B$7))</f>
        <v>96.87247259236895</v>
      </c>
      <c r="S781" s="54">
        <f ca="1">MIN(100,MAX(0,MCDA_Prioritisation!$G$4+(RAND()-0.5)*2*$B$7))</f>
        <v>85.973730158061116</v>
      </c>
      <c r="T781" s="54">
        <f ca="1">MIN(100,MAX(0,MCDA_Prioritisation!$G$5+(RAND()-0.5)*2*$B$7))</f>
        <v>72.556843232347603</v>
      </c>
      <c r="U781" s="54">
        <f ca="1">MIN(100,MAX(0,MCDA_Prioritisation!$H$2+(RAND()-0.5)*2*$B$7))</f>
        <v>58.755267833460024</v>
      </c>
      <c r="V781" s="54">
        <f ca="1">MIN(100,MAX(0,MCDA_Prioritisation!$H$3+(RAND()-0.5)*2*$B$7))</f>
        <v>67.972152457165777</v>
      </c>
      <c r="W781" s="54">
        <f ca="1">MIN(100,MAX(0,MCDA_Prioritisation!$H$4+(RAND()-0.5)*2*$B$7))</f>
        <v>77.747429442526823</v>
      </c>
      <c r="X781" s="54">
        <f ca="1">MIN(100,MAX(0,MCDA_Prioritisation!$H$5+(RAND()-0.5)*2*$B$7))</f>
        <v>65.292238769909147</v>
      </c>
      <c r="Y781" s="54">
        <f ca="1">H781*MCDA_Prioritisation!$D$2+I781*MCDA_Prioritisation!$E$2+J781*M781+K781*Q781+L781*U781</f>
        <v>89.33297981202297</v>
      </c>
      <c r="Z781" s="54">
        <f ca="1">H781*MCDA_Prioritisation!$D$3+I781*MCDA_Prioritisation!$E$3+J781*N781+K781*R781+L781*V781</f>
        <v>83.658416148626173</v>
      </c>
      <c r="AA781" s="54">
        <f ca="1">H781*MCDA_Prioritisation!$D$4+I781*MCDA_Prioritisation!$E$4+J781*O781+K781*S781+L781*W781</f>
        <v>70.587794127959612</v>
      </c>
      <c r="AB781" s="54">
        <f ca="1">H781*MCDA_Prioritisation!$D$5+I781*MCDA_Prioritisation!$E$5+J781*P781+K781*T781+L781*X781</f>
        <v>70.700503158099778</v>
      </c>
      <c r="AC781" s="54">
        <f t="shared" ca="1" si="160"/>
        <v>1</v>
      </c>
      <c r="AD781" s="54">
        <f t="shared" ca="1" si="161"/>
        <v>2</v>
      </c>
      <c r="AE781" s="54">
        <f t="shared" ca="1" si="162"/>
        <v>4</v>
      </c>
      <c r="AF781" s="54">
        <f t="shared" ca="1" si="163"/>
        <v>3</v>
      </c>
      <c r="AG781" s="54">
        <f t="shared" ca="1" si="164"/>
        <v>1</v>
      </c>
      <c r="AH781" s="54">
        <f t="shared" ca="1" si="165"/>
        <v>1</v>
      </c>
      <c r="AI781" s="54">
        <f t="shared" ca="1" si="166"/>
        <v>0</v>
      </c>
      <c r="AJ781" s="54">
        <f t="shared" ca="1" si="167"/>
        <v>1</v>
      </c>
    </row>
    <row r="782" spans="1:36" x14ac:dyDescent="0.2">
      <c r="A782" s="54">
        <v>759</v>
      </c>
      <c r="B782" s="54">
        <f ca="1">MAX(0.02,MCDA_Prioritisation!$B$9+(RAND()-0.5)*2*$B$6)</f>
        <v>0.27063683461686527</v>
      </c>
      <c r="C782" s="54">
        <f ca="1">MAX(0.02,MCDA_Prioritisation!$B$10+(RAND()-0.5)*2*$B$6)</f>
        <v>0.20110154426870239</v>
      </c>
      <c r="D782" s="54">
        <f ca="1">MAX(0.02,MCDA_Prioritisation!$B$11+(RAND()-0.5)*2*$B$6)</f>
        <v>0.25332834876873656</v>
      </c>
      <c r="E782" s="54">
        <f ca="1">MAX(0.02,MCDA_Prioritisation!$B$12+(RAND()-0.5)*2*$B$6)</f>
        <v>0.15852447302553327</v>
      </c>
      <c r="F782" s="54">
        <f ca="1">MAX(0.02,MCDA_Prioritisation!$B$13+(RAND()-0.5)*2*$B$6)</f>
        <v>0.10961326301936744</v>
      </c>
      <c r="G782" s="54">
        <f t="shared" ca="1" si="154"/>
        <v>0.99320446369920501</v>
      </c>
      <c r="H782" s="54">
        <f t="shared" ca="1" si="155"/>
        <v>0.27248854038459946</v>
      </c>
      <c r="I782" s="54">
        <f t="shared" ca="1" si="156"/>
        <v>0.20247748738431626</v>
      </c>
      <c r="J782" s="54">
        <f t="shared" ca="1" si="157"/>
        <v>0.25506162932978704</v>
      </c>
      <c r="K782" s="54">
        <f t="shared" ca="1" si="158"/>
        <v>0.15960910247534177</v>
      </c>
      <c r="L782" s="54">
        <f t="shared" ca="1" si="159"/>
        <v>0.11036324042595538</v>
      </c>
      <c r="M782" s="54">
        <f ca="1">MIN(100,MAX(0,MCDA_Prioritisation!$F$2+(RAND()-0.5)*2*$B$7))</f>
        <v>87.339055451874643</v>
      </c>
      <c r="N782" s="54">
        <f ca="1">MIN(100,MAX(0,MCDA_Prioritisation!$F$3+(RAND()-0.5)*2*$B$7))</f>
        <v>100</v>
      </c>
      <c r="O782" s="54">
        <f ca="1">MIN(100,MAX(0,MCDA_Prioritisation!$F$4+(RAND()-0.5)*2*$B$7))</f>
        <v>83.635596731359584</v>
      </c>
      <c r="P782" s="54">
        <f ca="1">MIN(100,MAX(0,MCDA_Prioritisation!$F$5+(RAND()-0.5)*2*$B$7))</f>
        <v>74.711514576065966</v>
      </c>
      <c r="Q782" s="54">
        <f ca="1">MIN(100,MAX(0,MCDA_Prioritisation!$G$2+(RAND()-0.5)*2*$B$7))</f>
        <v>87.29500132218439</v>
      </c>
      <c r="R782" s="54">
        <f ca="1">MIN(100,MAX(0,MCDA_Prioritisation!$G$3+(RAND()-0.5)*2*$B$7))</f>
        <v>100</v>
      </c>
      <c r="S782" s="54">
        <f ca="1">MIN(100,MAX(0,MCDA_Prioritisation!$G$4+(RAND()-0.5)*2*$B$7))</f>
        <v>86.487597463963652</v>
      </c>
      <c r="T782" s="54">
        <f ca="1">MIN(100,MAX(0,MCDA_Prioritisation!$G$5+(RAND()-0.5)*2*$B$7))</f>
        <v>76.810348581627608</v>
      </c>
      <c r="U782" s="54">
        <f ca="1">MIN(100,MAX(0,MCDA_Prioritisation!$H$2+(RAND()-0.5)*2*$B$7))</f>
        <v>65.047590236695882</v>
      </c>
      <c r="V782" s="54">
        <f ca="1">MIN(100,MAX(0,MCDA_Prioritisation!$H$3+(RAND()-0.5)*2*$B$7))</f>
        <v>64.665155348373489</v>
      </c>
      <c r="W782" s="54">
        <f ca="1">MIN(100,MAX(0,MCDA_Prioritisation!$H$4+(RAND()-0.5)*2*$B$7))</f>
        <v>87.064415394239717</v>
      </c>
      <c r="X782" s="54">
        <f ca="1">MIN(100,MAX(0,MCDA_Prioritisation!$H$5+(RAND()-0.5)*2*$B$7))</f>
        <v>82.653289555681141</v>
      </c>
      <c r="Y782" s="54">
        <f ca="1">H782*MCDA_Prioritisation!$D$2+I782*MCDA_Prioritisation!$E$2+J782*M782+K782*Q782+L782*U782</f>
        <v>90.885384216610461</v>
      </c>
      <c r="Z782" s="54">
        <f ca="1">H782*MCDA_Prioritisation!$D$3+I782*MCDA_Prioritisation!$E$3+J782*N782+K782*R782+L782*V782</f>
        <v>87.144001877710849</v>
      </c>
      <c r="AA782" s="54">
        <f ca="1">H782*MCDA_Prioritisation!$D$4+I782*MCDA_Prioritisation!$E$4+J782*O782+K782*S782+L782*W782</f>
        <v>74.763877073124874</v>
      </c>
      <c r="AB782" s="54">
        <f ca="1">H782*MCDA_Prioritisation!$D$5+I782*MCDA_Prioritisation!$E$5+J782*P782+K782*T782+L782*X782</f>
        <v>71.926644034386811</v>
      </c>
      <c r="AC782" s="54">
        <f t="shared" ca="1" si="160"/>
        <v>1</v>
      </c>
      <c r="AD782" s="54">
        <f t="shared" ca="1" si="161"/>
        <v>2</v>
      </c>
      <c r="AE782" s="54">
        <f t="shared" ca="1" si="162"/>
        <v>3</v>
      </c>
      <c r="AF782" s="54">
        <f t="shared" ca="1" si="163"/>
        <v>4</v>
      </c>
      <c r="AG782" s="54">
        <f t="shared" ca="1" si="164"/>
        <v>1</v>
      </c>
      <c r="AH782" s="54">
        <f t="shared" ca="1" si="165"/>
        <v>1</v>
      </c>
      <c r="AI782" s="54">
        <f t="shared" ca="1" si="166"/>
        <v>1</v>
      </c>
      <c r="AJ782" s="54">
        <f t="shared" ca="1" si="167"/>
        <v>1</v>
      </c>
    </row>
    <row r="783" spans="1:36" x14ac:dyDescent="0.2">
      <c r="A783" s="54">
        <v>760</v>
      </c>
      <c r="B783" s="54">
        <f ca="1">MAX(0.02,MCDA_Prioritisation!$B$9+(RAND()-0.5)*2*$B$6)</f>
        <v>0.17424105745340668</v>
      </c>
      <c r="C783" s="54">
        <f ca="1">MAX(0.02,MCDA_Prioritisation!$B$10+(RAND()-0.5)*2*$B$6)</f>
        <v>0.30775274426911181</v>
      </c>
      <c r="D783" s="54">
        <f ca="1">MAX(0.02,MCDA_Prioritisation!$B$11+(RAND()-0.5)*2*$B$6)</f>
        <v>0.22608972726246662</v>
      </c>
      <c r="E783" s="54">
        <f ca="1">MAX(0.02,MCDA_Prioritisation!$B$12+(RAND()-0.5)*2*$B$6)</f>
        <v>0.20005291982409582</v>
      </c>
      <c r="F783" s="54">
        <f ca="1">MAX(0.02,MCDA_Prioritisation!$B$13+(RAND()-0.5)*2*$B$6)</f>
        <v>0.10588813129376198</v>
      </c>
      <c r="G783" s="54">
        <f t="shared" ca="1" si="154"/>
        <v>1.0140245801028429</v>
      </c>
      <c r="H783" s="54">
        <f t="shared" ca="1" si="155"/>
        <v>0.17183119706598735</v>
      </c>
      <c r="I783" s="54">
        <f t="shared" ca="1" si="156"/>
        <v>0.30349633559957628</v>
      </c>
      <c r="J783" s="54">
        <f t="shared" ca="1" si="157"/>
        <v>0.22296276806183188</v>
      </c>
      <c r="K783" s="54">
        <f t="shared" ca="1" si="158"/>
        <v>0.19728606559399806</v>
      </c>
      <c r="L783" s="54">
        <f t="shared" ca="1" si="159"/>
        <v>0.10442363367860644</v>
      </c>
      <c r="M783" s="54">
        <f ca="1">MIN(100,MAX(0,MCDA_Prioritisation!$F$2+(RAND()-0.5)*2*$B$7))</f>
        <v>86.087306274451294</v>
      </c>
      <c r="N783" s="54">
        <f ca="1">MIN(100,MAX(0,MCDA_Prioritisation!$F$3+(RAND()-0.5)*2*$B$7))</f>
        <v>85.795856916410912</v>
      </c>
      <c r="O783" s="54">
        <f ca="1">MIN(100,MAX(0,MCDA_Prioritisation!$F$4+(RAND()-0.5)*2*$B$7))</f>
        <v>80.285890893957969</v>
      </c>
      <c r="P783" s="54">
        <f ca="1">MIN(100,MAX(0,MCDA_Prioritisation!$F$5+(RAND()-0.5)*2*$B$7))</f>
        <v>79.321384785833501</v>
      </c>
      <c r="Q783" s="54">
        <f ca="1">MIN(100,MAX(0,MCDA_Prioritisation!$G$2+(RAND()-0.5)*2*$B$7))</f>
        <v>75.241415766095912</v>
      </c>
      <c r="R783" s="54">
        <f ca="1">MIN(100,MAX(0,MCDA_Prioritisation!$G$3+(RAND()-0.5)*2*$B$7))</f>
        <v>86.320647647688588</v>
      </c>
      <c r="S783" s="54">
        <f ca="1">MIN(100,MAX(0,MCDA_Prioritisation!$G$4+(RAND()-0.5)*2*$B$7))</f>
        <v>87.760168324280684</v>
      </c>
      <c r="T783" s="54">
        <f ca="1">MIN(100,MAX(0,MCDA_Prioritisation!$G$5+(RAND()-0.5)*2*$B$7))</f>
        <v>60.210954596287209</v>
      </c>
      <c r="U783" s="54">
        <f ca="1">MIN(100,MAX(0,MCDA_Prioritisation!$H$2+(RAND()-0.5)*2*$B$7))</f>
        <v>65.949000525440454</v>
      </c>
      <c r="V783" s="54">
        <f ca="1">MIN(100,MAX(0,MCDA_Prioritisation!$H$3+(RAND()-0.5)*2*$B$7))</f>
        <v>50.74918197177432</v>
      </c>
      <c r="W783" s="54">
        <f ca="1">MIN(100,MAX(0,MCDA_Prioritisation!$H$4+(RAND()-0.5)*2*$B$7))</f>
        <v>87.703961914658336</v>
      </c>
      <c r="X783" s="54">
        <f ca="1">MIN(100,MAX(0,MCDA_Prioritisation!$H$5+(RAND()-0.5)*2*$B$7))</f>
        <v>76.914288294347926</v>
      </c>
      <c r="Y783" s="54">
        <f ca="1">H783*MCDA_Prioritisation!$D$2+I783*MCDA_Prioritisation!$E$2+J783*M783+K783*Q783+L783*U783</f>
        <v>88.457734527048814</v>
      </c>
      <c r="Z783" s="54">
        <f ca="1">H783*MCDA_Prioritisation!$D$3+I783*MCDA_Prioritisation!$E$3+J783*N783+K783*R783+L783*V783</f>
        <v>78.548520968667006</v>
      </c>
      <c r="AA783" s="54">
        <f ca="1">H783*MCDA_Prioritisation!$D$4+I783*MCDA_Prioritisation!$E$4+J783*O783+K783*S783+L783*W783</f>
        <v>72.89264920058487</v>
      </c>
      <c r="AB783" s="54">
        <f ca="1">H783*MCDA_Prioritisation!$D$5+I783*MCDA_Prioritisation!$E$5+J783*P783+K783*T783+L783*X783</f>
        <v>72.237543771564788</v>
      </c>
      <c r="AC783" s="54">
        <f t="shared" ca="1" si="160"/>
        <v>1</v>
      </c>
      <c r="AD783" s="54">
        <f t="shared" ca="1" si="161"/>
        <v>2</v>
      </c>
      <c r="AE783" s="54">
        <f t="shared" ca="1" si="162"/>
        <v>3</v>
      </c>
      <c r="AF783" s="54">
        <f t="shared" ca="1" si="163"/>
        <v>4</v>
      </c>
      <c r="AG783" s="54">
        <f t="shared" ca="1" si="164"/>
        <v>1</v>
      </c>
      <c r="AH783" s="54">
        <f t="shared" ca="1" si="165"/>
        <v>1</v>
      </c>
      <c r="AI783" s="54">
        <f t="shared" ca="1" si="166"/>
        <v>1</v>
      </c>
      <c r="AJ783" s="54">
        <f t="shared" ca="1" si="167"/>
        <v>1</v>
      </c>
    </row>
    <row r="784" spans="1:36" x14ac:dyDescent="0.2">
      <c r="A784" s="54">
        <v>761</v>
      </c>
      <c r="B784" s="54">
        <f ca="1">MAX(0.02,MCDA_Prioritisation!$B$9+(RAND()-0.5)*2*$B$6)</f>
        <v>0.203759833095016</v>
      </c>
      <c r="C784" s="54">
        <f ca="1">MAX(0.02,MCDA_Prioritisation!$B$10+(RAND()-0.5)*2*$B$6)</f>
        <v>0.26675970624581202</v>
      </c>
      <c r="D784" s="54">
        <f ca="1">MAX(0.02,MCDA_Prioritisation!$B$11+(RAND()-0.5)*2*$B$6)</f>
        <v>0.21612232750707736</v>
      </c>
      <c r="E784" s="54">
        <f ca="1">MAX(0.02,MCDA_Prioritisation!$B$12+(RAND()-0.5)*2*$B$6)</f>
        <v>0.20668131257530167</v>
      </c>
      <c r="F784" s="54">
        <f ca="1">MAX(0.02,MCDA_Prioritisation!$B$13+(RAND()-0.5)*2*$B$6)</f>
        <v>0.16540089996152516</v>
      </c>
      <c r="G784" s="54">
        <f t="shared" ca="1" si="154"/>
        <v>1.0587240793847321</v>
      </c>
      <c r="H784" s="54">
        <f t="shared" ca="1" si="155"/>
        <v>0.19245791898246914</v>
      </c>
      <c r="I784" s="54">
        <f t="shared" ca="1" si="156"/>
        <v>0.25196338823316178</v>
      </c>
      <c r="J784" s="54">
        <f t="shared" ca="1" si="157"/>
        <v>0.20413470489183064</v>
      </c>
      <c r="K784" s="54">
        <f t="shared" ca="1" si="158"/>
        <v>0.19521735322711525</v>
      </c>
      <c r="L784" s="54">
        <f t="shared" ca="1" si="159"/>
        <v>0.1562266346654233</v>
      </c>
      <c r="M784" s="54">
        <f ca="1">MIN(100,MAX(0,MCDA_Prioritisation!$F$2+(RAND()-0.5)*2*$B$7))</f>
        <v>88.5221277209519</v>
      </c>
      <c r="N784" s="54">
        <f ca="1">MIN(100,MAX(0,MCDA_Prioritisation!$F$3+(RAND()-0.5)*2*$B$7))</f>
        <v>100</v>
      </c>
      <c r="O784" s="54">
        <f ca="1">MIN(100,MAX(0,MCDA_Prioritisation!$F$4+(RAND()-0.5)*2*$B$7))</f>
        <v>93.498483226262238</v>
      </c>
      <c r="P784" s="54">
        <f ca="1">MIN(100,MAX(0,MCDA_Prioritisation!$F$5+(RAND()-0.5)*2*$B$7))</f>
        <v>75.972347832935455</v>
      </c>
      <c r="Q784" s="54">
        <f ca="1">MIN(100,MAX(0,MCDA_Prioritisation!$G$2+(RAND()-0.5)*2*$B$7))</f>
        <v>72.404763742950479</v>
      </c>
      <c r="R784" s="54">
        <f ca="1">MIN(100,MAX(0,MCDA_Prioritisation!$G$3+(RAND()-0.5)*2*$B$7))</f>
        <v>95.845111443133419</v>
      </c>
      <c r="S784" s="54">
        <f ca="1">MIN(100,MAX(0,MCDA_Prioritisation!$G$4+(RAND()-0.5)*2*$B$7))</f>
        <v>78.332854231193522</v>
      </c>
      <c r="T784" s="54">
        <f ca="1">MIN(100,MAX(0,MCDA_Prioritisation!$G$5+(RAND()-0.5)*2*$B$7))</f>
        <v>69.087959448304474</v>
      </c>
      <c r="U784" s="54">
        <f ca="1">MIN(100,MAX(0,MCDA_Prioritisation!$H$2+(RAND()-0.5)*2*$B$7))</f>
        <v>70.854282030900549</v>
      </c>
      <c r="V784" s="54">
        <f ca="1">MIN(100,MAX(0,MCDA_Prioritisation!$H$3+(RAND()-0.5)*2*$B$7))</f>
        <v>58.757922359664946</v>
      </c>
      <c r="W784" s="54">
        <f ca="1">MIN(100,MAX(0,MCDA_Prioritisation!$H$4+(RAND()-0.5)*2*$B$7))</f>
        <v>81.792476565758079</v>
      </c>
      <c r="X784" s="54">
        <f ca="1">MIN(100,MAX(0,MCDA_Prioritisation!$H$5+(RAND()-0.5)*2*$B$7))</f>
        <v>71.41601451413905</v>
      </c>
      <c r="Y784" s="54">
        <f ca="1">H784*MCDA_Prioritisation!$D$2+I784*MCDA_Prioritisation!$E$2+J784*M784+K784*Q784+L784*U784</f>
        <v>87.716561512532309</v>
      </c>
      <c r="Z784" s="54">
        <f ca="1">H784*MCDA_Prioritisation!$D$3+I784*MCDA_Prioritisation!$E$3+J784*N784+K784*R784+L784*V784</f>
        <v>83.448475797988593</v>
      </c>
      <c r="AA784" s="54">
        <f ca="1">H784*MCDA_Prioritisation!$D$4+I784*MCDA_Prioritisation!$E$4+J784*O784+K784*S784+L784*W784</f>
        <v>74.301476744475195</v>
      </c>
      <c r="AB784" s="54">
        <f ca="1">H784*MCDA_Prioritisation!$D$5+I784*MCDA_Prioritisation!$E$5+J784*P784+K784*T784+L784*X784</f>
        <v>71.555550674343834</v>
      </c>
      <c r="AC784" s="54">
        <f t="shared" ca="1" si="160"/>
        <v>1</v>
      </c>
      <c r="AD784" s="54">
        <f t="shared" ca="1" si="161"/>
        <v>2</v>
      </c>
      <c r="AE784" s="54">
        <f t="shared" ca="1" si="162"/>
        <v>3</v>
      </c>
      <c r="AF784" s="54">
        <f t="shared" ca="1" si="163"/>
        <v>4</v>
      </c>
      <c r="AG784" s="54">
        <f t="shared" ca="1" si="164"/>
        <v>1</v>
      </c>
      <c r="AH784" s="54">
        <f t="shared" ca="1" si="165"/>
        <v>1</v>
      </c>
      <c r="AI784" s="54">
        <f t="shared" ca="1" si="166"/>
        <v>1</v>
      </c>
      <c r="AJ784" s="54">
        <f t="shared" ca="1" si="167"/>
        <v>1</v>
      </c>
    </row>
    <row r="785" spans="1:36" x14ac:dyDescent="0.2">
      <c r="A785" s="54">
        <v>762</v>
      </c>
      <c r="B785" s="54">
        <f ca="1">MAX(0.02,MCDA_Prioritisation!$B$9+(RAND()-0.5)*2*$B$6)</f>
        <v>0.26257540589153178</v>
      </c>
      <c r="C785" s="54">
        <f ca="1">MAX(0.02,MCDA_Prioritisation!$B$10+(RAND()-0.5)*2*$B$6)</f>
        <v>0.28924174634954125</v>
      </c>
      <c r="D785" s="54">
        <f ca="1">MAX(0.02,MCDA_Prioritisation!$B$11+(RAND()-0.5)*2*$B$6)</f>
        <v>0.3270742891228185</v>
      </c>
      <c r="E785" s="54">
        <f ca="1">MAX(0.02,MCDA_Prioritisation!$B$12+(RAND()-0.5)*2*$B$6)</f>
        <v>0.15536893586260977</v>
      </c>
      <c r="F785" s="54">
        <f ca="1">MAX(0.02,MCDA_Prioritisation!$B$13+(RAND()-0.5)*2*$B$6)</f>
        <v>0.20659366198548013</v>
      </c>
      <c r="G785" s="54">
        <f t="shared" ca="1" si="154"/>
        <v>1.2408540392119813</v>
      </c>
      <c r="H785" s="54">
        <f t="shared" ca="1" si="155"/>
        <v>0.21160861599667541</v>
      </c>
      <c r="I785" s="54">
        <f t="shared" ca="1" si="156"/>
        <v>0.2330989280038348</v>
      </c>
      <c r="J785" s="54">
        <f t="shared" ca="1" si="157"/>
        <v>0.26358804403016717</v>
      </c>
      <c r="K785" s="54">
        <f t="shared" ca="1" si="158"/>
        <v>0.12521129073430637</v>
      </c>
      <c r="L785" s="54">
        <f t="shared" ca="1" si="159"/>
        <v>0.16649312123501633</v>
      </c>
      <c r="M785" s="54">
        <f ca="1">MIN(100,MAX(0,MCDA_Prioritisation!$F$2+(RAND()-0.5)*2*$B$7))</f>
        <v>87.314177456568117</v>
      </c>
      <c r="N785" s="54">
        <f ca="1">MIN(100,MAX(0,MCDA_Prioritisation!$F$3+(RAND()-0.5)*2*$B$7))</f>
        <v>100</v>
      </c>
      <c r="O785" s="54">
        <f ca="1">MIN(100,MAX(0,MCDA_Prioritisation!$F$4+(RAND()-0.5)*2*$B$7))</f>
        <v>94.292954397528419</v>
      </c>
      <c r="P785" s="54">
        <f ca="1">MIN(100,MAX(0,MCDA_Prioritisation!$F$5+(RAND()-0.5)*2*$B$7))</f>
        <v>74.895253047416034</v>
      </c>
      <c r="Q785" s="54">
        <f ca="1">MIN(100,MAX(0,MCDA_Prioritisation!$G$2+(RAND()-0.5)*2*$B$7))</f>
        <v>85.117995293113808</v>
      </c>
      <c r="R785" s="54">
        <f ca="1">MIN(100,MAX(0,MCDA_Prioritisation!$G$3+(RAND()-0.5)*2*$B$7))</f>
        <v>90.534402923624356</v>
      </c>
      <c r="S785" s="54">
        <f ca="1">MIN(100,MAX(0,MCDA_Prioritisation!$G$4+(RAND()-0.5)*2*$B$7))</f>
        <v>83.844749494173769</v>
      </c>
      <c r="T785" s="54">
        <f ca="1">MIN(100,MAX(0,MCDA_Prioritisation!$G$5+(RAND()-0.5)*2*$B$7))</f>
        <v>61.465723229704835</v>
      </c>
      <c r="U785" s="54">
        <f ca="1">MIN(100,MAX(0,MCDA_Prioritisation!$H$2+(RAND()-0.5)*2*$B$7))</f>
        <v>56.24138904392445</v>
      </c>
      <c r="V785" s="54">
        <f ca="1">MIN(100,MAX(0,MCDA_Prioritisation!$H$3+(RAND()-0.5)*2*$B$7))</f>
        <v>52.305751948461406</v>
      </c>
      <c r="W785" s="54">
        <f ca="1">MIN(100,MAX(0,MCDA_Prioritisation!$H$4+(RAND()-0.5)*2*$B$7))</f>
        <v>70.726835746425238</v>
      </c>
      <c r="X785" s="54">
        <f ca="1">MIN(100,MAX(0,MCDA_Prioritisation!$H$5+(RAND()-0.5)*2*$B$7))</f>
        <v>65.834516986704301</v>
      </c>
      <c r="Y785" s="54">
        <f ca="1">H785*MCDA_Prioritisation!$D$2+I785*MCDA_Prioritisation!$E$2+J785*M785+K785*Q785+L785*U785</f>
        <v>87.507266111813962</v>
      </c>
      <c r="Z785" s="54">
        <f ca="1">H785*MCDA_Prioritisation!$D$3+I785*MCDA_Prioritisation!$E$3+J785*N785+K785*R785+L785*V785</f>
        <v>81.849855257039351</v>
      </c>
      <c r="AA785" s="54">
        <f ca="1">H785*MCDA_Prioritisation!$D$4+I785*MCDA_Prioritisation!$E$4+J785*O785+K785*S785+L785*W785</f>
        <v>74.578003396926405</v>
      </c>
      <c r="AB785" s="54">
        <f ca="1">H785*MCDA_Prioritisation!$D$5+I785*MCDA_Prioritisation!$E$5+J785*P785+K785*T785+L785*X785</f>
        <v>69.23150636948877</v>
      </c>
      <c r="AC785" s="54">
        <f t="shared" ca="1" si="160"/>
        <v>1</v>
      </c>
      <c r="AD785" s="54">
        <f t="shared" ca="1" si="161"/>
        <v>2</v>
      </c>
      <c r="AE785" s="54">
        <f t="shared" ca="1" si="162"/>
        <v>3</v>
      </c>
      <c r="AF785" s="54">
        <f t="shared" ca="1" si="163"/>
        <v>4</v>
      </c>
      <c r="AG785" s="54">
        <f t="shared" ca="1" si="164"/>
        <v>1</v>
      </c>
      <c r="AH785" s="54">
        <f t="shared" ca="1" si="165"/>
        <v>1</v>
      </c>
      <c r="AI785" s="54">
        <f t="shared" ca="1" si="166"/>
        <v>1</v>
      </c>
      <c r="AJ785" s="54">
        <f t="shared" ca="1" si="167"/>
        <v>1</v>
      </c>
    </row>
    <row r="786" spans="1:36" x14ac:dyDescent="0.2">
      <c r="A786" s="54">
        <v>763</v>
      </c>
      <c r="B786" s="54">
        <f ca="1">MAX(0.02,MCDA_Prioritisation!$B$9+(RAND()-0.5)*2*$B$6)</f>
        <v>0.17987293373922836</v>
      </c>
      <c r="C786" s="54">
        <f ca="1">MAX(0.02,MCDA_Prioritisation!$B$10+(RAND()-0.5)*2*$B$6)</f>
        <v>0.17321321827275402</v>
      </c>
      <c r="D786" s="54">
        <f ca="1">MAX(0.02,MCDA_Prioritisation!$B$11+(RAND()-0.5)*2*$B$6)</f>
        <v>0.30186254192388551</v>
      </c>
      <c r="E786" s="54">
        <f ca="1">MAX(0.02,MCDA_Prioritisation!$B$12+(RAND()-0.5)*2*$B$6)</f>
        <v>0.14931071156038189</v>
      </c>
      <c r="F786" s="54">
        <f ca="1">MAX(0.02,MCDA_Prioritisation!$B$13+(RAND()-0.5)*2*$B$6)</f>
        <v>0.18320560737589664</v>
      </c>
      <c r="G786" s="54">
        <f t="shared" ca="1" si="154"/>
        <v>0.98746501287214639</v>
      </c>
      <c r="H786" s="54">
        <f t="shared" ca="1" si="155"/>
        <v>0.1821562601150282</v>
      </c>
      <c r="I786" s="54">
        <f t="shared" ca="1" si="156"/>
        <v>0.17541200550381533</v>
      </c>
      <c r="J786" s="54">
        <f t="shared" ca="1" si="157"/>
        <v>0.3056944175124609</v>
      </c>
      <c r="K786" s="54">
        <f t="shared" ca="1" si="158"/>
        <v>0.15120607779924872</v>
      </c>
      <c r="L786" s="54">
        <f t="shared" ca="1" si="159"/>
        <v>0.18553123906944688</v>
      </c>
      <c r="M786" s="54">
        <f ca="1">MIN(100,MAX(0,MCDA_Prioritisation!$F$2+(RAND()-0.5)*2*$B$7))</f>
        <v>80.213526021317577</v>
      </c>
      <c r="N786" s="54">
        <f ca="1">MIN(100,MAX(0,MCDA_Prioritisation!$F$3+(RAND()-0.5)*2*$B$7))</f>
        <v>96.51613529085796</v>
      </c>
      <c r="O786" s="54">
        <f ca="1">MIN(100,MAX(0,MCDA_Prioritisation!$F$4+(RAND()-0.5)*2*$B$7))</f>
        <v>92.509920707097763</v>
      </c>
      <c r="P786" s="54">
        <f ca="1">MIN(100,MAX(0,MCDA_Prioritisation!$F$5+(RAND()-0.5)*2*$B$7))</f>
        <v>68.009970327429571</v>
      </c>
      <c r="Q786" s="54">
        <f ca="1">MIN(100,MAX(0,MCDA_Prioritisation!$G$2+(RAND()-0.5)*2*$B$7))</f>
        <v>87.23952529919859</v>
      </c>
      <c r="R786" s="54">
        <f ca="1">MIN(100,MAX(0,MCDA_Prioritisation!$G$3+(RAND()-0.5)*2*$B$7))</f>
        <v>93.354276091470055</v>
      </c>
      <c r="S786" s="54">
        <f ca="1">MIN(100,MAX(0,MCDA_Prioritisation!$G$4+(RAND()-0.5)*2*$B$7))</f>
        <v>84.953313270336309</v>
      </c>
      <c r="T786" s="54">
        <f ca="1">MIN(100,MAX(0,MCDA_Prioritisation!$G$5+(RAND()-0.5)*2*$B$7))</f>
        <v>70.904591733876799</v>
      </c>
      <c r="U786" s="54">
        <f ca="1">MIN(100,MAX(0,MCDA_Prioritisation!$H$2+(RAND()-0.5)*2*$B$7))</f>
        <v>65.309573721179916</v>
      </c>
      <c r="V786" s="54">
        <f ca="1">MIN(100,MAX(0,MCDA_Prioritisation!$H$3+(RAND()-0.5)*2*$B$7))</f>
        <v>56.938063622973523</v>
      </c>
      <c r="W786" s="54">
        <f ca="1">MIN(100,MAX(0,MCDA_Prioritisation!$H$4+(RAND()-0.5)*2*$B$7))</f>
        <v>89.908289665278701</v>
      </c>
      <c r="X786" s="54">
        <f ca="1">MIN(100,MAX(0,MCDA_Prioritisation!$H$5+(RAND()-0.5)*2*$B$7))</f>
        <v>69.913159411276354</v>
      </c>
      <c r="Y786" s="54">
        <f ca="1">H786*MCDA_Prioritisation!$D$2+I786*MCDA_Prioritisation!$E$2+J786*M786+K786*Q786+L786*U786</f>
        <v>85.585766260739703</v>
      </c>
      <c r="Z786" s="54">
        <f ca="1">H786*MCDA_Prioritisation!$D$3+I786*MCDA_Prioritisation!$E$3+J786*N786+K786*R786+L786*V786</f>
        <v>82.861085335438162</v>
      </c>
      <c r="AA786" s="54">
        <f ca="1">H786*MCDA_Prioritisation!$D$4+I786*MCDA_Prioritisation!$E$4+J786*O786+K786*S786+L786*W786</f>
        <v>80.058238707997191</v>
      </c>
      <c r="AB786" s="54">
        <f ca="1">H786*MCDA_Prioritisation!$D$5+I786*MCDA_Prioritisation!$E$5+J786*P786+K786*T786+L786*X786</f>
        <v>68.901209171653193</v>
      </c>
      <c r="AC786" s="54">
        <f t="shared" ca="1" si="160"/>
        <v>1</v>
      </c>
      <c r="AD786" s="54">
        <f t="shared" ca="1" si="161"/>
        <v>2</v>
      </c>
      <c r="AE786" s="54">
        <f t="shared" ca="1" si="162"/>
        <v>3</v>
      </c>
      <c r="AF786" s="54">
        <f t="shared" ca="1" si="163"/>
        <v>4</v>
      </c>
      <c r="AG786" s="54">
        <f t="shared" ca="1" si="164"/>
        <v>1</v>
      </c>
      <c r="AH786" s="54">
        <f t="shared" ca="1" si="165"/>
        <v>1</v>
      </c>
      <c r="AI786" s="54">
        <f t="shared" ca="1" si="166"/>
        <v>1</v>
      </c>
      <c r="AJ786" s="54">
        <f t="shared" ca="1" si="167"/>
        <v>1</v>
      </c>
    </row>
    <row r="787" spans="1:36" x14ac:dyDescent="0.2">
      <c r="A787" s="54">
        <v>764</v>
      </c>
      <c r="B787" s="54">
        <f ca="1">MAX(0.02,MCDA_Prioritisation!$B$9+(RAND()-0.5)*2*$B$6)</f>
        <v>0.16589767532783231</v>
      </c>
      <c r="C787" s="54">
        <f ca="1">MAX(0.02,MCDA_Prioritisation!$B$10+(RAND()-0.5)*2*$B$6)</f>
        <v>0.18714240763921261</v>
      </c>
      <c r="D787" s="54">
        <f ca="1">MAX(0.02,MCDA_Prioritisation!$B$11+(RAND()-0.5)*2*$B$6)</f>
        <v>0.24447605039684178</v>
      </c>
      <c r="E787" s="54">
        <f ca="1">MAX(0.02,MCDA_Prioritisation!$B$12+(RAND()-0.5)*2*$B$6)</f>
        <v>0.22454480312722291</v>
      </c>
      <c r="F787" s="54">
        <f ca="1">MAX(0.02,MCDA_Prioritisation!$B$13+(RAND()-0.5)*2*$B$6)</f>
        <v>0.1453542434718057</v>
      </c>
      <c r="G787" s="54">
        <f t="shared" ca="1" si="154"/>
        <v>0.96741517996291537</v>
      </c>
      <c r="H787" s="54">
        <f t="shared" ca="1" si="155"/>
        <v>0.17148549946693187</v>
      </c>
      <c r="I787" s="54">
        <f t="shared" ca="1" si="156"/>
        <v>0.19344580436125314</v>
      </c>
      <c r="J787" s="54">
        <f t="shared" ca="1" si="157"/>
        <v>0.25271057913957218</v>
      </c>
      <c r="K787" s="54">
        <f t="shared" ca="1" si="158"/>
        <v>0.23210800055445746</v>
      </c>
      <c r="L787" s="54">
        <f t="shared" ca="1" si="159"/>
        <v>0.15025011647778533</v>
      </c>
      <c r="M787" s="54">
        <f ca="1">MIN(100,MAX(0,MCDA_Prioritisation!$F$2+(RAND()-0.5)*2*$B$7))</f>
        <v>84.582122718704227</v>
      </c>
      <c r="N787" s="54">
        <f ca="1">MIN(100,MAX(0,MCDA_Prioritisation!$F$3+(RAND()-0.5)*2*$B$7))</f>
        <v>90.776659013140815</v>
      </c>
      <c r="O787" s="54">
        <f ca="1">MIN(100,MAX(0,MCDA_Prioritisation!$F$4+(RAND()-0.5)*2*$B$7))</f>
        <v>89.769775509093733</v>
      </c>
      <c r="P787" s="54">
        <f ca="1">MIN(100,MAX(0,MCDA_Prioritisation!$F$5+(RAND()-0.5)*2*$B$7))</f>
        <v>79.830884154430436</v>
      </c>
      <c r="Q787" s="54">
        <f ca="1">MIN(100,MAX(0,MCDA_Prioritisation!$G$2+(RAND()-0.5)*2*$B$7))</f>
        <v>71.483992122572403</v>
      </c>
      <c r="R787" s="54">
        <f ca="1">MIN(100,MAX(0,MCDA_Prioritisation!$G$3+(RAND()-0.5)*2*$B$7))</f>
        <v>97.363307725360073</v>
      </c>
      <c r="S787" s="54">
        <f ca="1">MIN(100,MAX(0,MCDA_Prioritisation!$G$4+(RAND()-0.5)*2*$B$7))</f>
        <v>78.885019300079776</v>
      </c>
      <c r="T787" s="54">
        <f ca="1">MIN(100,MAX(0,MCDA_Prioritisation!$G$5+(RAND()-0.5)*2*$B$7))</f>
        <v>60.04760559114343</v>
      </c>
      <c r="U787" s="54">
        <f ca="1">MIN(100,MAX(0,MCDA_Prioritisation!$H$2+(RAND()-0.5)*2*$B$7))</f>
        <v>66.700181363353934</v>
      </c>
      <c r="V787" s="54">
        <f ca="1">MIN(100,MAX(0,MCDA_Prioritisation!$H$3+(RAND()-0.5)*2*$B$7))</f>
        <v>64.531252760988636</v>
      </c>
      <c r="W787" s="54">
        <f ca="1">MIN(100,MAX(0,MCDA_Prioritisation!$H$4+(RAND()-0.5)*2*$B$7))</f>
        <v>70.862257459544452</v>
      </c>
      <c r="X787" s="54">
        <f ca="1">MIN(100,MAX(0,MCDA_Prioritisation!$H$5+(RAND()-0.5)*2*$B$7))</f>
        <v>76.069963713438241</v>
      </c>
      <c r="Y787" s="54">
        <f ca="1">H787*MCDA_Prioritisation!$D$2+I787*MCDA_Prioritisation!$E$2+J787*M787+K787*Q787+L787*U787</f>
        <v>84.481644102070817</v>
      </c>
      <c r="Z787" s="54">
        <f ca="1">H787*MCDA_Prioritisation!$D$3+I787*MCDA_Prioritisation!$E$3+J787*N787+K787*R787+L787*V787</f>
        <v>84.29092940291531</v>
      </c>
      <c r="AA787" s="54">
        <f ca="1">H787*MCDA_Prioritisation!$D$4+I787*MCDA_Prioritisation!$E$4+J787*O787+K787*S787+L787*W787</f>
        <v>74.135509915660649</v>
      </c>
      <c r="AB787" s="54">
        <f ca="1">H787*MCDA_Prioritisation!$D$5+I787*MCDA_Prioritisation!$E$5+J787*P787+K787*T787+L787*X787</f>
        <v>70.909938572448539</v>
      </c>
      <c r="AC787" s="54">
        <f t="shared" ca="1" si="160"/>
        <v>1</v>
      </c>
      <c r="AD787" s="54">
        <f t="shared" ca="1" si="161"/>
        <v>2</v>
      </c>
      <c r="AE787" s="54">
        <f t="shared" ca="1" si="162"/>
        <v>3</v>
      </c>
      <c r="AF787" s="54">
        <f t="shared" ca="1" si="163"/>
        <v>4</v>
      </c>
      <c r="AG787" s="54">
        <f t="shared" ca="1" si="164"/>
        <v>1</v>
      </c>
      <c r="AH787" s="54">
        <f t="shared" ca="1" si="165"/>
        <v>1</v>
      </c>
      <c r="AI787" s="54">
        <f t="shared" ca="1" si="166"/>
        <v>1</v>
      </c>
      <c r="AJ787" s="54">
        <f t="shared" ca="1" si="167"/>
        <v>1</v>
      </c>
    </row>
    <row r="788" spans="1:36" x14ac:dyDescent="0.2">
      <c r="A788" s="54">
        <v>765</v>
      </c>
      <c r="B788" s="54">
        <f ca="1">MAX(0.02,MCDA_Prioritisation!$B$9+(RAND()-0.5)*2*$B$6)</f>
        <v>0.18554132274937665</v>
      </c>
      <c r="C788" s="54">
        <f ca="1">MAX(0.02,MCDA_Prioritisation!$B$10+(RAND()-0.5)*2*$B$6)</f>
        <v>0.27300838561150415</v>
      </c>
      <c r="D788" s="54">
        <f ca="1">MAX(0.02,MCDA_Prioritisation!$B$11+(RAND()-0.5)*2*$B$6)</f>
        <v>0.21038957543979658</v>
      </c>
      <c r="E788" s="54">
        <f ca="1">MAX(0.02,MCDA_Prioritisation!$B$12+(RAND()-0.5)*2*$B$6)</f>
        <v>0.12883736830236137</v>
      </c>
      <c r="F788" s="54">
        <f ca="1">MAX(0.02,MCDA_Prioritisation!$B$13+(RAND()-0.5)*2*$B$6)</f>
        <v>0.14025163782025082</v>
      </c>
      <c r="G788" s="54">
        <f t="shared" ca="1" si="154"/>
        <v>0.93802828992328957</v>
      </c>
      <c r="H788" s="54">
        <f t="shared" ca="1" si="155"/>
        <v>0.19779928254034845</v>
      </c>
      <c r="I788" s="54">
        <f t="shared" ca="1" si="156"/>
        <v>0.29104493813702603</v>
      </c>
      <c r="J788" s="54">
        <f t="shared" ca="1" si="157"/>
        <v>0.22428915812016917</v>
      </c>
      <c r="K788" s="54">
        <f t="shared" ca="1" si="158"/>
        <v>0.13734912868448507</v>
      </c>
      <c r="L788" s="54">
        <f t="shared" ca="1" si="159"/>
        <v>0.14951749251797125</v>
      </c>
      <c r="M788" s="54">
        <f ca="1">MIN(100,MAX(0,MCDA_Prioritisation!$F$2+(RAND()-0.5)*2*$B$7))</f>
        <v>83.888321121904298</v>
      </c>
      <c r="N788" s="54">
        <f ca="1">MIN(100,MAX(0,MCDA_Prioritisation!$F$3+(RAND()-0.5)*2*$B$7))</f>
        <v>90.47147146011622</v>
      </c>
      <c r="O788" s="54">
        <f ca="1">MIN(100,MAX(0,MCDA_Prioritisation!$F$4+(RAND()-0.5)*2*$B$7))</f>
        <v>99.979216880095464</v>
      </c>
      <c r="P788" s="54">
        <f ca="1">MIN(100,MAX(0,MCDA_Prioritisation!$F$5+(RAND()-0.5)*2*$B$7))</f>
        <v>81.084586922687791</v>
      </c>
      <c r="Q788" s="54">
        <f ca="1">MIN(100,MAX(0,MCDA_Prioritisation!$G$2+(RAND()-0.5)*2*$B$7))</f>
        <v>79.658140072974518</v>
      </c>
      <c r="R788" s="54">
        <f ca="1">MIN(100,MAX(0,MCDA_Prioritisation!$G$3+(RAND()-0.5)*2*$B$7))</f>
        <v>100</v>
      </c>
      <c r="S788" s="54">
        <f ca="1">MIN(100,MAX(0,MCDA_Prioritisation!$G$4+(RAND()-0.5)*2*$B$7))</f>
        <v>83.533703946496559</v>
      </c>
      <c r="T788" s="54">
        <f ca="1">MIN(100,MAX(0,MCDA_Prioritisation!$G$5+(RAND()-0.5)*2*$B$7))</f>
        <v>71.94079015862475</v>
      </c>
      <c r="U788" s="54">
        <f ca="1">MIN(100,MAX(0,MCDA_Prioritisation!$H$2+(RAND()-0.5)*2*$B$7))</f>
        <v>74.1981650952618</v>
      </c>
      <c r="V788" s="54">
        <f ca="1">MIN(100,MAX(0,MCDA_Prioritisation!$H$3+(RAND()-0.5)*2*$B$7))</f>
        <v>57.657514288255101</v>
      </c>
      <c r="W788" s="54">
        <f ca="1">MIN(100,MAX(0,MCDA_Prioritisation!$H$4+(RAND()-0.5)*2*$B$7))</f>
        <v>80.557885501138074</v>
      </c>
      <c r="X788" s="54">
        <f ca="1">MIN(100,MAX(0,MCDA_Prioritisation!$H$5+(RAND()-0.5)*2*$B$7))</f>
        <v>83.176272448430083</v>
      </c>
      <c r="Y788" s="54">
        <f ca="1">H788*MCDA_Prioritisation!$D$2+I788*MCDA_Prioritisation!$E$2+J788*M788+K788*Q788+L788*U788</f>
        <v>89.734562714411481</v>
      </c>
      <c r="Z788" s="54">
        <f ca="1">H788*MCDA_Prioritisation!$D$3+I788*MCDA_Prioritisation!$E$3+J788*N788+K788*R788+L788*V788</f>
        <v>81.10142669102612</v>
      </c>
      <c r="AA788" s="54">
        <f ca="1">H788*MCDA_Prioritisation!$D$4+I788*MCDA_Prioritisation!$E$4+J788*O788+K788*S788+L788*W788</f>
        <v>75.591106576034704</v>
      </c>
      <c r="AB788" s="54">
        <f ca="1">H788*MCDA_Prioritisation!$D$5+I788*MCDA_Prioritisation!$E$5+J788*P788+K788*T788+L788*X788</f>
        <v>75.476312637253571</v>
      </c>
      <c r="AC788" s="54">
        <f t="shared" ca="1" si="160"/>
        <v>1</v>
      </c>
      <c r="AD788" s="54">
        <f t="shared" ca="1" si="161"/>
        <v>2</v>
      </c>
      <c r="AE788" s="54">
        <f t="shared" ca="1" si="162"/>
        <v>3</v>
      </c>
      <c r="AF788" s="54">
        <f t="shared" ca="1" si="163"/>
        <v>4</v>
      </c>
      <c r="AG788" s="54">
        <f t="shared" ca="1" si="164"/>
        <v>1</v>
      </c>
      <c r="AH788" s="54">
        <f t="shared" ca="1" si="165"/>
        <v>1</v>
      </c>
      <c r="AI788" s="54">
        <f t="shared" ca="1" si="166"/>
        <v>1</v>
      </c>
      <c r="AJ788" s="54">
        <f t="shared" ca="1" si="167"/>
        <v>1</v>
      </c>
    </row>
    <row r="789" spans="1:36" x14ac:dyDescent="0.2">
      <c r="A789" s="54">
        <v>766</v>
      </c>
      <c r="B789" s="54">
        <f ca="1">MAX(0.02,MCDA_Prioritisation!$B$9+(RAND()-0.5)*2*$B$6)</f>
        <v>0.19369945570934752</v>
      </c>
      <c r="C789" s="54">
        <f ca="1">MAX(0.02,MCDA_Prioritisation!$B$10+(RAND()-0.5)*2*$B$6)</f>
        <v>0.20691031571519741</v>
      </c>
      <c r="D789" s="54">
        <f ca="1">MAX(0.02,MCDA_Prioritisation!$B$11+(RAND()-0.5)*2*$B$6)</f>
        <v>0.17020180453332598</v>
      </c>
      <c r="E789" s="54">
        <f ca="1">MAX(0.02,MCDA_Prioritisation!$B$12+(RAND()-0.5)*2*$B$6)</f>
        <v>9.1390741718901991E-2</v>
      </c>
      <c r="F789" s="54">
        <f ca="1">MAX(0.02,MCDA_Prioritisation!$B$13+(RAND()-0.5)*2*$B$6)</f>
        <v>0.12150729353842478</v>
      </c>
      <c r="G789" s="54">
        <f t="shared" ca="1" si="154"/>
        <v>0.78370961121519767</v>
      </c>
      <c r="H789" s="54">
        <f t="shared" ca="1" si="155"/>
        <v>0.24715717778298354</v>
      </c>
      <c r="I789" s="54">
        <f t="shared" ca="1" si="156"/>
        <v>0.26401400819159049</v>
      </c>
      <c r="J789" s="54">
        <f t="shared" ca="1" si="157"/>
        <v>0.21717457856541525</v>
      </c>
      <c r="K789" s="54">
        <f t="shared" ca="1" si="158"/>
        <v>0.1166130163660927</v>
      </c>
      <c r="L789" s="54">
        <f t="shared" ca="1" si="159"/>
        <v>0.15504121909391802</v>
      </c>
      <c r="M789" s="54">
        <f ca="1">MIN(100,MAX(0,MCDA_Prioritisation!$F$2+(RAND()-0.5)*2*$B$7))</f>
        <v>78.351849504390628</v>
      </c>
      <c r="N789" s="54">
        <f ca="1">MIN(100,MAX(0,MCDA_Prioritisation!$F$3+(RAND()-0.5)*2*$B$7))</f>
        <v>100</v>
      </c>
      <c r="O789" s="54">
        <f ca="1">MIN(100,MAX(0,MCDA_Prioritisation!$F$4+(RAND()-0.5)*2*$B$7))</f>
        <v>82.449470560209377</v>
      </c>
      <c r="P789" s="54">
        <f ca="1">MIN(100,MAX(0,MCDA_Prioritisation!$F$5+(RAND()-0.5)*2*$B$7))</f>
        <v>72.810784823800219</v>
      </c>
      <c r="Q789" s="54">
        <f ca="1">MIN(100,MAX(0,MCDA_Prioritisation!$G$2+(RAND()-0.5)*2*$B$7))</f>
        <v>82.003561536973834</v>
      </c>
      <c r="R789" s="54">
        <f ca="1">MIN(100,MAX(0,MCDA_Prioritisation!$G$3+(RAND()-0.5)*2*$B$7))</f>
        <v>98.101392169998491</v>
      </c>
      <c r="S789" s="54">
        <f ca="1">MIN(100,MAX(0,MCDA_Prioritisation!$G$4+(RAND()-0.5)*2*$B$7))</f>
        <v>88.941545561426594</v>
      </c>
      <c r="T789" s="54">
        <f ca="1">MIN(100,MAX(0,MCDA_Prioritisation!$G$5+(RAND()-0.5)*2*$B$7))</f>
        <v>67.880863625916206</v>
      </c>
      <c r="U789" s="54">
        <f ca="1">MIN(100,MAX(0,MCDA_Prioritisation!$H$2+(RAND()-0.5)*2*$B$7))</f>
        <v>57.712876259425656</v>
      </c>
      <c r="V789" s="54">
        <f ca="1">MIN(100,MAX(0,MCDA_Prioritisation!$H$3+(RAND()-0.5)*2*$B$7))</f>
        <v>51.466660387290382</v>
      </c>
      <c r="W789" s="54">
        <f ca="1">MIN(100,MAX(0,MCDA_Prioritisation!$H$4+(RAND()-0.5)*2*$B$7))</f>
        <v>79.108198698923744</v>
      </c>
      <c r="X789" s="54">
        <f ca="1">MIN(100,MAX(0,MCDA_Prioritisation!$H$5+(RAND()-0.5)*2*$B$7))</f>
        <v>84.218649721340086</v>
      </c>
      <c r="Y789" s="54">
        <f ca="1">H789*MCDA_Prioritisation!$D$2+I789*MCDA_Prioritisation!$E$2+J789*M789+K789*Q789+L789*U789</f>
        <v>86.643705849661103</v>
      </c>
      <c r="Z789" s="54">
        <f ca="1">H789*MCDA_Prioritisation!$D$3+I789*MCDA_Prioritisation!$E$3+J789*N789+K789*R789+L789*V789</f>
        <v>81.93858579254902</v>
      </c>
      <c r="AA789" s="54">
        <f ca="1">H789*MCDA_Prioritisation!$D$4+I789*MCDA_Prioritisation!$E$4+J789*O789+K789*S789+L789*W789</f>
        <v>72.154039502289649</v>
      </c>
      <c r="AB789" s="54">
        <f ca="1">H789*MCDA_Prioritisation!$D$5+I789*MCDA_Prioritisation!$E$5+J789*P789+K789*T789+L789*X789</f>
        <v>72.105070991572305</v>
      </c>
      <c r="AC789" s="54">
        <f t="shared" ca="1" si="160"/>
        <v>1</v>
      </c>
      <c r="AD789" s="54">
        <f t="shared" ca="1" si="161"/>
        <v>2</v>
      </c>
      <c r="AE789" s="54">
        <f t="shared" ca="1" si="162"/>
        <v>3</v>
      </c>
      <c r="AF789" s="54">
        <f t="shared" ca="1" si="163"/>
        <v>4</v>
      </c>
      <c r="AG789" s="54">
        <f t="shared" ca="1" si="164"/>
        <v>1</v>
      </c>
      <c r="AH789" s="54">
        <f t="shared" ca="1" si="165"/>
        <v>1</v>
      </c>
      <c r="AI789" s="54">
        <f t="shared" ca="1" si="166"/>
        <v>1</v>
      </c>
      <c r="AJ789" s="54">
        <f t="shared" ca="1" si="167"/>
        <v>1</v>
      </c>
    </row>
    <row r="790" spans="1:36" x14ac:dyDescent="0.2">
      <c r="A790" s="54">
        <v>767</v>
      </c>
      <c r="B790" s="54">
        <f ca="1">MAX(0.02,MCDA_Prioritisation!$B$9+(RAND()-0.5)*2*$B$6)</f>
        <v>0.24990113470946013</v>
      </c>
      <c r="C790" s="54">
        <f ca="1">MAX(0.02,MCDA_Prioritisation!$B$10+(RAND()-0.5)*2*$B$6)</f>
        <v>0.32814343449143824</v>
      </c>
      <c r="D790" s="54">
        <f ca="1">MAX(0.02,MCDA_Prioritisation!$B$11+(RAND()-0.5)*2*$B$6)</f>
        <v>0.23942364147041062</v>
      </c>
      <c r="E790" s="54">
        <f ca="1">MAX(0.02,MCDA_Prioritisation!$B$12+(RAND()-0.5)*2*$B$6)</f>
        <v>0.12259039661362466</v>
      </c>
      <c r="F790" s="54">
        <f ca="1">MAX(0.02,MCDA_Prioritisation!$B$13+(RAND()-0.5)*2*$B$6)</f>
        <v>0.17811287496004846</v>
      </c>
      <c r="G790" s="54">
        <f t="shared" ca="1" si="154"/>
        <v>1.1181714822449822</v>
      </c>
      <c r="H790" s="54">
        <f t="shared" ca="1" si="155"/>
        <v>0.22349088550150381</v>
      </c>
      <c r="I790" s="54">
        <f t="shared" ca="1" si="156"/>
        <v>0.29346432072531137</v>
      </c>
      <c r="J790" s="54">
        <f t="shared" ca="1" si="157"/>
        <v>0.21412068298300141</v>
      </c>
      <c r="K790" s="54">
        <f t="shared" ca="1" si="158"/>
        <v>0.10963470143908223</v>
      </c>
      <c r="L790" s="54">
        <f t="shared" ca="1" si="159"/>
        <v>0.15928940935110111</v>
      </c>
      <c r="M790" s="54">
        <f ca="1">MIN(100,MAX(0,MCDA_Prioritisation!$F$2+(RAND()-0.5)*2*$B$7))</f>
        <v>77.987798040726645</v>
      </c>
      <c r="N790" s="54">
        <f ca="1">MIN(100,MAX(0,MCDA_Prioritisation!$F$3+(RAND()-0.5)*2*$B$7))</f>
        <v>99.970805766706633</v>
      </c>
      <c r="O790" s="54">
        <f ca="1">MIN(100,MAX(0,MCDA_Prioritisation!$F$4+(RAND()-0.5)*2*$B$7))</f>
        <v>95.49355266115694</v>
      </c>
      <c r="P790" s="54">
        <f ca="1">MIN(100,MAX(0,MCDA_Prioritisation!$F$5+(RAND()-0.5)*2*$B$7))</f>
        <v>80.525077460661379</v>
      </c>
      <c r="Q790" s="54">
        <f ca="1">MIN(100,MAX(0,MCDA_Prioritisation!$G$2+(RAND()-0.5)*2*$B$7))</f>
        <v>88.286678380948672</v>
      </c>
      <c r="R790" s="54">
        <f ca="1">MIN(100,MAX(0,MCDA_Prioritisation!$G$3+(RAND()-0.5)*2*$B$7))</f>
        <v>90.57001434675486</v>
      </c>
      <c r="S790" s="54">
        <f ca="1">MIN(100,MAX(0,MCDA_Prioritisation!$G$4+(RAND()-0.5)*2*$B$7))</f>
        <v>87.417372015223819</v>
      </c>
      <c r="T790" s="54">
        <f ca="1">MIN(100,MAX(0,MCDA_Prioritisation!$G$5+(RAND()-0.5)*2*$B$7))</f>
        <v>74.009405553029495</v>
      </c>
      <c r="U790" s="54">
        <f ca="1">MIN(100,MAX(0,MCDA_Prioritisation!$H$2+(RAND()-0.5)*2*$B$7))</f>
        <v>61.329188925761265</v>
      </c>
      <c r="V790" s="54">
        <f ca="1">MIN(100,MAX(0,MCDA_Prioritisation!$H$3+(RAND()-0.5)*2*$B$7))</f>
        <v>61.542529158360658</v>
      </c>
      <c r="W790" s="54">
        <f ca="1">MIN(100,MAX(0,MCDA_Prioritisation!$H$4+(RAND()-0.5)*2*$B$7))</f>
        <v>85.396576616958612</v>
      </c>
      <c r="X790" s="54">
        <f ca="1">MIN(100,MAX(0,MCDA_Prioritisation!$H$5+(RAND()-0.5)*2*$B$7))</f>
        <v>77.651482835473828</v>
      </c>
      <c r="Y790" s="54">
        <f ca="1">H790*MCDA_Prioritisation!$D$2+I790*MCDA_Prioritisation!$E$2+J790*M790+K790*Q790+L790*U790</f>
        <v>87.842695108812478</v>
      </c>
      <c r="Z790" s="54">
        <f ca="1">H790*MCDA_Prioritisation!$D$3+I790*MCDA_Prioritisation!$E$3+J790*N790+K790*R790+L790*V790</f>
        <v>82.013763496328906</v>
      </c>
      <c r="AA790" s="54">
        <f ca="1">H790*MCDA_Prioritisation!$D$4+I790*MCDA_Prioritisation!$E$4+J790*O790+K790*S790+L790*W790</f>
        <v>75.203628667184503</v>
      </c>
      <c r="AB790" s="54">
        <f ca="1">H790*MCDA_Prioritisation!$D$5+I790*MCDA_Prioritisation!$E$5+J790*P790+K790*T790+L790*X790</f>
        <v>74.264801631327344</v>
      </c>
      <c r="AC790" s="54">
        <f t="shared" ca="1" si="160"/>
        <v>1</v>
      </c>
      <c r="AD790" s="54">
        <f t="shared" ca="1" si="161"/>
        <v>2</v>
      </c>
      <c r="AE790" s="54">
        <f t="shared" ca="1" si="162"/>
        <v>3</v>
      </c>
      <c r="AF790" s="54">
        <f t="shared" ca="1" si="163"/>
        <v>4</v>
      </c>
      <c r="AG790" s="54">
        <f t="shared" ca="1" si="164"/>
        <v>1</v>
      </c>
      <c r="AH790" s="54">
        <f t="shared" ca="1" si="165"/>
        <v>1</v>
      </c>
      <c r="AI790" s="54">
        <f t="shared" ca="1" si="166"/>
        <v>1</v>
      </c>
      <c r="AJ790" s="54">
        <f t="shared" ca="1" si="167"/>
        <v>1</v>
      </c>
    </row>
    <row r="791" spans="1:36" x14ac:dyDescent="0.2">
      <c r="A791" s="54">
        <v>768</v>
      </c>
      <c r="B791" s="54">
        <f ca="1">MAX(0.02,MCDA_Prioritisation!$B$9+(RAND()-0.5)*2*$B$6)</f>
        <v>0.20816321534388699</v>
      </c>
      <c r="C791" s="54">
        <f ca="1">MAX(0.02,MCDA_Prioritisation!$B$10+(RAND()-0.5)*2*$B$6)</f>
        <v>0.23104237222445115</v>
      </c>
      <c r="D791" s="54">
        <f ca="1">MAX(0.02,MCDA_Prioritisation!$B$11+(RAND()-0.5)*2*$B$6)</f>
        <v>0.25451336934500218</v>
      </c>
      <c r="E791" s="54">
        <f ca="1">MAX(0.02,MCDA_Prioritisation!$B$12+(RAND()-0.5)*2*$B$6)</f>
        <v>0.21824210459979176</v>
      </c>
      <c r="F791" s="54">
        <f ca="1">MAX(0.02,MCDA_Prioritisation!$B$13+(RAND()-0.5)*2*$B$6)</f>
        <v>0.17266299104346908</v>
      </c>
      <c r="G791" s="54">
        <f t="shared" ca="1" si="154"/>
        <v>1.0846240525566013</v>
      </c>
      <c r="H791" s="54">
        <f t="shared" ca="1" si="155"/>
        <v>0.1919219980906923</v>
      </c>
      <c r="I791" s="54">
        <f t="shared" ca="1" si="156"/>
        <v>0.21301608762949148</v>
      </c>
      <c r="J791" s="54">
        <f t="shared" ca="1" si="157"/>
        <v>0.23465584111386867</v>
      </c>
      <c r="K791" s="54">
        <f t="shared" ca="1" si="158"/>
        <v>0.20121451675847171</v>
      </c>
      <c r="L791" s="54">
        <f t="shared" ca="1" si="159"/>
        <v>0.15919155640747568</v>
      </c>
      <c r="M791" s="54">
        <f ca="1">MIN(100,MAX(0,MCDA_Prioritisation!$F$2+(RAND()-0.5)*2*$B$7))</f>
        <v>90.423271083955072</v>
      </c>
      <c r="N791" s="54">
        <f ca="1">MIN(100,MAX(0,MCDA_Prioritisation!$F$3+(RAND()-0.5)*2*$B$7))</f>
        <v>100</v>
      </c>
      <c r="O791" s="54">
        <f ca="1">MIN(100,MAX(0,MCDA_Prioritisation!$F$4+(RAND()-0.5)*2*$B$7))</f>
        <v>90.581873813388015</v>
      </c>
      <c r="P791" s="54">
        <f ca="1">MIN(100,MAX(0,MCDA_Prioritisation!$F$5+(RAND()-0.5)*2*$B$7))</f>
        <v>74.770517169118278</v>
      </c>
      <c r="Q791" s="54">
        <f ca="1">MIN(100,MAX(0,MCDA_Prioritisation!$G$2+(RAND()-0.5)*2*$B$7))</f>
        <v>86.81106855936352</v>
      </c>
      <c r="R791" s="54">
        <f ca="1">MIN(100,MAX(0,MCDA_Prioritisation!$G$3+(RAND()-0.5)*2*$B$7))</f>
        <v>100</v>
      </c>
      <c r="S791" s="54">
        <f ca="1">MIN(100,MAX(0,MCDA_Prioritisation!$G$4+(RAND()-0.5)*2*$B$7))</f>
        <v>94.891090047128827</v>
      </c>
      <c r="T791" s="54">
        <f ca="1">MIN(100,MAX(0,MCDA_Prioritisation!$G$5+(RAND()-0.5)*2*$B$7))</f>
        <v>67.90931001310372</v>
      </c>
      <c r="U791" s="54">
        <f ca="1">MIN(100,MAX(0,MCDA_Prioritisation!$H$2+(RAND()-0.5)*2*$B$7))</f>
        <v>74.904409031013017</v>
      </c>
      <c r="V791" s="54">
        <f ca="1">MIN(100,MAX(0,MCDA_Prioritisation!$H$3+(RAND()-0.5)*2*$B$7))</f>
        <v>62.831648436326901</v>
      </c>
      <c r="W791" s="54">
        <f ca="1">MIN(100,MAX(0,MCDA_Prioritisation!$H$4+(RAND()-0.5)*2*$B$7))</f>
        <v>73.477543260213835</v>
      </c>
      <c r="X791" s="54">
        <f ca="1">MIN(100,MAX(0,MCDA_Prioritisation!$H$5+(RAND()-0.5)*2*$B$7))</f>
        <v>83.896576226174858</v>
      </c>
      <c r="Y791" s="54">
        <f ca="1">H791*MCDA_Prioritisation!$D$2+I791*MCDA_Prioritisation!$E$2+J791*M791+K791*Q791+L791*U791</f>
        <v>91.103953969379248</v>
      </c>
      <c r="Z791" s="54">
        <f ca="1">H791*MCDA_Prioritisation!$D$3+I791*MCDA_Prioritisation!$E$3+J791*N791+K791*R791+L791*V791</f>
        <v>85.854758811367816</v>
      </c>
      <c r="AA791" s="54">
        <f ca="1">H791*MCDA_Prioritisation!$D$4+I791*MCDA_Prioritisation!$E$4+J791*O791+K791*S791+L791*W791</f>
        <v>77.029414129965929</v>
      </c>
      <c r="AB791" s="54">
        <f ca="1">H791*MCDA_Prioritisation!$D$5+I791*MCDA_Prioritisation!$E$5+J791*P791+K791*T791+L791*X791</f>
        <v>72.66445142603159</v>
      </c>
      <c r="AC791" s="54">
        <f t="shared" ca="1" si="160"/>
        <v>1</v>
      </c>
      <c r="AD791" s="54">
        <f t="shared" ca="1" si="161"/>
        <v>2</v>
      </c>
      <c r="AE791" s="54">
        <f t="shared" ca="1" si="162"/>
        <v>3</v>
      </c>
      <c r="AF791" s="54">
        <f t="shared" ca="1" si="163"/>
        <v>4</v>
      </c>
      <c r="AG791" s="54">
        <f t="shared" ca="1" si="164"/>
        <v>1</v>
      </c>
      <c r="AH791" s="54">
        <f t="shared" ca="1" si="165"/>
        <v>1</v>
      </c>
      <c r="AI791" s="54">
        <f t="shared" ca="1" si="166"/>
        <v>1</v>
      </c>
      <c r="AJ791" s="54">
        <f t="shared" ca="1" si="167"/>
        <v>1</v>
      </c>
    </row>
    <row r="792" spans="1:36" x14ac:dyDescent="0.2">
      <c r="A792" s="54">
        <v>769</v>
      </c>
      <c r="B792" s="54">
        <f ca="1">MAX(0.02,MCDA_Prioritisation!$B$9+(RAND()-0.5)*2*$B$6)</f>
        <v>0.2287155271148818</v>
      </c>
      <c r="C792" s="54">
        <f ca="1">MAX(0.02,MCDA_Prioritisation!$B$10+(RAND()-0.5)*2*$B$6)</f>
        <v>0.28811450628409463</v>
      </c>
      <c r="D792" s="54">
        <f ca="1">MAX(0.02,MCDA_Prioritisation!$B$11+(RAND()-0.5)*2*$B$6)</f>
        <v>0.2880603140984237</v>
      </c>
      <c r="E792" s="54">
        <f ca="1">MAX(0.02,MCDA_Prioritisation!$B$12+(RAND()-0.5)*2*$B$6)</f>
        <v>0.19986918252091673</v>
      </c>
      <c r="F792" s="54">
        <f ca="1">MAX(0.02,MCDA_Prioritisation!$B$13+(RAND()-0.5)*2*$B$6)</f>
        <v>0.12483691953599356</v>
      </c>
      <c r="G792" s="54">
        <f t="shared" ref="G792:G855" ca="1" si="168">SUM(B792:F792)</f>
        <v>1.1295964495543103</v>
      </c>
      <c r="H792" s="54">
        <f t="shared" ref="H792:H855" ca="1" si="169">B792/$G792</f>
        <v>0.20247543023450809</v>
      </c>
      <c r="I792" s="54">
        <f t="shared" ref="I792:I855" ca="1" si="170">C792/$G792</f>
        <v>0.25505967763777243</v>
      </c>
      <c r="J792" s="54">
        <f t="shared" ref="J792:J855" ca="1" si="171">D792/$G792</f>
        <v>0.25501170281836472</v>
      </c>
      <c r="K792" s="54">
        <f t="shared" ref="K792:K855" ca="1" si="172">E792/$G792</f>
        <v>0.17693857182339448</v>
      </c>
      <c r="L792" s="54">
        <f t="shared" ref="L792:L855" ca="1" si="173">F792/$G792</f>
        <v>0.11051461748596039</v>
      </c>
      <c r="M792" s="54">
        <f ca="1">MIN(100,MAX(0,MCDA_Prioritisation!$F$2+(RAND()-0.5)*2*$B$7))</f>
        <v>94.093737238534629</v>
      </c>
      <c r="N792" s="54">
        <f ca="1">MIN(100,MAX(0,MCDA_Prioritisation!$F$3+(RAND()-0.5)*2*$B$7))</f>
        <v>93.140321181996853</v>
      </c>
      <c r="O792" s="54">
        <f ca="1">MIN(100,MAX(0,MCDA_Prioritisation!$F$4+(RAND()-0.5)*2*$B$7))</f>
        <v>93.539862346695102</v>
      </c>
      <c r="P792" s="54">
        <f ca="1">MIN(100,MAX(0,MCDA_Prioritisation!$F$5+(RAND()-0.5)*2*$B$7))</f>
        <v>71.894902213079348</v>
      </c>
      <c r="Q792" s="54">
        <f ca="1">MIN(100,MAX(0,MCDA_Prioritisation!$G$2+(RAND()-0.5)*2*$B$7))</f>
        <v>77.274503199702366</v>
      </c>
      <c r="R792" s="54">
        <f ca="1">MIN(100,MAX(0,MCDA_Prioritisation!$G$3+(RAND()-0.5)*2*$B$7))</f>
        <v>100</v>
      </c>
      <c r="S792" s="54">
        <f ca="1">MIN(100,MAX(0,MCDA_Prioritisation!$G$4+(RAND()-0.5)*2*$B$7))</f>
        <v>80.113392693806432</v>
      </c>
      <c r="T792" s="54">
        <f ca="1">MIN(100,MAX(0,MCDA_Prioritisation!$G$5+(RAND()-0.5)*2*$B$7))</f>
        <v>75.992861164155457</v>
      </c>
      <c r="U792" s="54">
        <f ca="1">MIN(100,MAX(0,MCDA_Prioritisation!$H$2+(RAND()-0.5)*2*$B$7))</f>
        <v>67.197593771716626</v>
      </c>
      <c r="V792" s="54">
        <f ca="1">MIN(100,MAX(0,MCDA_Prioritisation!$H$3+(RAND()-0.5)*2*$B$7))</f>
        <v>55.569432426550243</v>
      </c>
      <c r="W792" s="54">
        <f ca="1">MIN(100,MAX(0,MCDA_Prioritisation!$H$4+(RAND()-0.5)*2*$B$7))</f>
        <v>81.363896250421234</v>
      </c>
      <c r="X792" s="54">
        <f ca="1">MIN(100,MAX(0,MCDA_Prioritisation!$H$5+(RAND()-0.5)*2*$B$7))</f>
        <v>67.879902580468112</v>
      </c>
      <c r="Y792" s="54">
        <f ca="1">H792*MCDA_Prioritisation!$D$2+I792*MCDA_Prioritisation!$E$2+J792*M792+K792*Q792+L792*U792</f>
        <v>90.847671551146419</v>
      </c>
      <c r="Z792" s="54">
        <f ca="1">H792*MCDA_Prioritisation!$D$3+I792*MCDA_Prioritisation!$E$3+J792*N792+K792*R792+L792*V792</f>
        <v>83.832471024129319</v>
      </c>
      <c r="AA792" s="54">
        <f ca="1">H792*MCDA_Prioritisation!$D$4+I792*MCDA_Prioritisation!$E$4+J792*O792+K792*S792+L792*W792</f>
        <v>75.032353479191173</v>
      </c>
      <c r="AB792" s="54">
        <f ca="1">H792*MCDA_Prioritisation!$D$5+I792*MCDA_Prioritisation!$E$5+J792*P792+K792*T792+L792*X792</f>
        <v>71.476595020892375</v>
      </c>
      <c r="AC792" s="54">
        <f t="shared" ref="AC792:AC855" ca="1" si="174">SUMPRODUCT(--($Y792:$AB792&gt;Y792))+1</f>
        <v>1</v>
      </c>
      <c r="AD792" s="54">
        <f t="shared" ref="AD792:AD855" ca="1" si="175">SUMPRODUCT(--($Y792:$AB792&gt;Z792))+1</f>
        <v>2</v>
      </c>
      <c r="AE792" s="54">
        <f t="shared" ref="AE792:AE855" ca="1" si="176">SUMPRODUCT(--($Y792:$AB792&gt;AA792))+1</f>
        <v>3</v>
      </c>
      <c r="AF792" s="54">
        <f t="shared" ref="AF792:AF855" ca="1" si="177">SUMPRODUCT(--($Y792:$AB792&gt;AB792))+1</f>
        <v>4</v>
      </c>
      <c r="AG792" s="54">
        <f t="shared" ref="AG792:AG855" ca="1" si="178">IF(AC792=1,1,0)</f>
        <v>1</v>
      </c>
      <c r="AH792" s="54">
        <f t="shared" ref="AH792:AH855" ca="1" si="179">IF(AD792=2,1,0)</f>
        <v>1</v>
      </c>
      <c r="AI792" s="54">
        <f t="shared" ref="AI792:AI855" ca="1" si="180">IF(AND(AC792=1,AD792=2,AE792=3,AF792=4),1,0)</f>
        <v>1</v>
      </c>
      <c r="AJ792" s="54">
        <f t="shared" ref="AJ792:AJ855" ca="1" si="181">IF(AND(AC792&lt;=2,AD792&lt;=2),1,0)</f>
        <v>1</v>
      </c>
    </row>
    <row r="793" spans="1:36" x14ac:dyDescent="0.2">
      <c r="A793" s="54">
        <v>770</v>
      </c>
      <c r="B793" s="54">
        <f ca="1">MAX(0.02,MCDA_Prioritisation!$B$9+(RAND()-0.5)*2*$B$6)</f>
        <v>0.27326180623920654</v>
      </c>
      <c r="C793" s="54">
        <f ca="1">MAX(0.02,MCDA_Prioritisation!$B$10+(RAND()-0.5)*2*$B$6)</f>
        <v>0.17491166543565287</v>
      </c>
      <c r="D793" s="54">
        <f ca="1">MAX(0.02,MCDA_Prioritisation!$B$11+(RAND()-0.5)*2*$B$6)</f>
        <v>0.29776030008892035</v>
      </c>
      <c r="E793" s="54">
        <f ca="1">MAX(0.02,MCDA_Prioritisation!$B$12+(RAND()-0.5)*2*$B$6)</f>
        <v>0.18994962088796488</v>
      </c>
      <c r="F793" s="54">
        <f ca="1">MAX(0.02,MCDA_Prioritisation!$B$13+(RAND()-0.5)*2*$B$6)</f>
        <v>0.17716667761322313</v>
      </c>
      <c r="G793" s="54">
        <f t="shared" ca="1" si="168"/>
        <v>1.1130500702649677</v>
      </c>
      <c r="H793" s="54">
        <f t="shared" ca="1" si="169"/>
        <v>0.24550720002574103</v>
      </c>
      <c r="I793" s="54">
        <f t="shared" ca="1" si="170"/>
        <v>0.15714626871548931</v>
      </c>
      <c r="J793" s="54">
        <f t="shared" ca="1" si="171"/>
        <v>0.2675174352381442</v>
      </c>
      <c r="K793" s="54">
        <f t="shared" ca="1" si="172"/>
        <v>0.17065685180069781</v>
      </c>
      <c r="L793" s="54">
        <f t="shared" ca="1" si="173"/>
        <v>0.15917224421992771</v>
      </c>
      <c r="M793" s="54">
        <f ca="1">MIN(100,MAX(0,MCDA_Prioritisation!$F$2+(RAND()-0.5)*2*$B$7))</f>
        <v>85.029163143626974</v>
      </c>
      <c r="N793" s="54">
        <f ca="1">MIN(100,MAX(0,MCDA_Prioritisation!$F$3+(RAND()-0.5)*2*$B$7))</f>
        <v>88.348257229991646</v>
      </c>
      <c r="O793" s="54">
        <f ca="1">MIN(100,MAX(0,MCDA_Prioritisation!$F$4+(RAND()-0.5)*2*$B$7))</f>
        <v>93.238992756863226</v>
      </c>
      <c r="P793" s="54">
        <f ca="1">MIN(100,MAX(0,MCDA_Prioritisation!$F$5+(RAND()-0.5)*2*$B$7))</f>
        <v>73.606773806778278</v>
      </c>
      <c r="Q793" s="54">
        <f ca="1">MIN(100,MAX(0,MCDA_Prioritisation!$G$2+(RAND()-0.5)*2*$B$7))</f>
        <v>78.13555802878183</v>
      </c>
      <c r="R793" s="54">
        <f ca="1">MIN(100,MAX(0,MCDA_Prioritisation!$G$3+(RAND()-0.5)*2*$B$7))</f>
        <v>86.93522450264976</v>
      </c>
      <c r="S793" s="54">
        <f ca="1">MIN(100,MAX(0,MCDA_Prioritisation!$G$4+(RAND()-0.5)*2*$B$7))</f>
        <v>77.696185856608636</v>
      </c>
      <c r="T793" s="54">
        <f ca="1">MIN(100,MAX(0,MCDA_Prioritisation!$G$5+(RAND()-0.5)*2*$B$7))</f>
        <v>77.98955748065417</v>
      </c>
      <c r="U793" s="54">
        <f ca="1">MIN(100,MAX(0,MCDA_Prioritisation!$H$2+(RAND()-0.5)*2*$B$7))</f>
        <v>71.631307293201203</v>
      </c>
      <c r="V793" s="54">
        <f ca="1">MIN(100,MAX(0,MCDA_Prioritisation!$H$3+(RAND()-0.5)*2*$B$7))</f>
        <v>57.119962614085601</v>
      </c>
      <c r="W793" s="54">
        <f ca="1">MIN(100,MAX(0,MCDA_Prioritisation!$H$4+(RAND()-0.5)*2*$B$7))</f>
        <v>85.266734656877205</v>
      </c>
      <c r="X793" s="54">
        <f ca="1">MIN(100,MAX(0,MCDA_Prioritisation!$H$5+(RAND()-0.5)*2*$B$7))</f>
        <v>80.60039644274849</v>
      </c>
      <c r="Y793" s="54">
        <f ca="1">H793*MCDA_Prioritisation!$D$2+I793*MCDA_Prioritisation!$E$2+J793*M793+K793*Q793+L793*U793</f>
        <v>87.748214803900609</v>
      </c>
      <c r="Z793" s="54">
        <f ca="1">H793*MCDA_Prioritisation!$D$3+I793*MCDA_Prioritisation!$E$3+J793*N793+K793*R793+L793*V793</f>
        <v>80.448076385933732</v>
      </c>
      <c r="AA793" s="54">
        <f ca="1">H793*MCDA_Prioritisation!$D$4+I793*MCDA_Prioritisation!$E$4+J793*O793+K793*S793+L793*W793</f>
        <v>77.441833022580951</v>
      </c>
      <c r="AB793" s="54">
        <f ca="1">H793*MCDA_Prioritisation!$D$5+I793*MCDA_Prioritisation!$E$5+J793*P793+K793*T793+L793*X793</f>
        <v>72.074979380294664</v>
      </c>
      <c r="AC793" s="54">
        <f t="shared" ca="1" si="174"/>
        <v>1</v>
      </c>
      <c r="AD793" s="54">
        <f t="shared" ca="1" si="175"/>
        <v>2</v>
      </c>
      <c r="AE793" s="54">
        <f t="shared" ca="1" si="176"/>
        <v>3</v>
      </c>
      <c r="AF793" s="54">
        <f t="shared" ca="1" si="177"/>
        <v>4</v>
      </c>
      <c r="AG793" s="54">
        <f t="shared" ca="1" si="178"/>
        <v>1</v>
      </c>
      <c r="AH793" s="54">
        <f t="shared" ca="1" si="179"/>
        <v>1</v>
      </c>
      <c r="AI793" s="54">
        <f t="shared" ca="1" si="180"/>
        <v>1</v>
      </c>
      <c r="AJ793" s="54">
        <f t="shared" ca="1" si="181"/>
        <v>1</v>
      </c>
    </row>
    <row r="794" spans="1:36" x14ac:dyDescent="0.2">
      <c r="A794" s="54">
        <v>771</v>
      </c>
      <c r="B794" s="54">
        <f ca="1">MAX(0.02,MCDA_Prioritisation!$B$9+(RAND()-0.5)*2*$B$6)</f>
        <v>0.17135583148074326</v>
      </c>
      <c r="C794" s="54">
        <f ca="1">MAX(0.02,MCDA_Prioritisation!$B$10+(RAND()-0.5)*2*$B$6)</f>
        <v>0.18302340837112463</v>
      </c>
      <c r="D794" s="54">
        <f ca="1">MAX(0.02,MCDA_Prioritisation!$B$11+(RAND()-0.5)*2*$B$6)</f>
        <v>0.22858549412479856</v>
      </c>
      <c r="E794" s="54">
        <f ca="1">MAX(0.02,MCDA_Prioritisation!$B$12+(RAND()-0.5)*2*$B$6)</f>
        <v>0.10341221685015856</v>
      </c>
      <c r="F794" s="54">
        <f ca="1">MAX(0.02,MCDA_Prioritisation!$B$13+(RAND()-0.5)*2*$B$6)</f>
        <v>0.18319835364880113</v>
      </c>
      <c r="G794" s="54">
        <f t="shared" ca="1" si="168"/>
        <v>0.86957530447562614</v>
      </c>
      <c r="H794" s="54">
        <f t="shared" ca="1" si="169"/>
        <v>0.19705692031361766</v>
      </c>
      <c r="I794" s="54">
        <f t="shared" ca="1" si="170"/>
        <v>0.210474478091914</v>
      </c>
      <c r="J794" s="54">
        <f t="shared" ca="1" si="171"/>
        <v>0.26287026890976495</v>
      </c>
      <c r="K794" s="54">
        <f t="shared" ca="1" si="172"/>
        <v>0.11892266985723392</v>
      </c>
      <c r="L794" s="54">
        <f t="shared" ca="1" si="173"/>
        <v>0.2106756628274695</v>
      </c>
      <c r="M794" s="54">
        <f ca="1">MIN(100,MAX(0,MCDA_Prioritisation!$F$2+(RAND()-0.5)*2*$B$7))</f>
        <v>89.425010718149636</v>
      </c>
      <c r="N794" s="54">
        <f ca="1">MIN(100,MAX(0,MCDA_Prioritisation!$F$3+(RAND()-0.5)*2*$B$7))</f>
        <v>93.819228510867518</v>
      </c>
      <c r="O794" s="54">
        <f ca="1">MIN(100,MAX(0,MCDA_Prioritisation!$F$4+(RAND()-0.5)*2*$B$7))</f>
        <v>95.258386953231025</v>
      </c>
      <c r="P794" s="54">
        <f ca="1">MIN(100,MAX(0,MCDA_Prioritisation!$F$5+(RAND()-0.5)*2*$B$7))</f>
        <v>81.264140713724657</v>
      </c>
      <c r="Q794" s="54">
        <f ca="1">MIN(100,MAX(0,MCDA_Prioritisation!$G$2+(RAND()-0.5)*2*$B$7))</f>
        <v>89.637869172400656</v>
      </c>
      <c r="R794" s="54">
        <f ca="1">MIN(100,MAX(0,MCDA_Prioritisation!$G$3+(RAND()-0.5)*2*$B$7))</f>
        <v>90.584391820766754</v>
      </c>
      <c r="S794" s="54">
        <f ca="1">MIN(100,MAX(0,MCDA_Prioritisation!$G$4+(RAND()-0.5)*2*$B$7))</f>
        <v>81.728146065474348</v>
      </c>
      <c r="T794" s="54">
        <f ca="1">MIN(100,MAX(0,MCDA_Prioritisation!$G$5+(RAND()-0.5)*2*$B$7))</f>
        <v>68.216804898555495</v>
      </c>
      <c r="U794" s="54">
        <f ca="1">MIN(100,MAX(0,MCDA_Prioritisation!$H$2+(RAND()-0.5)*2*$B$7))</f>
        <v>60.244819551967161</v>
      </c>
      <c r="V794" s="54">
        <f ca="1">MIN(100,MAX(0,MCDA_Prioritisation!$H$3+(RAND()-0.5)*2*$B$7))</f>
        <v>67.316850291881792</v>
      </c>
      <c r="W794" s="54">
        <f ca="1">MIN(100,MAX(0,MCDA_Prioritisation!$H$4+(RAND()-0.5)*2*$B$7))</f>
        <v>86.169747071927858</v>
      </c>
      <c r="X794" s="54">
        <f ca="1">MIN(100,MAX(0,MCDA_Prioritisation!$H$5+(RAND()-0.5)*2*$B$7))</f>
        <v>73.065411906763842</v>
      </c>
      <c r="Y794" s="54">
        <f ca="1">H794*MCDA_Prioritisation!$D$2+I794*MCDA_Prioritisation!$E$2+J794*M794+K794*Q794+L794*U794</f>
        <v>87.61240846861908</v>
      </c>
      <c r="Z794" s="54">
        <f ca="1">H794*MCDA_Prioritisation!$D$3+I794*MCDA_Prioritisation!$E$3+J794*N794+K794*R794+L794*V794</f>
        <v>82.1462323650088</v>
      </c>
      <c r="AA794" s="54">
        <f ca="1">H794*MCDA_Prioritisation!$D$4+I794*MCDA_Prioritisation!$E$4+J794*O794+K794*S794+L794*W794</f>
        <v>78.116107296398013</v>
      </c>
      <c r="AB794" s="54">
        <f ca="1">H794*MCDA_Prioritisation!$D$5+I794*MCDA_Prioritisation!$E$5+J794*P794+K794*T794+L794*X794</f>
        <v>73.025516767404369</v>
      </c>
      <c r="AC794" s="54">
        <f t="shared" ca="1" si="174"/>
        <v>1</v>
      </c>
      <c r="AD794" s="54">
        <f t="shared" ca="1" si="175"/>
        <v>2</v>
      </c>
      <c r="AE794" s="54">
        <f t="shared" ca="1" si="176"/>
        <v>3</v>
      </c>
      <c r="AF794" s="54">
        <f t="shared" ca="1" si="177"/>
        <v>4</v>
      </c>
      <c r="AG794" s="54">
        <f t="shared" ca="1" si="178"/>
        <v>1</v>
      </c>
      <c r="AH794" s="54">
        <f t="shared" ca="1" si="179"/>
        <v>1</v>
      </c>
      <c r="AI794" s="54">
        <f t="shared" ca="1" si="180"/>
        <v>1</v>
      </c>
      <c r="AJ794" s="54">
        <f t="shared" ca="1" si="181"/>
        <v>1</v>
      </c>
    </row>
    <row r="795" spans="1:36" x14ac:dyDescent="0.2">
      <c r="A795" s="54">
        <v>772</v>
      </c>
      <c r="B795" s="54">
        <f ca="1">MAX(0.02,MCDA_Prioritisation!$B$9+(RAND()-0.5)*2*$B$6)</f>
        <v>0.27311445669333906</v>
      </c>
      <c r="C795" s="54">
        <f ca="1">MAX(0.02,MCDA_Prioritisation!$B$10+(RAND()-0.5)*2*$B$6)</f>
        <v>0.30849001669814974</v>
      </c>
      <c r="D795" s="54">
        <f ca="1">MAX(0.02,MCDA_Prioritisation!$B$11+(RAND()-0.5)*2*$B$6)</f>
        <v>0.25388361095716722</v>
      </c>
      <c r="E795" s="54">
        <f ca="1">MAX(0.02,MCDA_Prioritisation!$B$12+(RAND()-0.5)*2*$B$6)</f>
        <v>0.19706866806609502</v>
      </c>
      <c r="F795" s="54">
        <f ca="1">MAX(0.02,MCDA_Prioritisation!$B$13+(RAND()-0.5)*2*$B$6)</f>
        <v>0.21635445516273821</v>
      </c>
      <c r="G795" s="54">
        <f t="shared" ca="1" si="168"/>
        <v>1.2489112075774891</v>
      </c>
      <c r="H795" s="54">
        <f t="shared" ca="1" si="169"/>
        <v>0.21868204483735773</v>
      </c>
      <c r="I795" s="54">
        <f t="shared" ca="1" si="170"/>
        <v>0.24700716498215056</v>
      </c>
      <c r="J795" s="54">
        <f t="shared" ca="1" si="171"/>
        <v>0.20328395599045412</v>
      </c>
      <c r="K795" s="54">
        <f t="shared" ca="1" si="172"/>
        <v>0.15779237696837453</v>
      </c>
      <c r="L795" s="54">
        <f t="shared" ca="1" si="173"/>
        <v>0.17323445722166317</v>
      </c>
      <c r="M795" s="54">
        <f ca="1">MIN(100,MAX(0,MCDA_Prioritisation!$F$2+(RAND()-0.5)*2*$B$7))</f>
        <v>88.213133020573565</v>
      </c>
      <c r="N795" s="54">
        <f ca="1">MIN(100,MAX(0,MCDA_Prioritisation!$F$3+(RAND()-0.5)*2*$B$7))</f>
        <v>87.319118015273702</v>
      </c>
      <c r="O795" s="54">
        <f ca="1">MIN(100,MAX(0,MCDA_Prioritisation!$F$4+(RAND()-0.5)*2*$B$7))</f>
        <v>97.191450190085135</v>
      </c>
      <c r="P795" s="54">
        <f ca="1">MIN(100,MAX(0,MCDA_Prioritisation!$F$5+(RAND()-0.5)*2*$B$7))</f>
        <v>67.7485404531554</v>
      </c>
      <c r="Q795" s="54">
        <f ca="1">MIN(100,MAX(0,MCDA_Prioritisation!$G$2+(RAND()-0.5)*2*$B$7))</f>
        <v>70.593625366496312</v>
      </c>
      <c r="R795" s="54">
        <f ca="1">MIN(100,MAX(0,MCDA_Prioritisation!$G$3+(RAND()-0.5)*2*$B$7))</f>
        <v>88.597581162148316</v>
      </c>
      <c r="S795" s="54">
        <f ca="1">MIN(100,MAX(0,MCDA_Prioritisation!$G$4+(RAND()-0.5)*2*$B$7))</f>
        <v>76.662002679933408</v>
      </c>
      <c r="T795" s="54">
        <f ca="1">MIN(100,MAX(0,MCDA_Prioritisation!$G$5+(RAND()-0.5)*2*$B$7))</f>
        <v>70.647942874330852</v>
      </c>
      <c r="U795" s="54">
        <f ca="1">MIN(100,MAX(0,MCDA_Prioritisation!$H$2+(RAND()-0.5)*2*$B$7))</f>
        <v>60.68506955312607</v>
      </c>
      <c r="V795" s="54">
        <f ca="1">MIN(100,MAX(0,MCDA_Prioritisation!$H$3+(RAND()-0.5)*2*$B$7))</f>
        <v>66.901287797282578</v>
      </c>
      <c r="W795" s="54">
        <f ca="1">MIN(100,MAX(0,MCDA_Prioritisation!$H$4+(RAND()-0.5)*2*$B$7))</f>
        <v>87.303436015064861</v>
      </c>
      <c r="X795" s="54">
        <f ca="1">MIN(100,MAX(0,MCDA_Prioritisation!$H$5+(RAND()-0.5)*2*$B$7))</f>
        <v>70.221561579780058</v>
      </c>
      <c r="Y795" s="54">
        <f ca="1">H795*MCDA_Prioritisation!$D$2+I795*MCDA_Prioritisation!$E$2+J795*M795+K795*Q795+L795*U795</f>
        <v>86.153116663574238</v>
      </c>
      <c r="Z795" s="54">
        <f ca="1">H795*MCDA_Prioritisation!$D$3+I795*MCDA_Prioritisation!$E$3+J795*N795+K795*R795+L795*V795</f>
        <v>80.396483922893879</v>
      </c>
      <c r="AA795" s="54">
        <f ca="1">H795*MCDA_Prioritisation!$D$4+I795*MCDA_Prioritisation!$E$4+J795*O795+K795*S795+L795*W795</f>
        <v>75.678955608775809</v>
      </c>
      <c r="AB795" s="54">
        <f ca="1">H795*MCDA_Prioritisation!$D$5+I795*MCDA_Prioritisation!$E$5+J795*P795+K795*T795+L795*X795</f>
        <v>69.462493428614096</v>
      </c>
      <c r="AC795" s="54">
        <f t="shared" ca="1" si="174"/>
        <v>1</v>
      </c>
      <c r="AD795" s="54">
        <f t="shared" ca="1" si="175"/>
        <v>2</v>
      </c>
      <c r="AE795" s="54">
        <f t="shared" ca="1" si="176"/>
        <v>3</v>
      </c>
      <c r="AF795" s="54">
        <f t="shared" ca="1" si="177"/>
        <v>4</v>
      </c>
      <c r="AG795" s="54">
        <f t="shared" ca="1" si="178"/>
        <v>1</v>
      </c>
      <c r="AH795" s="54">
        <f t="shared" ca="1" si="179"/>
        <v>1</v>
      </c>
      <c r="AI795" s="54">
        <f t="shared" ca="1" si="180"/>
        <v>1</v>
      </c>
      <c r="AJ795" s="54">
        <f t="shared" ca="1" si="181"/>
        <v>1</v>
      </c>
    </row>
    <row r="796" spans="1:36" x14ac:dyDescent="0.2">
      <c r="A796" s="54">
        <v>773</v>
      </c>
      <c r="B796" s="54">
        <f ca="1">MAX(0.02,MCDA_Prioritisation!$B$9+(RAND()-0.5)*2*$B$6)</f>
        <v>0.27775580769974406</v>
      </c>
      <c r="C796" s="54">
        <f ca="1">MAX(0.02,MCDA_Prioritisation!$B$10+(RAND()-0.5)*2*$B$6)</f>
        <v>0.21366914481381497</v>
      </c>
      <c r="D796" s="54">
        <f ca="1">MAX(0.02,MCDA_Prioritisation!$B$11+(RAND()-0.5)*2*$B$6)</f>
        <v>0.3037764123738253</v>
      </c>
      <c r="E796" s="54">
        <f ca="1">MAX(0.02,MCDA_Prioritisation!$B$12+(RAND()-0.5)*2*$B$6)</f>
        <v>7.4421211407649207E-2</v>
      </c>
      <c r="F796" s="54">
        <f ca="1">MAX(0.02,MCDA_Prioritisation!$B$13+(RAND()-0.5)*2*$B$6)</f>
        <v>0.22256408776536696</v>
      </c>
      <c r="G796" s="54">
        <f t="shared" ca="1" si="168"/>
        <v>1.0921866640604005</v>
      </c>
      <c r="H796" s="54">
        <f t="shared" ca="1" si="169"/>
        <v>0.25431166378385983</v>
      </c>
      <c r="I796" s="54">
        <f t="shared" ca="1" si="170"/>
        <v>0.1956342737416894</v>
      </c>
      <c r="J796" s="54">
        <f t="shared" ca="1" si="171"/>
        <v>0.2781359838660562</v>
      </c>
      <c r="K796" s="54">
        <f t="shared" ca="1" si="172"/>
        <v>6.8139644857935694E-2</v>
      </c>
      <c r="L796" s="54">
        <f t="shared" ca="1" si="173"/>
        <v>0.20377843375045882</v>
      </c>
      <c r="M796" s="54">
        <f ca="1">MIN(100,MAX(0,MCDA_Prioritisation!$F$2+(RAND()-0.5)*2*$B$7))</f>
        <v>84.481260076316502</v>
      </c>
      <c r="N796" s="54">
        <f ca="1">MIN(100,MAX(0,MCDA_Prioritisation!$F$3+(RAND()-0.5)*2*$B$7))</f>
        <v>100</v>
      </c>
      <c r="O796" s="54">
        <f ca="1">MIN(100,MAX(0,MCDA_Prioritisation!$F$4+(RAND()-0.5)*2*$B$7))</f>
        <v>82.243245540451255</v>
      </c>
      <c r="P796" s="54">
        <f ca="1">MIN(100,MAX(0,MCDA_Prioritisation!$F$5+(RAND()-0.5)*2*$B$7))</f>
        <v>66.009991424394414</v>
      </c>
      <c r="Q796" s="54">
        <f ca="1">MIN(100,MAX(0,MCDA_Prioritisation!$G$2+(RAND()-0.5)*2*$B$7))</f>
        <v>88.958793895953264</v>
      </c>
      <c r="R796" s="54">
        <f ca="1">MIN(100,MAX(0,MCDA_Prioritisation!$G$3+(RAND()-0.5)*2*$B$7))</f>
        <v>100</v>
      </c>
      <c r="S796" s="54">
        <f ca="1">MIN(100,MAX(0,MCDA_Prioritisation!$G$4+(RAND()-0.5)*2*$B$7))</f>
        <v>89.673532220460274</v>
      </c>
      <c r="T796" s="54">
        <f ca="1">MIN(100,MAX(0,MCDA_Prioritisation!$G$5+(RAND()-0.5)*2*$B$7))</f>
        <v>69.613299188727765</v>
      </c>
      <c r="U796" s="54">
        <f ca="1">MIN(100,MAX(0,MCDA_Prioritisation!$H$2+(RAND()-0.5)*2*$B$7))</f>
        <v>70.988275770860696</v>
      </c>
      <c r="V796" s="54">
        <f ca="1">MIN(100,MAX(0,MCDA_Prioritisation!$H$3+(RAND()-0.5)*2*$B$7))</f>
        <v>61.16395390393258</v>
      </c>
      <c r="W796" s="54">
        <f ca="1">MIN(100,MAX(0,MCDA_Prioritisation!$H$4+(RAND()-0.5)*2*$B$7))</f>
        <v>86.623058971771059</v>
      </c>
      <c r="X796" s="54">
        <f ca="1">MIN(100,MAX(0,MCDA_Prioritisation!$H$5+(RAND()-0.5)*2*$B$7))</f>
        <v>79.465371185139887</v>
      </c>
      <c r="Y796" s="54">
        <f ca="1">H796*MCDA_Prioritisation!$D$2+I796*MCDA_Prioritisation!$E$2+J796*M796+K796*Q796+L796*U796</f>
        <v>89.019372416417568</v>
      </c>
      <c r="Z796" s="54">
        <f ca="1">H796*MCDA_Prioritisation!$D$3+I796*MCDA_Prioritisation!$E$3+J796*N796+K796*R796+L796*V796</f>
        <v>83.545440383790364</v>
      </c>
      <c r="AA796" s="54">
        <f ca="1">H796*MCDA_Prioritisation!$D$4+I796*MCDA_Prioritisation!$E$4+J796*O796+K796*S796+L796*W796</f>
        <v>75.016769592448256</v>
      </c>
      <c r="AB796" s="54">
        <f ca="1">H796*MCDA_Prioritisation!$D$5+I796*MCDA_Prioritisation!$E$5+J796*P796+K796*T796+L796*X796</f>
        <v>69.245390047109595</v>
      </c>
      <c r="AC796" s="54">
        <f t="shared" ca="1" si="174"/>
        <v>1</v>
      </c>
      <c r="AD796" s="54">
        <f t="shared" ca="1" si="175"/>
        <v>2</v>
      </c>
      <c r="AE796" s="54">
        <f t="shared" ca="1" si="176"/>
        <v>3</v>
      </c>
      <c r="AF796" s="54">
        <f t="shared" ca="1" si="177"/>
        <v>4</v>
      </c>
      <c r="AG796" s="54">
        <f t="shared" ca="1" si="178"/>
        <v>1</v>
      </c>
      <c r="AH796" s="54">
        <f t="shared" ca="1" si="179"/>
        <v>1</v>
      </c>
      <c r="AI796" s="54">
        <f t="shared" ca="1" si="180"/>
        <v>1</v>
      </c>
      <c r="AJ796" s="54">
        <f t="shared" ca="1" si="181"/>
        <v>1</v>
      </c>
    </row>
    <row r="797" spans="1:36" x14ac:dyDescent="0.2">
      <c r="A797" s="54">
        <v>774</v>
      </c>
      <c r="B797" s="54">
        <f ca="1">MAX(0.02,MCDA_Prioritisation!$B$9+(RAND()-0.5)*2*$B$6)</f>
        <v>0.25898780688317596</v>
      </c>
      <c r="C797" s="54">
        <f ca="1">MAX(0.02,MCDA_Prioritisation!$B$10+(RAND()-0.5)*2*$B$6)</f>
        <v>0.24992413842795064</v>
      </c>
      <c r="D797" s="54">
        <f ca="1">MAX(0.02,MCDA_Prioritisation!$B$11+(RAND()-0.5)*2*$B$6)</f>
        <v>0.17410052573372731</v>
      </c>
      <c r="E797" s="54">
        <f ca="1">MAX(0.02,MCDA_Prioritisation!$B$12+(RAND()-0.5)*2*$B$6)</f>
        <v>0.19874348541530237</v>
      </c>
      <c r="F797" s="54">
        <f ca="1">MAX(0.02,MCDA_Prioritisation!$B$13+(RAND()-0.5)*2*$B$6)</f>
        <v>7.0472699114115689E-2</v>
      </c>
      <c r="G797" s="54">
        <f t="shared" ca="1" si="168"/>
        <v>0.95222865557427205</v>
      </c>
      <c r="H797" s="54">
        <f t="shared" ca="1" si="169"/>
        <v>0.27198069010744597</v>
      </c>
      <c r="I797" s="54">
        <f t="shared" ca="1" si="170"/>
        <v>0.26246231613059984</v>
      </c>
      <c r="J797" s="54">
        <f t="shared" ca="1" si="171"/>
        <v>0.18283478943272338</v>
      </c>
      <c r="K797" s="54">
        <f t="shared" ca="1" si="172"/>
        <v>0.2087140354912379</v>
      </c>
      <c r="L797" s="54">
        <f t="shared" ca="1" si="173"/>
        <v>7.4008168837992869E-2</v>
      </c>
      <c r="M797" s="54">
        <f ca="1">MIN(100,MAX(0,MCDA_Prioritisation!$F$2+(RAND()-0.5)*2*$B$7))</f>
        <v>83.239991264763262</v>
      </c>
      <c r="N797" s="54">
        <f ca="1">MIN(100,MAX(0,MCDA_Prioritisation!$F$3+(RAND()-0.5)*2*$B$7))</f>
        <v>100</v>
      </c>
      <c r="O797" s="54">
        <f ca="1">MIN(100,MAX(0,MCDA_Prioritisation!$F$4+(RAND()-0.5)*2*$B$7))</f>
        <v>86.459429235487363</v>
      </c>
      <c r="P797" s="54">
        <f ca="1">MIN(100,MAX(0,MCDA_Prioritisation!$F$5+(RAND()-0.5)*2*$B$7))</f>
        <v>80.89465449725131</v>
      </c>
      <c r="Q797" s="54">
        <f ca="1">MIN(100,MAX(0,MCDA_Prioritisation!$G$2+(RAND()-0.5)*2*$B$7))</f>
        <v>79.058326147014668</v>
      </c>
      <c r="R797" s="54">
        <f ca="1">MIN(100,MAX(0,MCDA_Prioritisation!$G$3+(RAND()-0.5)*2*$B$7))</f>
        <v>99.40678639981607</v>
      </c>
      <c r="S797" s="54">
        <f ca="1">MIN(100,MAX(0,MCDA_Prioritisation!$G$4+(RAND()-0.5)*2*$B$7))</f>
        <v>78.101026623853912</v>
      </c>
      <c r="T797" s="54">
        <f ca="1">MIN(100,MAX(0,MCDA_Prioritisation!$G$5+(RAND()-0.5)*2*$B$7))</f>
        <v>76.475318133679323</v>
      </c>
      <c r="U797" s="54">
        <f ca="1">MIN(100,MAX(0,MCDA_Prioritisation!$H$2+(RAND()-0.5)*2*$B$7))</f>
        <v>74.643119191125095</v>
      </c>
      <c r="V797" s="54">
        <f ca="1">MIN(100,MAX(0,MCDA_Prioritisation!$H$3+(RAND()-0.5)*2*$B$7))</f>
        <v>60.534882114340192</v>
      </c>
      <c r="W797" s="54">
        <f ca="1">MIN(100,MAX(0,MCDA_Prioritisation!$H$4+(RAND()-0.5)*2*$B$7))</f>
        <v>88.247402875450646</v>
      </c>
      <c r="X797" s="54">
        <f ca="1">MIN(100,MAX(0,MCDA_Prioritisation!$H$5+(RAND()-0.5)*2*$B$7))</f>
        <v>82.466391412500201</v>
      </c>
      <c r="Y797" s="54">
        <f ca="1">H797*MCDA_Prioritisation!$D$2+I797*MCDA_Prioritisation!$E$2+J797*M797+K797*Q797+L797*U797</f>
        <v>90.688249756096397</v>
      </c>
      <c r="Z797" s="54">
        <f ca="1">H797*MCDA_Prioritisation!$D$3+I797*MCDA_Prioritisation!$E$3+J797*N797+K797*R797+L797*V797</f>
        <v>86.369567365092422</v>
      </c>
      <c r="AA797" s="54">
        <f ca="1">H797*MCDA_Prioritisation!$D$4+I797*MCDA_Prioritisation!$E$4+J797*O797+K797*S797+L797*W797</f>
        <v>71.894863400566621</v>
      </c>
      <c r="AB797" s="54">
        <f ca="1">H797*MCDA_Prioritisation!$D$5+I797*MCDA_Prioritisation!$E$5+J797*P797+K797*T797+L797*X797</f>
        <v>73.361327910849738</v>
      </c>
      <c r="AC797" s="54">
        <f t="shared" ca="1" si="174"/>
        <v>1</v>
      </c>
      <c r="AD797" s="54">
        <f t="shared" ca="1" si="175"/>
        <v>2</v>
      </c>
      <c r="AE797" s="54">
        <f t="shared" ca="1" si="176"/>
        <v>4</v>
      </c>
      <c r="AF797" s="54">
        <f t="shared" ca="1" si="177"/>
        <v>3</v>
      </c>
      <c r="AG797" s="54">
        <f t="shared" ca="1" si="178"/>
        <v>1</v>
      </c>
      <c r="AH797" s="54">
        <f t="shared" ca="1" si="179"/>
        <v>1</v>
      </c>
      <c r="AI797" s="54">
        <f t="shared" ca="1" si="180"/>
        <v>0</v>
      </c>
      <c r="AJ797" s="54">
        <f t="shared" ca="1" si="181"/>
        <v>1</v>
      </c>
    </row>
    <row r="798" spans="1:36" x14ac:dyDescent="0.2">
      <c r="A798" s="54">
        <v>775</v>
      </c>
      <c r="B798" s="54">
        <f ca="1">MAX(0.02,MCDA_Prioritisation!$B$9+(RAND()-0.5)*2*$B$6)</f>
        <v>0.23793201223326885</v>
      </c>
      <c r="C798" s="54">
        <f ca="1">MAX(0.02,MCDA_Prioritisation!$B$10+(RAND()-0.5)*2*$B$6)</f>
        <v>0.26526143961663584</v>
      </c>
      <c r="D798" s="54">
        <f ca="1">MAX(0.02,MCDA_Prioritisation!$B$11+(RAND()-0.5)*2*$B$6)</f>
        <v>0.29153607249588459</v>
      </c>
      <c r="E798" s="54">
        <f ca="1">MAX(0.02,MCDA_Prioritisation!$B$12+(RAND()-0.5)*2*$B$6)</f>
        <v>0.21959750644190729</v>
      </c>
      <c r="F798" s="54">
        <f ca="1">MAX(0.02,MCDA_Prioritisation!$B$13+(RAND()-0.5)*2*$B$6)</f>
        <v>0.22796496127674298</v>
      </c>
      <c r="G798" s="54">
        <f t="shared" ca="1" si="168"/>
        <v>1.2422919920644395</v>
      </c>
      <c r="H798" s="54">
        <f t="shared" ca="1" si="169"/>
        <v>0.19152664088083968</v>
      </c>
      <c r="I798" s="54">
        <f t="shared" ca="1" si="170"/>
        <v>0.21352583878112638</v>
      </c>
      <c r="J798" s="54">
        <f t="shared" ca="1" si="171"/>
        <v>0.23467596535932769</v>
      </c>
      <c r="K798" s="54">
        <f t="shared" ca="1" si="172"/>
        <v>0.17676802864758098</v>
      </c>
      <c r="L798" s="54">
        <f t="shared" ca="1" si="173"/>
        <v>0.18350352633112529</v>
      </c>
      <c r="M798" s="54">
        <f ca="1">MIN(100,MAX(0,MCDA_Prioritisation!$F$2+(RAND()-0.5)*2*$B$7))</f>
        <v>89.001254477621416</v>
      </c>
      <c r="N798" s="54">
        <f ca="1">MIN(100,MAX(0,MCDA_Prioritisation!$F$3+(RAND()-0.5)*2*$B$7))</f>
        <v>93.315245403920173</v>
      </c>
      <c r="O798" s="54">
        <f ca="1">MIN(100,MAX(0,MCDA_Prioritisation!$F$4+(RAND()-0.5)*2*$B$7))</f>
        <v>90.421226832680503</v>
      </c>
      <c r="P798" s="54">
        <f ca="1">MIN(100,MAX(0,MCDA_Prioritisation!$F$5+(RAND()-0.5)*2*$B$7))</f>
        <v>79.075825257580192</v>
      </c>
      <c r="Q798" s="54">
        <f ca="1">MIN(100,MAX(0,MCDA_Prioritisation!$G$2+(RAND()-0.5)*2*$B$7))</f>
        <v>86.913652111134567</v>
      </c>
      <c r="R798" s="54">
        <f ca="1">MIN(100,MAX(0,MCDA_Prioritisation!$G$3+(RAND()-0.5)*2*$B$7))</f>
        <v>92.240061734046549</v>
      </c>
      <c r="S798" s="54">
        <f ca="1">MIN(100,MAX(0,MCDA_Prioritisation!$G$4+(RAND()-0.5)*2*$B$7))</f>
        <v>78.2927135141245</v>
      </c>
      <c r="T798" s="54">
        <f ca="1">MIN(100,MAX(0,MCDA_Prioritisation!$G$5+(RAND()-0.5)*2*$B$7))</f>
        <v>74.706823184081898</v>
      </c>
      <c r="U798" s="54">
        <f ca="1">MIN(100,MAX(0,MCDA_Prioritisation!$H$2+(RAND()-0.5)*2*$B$7))</f>
        <v>71.496618207293054</v>
      </c>
      <c r="V798" s="54">
        <f ca="1">MIN(100,MAX(0,MCDA_Prioritisation!$H$3+(RAND()-0.5)*2*$B$7))</f>
        <v>64.85379150813057</v>
      </c>
      <c r="W798" s="54">
        <f ca="1">MIN(100,MAX(0,MCDA_Prioritisation!$H$4+(RAND()-0.5)*2*$B$7))</f>
        <v>76.868301072313344</v>
      </c>
      <c r="X798" s="54">
        <f ca="1">MIN(100,MAX(0,MCDA_Prioritisation!$H$5+(RAND()-0.5)*2*$B$7))</f>
        <v>72.989962153441638</v>
      </c>
      <c r="Y798" s="54">
        <f ca="1">H798*MCDA_Prioritisation!$D$2+I798*MCDA_Prioritisation!$E$2+J798*M798+K798*Q798+L798*U798</f>
        <v>89.87513978695894</v>
      </c>
      <c r="Z798" s="54">
        <f ca="1">H798*MCDA_Prioritisation!$D$3+I798*MCDA_Prioritisation!$E$3+J798*N798+K798*R798+L798*V798</f>
        <v>82.372813569067461</v>
      </c>
      <c r="AA798" s="54">
        <f ca="1">H798*MCDA_Prioritisation!$D$4+I798*MCDA_Prioritisation!$E$4+J798*O798+K798*S798+L798*W798</f>
        <v>74.148594926978106</v>
      </c>
      <c r="AB798" s="54">
        <f ca="1">H798*MCDA_Prioritisation!$D$5+I798*MCDA_Prioritisation!$E$5+J798*P798+K798*T798+L798*X798</f>
        <v>73.277917718456393</v>
      </c>
      <c r="AC798" s="54">
        <f t="shared" ca="1" si="174"/>
        <v>1</v>
      </c>
      <c r="AD798" s="54">
        <f t="shared" ca="1" si="175"/>
        <v>2</v>
      </c>
      <c r="AE798" s="54">
        <f t="shared" ca="1" si="176"/>
        <v>3</v>
      </c>
      <c r="AF798" s="54">
        <f t="shared" ca="1" si="177"/>
        <v>4</v>
      </c>
      <c r="AG798" s="54">
        <f t="shared" ca="1" si="178"/>
        <v>1</v>
      </c>
      <c r="AH798" s="54">
        <f t="shared" ca="1" si="179"/>
        <v>1</v>
      </c>
      <c r="AI798" s="54">
        <f t="shared" ca="1" si="180"/>
        <v>1</v>
      </c>
      <c r="AJ798" s="54">
        <f t="shared" ca="1" si="181"/>
        <v>1</v>
      </c>
    </row>
    <row r="799" spans="1:36" x14ac:dyDescent="0.2">
      <c r="A799" s="54">
        <v>776</v>
      </c>
      <c r="B799" s="54">
        <f ca="1">MAX(0.02,MCDA_Prioritisation!$B$9+(RAND()-0.5)*2*$B$6)</f>
        <v>0.15448019753220973</v>
      </c>
      <c r="C799" s="54">
        <f ca="1">MAX(0.02,MCDA_Prioritisation!$B$10+(RAND()-0.5)*2*$B$6)</f>
        <v>0.2558143165402898</v>
      </c>
      <c r="D799" s="54">
        <f ca="1">MAX(0.02,MCDA_Prioritisation!$B$11+(RAND()-0.5)*2*$B$6)</f>
        <v>0.21177891608985716</v>
      </c>
      <c r="E799" s="54">
        <f ca="1">MAX(0.02,MCDA_Prioritisation!$B$12+(RAND()-0.5)*2*$B$6)</f>
        <v>9.4119244171594729E-2</v>
      </c>
      <c r="F799" s="54">
        <f ca="1">MAX(0.02,MCDA_Prioritisation!$B$13+(RAND()-0.5)*2*$B$6)</f>
        <v>0.15197157779461162</v>
      </c>
      <c r="G799" s="54">
        <f t="shared" ca="1" si="168"/>
        <v>0.86816425212856307</v>
      </c>
      <c r="H799" s="54">
        <f t="shared" ca="1" si="169"/>
        <v>0.17793890632268669</v>
      </c>
      <c r="I799" s="54">
        <f t="shared" ca="1" si="170"/>
        <v>0.29466119563560106</v>
      </c>
      <c r="J799" s="54">
        <f t="shared" ca="1" si="171"/>
        <v>0.24393876570086606</v>
      </c>
      <c r="K799" s="54">
        <f t="shared" ca="1" si="172"/>
        <v>0.10841179412862645</v>
      </c>
      <c r="L799" s="54">
        <f t="shared" ca="1" si="173"/>
        <v>0.17504933821221971</v>
      </c>
      <c r="M799" s="54">
        <f ca="1">MIN(100,MAX(0,MCDA_Prioritisation!$F$2+(RAND()-0.5)*2*$B$7))</f>
        <v>94.353973298199719</v>
      </c>
      <c r="N799" s="54">
        <f ca="1">MIN(100,MAX(0,MCDA_Prioritisation!$F$3+(RAND()-0.5)*2*$B$7))</f>
        <v>87.354317690612035</v>
      </c>
      <c r="O799" s="54">
        <f ca="1">MIN(100,MAX(0,MCDA_Prioritisation!$F$4+(RAND()-0.5)*2*$B$7))</f>
        <v>99.151761275839903</v>
      </c>
      <c r="P799" s="54">
        <f ca="1">MIN(100,MAX(0,MCDA_Prioritisation!$F$5+(RAND()-0.5)*2*$B$7))</f>
        <v>74.617873295735777</v>
      </c>
      <c r="Q799" s="54">
        <f ca="1">MIN(100,MAX(0,MCDA_Prioritisation!$G$2+(RAND()-0.5)*2*$B$7))</f>
        <v>85.777855593980121</v>
      </c>
      <c r="R799" s="54">
        <f ca="1">MIN(100,MAX(0,MCDA_Prioritisation!$G$3+(RAND()-0.5)*2*$B$7))</f>
        <v>90.06503867439379</v>
      </c>
      <c r="S799" s="54">
        <f ca="1">MIN(100,MAX(0,MCDA_Prioritisation!$G$4+(RAND()-0.5)*2*$B$7))</f>
        <v>82.498024062385625</v>
      </c>
      <c r="T799" s="54">
        <f ca="1">MIN(100,MAX(0,MCDA_Prioritisation!$G$5+(RAND()-0.5)*2*$B$7))</f>
        <v>71.266582156080943</v>
      </c>
      <c r="U799" s="54">
        <f ca="1">MIN(100,MAX(0,MCDA_Prioritisation!$H$2+(RAND()-0.5)*2*$B$7))</f>
        <v>61.328210212677511</v>
      </c>
      <c r="V799" s="54">
        <f ca="1">MIN(100,MAX(0,MCDA_Prioritisation!$H$3+(RAND()-0.5)*2*$B$7))</f>
        <v>53.425931204827762</v>
      </c>
      <c r="W799" s="54">
        <f ca="1">MIN(100,MAX(0,MCDA_Prioritisation!$H$4+(RAND()-0.5)*2*$B$7))</f>
        <v>70.204435629952926</v>
      </c>
      <c r="X799" s="54">
        <f ca="1">MIN(100,MAX(0,MCDA_Prioritisation!$H$5+(RAND()-0.5)*2*$B$7))</f>
        <v>84.088169774748735</v>
      </c>
      <c r="Y799" s="54">
        <f ca="1">H799*MCDA_Prioritisation!$D$2+I799*MCDA_Prioritisation!$E$2+J799*M799+K799*Q799+L799*U799</f>
        <v>90.3113958140828</v>
      </c>
      <c r="Z799" s="54">
        <f ca="1">H799*MCDA_Prioritisation!$D$3+I799*MCDA_Prioritisation!$E$3+J799*N799+K799*R799+L799*V799</f>
        <v>77.40659389893105</v>
      </c>
      <c r="AA799" s="54">
        <f ca="1">H799*MCDA_Prioritisation!$D$4+I799*MCDA_Prioritisation!$E$4+J799*O799+K799*S799+L799*W799</f>
        <v>73.883005317350936</v>
      </c>
      <c r="AB799" s="54">
        <f ca="1">H799*MCDA_Prioritisation!$D$5+I799*MCDA_Prioritisation!$E$5+J799*P799+K799*T799+L799*X799</f>
        <v>74.870502016301742</v>
      </c>
      <c r="AC799" s="54">
        <f t="shared" ca="1" si="174"/>
        <v>1</v>
      </c>
      <c r="AD799" s="54">
        <f t="shared" ca="1" si="175"/>
        <v>2</v>
      </c>
      <c r="AE799" s="54">
        <f t="shared" ca="1" si="176"/>
        <v>4</v>
      </c>
      <c r="AF799" s="54">
        <f t="shared" ca="1" si="177"/>
        <v>3</v>
      </c>
      <c r="AG799" s="54">
        <f t="shared" ca="1" si="178"/>
        <v>1</v>
      </c>
      <c r="AH799" s="54">
        <f t="shared" ca="1" si="179"/>
        <v>1</v>
      </c>
      <c r="AI799" s="54">
        <f t="shared" ca="1" si="180"/>
        <v>0</v>
      </c>
      <c r="AJ799" s="54">
        <f t="shared" ca="1" si="181"/>
        <v>1</v>
      </c>
    </row>
    <row r="800" spans="1:36" x14ac:dyDescent="0.2">
      <c r="A800" s="54">
        <v>777</v>
      </c>
      <c r="B800" s="54">
        <f ca="1">MAX(0.02,MCDA_Prioritisation!$B$9+(RAND()-0.5)*2*$B$6)</f>
        <v>0.15207004493910953</v>
      </c>
      <c r="C800" s="54">
        <f ca="1">MAX(0.02,MCDA_Prioritisation!$B$10+(RAND()-0.5)*2*$B$6)</f>
        <v>0.27201762968419729</v>
      </c>
      <c r="D800" s="54">
        <f ca="1">MAX(0.02,MCDA_Prioritisation!$B$11+(RAND()-0.5)*2*$B$6)</f>
        <v>0.31752407206563515</v>
      </c>
      <c r="E800" s="54">
        <f ca="1">MAX(0.02,MCDA_Prioritisation!$B$12+(RAND()-0.5)*2*$B$6)</f>
        <v>7.3516656530849531E-2</v>
      </c>
      <c r="F800" s="54">
        <f ca="1">MAX(0.02,MCDA_Prioritisation!$B$13+(RAND()-0.5)*2*$B$6)</f>
        <v>0.18957448994157061</v>
      </c>
      <c r="G800" s="54">
        <f t="shared" ca="1" si="168"/>
        <v>1.0047028931613622</v>
      </c>
      <c r="H800" s="54">
        <f t="shared" ca="1" si="169"/>
        <v>0.15135822338543423</v>
      </c>
      <c r="I800" s="54">
        <f t="shared" ca="1" si="170"/>
        <v>0.27074434794178442</v>
      </c>
      <c r="J800" s="54">
        <f t="shared" ca="1" si="171"/>
        <v>0.31603778015063266</v>
      </c>
      <c r="K800" s="54">
        <f t="shared" ca="1" si="172"/>
        <v>7.3172533921470703E-2</v>
      </c>
      <c r="L800" s="54">
        <f t="shared" ca="1" si="173"/>
        <v>0.18868711460067791</v>
      </c>
      <c r="M800" s="54">
        <f ca="1">MIN(100,MAX(0,MCDA_Prioritisation!$F$2+(RAND()-0.5)*2*$B$7))</f>
        <v>87.485851096851661</v>
      </c>
      <c r="N800" s="54">
        <f ca="1">MIN(100,MAX(0,MCDA_Prioritisation!$F$3+(RAND()-0.5)*2*$B$7))</f>
        <v>90.503857683638785</v>
      </c>
      <c r="O800" s="54">
        <f ca="1">MIN(100,MAX(0,MCDA_Prioritisation!$F$4+(RAND()-0.5)*2*$B$7))</f>
        <v>98.498165078840088</v>
      </c>
      <c r="P800" s="54">
        <f ca="1">MIN(100,MAX(0,MCDA_Prioritisation!$F$5+(RAND()-0.5)*2*$B$7))</f>
        <v>67.456357254240828</v>
      </c>
      <c r="Q800" s="54">
        <f ca="1">MIN(100,MAX(0,MCDA_Prioritisation!$G$2+(RAND()-0.5)*2*$B$7))</f>
        <v>76.26148959792863</v>
      </c>
      <c r="R800" s="54">
        <f ca="1">MIN(100,MAX(0,MCDA_Prioritisation!$G$3+(RAND()-0.5)*2*$B$7))</f>
        <v>100</v>
      </c>
      <c r="S800" s="54">
        <f ca="1">MIN(100,MAX(0,MCDA_Prioritisation!$G$4+(RAND()-0.5)*2*$B$7))</f>
        <v>78.879460059381657</v>
      </c>
      <c r="T800" s="54">
        <f ca="1">MIN(100,MAX(0,MCDA_Prioritisation!$G$5+(RAND()-0.5)*2*$B$7))</f>
        <v>79.74126412294882</v>
      </c>
      <c r="U800" s="54">
        <f ca="1">MIN(100,MAX(0,MCDA_Prioritisation!$H$2+(RAND()-0.5)*2*$B$7))</f>
        <v>68.779830777577132</v>
      </c>
      <c r="V800" s="54">
        <f ca="1">MIN(100,MAX(0,MCDA_Prioritisation!$H$3+(RAND()-0.5)*2*$B$7))</f>
        <v>63.491434309976086</v>
      </c>
      <c r="W800" s="54">
        <f ca="1">MIN(100,MAX(0,MCDA_Prioritisation!$H$4+(RAND()-0.5)*2*$B$7))</f>
        <v>84.665543599383341</v>
      </c>
      <c r="X800" s="54">
        <f ca="1">MIN(100,MAX(0,MCDA_Prioritisation!$H$5+(RAND()-0.5)*2*$B$7))</f>
        <v>80.710600951993726</v>
      </c>
      <c r="Y800" s="54">
        <f ca="1">H800*MCDA_Prioritisation!$D$2+I800*MCDA_Prioritisation!$E$2+J800*M800+K800*Q800+L800*U800</f>
        <v>88.417205554609907</v>
      </c>
      <c r="Z800" s="54">
        <f ca="1">H800*MCDA_Prioritisation!$D$3+I800*MCDA_Prioritisation!$E$3+J800*N800+K800*R800+L800*V800</f>
        <v>80.818635563379289</v>
      </c>
      <c r="AA800" s="54">
        <f ca="1">H800*MCDA_Prioritisation!$D$4+I800*MCDA_Prioritisation!$E$4+J800*O800+K800*S800+L800*W800</f>
        <v>78.183818961310223</v>
      </c>
      <c r="AB800" s="54">
        <f ca="1">H800*MCDA_Prioritisation!$D$5+I800*MCDA_Prioritisation!$E$5+J800*P800+K800*T800+L800*X800</f>
        <v>73.183288906659286</v>
      </c>
      <c r="AC800" s="54">
        <f t="shared" ca="1" si="174"/>
        <v>1</v>
      </c>
      <c r="AD800" s="54">
        <f t="shared" ca="1" si="175"/>
        <v>2</v>
      </c>
      <c r="AE800" s="54">
        <f t="shared" ca="1" si="176"/>
        <v>3</v>
      </c>
      <c r="AF800" s="54">
        <f t="shared" ca="1" si="177"/>
        <v>4</v>
      </c>
      <c r="AG800" s="54">
        <f t="shared" ca="1" si="178"/>
        <v>1</v>
      </c>
      <c r="AH800" s="54">
        <f t="shared" ca="1" si="179"/>
        <v>1</v>
      </c>
      <c r="AI800" s="54">
        <f t="shared" ca="1" si="180"/>
        <v>1</v>
      </c>
      <c r="AJ800" s="54">
        <f t="shared" ca="1" si="181"/>
        <v>1</v>
      </c>
    </row>
    <row r="801" spans="1:36" x14ac:dyDescent="0.2">
      <c r="A801" s="54">
        <v>778</v>
      </c>
      <c r="B801" s="54">
        <f ca="1">MAX(0.02,MCDA_Prioritisation!$B$9+(RAND()-0.5)*2*$B$6)</f>
        <v>0.24043163058658459</v>
      </c>
      <c r="C801" s="54">
        <f ca="1">MAX(0.02,MCDA_Prioritisation!$B$10+(RAND()-0.5)*2*$B$6)</f>
        <v>0.19745623980980304</v>
      </c>
      <c r="D801" s="54">
        <f ca="1">MAX(0.02,MCDA_Prioritisation!$B$11+(RAND()-0.5)*2*$B$6)</f>
        <v>0.30765684353428546</v>
      </c>
      <c r="E801" s="54">
        <f ca="1">MAX(0.02,MCDA_Prioritisation!$B$12+(RAND()-0.5)*2*$B$6)</f>
        <v>0.11360490186098954</v>
      </c>
      <c r="F801" s="54">
        <f ca="1">MAX(0.02,MCDA_Prioritisation!$B$13+(RAND()-0.5)*2*$B$6)</f>
        <v>0.18938346478249368</v>
      </c>
      <c r="G801" s="54">
        <f t="shared" ca="1" si="168"/>
        <v>1.0485330805741564</v>
      </c>
      <c r="H801" s="54">
        <f t="shared" ca="1" si="169"/>
        <v>0.22930285657265947</v>
      </c>
      <c r="I801" s="54">
        <f t="shared" ca="1" si="170"/>
        <v>0.18831665253868751</v>
      </c>
      <c r="J801" s="54">
        <f t="shared" ca="1" si="171"/>
        <v>0.29341643981877857</v>
      </c>
      <c r="K801" s="54">
        <f t="shared" ca="1" si="172"/>
        <v>0.10834651187045209</v>
      </c>
      <c r="L801" s="54">
        <f t="shared" ca="1" si="173"/>
        <v>0.18061753919942228</v>
      </c>
      <c r="M801" s="54">
        <f ca="1">MIN(100,MAX(0,MCDA_Prioritisation!$F$2+(RAND()-0.5)*2*$B$7))</f>
        <v>92.113929948624971</v>
      </c>
      <c r="N801" s="54">
        <f ca="1">MIN(100,MAX(0,MCDA_Prioritisation!$F$3+(RAND()-0.5)*2*$B$7))</f>
        <v>94.187139601954982</v>
      </c>
      <c r="O801" s="54">
        <f ca="1">MIN(100,MAX(0,MCDA_Prioritisation!$F$4+(RAND()-0.5)*2*$B$7))</f>
        <v>88.718745698145227</v>
      </c>
      <c r="P801" s="54">
        <f ca="1">MIN(100,MAX(0,MCDA_Prioritisation!$F$5+(RAND()-0.5)*2*$B$7))</f>
        <v>69.42335734206452</v>
      </c>
      <c r="Q801" s="54">
        <f ca="1">MIN(100,MAX(0,MCDA_Prioritisation!$G$2+(RAND()-0.5)*2*$B$7))</f>
        <v>71.274119155399589</v>
      </c>
      <c r="R801" s="54">
        <f ca="1">MIN(100,MAX(0,MCDA_Prioritisation!$G$3+(RAND()-0.5)*2*$B$7))</f>
        <v>100</v>
      </c>
      <c r="S801" s="54">
        <f ca="1">MIN(100,MAX(0,MCDA_Prioritisation!$G$4+(RAND()-0.5)*2*$B$7))</f>
        <v>86.839654702658237</v>
      </c>
      <c r="T801" s="54">
        <f ca="1">MIN(100,MAX(0,MCDA_Prioritisation!$G$5+(RAND()-0.5)*2*$B$7))</f>
        <v>75.458561653821775</v>
      </c>
      <c r="U801" s="54">
        <f ca="1">MIN(100,MAX(0,MCDA_Prioritisation!$H$2+(RAND()-0.5)*2*$B$7))</f>
        <v>55.215841468692943</v>
      </c>
      <c r="V801" s="54">
        <f ca="1">MIN(100,MAX(0,MCDA_Prioritisation!$H$3+(RAND()-0.5)*2*$B$7))</f>
        <v>54.685581491972187</v>
      </c>
      <c r="W801" s="54">
        <f ca="1">MIN(100,MAX(0,MCDA_Prioritisation!$H$4+(RAND()-0.5)*2*$B$7))</f>
        <v>80.755131189892779</v>
      </c>
      <c r="X801" s="54">
        <f ca="1">MIN(100,MAX(0,MCDA_Prioritisation!$H$5+(RAND()-0.5)*2*$B$7))</f>
        <v>67.342759094195486</v>
      </c>
      <c r="Y801" s="54">
        <f ca="1">H801*MCDA_Prioritisation!$D$2+I801*MCDA_Prioritisation!$E$2+J801*M801+K801*Q801+L801*U801</f>
        <v>86.48494390240387</v>
      </c>
      <c r="Z801" s="54">
        <f ca="1">H801*MCDA_Prioritisation!$D$3+I801*MCDA_Prioritisation!$E$3+J801*N801+K801*R801+L801*V801</f>
        <v>82.083982970531181</v>
      </c>
      <c r="AA801" s="54">
        <f ca="1">H801*MCDA_Prioritisation!$D$4+I801*MCDA_Prioritisation!$E$4+J801*O801+K801*S801+L801*W801</f>
        <v>76.265225623259141</v>
      </c>
      <c r="AB801" s="54">
        <f ca="1">H801*MCDA_Prioritisation!$D$5+I801*MCDA_Prioritisation!$E$5+J801*P801+K801*T801+L801*X801</f>
        <v>68.715081388240819</v>
      </c>
      <c r="AC801" s="54">
        <f t="shared" ca="1" si="174"/>
        <v>1</v>
      </c>
      <c r="AD801" s="54">
        <f t="shared" ca="1" si="175"/>
        <v>2</v>
      </c>
      <c r="AE801" s="54">
        <f t="shared" ca="1" si="176"/>
        <v>3</v>
      </c>
      <c r="AF801" s="54">
        <f t="shared" ca="1" si="177"/>
        <v>4</v>
      </c>
      <c r="AG801" s="54">
        <f t="shared" ca="1" si="178"/>
        <v>1</v>
      </c>
      <c r="AH801" s="54">
        <f t="shared" ca="1" si="179"/>
        <v>1</v>
      </c>
      <c r="AI801" s="54">
        <f t="shared" ca="1" si="180"/>
        <v>1</v>
      </c>
      <c r="AJ801" s="54">
        <f t="shared" ca="1" si="181"/>
        <v>1</v>
      </c>
    </row>
    <row r="802" spans="1:36" x14ac:dyDescent="0.2">
      <c r="A802" s="54">
        <v>779</v>
      </c>
      <c r="B802" s="54">
        <f ca="1">MAX(0.02,MCDA_Prioritisation!$B$9+(RAND()-0.5)*2*$B$6)</f>
        <v>0.27681877789274478</v>
      </c>
      <c r="C802" s="54">
        <f ca="1">MAX(0.02,MCDA_Prioritisation!$B$10+(RAND()-0.5)*2*$B$6)</f>
        <v>0.27959104336686674</v>
      </c>
      <c r="D802" s="54">
        <f ca="1">MAX(0.02,MCDA_Prioritisation!$B$11+(RAND()-0.5)*2*$B$6)</f>
        <v>0.32466015815470417</v>
      </c>
      <c r="E802" s="54">
        <f ca="1">MAX(0.02,MCDA_Prioritisation!$B$12+(RAND()-0.5)*2*$B$6)</f>
        <v>8.0980416751303672E-2</v>
      </c>
      <c r="F802" s="54">
        <f ca="1">MAX(0.02,MCDA_Prioritisation!$B$13+(RAND()-0.5)*2*$B$6)</f>
        <v>0.15155899571058248</v>
      </c>
      <c r="G802" s="54">
        <f t="shared" ca="1" si="168"/>
        <v>1.1136093918762018</v>
      </c>
      <c r="H802" s="54">
        <f t="shared" ca="1" si="169"/>
        <v>0.24857798426642427</v>
      </c>
      <c r="I802" s="54">
        <f t="shared" ca="1" si="170"/>
        <v>0.25106742580162117</v>
      </c>
      <c r="J802" s="54">
        <f t="shared" ca="1" si="171"/>
        <v>0.29153863151936865</v>
      </c>
      <c r="K802" s="54">
        <f t="shared" ca="1" si="172"/>
        <v>7.2718870137102917E-2</v>
      </c>
      <c r="L802" s="54">
        <f t="shared" ca="1" si="173"/>
        <v>0.13609708827548309</v>
      </c>
      <c r="M802" s="54">
        <f ca="1">MIN(100,MAX(0,MCDA_Prioritisation!$F$2+(RAND()-0.5)*2*$B$7))</f>
        <v>87.748152120496556</v>
      </c>
      <c r="N802" s="54">
        <f ca="1">MIN(100,MAX(0,MCDA_Prioritisation!$F$3+(RAND()-0.5)*2*$B$7))</f>
        <v>85.319956113911701</v>
      </c>
      <c r="O802" s="54">
        <f ca="1">MIN(100,MAX(0,MCDA_Prioritisation!$F$4+(RAND()-0.5)*2*$B$7))</f>
        <v>81.499212835437945</v>
      </c>
      <c r="P802" s="54">
        <f ca="1">MIN(100,MAX(0,MCDA_Prioritisation!$F$5+(RAND()-0.5)*2*$B$7))</f>
        <v>73.527496594680429</v>
      </c>
      <c r="Q802" s="54">
        <f ca="1">MIN(100,MAX(0,MCDA_Prioritisation!$G$2+(RAND()-0.5)*2*$B$7))</f>
        <v>82.004738327633461</v>
      </c>
      <c r="R802" s="54">
        <f ca="1">MIN(100,MAX(0,MCDA_Prioritisation!$G$3+(RAND()-0.5)*2*$B$7))</f>
        <v>89.868316339251351</v>
      </c>
      <c r="S802" s="54">
        <f ca="1">MIN(100,MAX(0,MCDA_Prioritisation!$G$4+(RAND()-0.5)*2*$B$7))</f>
        <v>94.588383918056849</v>
      </c>
      <c r="T802" s="54">
        <f ca="1">MIN(100,MAX(0,MCDA_Prioritisation!$G$5+(RAND()-0.5)*2*$B$7))</f>
        <v>74.363113858184832</v>
      </c>
      <c r="U802" s="54">
        <f ca="1">MIN(100,MAX(0,MCDA_Prioritisation!$H$2+(RAND()-0.5)*2*$B$7))</f>
        <v>62.041879425973235</v>
      </c>
      <c r="V802" s="54">
        <f ca="1">MIN(100,MAX(0,MCDA_Prioritisation!$H$3+(RAND()-0.5)*2*$B$7))</f>
        <v>67.395350895835023</v>
      </c>
      <c r="W802" s="54">
        <f ca="1">MIN(100,MAX(0,MCDA_Prioritisation!$H$4+(RAND()-0.5)*2*$B$7))</f>
        <v>80.13427436991617</v>
      </c>
      <c r="X802" s="54">
        <f ca="1">MIN(100,MAX(0,MCDA_Prioritisation!$H$5+(RAND()-0.5)*2*$B$7))</f>
        <v>83.479201269709108</v>
      </c>
      <c r="Y802" s="54">
        <f ca="1">H802*MCDA_Prioritisation!$D$2+I802*MCDA_Prioritisation!$E$2+J802*M802+K802*Q802+L802*U802</f>
        <v>89.953528252455342</v>
      </c>
      <c r="Z802" s="54">
        <f ca="1">H802*MCDA_Prioritisation!$D$3+I802*MCDA_Prioritisation!$E$3+J802*N802+K802*R802+L802*V802</f>
        <v>80.56587597598832</v>
      </c>
      <c r="AA802" s="54">
        <f ca="1">H802*MCDA_Prioritisation!$D$4+I802*MCDA_Prioritisation!$E$4+J802*O802+K802*S802+L802*W802</f>
        <v>72.548667194910422</v>
      </c>
      <c r="AB802" s="54">
        <f ca="1">H802*MCDA_Prioritisation!$D$5+I802*MCDA_Prioritisation!$E$5+J802*P802+K802*T802+L802*X802</f>
        <v>72.510969364105563</v>
      </c>
      <c r="AC802" s="54">
        <f t="shared" ca="1" si="174"/>
        <v>1</v>
      </c>
      <c r="AD802" s="54">
        <f t="shared" ca="1" si="175"/>
        <v>2</v>
      </c>
      <c r="AE802" s="54">
        <f t="shared" ca="1" si="176"/>
        <v>3</v>
      </c>
      <c r="AF802" s="54">
        <f t="shared" ca="1" si="177"/>
        <v>4</v>
      </c>
      <c r="AG802" s="54">
        <f t="shared" ca="1" si="178"/>
        <v>1</v>
      </c>
      <c r="AH802" s="54">
        <f t="shared" ca="1" si="179"/>
        <v>1</v>
      </c>
      <c r="AI802" s="54">
        <f t="shared" ca="1" si="180"/>
        <v>1</v>
      </c>
      <c r="AJ802" s="54">
        <f t="shared" ca="1" si="181"/>
        <v>1</v>
      </c>
    </row>
    <row r="803" spans="1:36" x14ac:dyDescent="0.2">
      <c r="A803" s="54">
        <v>780</v>
      </c>
      <c r="B803" s="54">
        <f ca="1">MAX(0.02,MCDA_Prioritisation!$B$9+(RAND()-0.5)*2*$B$6)</f>
        <v>0.25376497869819881</v>
      </c>
      <c r="C803" s="54">
        <f ca="1">MAX(0.02,MCDA_Prioritisation!$B$10+(RAND()-0.5)*2*$B$6)</f>
        <v>0.2651446765804189</v>
      </c>
      <c r="D803" s="54">
        <f ca="1">MAX(0.02,MCDA_Prioritisation!$B$11+(RAND()-0.5)*2*$B$6)</f>
        <v>0.27491992742700344</v>
      </c>
      <c r="E803" s="54">
        <f ca="1">MAX(0.02,MCDA_Prioritisation!$B$12+(RAND()-0.5)*2*$B$6)</f>
        <v>0.1225941288229543</v>
      </c>
      <c r="F803" s="54">
        <f ca="1">MAX(0.02,MCDA_Prioritisation!$B$13+(RAND()-0.5)*2*$B$6)</f>
        <v>0.14310714509039169</v>
      </c>
      <c r="G803" s="54">
        <f t="shared" ca="1" si="168"/>
        <v>1.059530856618967</v>
      </c>
      <c r="H803" s="54">
        <f t="shared" ca="1" si="169"/>
        <v>0.23950692621447536</v>
      </c>
      <c r="I803" s="54">
        <f t="shared" ca="1" si="170"/>
        <v>0.25024724379100494</v>
      </c>
      <c r="J803" s="54">
        <f t="shared" ca="1" si="171"/>
        <v>0.25947326187770609</v>
      </c>
      <c r="K803" s="54">
        <f t="shared" ca="1" si="172"/>
        <v>0.11570604863190136</v>
      </c>
      <c r="L803" s="54">
        <f t="shared" ca="1" si="173"/>
        <v>0.13506651948491247</v>
      </c>
      <c r="M803" s="54">
        <f ca="1">MIN(100,MAX(0,MCDA_Prioritisation!$F$2+(RAND()-0.5)*2*$B$7))</f>
        <v>84.874037646737918</v>
      </c>
      <c r="N803" s="54">
        <f ca="1">MIN(100,MAX(0,MCDA_Prioritisation!$F$3+(RAND()-0.5)*2*$B$7))</f>
        <v>91.310479538493922</v>
      </c>
      <c r="O803" s="54">
        <f ca="1">MIN(100,MAX(0,MCDA_Prioritisation!$F$4+(RAND()-0.5)*2*$B$7))</f>
        <v>86.305838295960015</v>
      </c>
      <c r="P803" s="54">
        <f ca="1">MIN(100,MAX(0,MCDA_Prioritisation!$F$5+(RAND()-0.5)*2*$B$7))</f>
        <v>70.564559315050815</v>
      </c>
      <c r="Q803" s="54">
        <f ca="1">MIN(100,MAX(0,MCDA_Prioritisation!$G$2+(RAND()-0.5)*2*$B$7))</f>
        <v>74.91194708753973</v>
      </c>
      <c r="R803" s="54">
        <f ca="1">MIN(100,MAX(0,MCDA_Prioritisation!$G$3+(RAND()-0.5)*2*$B$7))</f>
        <v>89.72353733043407</v>
      </c>
      <c r="S803" s="54">
        <f ca="1">MIN(100,MAX(0,MCDA_Prioritisation!$G$4+(RAND()-0.5)*2*$B$7))</f>
        <v>75.185954226001869</v>
      </c>
      <c r="T803" s="54">
        <f ca="1">MIN(100,MAX(0,MCDA_Prioritisation!$G$5+(RAND()-0.5)*2*$B$7))</f>
        <v>76.943794051165909</v>
      </c>
      <c r="U803" s="54">
        <f ca="1">MIN(100,MAX(0,MCDA_Prioritisation!$H$2+(RAND()-0.5)*2*$B$7))</f>
        <v>67.646833515082363</v>
      </c>
      <c r="V803" s="54">
        <f ca="1">MIN(100,MAX(0,MCDA_Prioritisation!$H$3+(RAND()-0.5)*2*$B$7))</f>
        <v>63.434737855288006</v>
      </c>
      <c r="W803" s="54">
        <f ca="1">MIN(100,MAX(0,MCDA_Prioritisation!$H$4+(RAND()-0.5)*2*$B$7))</f>
        <v>83.149952185703484</v>
      </c>
      <c r="X803" s="54">
        <f ca="1">MIN(100,MAX(0,MCDA_Prioritisation!$H$5+(RAND()-0.5)*2*$B$7))</f>
        <v>83.407759921568655</v>
      </c>
      <c r="Y803" s="54">
        <f ca="1">H803*MCDA_Prioritisation!$D$2+I803*MCDA_Prioritisation!$E$2+J803*M803+K803*Q803+L803*U803</f>
        <v>88.802548147357143</v>
      </c>
      <c r="Z803" s="54">
        <f ca="1">H803*MCDA_Prioritisation!$D$3+I803*MCDA_Prioritisation!$E$3+J803*N803+K803*R803+L803*V803</f>
        <v>81.774041080251777</v>
      </c>
      <c r="AA803" s="54">
        <f ca="1">H803*MCDA_Prioritisation!$D$4+I803*MCDA_Prioritisation!$E$4+J803*O803+K803*S803+L803*W803</f>
        <v>72.652005732253912</v>
      </c>
      <c r="AB803" s="54">
        <f ca="1">H803*MCDA_Prioritisation!$D$5+I803*MCDA_Prioritisation!$E$5+J803*P803+K803*T803+L803*X803</f>
        <v>72.233636040693298</v>
      </c>
      <c r="AC803" s="54">
        <f t="shared" ca="1" si="174"/>
        <v>1</v>
      </c>
      <c r="AD803" s="54">
        <f t="shared" ca="1" si="175"/>
        <v>2</v>
      </c>
      <c r="AE803" s="54">
        <f t="shared" ca="1" si="176"/>
        <v>3</v>
      </c>
      <c r="AF803" s="54">
        <f t="shared" ca="1" si="177"/>
        <v>4</v>
      </c>
      <c r="AG803" s="54">
        <f t="shared" ca="1" si="178"/>
        <v>1</v>
      </c>
      <c r="AH803" s="54">
        <f t="shared" ca="1" si="179"/>
        <v>1</v>
      </c>
      <c r="AI803" s="54">
        <f t="shared" ca="1" si="180"/>
        <v>1</v>
      </c>
      <c r="AJ803" s="54">
        <f t="shared" ca="1" si="181"/>
        <v>1</v>
      </c>
    </row>
    <row r="804" spans="1:36" x14ac:dyDescent="0.2">
      <c r="A804" s="54">
        <v>781</v>
      </c>
      <c r="B804" s="54">
        <f ca="1">MAX(0.02,MCDA_Prioritisation!$B$9+(RAND()-0.5)*2*$B$6)</f>
        <v>0.25787802736520798</v>
      </c>
      <c r="C804" s="54">
        <f ca="1">MAX(0.02,MCDA_Prioritisation!$B$10+(RAND()-0.5)*2*$B$6)</f>
        <v>0.2625209293858714</v>
      </c>
      <c r="D804" s="54">
        <f ca="1">MAX(0.02,MCDA_Prioritisation!$B$11+(RAND()-0.5)*2*$B$6)</f>
        <v>0.25249291080218605</v>
      </c>
      <c r="E804" s="54">
        <f ca="1">MAX(0.02,MCDA_Prioritisation!$B$12+(RAND()-0.5)*2*$B$6)</f>
        <v>0.15338282675974813</v>
      </c>
      <c r="F804" s="54">
        <f ca="1">MAX(0.02,MCDA_Prioritisation!$B$13+(RAND()-0.5)*2*$B$6)</f>
        <v>0.17427481686735241</v>
      </c>
      <c r="G804" s="54">
        <f t="shared" ca="1" si="168"/>
        <v>1.100549511180366</v>
      </c>
      <c r="H804" s="54">
        <f t="shared" ca="1" si="169"/>
        <v>0.23431751570052267</v>
      </c>
      <c r="I804" s="54">
        <f t="shared" ca="1" si="170"/>
        <v>0.23853622823775675</v>
      </c>
      <c r="J804" s="54">
        <f t="shared" ca="1" si="171"/>
        <v>0.22942439957233846</v>
      </c>
      <c r="K804" s="54">
        <f t="shared" ca="1" si="172"/>
        <v>0.13936931069574629</v>
      </c>
      <c r="L804" s="54">
        <f t="shared" ca="1" si="173"/>
        <v>0.15835254579363581</v>
      </c>
      <c r="M804" s="54">
        <f ca="1">MIN(100,MAX(0,MCDA_Prioritisation!$F$2+(RAND()-0.5)*2*$B$7))</f>
        <v>88.956508662980724</v>
      </c>
      <c r="N804" s="54">
        <f ca="1">MIN(100,MAX(0,MCDA_Prioritisation!$F$3+(RAND()-0.5)*2*$B$7))</f>
        <v>100</v>
      </c>
      <c r="O804" s="54">
        <f ca="1">MIN(100,MAX(0,MCDA_Prioritisation!$F$4+(RAND()-0.5)*2*$B$7))</f>
        <v>82.19405222628464</v>
      </c>
      <c r="P804" s="54">
        <f ca="1">MIN(100,MAX(0,MCDA_Prioritisation!$F$5+(RAND()-0.5)*2*$B$7))</f>
        <v>81.385944236670312</v>
      </c>
      <c r="Q804" s="54">
        <f ca="1">MIN(100,MAX(0,MCDA_Prioritisation!$G$2+(RAND()-0.5)*2*$B$7))</f>
        <v>84.284037174184661</v>
      </c>
      <c r="R804" s="54">
        <f ca="1">MIN(100,MAX(0,MCDA_Prioritisation!$G$3+(RAND()-0.5)*2*$B$7))</f>
        <v>86.507591587635261</v>
      </c>
      <c r="S804" s="54">
        <f ca="1">MIN(100,MAX(0,MCDA_Prioritisation!$G$4+(RAND()-0.5)*2*$B$7))</f>
        <v>88.720430508798003</v>
      </c>
      <c r="T804" s="54">
        <f ca="1">MIN(100,MAX(0,MCDA_Prioritisation!$G$5+(RAND()-0.5)*2*$B$7))</f>
        <v>66.304536892897815</v>
      </c>
      <c r="U804" s="54">
        <f ca="1">MIN(100,MAX(0,MCDA_Prioritisation!$H$2+(RAND()-0.5)*2*$B$7))</f>
        <v>60.977245900535166</v>
      </c>
      <c r="V804" s="54">
        <f ca="1">MIN(100,MAX(0,MCDA_Prioritisation!$H$3+(RAND()-0.5)*2*$B$7))</f>
        <v>51.856868539912213</v>
      </c>
      <c r="W804" s="54">
        <f ca="1">MIN(100,MAX(0,MCDA_Prioritisation!$H$4+(RAND()-0.5)*2*$B$7))</f>
        <v>82.524682758486065</v>
      </c>
      <c r="X804" s="54">
        <f ca="1">MIN(100,MAX(0,MCDA_Prioritisation!$H$5+(RAND()-0.5)*2*$B$7))</f>
        <v>70.006297095966659</v>
      </c>
      <c r="Y804" s="54">
        <f ca="1">H804*MCDA_Prioritisation!$D$2+I804*MCDA_Prioritisation!$E$2+J804*M804+K804*Q804+L804*U804</f>
        <v>89.096678269338867</v>
      </c>
      <c r="Z804" s="54">
        <f ca="1">H804*MCDA_Prioritisation!$D$3+I804*MCDA_Prioritisation!$E$3+J804*N804+K804*R804+L804*V804</f>
        <v>81.037310098784701</v>
      </c>
      <c r="AA804" s="54">
        <f ca="1">H804*MCDA_Prioritisation!$D$4+I804*MCDA_Prioritisation!$E$4+J804*O804+K804*S804+L804*W804</f>
        <v>73.617781259773366</v>
      </c>
      <c r="AB804" s="54">
        <f ca="1">H804*MCDA_Prioritisation!$D$5+I804*MCDA_Prioritisation!$E$5+J804*P804+K804*T804+L804*X804</f>
        <v>71.493753289899956</v>
      </c>
      <c r="AC804" s="54">
        <f t="shared" ca="1" si="174"/>
        <v>1</v>
      </c>
      <c r="AD804" s="54">
        <f t="shared" ca="1" si="175"/>
        <v>2</v>
      </c>
      <c r="AE804" s="54">
        <f t="shared" ca="1" si="176"/>
        <v>3</v>
      </c>
      <c r="AF804" s="54">
        <f t="shared" ca="1" si="177"/>
        <v>4</v>
      </c>
      <c r="AG804" s="54">
        <f t="shared" ca="1" si="178"/>
        <v>1</v>
      </c>
      <c r="AH804" s="54">
        <f t="shared" ca="1" si="179"/>
        <v>1</v>
      </c>
      <c r="AI804" s="54">
        <f t="shared" ca="1" si="180"/>
        <v>1</v>
      </c>
      <c r="AJ804" s="54">
        <f t="shared" ca="1" si="181"/>
        <v>1</v>
      </c>
    </row>
    <row r="805" spans="1:36" x14ac:dyDescent="0.2">
      <c r="A805" s="54">
        <v>782</v>
      </c>
      <c r="B805" s="54">
        <f ca="1">MAX(0.02,MCDA_Prioritisation!$B$9+(RAND()-0.5)*2*$B$6)</f>
        <v>0.15027352273062833</v>
      </c>
      <c r="C805" s="54">
        <f ca="1">MAX(0.02,MCDA_Prioritisation!$B$10+(RAND()-0.5)*2*$B$6)</f>
        <v>0.18060069779332266</v>
      </c>
      <c r="D805" s="54">
        <f ca="1">MAX(0.02,MCDA_Prioritisation!$B$11+(RAND()-0.5)*2*$B$6)</f>
        <v>0.31532183471572456</v>
      </c>
      <c r="E805" s="54">
        <f ca="1">MAX(0.02,MCDA_Prioritisation!$B$12+(RAND()-0.5)*2*$B$6)</f>
        <v>7.4732021052197853E-2</v>
      </c>
      <c r="F805" s="54">
        <f ca="1">MAX(0.02,MCDA_Prioritisation!$B$13+(RAND()-0.5)*2*$B$6)</f>
        <v>0.21749552174227088</v>
      </c>
      <c r="G805" s="54">
        <f t="shared" ca="1" si="168"/>
        <v>0.93842359803414421</v>
      </c>
      <c r="H805" s="54">
        <f t="shared" ca="1" si="169"/>
        <v>0.16013399817036642</v>
      </c>
      <c r="I805" s="54">
        <f t="shared" ca="1" si="170"/>
        <v>0.19245114697845819</v>
      </c>
      <c r="J805" s="54">
        <f t="shared" ca="1" si="171"/>
        <v>0.33601226074906493</v>
      </c>
      <c r="K805" s="54">
        <f t="shared" ca="1" si="172"/>
        <v>7.9635700987006466E-2</v>
      </c>
      <c r="L805" s="54">
        <f t="shared" ca="1" si="173"/>
        <v>0.23176689311510407</v>
      </c>
      <c r="M805" s="54">
        <f ca="1">MIN(100,MAX(0,MCDA_Prioritisation!$F$2+(RAND()-0.5)*2*$B$7))</f>
        <v>84.794400423999022</v>
      </c>
      <c r="N805" s="54">
        <f ca="1">MIN(100,MAX(0,MCDA_Prioritisation!$F$3+(RAND()-0.5)*2*$B$7))</f>
        <v>97.769474100920391</v>
      </c>
      <c r="O805" s="54">
        <f ca="1">MIN(100,MAX(0,MCDA_Prioritisation!$F$4+(RAND()-0.5)*2*$B$7))</f>
        <v>87.498966384277608</v>
      </c>
      <c r="P805" s="54">
        <f ca="1">MIN(100,MAX(0,MCDA_Prioritisation!$F$5+(RAND()-0.5)*2*$B$7))</f>
        <v>84.097319863798717</v>
      </c>
      <c r="Q805" s="54">
        <f ca="1">MIN(100,MAX(0,MCDA_Prioritisation!$G$2+(RAND()-0.5)*2*$B$7))</f>
        <v>85.804221668160977</v>
      </c>
      <c r="R805" s="54">
        <f ca="1">MIN(100,MAX(0,MCDA_Prioritisation!$G$3+(RAND()-0.5)*2*$B$7))</f>
        <v>97.979680262996652</v>
      </c>
      <c r="S805" s="54">
        <f ca="1">MIN(100,MAX(0,MCDA_Prioritisation!$G$4+(RAND()-0.5)*2*$B$7))</f>
        <v>80.426456466924492</v>
      </c>
      <c r="T805" s="54">
        <f ca="1">MIN(100,MAX(0,MCDA_Prioritisation!$G$5+(RAND()-0.5)*2*$B$7))</f>
        <v>76.879115618600764</v>
      </c>
      <c r="U805" s="54">
        <f ca="1">MIN(100,MAX(0,MCDA_Prioritisation!$H$2+(RAND()-0.5)*2*$B$7))</f>
        <v>57.178424716582484</v>
      </c>
      <c r="V805" s="54">
        <f ca="1">MIN(100,MAX(0,MCDA_Prioritisation!$H$3+(RAND()-0.5)*2*$B$7))</f>
        <v>50.11175926743374</v>
      </c>
      <c r="W805" s="54">
        <f ca="1">MIN(100,MAX(0,MCDA_Prioritisation!$H$4+(RAND()-0.5)*2*$B$7))</f>
        <v>87.864561550736596</v>
      </c>
      <c r="X805" s="54">
        <f ca="1">MIN(100,MAX(0,MCDA_Prioritisation!$H$5+(RAND()-0.5)*2*$B$7))</f>
        <v>75.014965618588533</v>
      </c>
      <c r="Y805" s="54">
        <f ca="1">H805*MCDA_Prioritisation!$D$2+I805*MCDA_Prioritisation!$E$2+J805*M805+K805*Q805+L805*U805</f>
        <v>83.835617890178526</v>
      </c>
      <c r="Z805" s="54">
        <f ca="1">H805*MCDA_Prioritisation!$D$3+I805*MCDA_Prioritisation!$E$3+J805*N805+K805*R805+L805*V805</f>
        <v>80.260321650196673</v>
      </c>
      <c r="AA805" s="54">
        <f ca="1">H805*MCDA_Prioritisation!$D$4+I805*MCDA_Prioritisation!$E$4+J805*O805+K805*S805+L805*W805</f>
        <v>77.817764750666655</v>
      </c>
      <c r="AB805" s="54">
        <f ca="1">H805*MCDA_Prioritisation!$D$5+I805*MCDA_Prioritisation!$E$5+J805*P805+K805*T805+L805*X805</f>
        <v>76.448684701105407</v>
      </c>
      <c r="AC805" s="54">
        <f t="shared" ca="1" si="174"/>
        <v>1</v>
      </c>
      <c r="AD805" s="54">
        <f t="shared" ca="1" si="175"/>
        <v>2</v>
      </c>
      <c r="AE805" s="54">
        <f t="shared" ca="1" si="176"/>
        <v>3</v>
      </c>
      <c r="AF805" s="54">
        <f t="shared" ca="1" si="177"/>
        <v>4</v>
      </c>
      <c r="AG805" s="54">
        <f t="shared" ca="1" si="178"/>
        <v>1</v>
      </c>
      <c r="AH805" s="54">
        <f t="shared" ca="1" si="179"/>
        <v>1</v>
      </c>
      <c r="AI805" s="54">
        <f t="shared" ca="1" si="180"/>
        <v>1</v>
      </c>
      <c r="AJ805" s="54">
        <f t="shared" ca="1" si="181"/>
        <v>1</v>
      </c>
    </row>
    <row r="806" spans="1:36" x14ac:dyDescent="0.2">
      <c r="A806" s="54">
        <v>783</v>
      </c>
      <c r="B806" s="54">
        <f ca="1">MAX(0.02,MCDA_Prioritisation!$B$9+(RAND()-0.5)*2*$B$6)</f>
        <v>0.15951123364395661</v>
      </c>
      <c r="C806" s="54">
        <f ca="1">MAX(0.02,MCDA_Prioritisation!$B$10+(RAND()-0.5)*2*$B$6)</f>
        <v>0.18429977429021324</v>
      </c>
      <c r="D806" s="54">
        <f ca="1">MAX(0.02,MCDA_Prioritisation!$B$11+(RAND()-0.5)*2*$B$6)</f>
        <v>0.28571535222838351</v>
      </c>
      <c r="E806" s="54">
        <f ca="1">MAX(0.02,MCDA_Prioritisation!$B$12+(RAND()-0.5)*2*$B$6)</f>
        <v>0.2024518366528891</v>
      </c>
      <c r="F806" s="54">
        <f ca="1">MAX(0.02,MCDA_Prioritisation!$B$13+(RAND()-0.5)*2*$B$6)</f>
        <v>0.16606907643668814</v>
      </c>
      <c r="G806" s="54">
        <f t="shared" ca="1" si="168"/>
        <v>0.99804727325213061</v>
      </c>
      <c r="H806" s="54">
        <f t="shared" ca="1" si="169"/>
        <v>0.15982332492547199</v>
      </c>
      <c r="I806" s="54">
        <f t="shared" ca="1" si="170"/>
        <v>0.18466036552524573</v>
      </c>
      <c r="J806" s="54">
        <f t="shared" ca="1" si="171"/>
        <v>0.28627436784370131</v>
      </c>
      <c r="K806" s="54">
        <f t="shared" ca="1" si="172"/>
        <v>0.20284794325743818</v>
      </c>
      <c r="L806" s="54">
        <f t="shared" ca="1" si="173"/>
        <v>0.16639399844814276</v>
      </c>
      <c r="M806" s="54">
        <f ca="1">MIN(100,MAX(0,MCDA_Prioritisation!$F$2+(RAND()-0.5)*2*$B$7))</f>
        <v>80.700006633606193</v>
      </c>
      <c r="N806" s="54">
        <f ca="1">MIN(100,MAX(0,MCDA_Prioritisation!$F$3+(RAND()-0.5)*2*$B$7))</f>
        <v>96.816711816797152</v>
      </c>
      <c r="O806" s="54">
        <f ca="1">MIN(100,MAX(0,MCDA_Prioritisation!$F$4+(RAND()-0.5)*2*$B$7))</f>
        <v>96.272689044578911</v>
      </c>
      <c r="P806" s="54">
        <f ca="1">MIN(100,MAX(0,MCDA_Prioritisation!$F$5+(RAND()-0.5)*2*$B$7))</f>
        <v>66.603032058182208</v>
      </c>
      <c r="Q806" s="54">
        <f ca="1">MIN(100,MAX(0,MCDA_Prioritisation!$G$2+(RAND()-0.5)*2*$B$7))</f>
        <v>87.994300593433636</v>
      </c>
      <c r="R806" s="54">
        <f ca="1">MIN(100,MAX(0,MCDA_Prioritisation!$G$3+(RAND()-0.5)*2*$B$7))</f>
        <v>91.714542845054083</v>
      </c>
      <c r="S806" s="54">
        <f ca="1">MIN(100,MAX(0,MCDA_Prioritisation!$G$4+(RAND()-0.5)*2*$B$7))</f>
        <v>87.133689952131704</v>
      </c>
      <c r="T806" s="54">
        <f ca="1">MIN(100,MAX(0,MCDA_Prioritisation!$G$5+(RAND()-0.5)*2*$B$7))</f>
        <v>79.749569230713831</v>
      </c>
      <c r="U806" s="54">
        <f ca="1">MIN(100,MAX(0,MCDA_Prioritisation!$H$2+(RAND()-0.5)*2*$B$7))</f>
        <v>63.552345226888022</v>
      </c>
      <c r="V806" s="54">
        <f ca="1">MIN(100,MAX(0,MCDA_Prioritisation!$H$3+(RAND()-0.5)*2*$B$7))</f>
        <v>62.597286263405636</v>
      </c>
      <c r="W806" s="54">
        <f ca="1">MIN(100,MAX(0,MCDA_Prioritisation!$H$4+(RAND()-0.5)*2*$B$7))</f>
        <v>86.680818623787999</v>
      </c>
      <c r="X806" s="54">
        <f ca="1">MIN(100,MAX(0,MCDA_Prioritisation!$H$5+(RAND()-0.5)*2*$B$7))</f>
        <v>76.476622203009526</v>
      </c>
      <c r="Y806" s="54">
        <f ca="1">H806*MCDA_Prioritisation!$D$2+I806*MCDA_Prioritisation!$E$2+J806*M806+K806*Q806+L806*U806</f>
        <v>85.974904155903317</v>
      </c>
      <c r="Z806" s="54">
        <f ca="1">H806*MCDA_Prioritisation!$D$3+I806*MCDA_Prioritisation!$E$3+J806*N806+K806*R806+L806*V806</f>
        <v>84.133960312320752</v>
      </c>
      <c r="AA806" s="54">
        <f ca="1">H806*MCDA_Prioritisation!$D$4+I806*MCDA_Prioritisation!$E$4+J806*O806+K806*S806+L806*W806</f>
        <v>80.860001376060865</v>
      </c>
      <c r="AB806" s="54">
        <f ca="1">H806*MCDA_Prioritisation!$D$5+I806*MCDA_Prioritisation!$E$5+J806*P806+K806*T806+L806*X806</f>
        <v>71.980051143995951</v>
      </c>
      <c r="AC806" s="54">
        <f t="shared" ca="1" si="174"/>
        <v>1</v>
      </c>
      <c r="AD806" s="54">
        <f t="shared" ca="1" si="175"/>
        <v>2</v>
      </c>
      <c r="AE806" s="54">
        <f t="shared" ca="1" si="176"/>
        <v>3</v>
      </c>
      <c r="AF806" s="54">
        <f t="shared" ca="1" si="177"/>
        <v>4</v>
      </c>
      <c r="AG806" s="54">
        <f t="shared" ca="1" si="178"/>
        <v>1</v>
      </c>
      <c r="AH806" s="54">
        <f t="shared" ca="1" si="179"/>
        <v>1</v>
      </c>
      <c r="AI806" s="54">
        <f t="shared" ca="1" si="180"/>
        <v>1</v>
      </c>
      <c r="AJ806" s="54">
        <f t="shared" ca="1" si="181"/>
        <v>1</v>
      </c>
    </row>
    <row r="807" spans="1:36" x14ac:dyDescent="0.2">
      <c r="A807" s="54">
        <v>784</v>
      </c>
      <c r="B807" s="54">
        <f ca="1">MAX(0.02,MCDA_Prioritisation!$B$9+(RAND()-0.5)*2*$B$6)</f>
        <v>0.14787417280749598</v>
      </c>
      <c r="C807" s="54">
        <f ca="1">MAX(0.02,MCDA_Prioritisation!$B$10+(RAND()-0.5)*2*$B$6)</f>
        <v>0.3241213669853707</v>
      </c>
      <c r="D807" s="54">
        <f ca="1">MAX(0.02,MCDA_Prioritisation!$B$11+(RAND()-0.5)*2*$B$6)</f>
        <v>0.28976771114328587</v>
      </c>
      <c r="E807" s="54">
        <f ca="1">MAX(0.02,MCDA_Prioritisation!$B$12+(RAND()-0.5)*2*$B$6)</f>
        <v>0.10945119742053702</v>
      </c>
      <c r="F807" s="54">
        <f ca="1">MAX(0.02,MCDA_Prioritisation!$B$13+(RAND()-0.5)*2*$B$6)</f>
        <v>7.1018417723318725E-2</v>
      </c>
      <c r="G807" s="54">
        <f t="shared" ca="1" si="168"/>
        <v>0.94223286608000822</v>
      </c>
      <c r="H807" s="54">
        <f t="shared" ca="1" si="169"/>
        <v>0.15694015580532666</v>
      </c>
      <c r="I807" s="54">
        <f t="shared" ca="1" si="170"/>
        <v>0.34399284789737788</v>
      </c>
      <c r="J807" s="54">
        <f t="shared" ca="1" si="171"/>
        <v>0.30753301182202736</v>
      </c>
      <c r="K807" s="54">
        <f t="shared" ca="1" si="172"/>
        <v>0.11616151522700456</v>
      </c>
      <c r="L807" s="54">
        <f t="shared" ca="1" si="173"/>
        <v>7.5372469248263629E-2</v>
      </c>
      <c r="M807" s="54">
        <f ca="1">MIN(100,MAX(0,MCDA_Prioritisation!$F$2+(RAND()-0.5)*2*$B$7))</f>
        <v>82.392143895380812</v>
      </c>
      <c r="N807" s="54">
        <f ca="1">MIN(100,MAX(0,MCDA_Prioritisation!$F$3+(RAND()-0.5)*2*$B$7))</f>
        <v>95.385454151987346</v>
      </c>
      <c r="O807" s="54">
        <f ca="1">MIN(100,MAX(0,MCDA_Prioritisation!$F$4+(RAND()-0.5)*2*$B$7))</f>
        <v>92.013452510381001</v>
      </c>
      <c r="P807" s="54">
        <f ca="1">MIN(100,MAX(0,MCDA_Prioritisation!$F$5+(RAND()-0.5)*2*$B$7))</f>
        <v>84.223491945407318</v>
      </c>
      <c r="Q807" s="54">
        <f ca="1">MIN(100,MAX(0,MCDA_Prioritisation!$G$2+(RAND()-0.5)*2*$B$7))</f>
        <v>75.012435579489434</v>
      </c>
      <c r="R807" s="54">
        <f ca="1">MIN(100,MAX(0,MCDA_Prioritisation!$G$3+(RAND()-0.5)*2*$B$7))</f>
        <v>100</v>
      </c>
      <c r="S807" s="54">
        <f ca="1">MIN(100,MAX(0,MCDA_Prioritisation!$G$4+(RAND()-0.5)*2*$B$7))</f>
        <v>92.599867009307602</v>
      </c>
      <c r="T807" s="54">
        <f ca="1">MIN(100,MAX(0,MCDA_Prioritisation!$G$5+(RAND()-0.5)*2*$B$7))</f>
        <v>79.85314800225575</v>
      </c>
      <c r="U807" s="54">
        <f ca="1">MIN(100,MAX(0,MCDA_Prioritisation!$H$2+(RAND()-0.5)*2*$B$7))</f>
        <v>61.723988377560929</v>
      </c>
      <c r="V807" s="54">
        <f ca="1">MIN(100,MAX(0,MCDA_Prioritisation!$H$3+(RAND()-0.5)*2*$B$7))</f>
        <v>67.299572402058402</v>
      </c>
      <c r="W807" s="54">
        <f ca="1">MIN(100,MAX(0,MCDA_Prioritisation!$H$4+(RAND()-0.5)*2*$B$7))</f>
        <v>88.861992138801185</v>
      </c>
      <c r="X807" s="54">
        <f ca="1">MIN(100,MAX(0,MCDA_Prioritisation!$H$5+(RAND()-0.5)*2*$B$7))</f>
        <v>76.623331776927031</v>
      </c>
      <c r="Y807" s="54">
        <f ca="1">H807*MCDA_Prioritisation!$D$2+I807*MCDA_Prioritisation!$E$2+J807*M807+K807*Q807+L807*U807</f>
        <v>88.79745212654025</v>
      </c>
      <c r="Z807" s="54">
        <f ca="1">H807*MCDA_Prioritisation!$D$3+I807*MCDA_Prioritisation!$E$3+J807*N807+K807*R807+L807*V807</f>
        <v>84.756597708982156</v>
      </c>
      <c r="AA807" s="54">
        <f ca="1">H807*MCDA_Prioritisation!$D$4+I807*MCDA_Prioritisation!$E$4+J807*O807+K807*S807+L807*W807</f>
        <v>75.443098920837727</v>
      </c>
      <c r="AB807" s="54">
        <f ca="1">H807*MCDA_Prioritisation!$D$5+I807*MCDA_Prioritisation!$E$5+J807*P807+K807*T807+L807*X807</f>
        <v>78.209066248391167</v>
      </c>
      <c r="AC807" s="54">
        <f t="shared" ca="1" si="174"/>
        <v>1</v>
      </c>
      <c r="AD807" s="54">
        <f t="shared" ca="1" si="175"/>
        <v>2</v>
      </c>
      <c r="AE807" s="54">
        <f t="shared" ca="1" si="176"/>
        <v>4</v>
      </c>
      <c r="AF807" s="54">
        <f t="shared" ca="1" si="177"/>
        <v>3</v>
      </c>
      <c r="AG807" s="54">
        <f t="shared" ca="1" si="178"/>
        <v>1</v>
      </c>
      <c r="AH807" s="54">
        <f t="shared" ca="1" si="179"/>
        <v>1</v>
      </c>
      <c r="AI807" s="54">
        <f t="shared" ca="1" si="180"/>
        <v>0</v>
      </c>
      <c r="AJ807" s="54">
        <f t="shared" ca="1" si="181"/>
        <v>1</v>
      </c>
    </row>
    <row r="808" spans="1:36" x14ac:dyDescent="0.2">
      <c r="A808" s="54">
        <v>785</v>
      </c>
      <c r="B808" s="54">
        <f ca="1">MAX(0.02,MCDA_Prioritisation!$B$9+(RAND()-0.5)*2*$B$6)</f>
        <v>0.25656231338902008</v>
      </c>
      <c r="C808" s="54">
        <f ca="1">MAX(0.02,MCDA_Prioritisation!$B$10+(RAND()-0.5)*2*$B$6)</f>
        <v>0.19661688873784483</v>
      </c>
      <c r="D808" s="54">
        <f ca="1">MAX(0.02,MCDA_Prioritisation!$B$11+(RAND()-0.5)*2*$B$6)</f>
        <v>0.29263751150901535</v>
      </c>
      <c r="E808" s="54">
        <f ca="1">MAX(0.02,MCDA_Prioritisation!$B$12+(RAND()-0.5)*2*$B$6)</f>
        <v>0.11650461420677087</v>
      </c>
      <c r="F808" s="54">
        <f ca="1">MAX(0.02,MCDA_Prioritisation!$B$13+(RAND()-0.5)*2*$B$6)</f>
        <v>9.3985216982240952E-2</v>
      </c>
      <c r="G808" s="54">
        <f t="shared" ca="1" si="168"/>
        <v>0.95630654482489197</v>
      </c>
      <c r="H808" s="54">
        <f t="shared" ca="1" si="169"/>
        <v>0.26828459428351908</v>
      </c>
      <c r="I808" s="54">
        <f t="shared" ca="1" si="170"/>
        <v>0.20560027514383172</v>
      </c>
      <c r="J808" s="54">
        <f t="shared" ca="1" si="171"/>
        <v>0.3060080610057937</v>
      </c>
      <c r="K808" s="54">
        <f t="shared" ca="1" si="172"/>
        <v>0.12182768677809674</v>
      </c>
      <c r="L808" s="54">
        <f t="shared" ca="1" si="173"/>
        <v>9.8279382788758876E-2</v>
      </c>
      <c r="M808" s="54">
        <f ca="1">MIN(100,MAX(0,MCDA_Prioritisation!$F$2+(RAND()-0.5)*2*$B$7))</f>
        <v>76.222558759423379</v>
      </c>
      <c r="N808" s="54">
        <f ca="1">MIN(100,MAX(0,MCDA_Prioritisation!$F$3+(RAND()-0.5)*2*$B$7))</f>
        <v>100</v>
      </c>
      <c r="O808" s="54">
        <f ca="1">MIN(100,MAX(0,MCDA_Prioritisation!$F$4+(RAND()-0.5)*2*$B$7))</f>
        <v>97.28722726960433</v>
      </c>
      <c r="P808" s="54">
        <f ca="1">MIN(100,MAX(0,MCDA_Prioritisation!$F$5+(RAND()-0.5)*2*$B$7))</f>
        <v>68.224807878451458</v>
      </c>
      <c r="Q808" s="54">
        <f ca="1">MIN(100,MAX(0,MCDA_Prioritisation!$G$2+(RAND()-0.5)*2*$B$7))</f>
        <v>70.04223887443186</v>
      </c>
      <c r="R808" s="54">
        <f ca="1">MIN(100,MAX(0,MCDA_Prioritisation!$G$3+(RAND()-0.5)*2*$B$7))</f>
        <v>100</v>
      </c>
      <c r="S808" s="54">
        <f ca="1">MIN(100,MAX(0,MCDA_Prioritisation!$G$4+(RAND()-0.5)*2*$B$7))</f>
        <v>85.536249891614659</v>
      </c>
      <c r="T808" s="54">
        <f ca="1">MIN(100,MAX(0,MCDA_Prioritisation!$G$5+(RAND()-0.5)*2*$B$7))</f>
        <v>71.219766065802958</v>
      </c>
      <c r="U808" s="54">
        <f ca="1">MIN(100,MAX(0,MCDA_Prioritisation!$H$2+(RAND()-0.5)*2*$B$7))</f>
        <v>67.877069511222444</v>
      </c>
      <c r="V808" s="54">
        <f ca="1">MIN(100,MAX(0,MCDA_Prioritisation!$H$3+(RAND()-0.5)*2*$B$7))</f>
        <v>56.465929324211309</v>
      </c>
      <c r="W808" s="54">
        <f ca="1">MIN(100,MAX(0,MCDA_Prioritisation!$H$4+(RAND()-0.5)*2*$B$7))</f>
        <v>76.491306026293586</v>
      </c>
      <c r="X808" s="54">
        <f ca="1">MIN(100,MAX(0,MCDA_Prioritisation!$H$5+(RAND()-0.5)*2*$B$7))</f>
        <v>67.933954201549739</v>
      </c>
      <c r="Y808" s="54">
        <f ca="1">H808*MCDA_Prioritisation!$D$2+I808*MCDA_Prioritisation!$E$2+J808*M808+K808*Q808+L808*U808</f>
        <v>85.917204789509952</v>
      </c>
      <c r="Z808" s="54">
        <f ca="1">H808*MCDA_Prioritisation!$D$3+I808*MCDA_Prioritisation!$E$3+J808*N808+K808*R808+L808*V808</f>
        <v>86.732984306671923</v>
      </c>
      <c r="AA808" s="54">
        <f ca="1">H808*MCDA_Prioritisation!$D$4+I808*MCDA_Prioritisation!$E$4+J808*O808+K808*S808+L808*W808</f>
        <v>77.605200052656755</v>
      </c>
      <c r="AB808" s="54">
        <f ca="1">H808*MCDA_Prioritisation!$D$5+I808*MCDA_Prioritisation!$E$5+J808*P808+K808*T808+L808*X808</f>
        <v>67.758945226655356</v>
      </c>
      <c r="AC808" s="54">
        <f t="shared" ca="1" si="174"/>
        <v>2</v>
      </c>
      <c r="AD808" s="54">
        <f t="shared" ca="1" si="175"/>
        <v>1</v>
      </c>
      <c r="AE808" s="54">
        <f t="shared" ca="1" si="176"/>
        <v>3</v>
      </c>
      <c r="AF808" s="54">
        <f t="shared" ca="1" si="177"/>
        <v>4</v>
      </c>
      <c r="AG808" s="54">
        <f t="shared" ca="1" si="178"/>
        <v>0</v>
      </c>
      <c r="AH808" s="54">
        <f t="shared" ca="1" si="179"/>
        <v>0</v>
      </c>
      <c r="AI808" s="54">
        <f t="shared" ca="1" si="180"/>
        <v>0</v>
      </c>
      <c r="AJ808" s="54">
        <f t="shared" ca="1" si="181"/>
        <v>1</v>
      </c>
    </row>
    <row r="809" spans="1:36" x14ac:dyDescent="0.2">
      <c r="A809" s="54">
        <v>786</v>
      </c>
      <c r="B809" s="54">
        <f ca="1">MAX(0.02,MCDA_Prioritisation!$B$9+(RAND()-0.5)*2*$B$6)</f>
        <v>0.22779907864887608</v>
      </c>
      <c r="C809" s="54">
        <f ca="1">MAX(0.02,MCDA_Prioritisation!$B$10+(RAND()-0.5)*2*$B$6)</f>
        <v>0.29184449183155536</v>
      </c>
      <c r="D809" s="54">
        <f ca="1">MAX(0.02,MCDA_Prioritisation!$B$11+(RAND()-0.5)*2*$B$6)</f>
        <v>0.23226756340638188</v>
      </c>
      <c r="E809" s="54">
        <f ca="1">MAX(0.02,MCDA_Prioritisation!$B$12+(RAND()-0.5)*2*$B$6)</f>
        <v>0.20563045752383835</v>
      </c>
      <c r="F809" s="54">
        <f ca="1">MAX(0.02,MCDA_Prioritisation!$B$13+(RAND()-0.5)*2*$B$6)</f>
        <v>0.14515223302172472</v>
      </c>
      <c r="G809" s="54">
        <f t="shared" ca="1" si="168"/>
        <v>1.1026938244323763</v>
      </c>
      <c r="H809" s="54">
        <f t="shared" ca="1" si="169"/>
        <v>0.206584161080378</v>
      </c>
      <c r="I809" s="54">
        <f t="shared" ca="1" si="170"/>
        <v>0.26466502792086055</v>
      </c>
      <c r="J809" s="54">
        <f t="shared" ca="1" si="171"/>
        <v>0.2106364960608573</v>
      </c>
      <c r="K809" s="54">
        <f t="shared" ca="1" si="172"/>
        <v>0.18648010260662234</v>
      </c>
      <c r="L809" s="54">
        <f t="shared" ca="1" si="173"/>
        <v>0.13163421233128192</v>
      </c>
      <c r="M809" s="54">
        <f ca="1">MIN(100,MAX(0,MCDA_Prioritisation!$F$2+(RAND()-0.5)*2*$B$7))</f>
        <v>89.764944686308183</v>
      </c>
      <c r="N809" s="54">
        <f ca="1">MIN(100,MAX(0,MCDA_Prioritisation!$F$3+(RAND()-0.5)*2*$B$7))</f>
        <v>90.057080391782677</v>
      </c>
      <c r="O809" s="54">
        <f ca="1">MIN(100,MAX(0,MCDA_Prioritisation!$F$4+(RAND()-0.5)*2*$B$7))</f>
        <v>90.148696690533768</v>
      </c>
      <c r="P809" s="54">
        <f ca="1">MIN(100,MAX(0,MCDA_Prioritisation!$F$5+(RAND()-0.5)*2*$B$7))</f>
        <v>73.387542503593153</v>
      </c>
      <c r="Q809" s="54">
        <f ca="1">MIN(100,MAX(0,MCDA_Prioritisation!$G$2+(RAND()-0.5)*2*$B$7))</f>
        <v>85.413014431291515</v>
      </c>
      <c r="R809" s="54">
        <f ca="1">MIN(100,MAX(0,MCDA_Prioritisation!$G$3+(RAND()-0.5)*2*$B$7))</f>
        <v>93.532453674448135</v>
      </c>
      <c r="S809" s="54">
        <f ca="1">MIN(100,MAX(0,MCDA_Prioritisation!$G$4+(RAND()-0.5)*2*$B$7))</f>
        <v>78.108228897067448</v>
      </c>
      <c r="T809" s="54">
        <f ca="1">MIN(100,MAX(0,MCDA_Prioritisation!$G$5+(RAND()-0.5)*2*$B$7))</f>
        <v>62.478883610107161</v>
      </c>
      <c r="U809" s="54">
        <f ca="1">MIN(100,MAX(0,MCDA_Prioritisation!$H$2+(RAND()-0.5)*2*$B$7))</f>
        <v>65.463935586847185</v>
      </c>
      <c r="V809" s="54">
        <f ca="1">MIN(100,MAX(0,MCDA_Prioritisation!$H$3+(RAND()-0.5)*2*$B$7))</f>
        <v>50.792289714753963</v>
      </c>
      <c r="W809" s="54">
        <f ca="1">MIN(100,MAX(0,MCDA_Prioritisation!$H$4+(RAND()-0.5)*2*$B$7))</f>
        <v>80.074372464007979</v>
      </c>
      <c r="X809" s="54">
        <f ca="1">MIN(100,MAX(0,MCDA_Prioritisation!$H$5+(RAND()-0.5)*2*$B$7))</f>
        <v>65.713718140699896</v>
      </c>
      <c r="Y809" s="54">
        <f ca="1">H809*MCDA_Prioritisation!$D$2+I809*MCDA_Prioritisation!$E$2+J809*M809+K809*Q809+L809*U809</f>
        <v>90.57781361011304</v>
      </c>
      <c r="Z809" s="54">
        <f ca="1">H809*MCDA_Prioritisation!$D$3+I809*MCDA_Prioritisation!$E$3+J809*N809+K809*R809+L809*V809</f>
        <v>80.400420853125524</v>
      </c>
      <c r="AA809" s="54">
        <f ca="1">H809*MCDA_Prioritisation!$D$4+I809*MCDA_Prioritisation!$E$4+J809*O809+K809*S809+L809*W809</f>
        <v>72.916343883806661</v>
      </c>
      <c r="AB809" s="54">
        <f ca="1">H809*MCDA_Prioritisation!$D$5+I809*MCDA_Prioritisation!$E$5+J809*P809+K809*T809+L809*X809</f>
        <v>68.979897935520839</v>
      </c>
      <c r="AC809" s="54">
        <f t="shared" ca="1" si="174"/>
        <v>1</v>
      </c>
      <c r="AD809" s="54">
        <f t="shared" ca="1" si="175"/>
        <v>2</v>
      </c>
      <c r="AE809" s="54">
        <f t="shared" ca="1" si="176"/>
        <v>3</v>
      </c>
      <c r="AF809" s="54">
        <f t="shared" ca="1" si="177"/>
        <v>4</v>
      </c>
      <c r="AG809" s="54">
        <f t="shared" ca="1" si="178"/>
        <v>1</v>
      </c>
      <c r="AH809" s="54">
        <f t="shared" ca="1" si="179"/>
        <v>1</v>
      </c>
      <c r="AI809" s="54">
        <f t="shared" ca="1" si="180"/>
        <v>1</v>
      </c>
      <c r="AJ809" s="54">
        <f t="shared" ca="1" si="181"/>
        <v>1</v>
      </c>
    </row>
    <row r="810" spans="1:36" x14ac:dyDescent="0.2">
      <c r="A810" s="54">
        <v>787</v>
      </c>
      <c r="B810" s="54">
        <f ca="1">MAX(0.02,MCDA_Prioritisation!$B$9+(RAND()-0.5)*2*$B$6)</f>
        <v>0.14583238943379725</v>
      </c>
      <c r="C810" s="54">
        <f ca="1">MAX(0.02,MCDA_Prioritisation!$B$10+(RAND()-0.5)*2*$B$6)</f>
        <v>0.23355927152257025</v>
      </c>
      <c r="D810" s="54">
        <f ca="1">MAX(0.02,MCDA_Prioritisation!$B$11+(RAND()-0.5)*2*$B$6)</f>
        <v>0.18908099102777454</v>
      </c>
      <c r="E810" s="54">
        <f ca="1">MAX(0.02,MCDA_Prioritisation!$B$12+(RAND()-0.5)*2*$B$6)</f>
        <v>0.12630450671349136</v>
      </c>
      <c r="F810" s="54">
        <f ca="1">MAX(0.02,MCDA_Prioritisation!$B$13+(RAND()-0.5)*2*$B$6)</f>
        <v>0.15811376668670266</v>
      </c>
      <c r="G810" s="54">
        <f t="shared" ca="1" si="168"/>
        <v>0.85289092538433608</v>
      </c>
      <c r="H810" s="54">
        <f t="shared" ca="1" si="169"/>
        <v>0.17098597850373559</v>
      </c>
      <c r="I810" s="54">
        <f t="shared" ca="1" si="170"/>
        <v>0.27384424499219762</v>
      </c>
      <c r="J810" s="54">
        <f t="shared" ca="1" si="171"/>
        <v>0.22169422302455552</v>
      </c>
      <c r="K810" s="54">
        <f t="shared" ca="1" si="172"/>
        <v>0.14808987052661521</v>
      </c>
      <c r="L810" s="54">
        <f t="shared" ca="1" si="173"/>
        <v>0.18538568295289606</v>
      </c>
      <c r="M810" s="54">
        <f ca="1">MIN(100,MAX(0,MCDA_Prioritisation!$F$2+(RAND()-0.5)*2*$B$7))</f>
        <v>84.471976235835271</v>
      </c>
      <c r="N810" s="54">
        <f ca="1">MIN(100,MAX(0,MCDA_Prioritisation!$F$3+(RAND()-0.5)*2*$B$7))</f>
        <v>100</v>
      </c>
      <c r="O810" s="54">
        <f ca="1">MIN(100,MAX(0,MCDA_Prioritisation!$F$4+(RAND()-0.5)*2*$B$7))</f>
        <v>91.22943222474035</v>
      </c>
      <c r="P810" s="54">
        <f ca="1">MIN(100,MAX(0,MCDA_Prioritisation!$F$5+(RAND()-0.5)*2*$B$7))</f>
        <v>84.076982217917475</v>
      </c>
      <c r="Q810" s="54">
        <f ca="1">MIN(100,MAX(0,MCDA_Prioritisation!$G$2+(RAND()-0.5)*2*$B$7))</f>
        <v>71.814627298142383</v>
      </c>
      <c r="R810" s="54">
        <f ca="1">MIN(100,MAX(0,MCDA_Prioritisation!$G$3+(RAND()-0.5)*2*$B$7))</f>
        <v>86.76355602781004</v>
      </c>
      <c r="S810" s="54">
        <f ca="1">MIN(100,MAX(0,MCDA_Prioritisation!$G$4+(RAND()-0.5)*2*$B$7))</f>
        <v>80.976830116163086</v>
      </c>
      <c r="T810" s="54">
        <f ca="1">MIN(100,MAX(0,MCDA_Prioritisation!$G$5+(RAND()-0.5)*2*$B$7))</f>
        <v>76.725906613429984</v>
      </c>
      <c r="U810" s="54">
        <f ca="1">MIN(100,MAX(0,MCDA_Prioritisation!$H$2+(RAND()-0.5)*2*$B$7))</f>
        <v>69.12260687349945</v>
      </c>
      <c r="V810" s="54">
        <f ca="1">MIN(100,MAX(0,MCDA_Prioritisation!$H$3+(RAND()-0.5)*2*$B$7))</f>
        <v>60.924872505796536</v>
      </c>
      <c r="W810" s="54">
        <f ca="1">MIN(100,MAX(0,MCDA_Prioritisation!$H$4+(RAND()-0.5)*2*$B$7))</f>
        <v>85.126289691964345</v>
      </c>
      <c r="X810" s="54">
        <f ca="1">MIN(100,MAX(0,MCDA_Prioritisation!$H$5+(RAND()-0.5)*2*$B$7))</f>
        <v>78.144216935748616</v>
      </c>
      <c r="Y810" s="54">
        <f ca="1">H810*MCDA_Prioritisation!$D$2+I810*MCDA_Prioritisation!$E$2+J810*M810+K810*Q810+L810*U810</f>
        <v>86.659332029772813</v>
      </c>
      <c r="Z810" s="54">
        <f ca="1">H810*MCDA_Prioritisation!$D$3+I810*MCDA_Prioritisation!$E$3+J810*N810+K810*R810+L810*V810</f>
        <v>81.172404348685987</v>
      </c>
      <c r="AA810" s="54">
        <f ca="1">H810*MCDA_Prioritisation!$D$4+I810*MCDA_Prioritisation!$E$4+J810*O810+K810*S810+L810*W810</f>
        <v>74.841498935863726</v>
      </c>
      <c r="AB810" s="54">
        <f ca="1">H810*MCDA_Prioritisation!$D$5+I810*MCDA_Prioritisation!$E$5+J810*P810+K810*T810+L810*X810</f>
        <v>76.59157431577529</v>
      </c>
      <c r="AC810" s="54">
        <f t="shared" ca="1" si="174"/>
        <v>1</v>
      </c>
      <c r="AD810" s="54">
        <f t="shared" ca="1" si="175"/>
        <v>2</v>
      </c>
      <c r="AE810" s="54">
        <f t="shared" ca="1" si="176"/>
        <v>4</v>
      </c>
      <c r="AF810" s="54">
        <f t="shared" ca="1" si="177"/>
        <v>3</v>
      </c>
      <c r="AG810" s="54">
        <f t="shared" ca="1" si="178"/>
        <v>1</v>
      </c>
      <c r="AH810" s="54">
        <f t="shared" ca="1" si="179"/>
        <v>1</v>
      </c>
      <c r="AI810" s="54">
        <f t="shared" ca="1" si="180"/>
        <v>0</v>
      </c>
      <c r="AJ810" s="54">
        <f t="shared" ca="1" si="181"/>
        <v>1</v>
      </c>
    </row>
    <row r="811" spans="1:36" x14ac:dyDescent="0.2">
      <c r="A811" s="54">
        <v>788</v>
      </c>
      <c r="B811" s="54">
        <f ca="1">MAX(0.02,MCDA_Prioritisation!$B$9+(RAND()-0.5)*2*$B$6)</f>
        <v>0.14319535111021847</v>
      </c>
      <c r="C811" s="54">
        <f ca="1">MAX(0.02,MCDA_Prioritisation!$B$10+(RAND()-0.5)*2*$B$6)</f>
        <v>0.18846228647013927</v>
      </c>
      <c r="D811" s="54">
        <f ca="1">MAX(0.02,MCDA_Prioritisation!$B$11+(RAND()-0.5)*2*$B$6)</f>
        <v>0.30573095478347839</v>
      </c>
      <c r="E811" s="54">
        <f ca="1">MAX(0.02,MCDA_Prioritisation!$B$12+(RAND()-0.5)*2*$B$6)</f>
        <v>0.11977776435692236</v>
      </c>
      <c r="F811" s="54">
        <f ca="1">MAX(0.02,MCDA_Prioritisation!$B$13+(RAND()-0.5)*2*$B$6)</f>
        <v>0.14935956403922382</v>
      </c>
      <c r="G811" s="54">
        <f t="shared" ca="1" si="168"/>
        <v>0.90652592075998217</v>
      </c>
      <c r="H811" s="54">
        <f t="shared" ca="1" si="169"/>
        <v>0.1579605699417522</v>
      </c>
      <c r="I811" s="54">
        <f t="shared" ca="1" si="170"/>
        <v>0.20789508844065122</v>
      </c>
      <c r="J811" s="54">
        <f t="shared" ca="1" si="171"/>
        <v>0.33725561264389453</v>
      </c>
      <c r="K811" s="54">
        <f t="shared" ca="1" si="172"/>
        <v>0.13212833920568667</v>
      </c>
      <c r="L811" s="54">
        <f t="shared" ca="1" si="173"/>
        <v>0.16476038976801552</v>
      </c>
      <c r="M811" s="54">
        <f ca="1">MIN(100,MAX(0,MCDA_Prioritisation!$F$2+(RAND()-0.5)*2*$B$7))</f>
        <v>78.671726780403603</v>
      </c>
      <c r="N811" s="54">
        <f ca="1">MIN(100,MAX(0,MCDA_Prioritisation!$F$3+(RAND()-0.5)*2*$B$7))</f>
        <v>90.898762391599647</v>
      </c>
      <c r="O811" s="54">
        <f ca="1">MIN(100,MAX(0,MCDA_Prioritisation!$F$4+(RAND()-0.5)*2*$B$7))</f>
        <v>94.55973021829135</v>
      </c>
      <c r="P811" s="54">
        <f ca="1">MIN(100,MAX(0,MCDA_Prioritisation!$F$5+(RAND()-0.5)*2*$B$7))</f>
        <v>70.328707175073063</v>
      </c>
      <c r="Q811" s="54">
        <f ca="1">MIN(100,MAX(0,MCDA_Prioritisation!$G$2+(RAND()-0.5)*2*$B$7))</f>
        <v>76.232170234865308</v>
      </c>
      <c r="R811" s="54">
        <f ca="1">MIN(100,MAX(0,MCDA_Prioritisation!$G$3+(RAND()-0.5)*2*$B$7))</f>
        <v>91.621105804619887</v>
      </c>
      <c r="S811" s="54">
        <f ca="1">MIN(100,MAX(0,MCDA_Prioritisation!$G$4+(RAND()-0.5)*2*$B$7))</f>
        <v>88.979806655321809</v>
      </c>
      <c r="T811" s="54">
        <f ca="1">MIN(100,MAX(0,MCDA_Prioritisation!$G$5+(RAND()-0.5)*2*$B$7))</f>
        <v>70.397780203330328</v>
      </c>
      <c r="U811" s="54">
        <f ca="1">MIN(100,MAX(0,MCDA_Prioritisation!$H$2+(RAND()-0.5)*2*$B$7))</f>
        <v>70.522505216690661</v>
      </c>
      <c r="V811" s="54">
        <f ca="1">MIN(100,MAX(0,MCDA_Prioritisation!$H$3+(RAND()-0.5)*2*$B$7))</f>
        <v>52.072852260354445</v>
      </c>
      <c r="W811" s="54">
        <f ca="1">MIN(100,MAX(0,MCDA_Prioritisation!$H$4+(RAND()-0.5)*2*$B$7))</f>
        <v>84.4842567108129</v>
      </c>
      <c r="X811" s="54">
        <f ca="1">MIN(100,MAX(0,MCDA_Prioritisation!$H$5+(RAND()-0.5)*2*$B$7))</f>
        <v>73.827016024038954</v>
      </c>
      <c r="Y811" s="54">
        <f ca="1">H811*MCDA_Prioritisation!$D$2+I811*MCDA_Prioritisation!$E$2+J811*M811+K811*Q811+L811*U811</f>
        <v>84.809792745415237</v>
      </c>
      <c r="Z811" s="54">
        <f ca="1">H811*MCDA_Prioritisation!$D$3+I811*MCDA_Prioritisation!$E$3+J811*N811+K811*R811+L811*V811</f>
        <v>80.266303116145281</v>
      </c>
      <c r="AA811" s="54">
        <f ca="1">H811*MCDA_Prioritisation!$D$4+I811*MCDA_Prioritisation!$E$4+J811*O811+K811*S811+L811*W811</f>
        <v>79.906390487760717</v>
      </c>
      <c r="AB811" s="54">
        <f ca="1">H811*MCDA_Prioritisation!$D$5+I811*MCDA_Prioritisation!$E$5+J811*P811+K811*T811+L811*X811</f>
        <v>71.050045731278658</v>
      </c>
      <c r="AC811" s="54">
        <f t="shared" ca="1" si="174"/>
        <v>1</v>
      </c>
      <c r="AD811" s="54">
        <f t="shared" ca="1" si="175"/>
        <v>2</v>
      </c>
      <c r="AE811" s="54">
        <f t="shared" ca="1" si="176"/>
        <v>3</v>
      </c>
      <c r="AF811" s="54">
        <f t="shared" ca="1" si="177"/>
        <v>4</v>
      </c>
      <c r="AG811" s="54">
        <f t="shared" ca="1" si="178"/>
        <v>1</v>
      </c>
      <c r="AH811" s="54">
        <f t="shared" ca="1" si="179"/>
        <v>1</v>
      </c>
      <c r="AI811" s="54">
        <f t="shared" ca="1" si="180"/>
        <v>1</v>
      </c>
      <c r="AJ811" s="54">
        <f t="shared" ca="1" si="181"/>
        <v>1</v>
      </c>
    </row>
    <row r="812" spans="1:36" x14ac:dyDescent="0.2">
      <c r="A812" s="54">
        <v>789</v>
      </c>
      <c r="B812" s="54">
        <f ca="1">MAX(0.02,MCDA_Prioritisation!$B$9+(RAND()-0.5)*2*$B$6)</f>
        <v>0.21891157084013957</v>
      </c>
      <c r="C812" s="54">
        <f ca="1">MAX(0.02,MCDA_Prioritisation!$B$10+(RAND()-0.5)*2*$B$6)</f>
        <v>0.30400297095681383</v>
      </c>
      <c r="D812" s="54">
        <f ca="1">MAX(0.02,MCDA_Prioritisation!$B$11+(RAND()-0.5)*2*$B$6)</f>
        <v>0.18291328895550762</v>
      </c>
      <c r="E812" s="54">
        <f ca="1">MAX(0.02,MCDA_Prioritisation!$B$12+(RAND()-0.5)*2*$B$6)</f>
        <v>0.17864363880059361</v>
      </c>
      <c r="F812" s="54">
        <f ca="1">MAX(0.02,MCDA_Prioritisation!$B$13+(RAND()-0.5)*2*$B$6)</f>
        <v>0.19283934951418263</v>
      </c>
      <c r="G812" s="54">
        <f t="shared" ca="1" si="168"/>
        <v>1.0773108190672374</v>
      </c>
      <c r="H812" s="54">
        <f t="shared" ca="1" si="169"/>
        <v>0.20320186798985151</v>
      </c>
      <c r="I812" s="54">
        <f t="shared" ca="1" si="170"/>
        <v>0.28218687269847265</v>
      </c>
      <c r="J812" s="54">
        <f t="shared" ca="1" si="171"/>
        <v>0.16978692288069522</v>
      </c>
      <c r="K812" s="54">
        <f t="shared" ca="1" si="172"/>
        <v>0.16582367468960141</v>
      </c>
      <c r="L812" s="54">
        <f t="shared" ca="1" si="173"/>
        <v>0.17900066174137913</v>
      </c>
      <c r="M812" s="54">
        <f ca="1">MIN(100,MAX(0,MCDA_Prioritisation!$F$2+(RAND()-0.5)*2*$B$7))</f>
        <v>93.699192018756548</v>
      </c>
      <c r="N812" s="54">
        <f ca="1">MIN(100,MAX(0,MCDA_Prioritisation!$F$3+(RAND()-0.5)*2*$B$7))</f>
        <v>100</v>
      </c>
      <c r="O812" s="54">
        <f ca="1">MIN(100,MAX(0,MCDA_Prioritisation!$F$4+(RAND()-0.5)*2*$B$7))</f>
        <v>99.958962622712306</v>
      </c>
      <c r="P812" s="54">
        <f ca="1">MIN(100,MAX(0,MCDA_Prioritisation!$F$5+(RAND()-0.5)*2*$B$7))</f>
        <v>82.877645330067779</v>
      </c>
      <c r="Q812" s="54">
        <f ca="1">MIN(100,MAX(0,MCDA_Prioritisation!$G$2+(RAND()-0.5)*2*$B$7))</f>
        <v>73.918602459439001</v>
      </c>
      <c r="R812" s="54">
        <f ca="1">MIN(100,MAX(0,MCDA_Prioritisation!$G$3+(RAND()-0.5)*2*$B$7))</f>
        <v>90.655707551744328</v>
      </c>
      <c r="S812" s="54">
        <f ca="1">MIN(100,MAX(0,MCDA_Prioritisation!$G$4+(RAND()-0.5)*2*$B$7))</f>
        <v>76.242401623268364</v>
      </c>
      <c r="T812" s="54">
        <f ca="1">MIN(100,MAX(0,MCDA_Prioritisation!$G$5+(RAND()-0.5)*2*$B$7))</f>
        <v>64.063402002244331</v>
      </c>
      <c r="U812" s="54">
        <f ca="1">MIN(100,MAX(0,MCDA_Prioritisation!$H$2+(RAND()-0.5)*2*$B$7))</f>
        <v>67.05150742077285</v>
      </c>
      <c r="V812" s="54">
        <f ca="1">MIN(100,MAX(0,MCDA_Prioritisation!$H$3+(RAND()-0.5)*2*$B$7))</f>
        <v>68.160228429575156</v>
      </c>
      <c r="W812" s="54">
        <f ca="1">MIN(100,MAX(0,MCDA_Prioritisation!$H$4+(RAND()-0.5)*2*$B$7))</f>
        <v>76.860077501249719</v>
      </c>
      <c r="X812" s="54">
        <f ca="1">MIN(100,MAX(0,MCDA_Prioritisation!$H$5+(RAND()-0.5)*2*$B$7))</f>
        <v>82.448831979088126</v>
      </c>
      <c r="Y812" s="54">
        <f ca="1">H812*MCDA_Prioritisation!$D$2+I812*MCDA_Prioritisation!$E$2+J812*M812+K812*Q812+L812*U812</f>
        <v>88.707490044923787</v>
      </c>
      <c r="Z812" s="54">
        <f ca="1">H812*MCDA_Prioritisation!$D$3+I812*MCDA_Prioritisation!$E$3+J812*N812+K812*R812+L812*V812</f>
        <v>82.494163484052024</v>
      </c>
      <c r="AA812" s="54">
        <f ca="1">H812*MCDA_Prioritisation!$D$4+I812*MCDA_Prioritisation!$E$4+J812*O812+K812*S812+L812*W812</f>
        <v>72.914319398892189</v>
      </c>
      <c r="AB812" s="54">
        <f ca="1">H812*MCDA_Prioritisation!$D$5+I812*MCDA_Prioritisation!$E$5+J812*P812+K812*T812+L812*X812</f>
        <v>73.967635209136787</v>
      </c>
      <c r="AC812" s="54">
        <f t="shared" ca="1" si="174"/>
        <v>1</v>
      </c>
      <c r="AD812" s="54">
        <f t="shared" ca="1" si="175"/>
        <v>2</v>
      </c>
      <c r="AE812" s="54">
        <f t="shared" ca="1" si="176"/>
        <v>4</v>
      </c>
      <c r="AF812" s="54">
        <f t="shared" ca="1" si="177"/>
        <v>3</v>
      </c>
      <c r="AG812" s="54">
        <f t="shared" ca="1" si="178"/>
        <v>1</v>
      </c>
      <c r="AH812" s="54">
        <f t="shared" ca="1" si="179"/>
        <v>1</v>
      </c>
      <c r="AI812" s="54">
        <f t="shared" ca="1" si="180"/>
        <v>0</v>
      </c>
      <c r="AJ812" s="54">
        <f t="shared" ca="1" si="181"/>
        <v>1</v>
      </c>
    </row>
    <row r="813" spans="1:36" x14ac:dyDescent="0.2">
      <c r="A813" s="54">
        <v>790</v>
      </c>
      <c r="B813" s="54">
        <f ca="1">MAX(0.02,MCDA_Prioritisation!$B$9+(RAND()-0.5)*2*$B$6)</f>
        <v>0.25827470840640443</v>
      </c>
      <c r="C813" s="54">
        <f ca="1">MAX(0.02,MCDA_Prioritisation!$B$10+(RAND()-0.5)*2*$B$6)</f>
        <v>0.25402356382558261</v>
      </c>
      <c r="D813" s="54">
        <f ca="1">MAX(0.02,MCDA_Prioritisation!$B$11+(RAND()-0.5)*2*$B$6)</f>
        <v>0.18101793154359372</v>
      </c>
      <c r="E813" s="54">
        <f ca="1">MAX(0.02,MCDA_Prioritisation!$B$12+(RAND()-0.5)*2*$B$6)</f>
        <v>0.14625071448464383</v>
      </c>
      <c r="F813" s="54">
        <f ca="1">MAX(0.02,MCDA_Prioritisation!$B$13+(RAND()-0.5)*2*$B$6)</f>
        <v>0.20907106164662981</v>
      </c>
      <c r="G813" s="54">
        <f t="shared" ca="1" si="168"/>
        <v>1.0486379799068544</v>
      </c>
      <c r="H813" s="54">
        <f t="shared" ca="1" si="169"/>
        <v>0.24629539779719381</v>
      </c>
      <c r="I813" s="54">
        <f t="shared" ca="1" si="170"/>
        <v>0.24224143001967785</v>
      </c>
      <c r="J813" s="54">
        <f t="shared" ca="1" si="171"/>
        <v>0.17262194867257497</v>
      </c>
      <c r="K813" s="54">
        <f t="shared" ca="1" si="172"/>
        <v>0.13946730643652122</v>
      </c>
      <c r="L813" s="54">
        <f t="shared" ca="1" si="173"/>
        <v>0.19937391707403218</v>
      </c>
      <c r="M813" s="54">
        <f ca="1">MIN(100,MAX(0,MCDA_Prioritisation!$F$2+(RAND()-0.5)*2*$B$7))</f>
        <v>84.916697008634642</v>
      </c>
      <c r="N813" s="54">
        <f ca="1">MIN(100,MAX(0,MCDA_Prioritisation!$F$3+(RAND()-0.5)*2*$B$7))</f>
        <v>100</v>
      </c>
      <c r="O813" s="54">
        <f ca="1">MIN(100,MAX(0,MCDA_Prioritisation!$F$4+(RAND()-0.5)*2*$B$7))</f>
        <v>87.833540701089021</v>
      </c>
      <c r="P813" s="54">
        <f ca="1">MIN(100,MAX(0,MCDA_Prioritisation!$F$5+(RAND()-0.5)*2*$B$7))</f>
        <v>70.928449695137274</v>
      </c>
      <c r="Q813" s="54">
        <f ca="1">MIN(100,MAX(0,MCDA_Prioritisation!$G$2+(RAND()-0.5)*2*$B$7))</f>
        <v>85.20136788022063</v>
      </c>
      <c r="R813" s="54">
        <f ca="1">MIN(100,MAX(0,MCDA_Prioritisation!$G$3+(RAND()-0.5)*2*$B$7))</f>
        <v>94.904862391938423</v>
      </c>
      <c r="S813" s="54">
        <f ca="1">MIN(100,MAX(0,MCDA_Prioritisation!$G$4+(RAND()-0.5)*2*$B$7))</f>
        <v>93.994168733228832</v>
      </c>
      <c r="T813" s="54">
        <f ca="1">MIN(100,MAX(0,MCDA_Prioritisation!$G$5+(RAND()-0.5)*2*$B$7))</f>
        <v>62.135791758737099</v>
      </c>
      <c r="U813" s="54">
        <f ca="1">MIN(100,MAX(0,MCDA_Prioritisation!$H$2+(RAND()-0.5)*2*$B$7))</f>
        <v>72.181891245144783</v>
      </c>
      <c r="V813" s="54">
        <f ca="1">MIN(100,MAX(0,MCDA_Prioritisation!$H$3+(RAND()-0.5)*2*$B$7))</f>
        <v>63.734982584388696</v>
      </c>
      <c r="W813" s="54">
        <f ca="1">MIN(100,MAX(0,MCDA_Prioritisation!$H$4+(RAND()-0.5)*2*$B$7))</f>
        <v>78.000127905661643</v>
      </c>
      <c r="X813" s="54">
        <f ca="1">MIN(100,MAX(0,MCDA_Prioritisation!$H$5+(RAND()-0.5)*2*$B$7))</f>
        <v>65.576961886987675</v>
      </c>
      <c r="Y813" s="54">
        <f ca="1">H813*MCDA_Prioritisation!$D$2+I813*MCDA_Prioritisation!$E$2+J813*M813+K813*Q813+L813*U813</f>
        <v>89.786160176474112</v>
      </c>
      <c r="Z813" s="54">
        <f ca="1">H813*MCDA_Prioritisation!$D$3+I813*MCDA_Prioritisation!$E$3+J813*N813+K813*R813+L813*V813</f>
        <v>82.348411363917421</v>
      </c>
      <c r="AA813" s="54">
        <f ca="1">H813*MCDA_Prioritisation!$D$4+I813*MCDA_Prioritisation!$E$4+J813*O813+K813*S813+L813*W813</f>
        <v>74.186034061910362</v>
      </c>
      <c r="AB813" s="54">
        <f ca="1">H813*MCDA_Prioritisation!$D$5+I813*MCDA_Prioritisation!$E$5+J813*P813+K813*T813+L813*X813</f>
        <v>67.426703940761399</v>
      </c>
      <c r="AC813" s="54">
        <f t="shared" ca="1" si="174"/>
        <v>1</v>
      </c>
      <c r="AD813" s="54">
        <f t="shared" ca="1" si="175"/>
        <v>2</v>
      </c>
      <c r="AE813" s="54">
        <f t="shared" ca="1" si="176"/>
        <v>3</v>
      </c>
      <c r="AF813" s="54">
        <f t="shared" ca="1" si="177"/>
        <v>4</v>
      </c>
      <c r="AG813" s="54">
        <f t="shared" ca="1" si="178"/>
        <v>1</v>
      </c>
      <c r="AH813" s="54">
        <f t="shared" ca="1" si="179"/>
        <v>1</v>
      </c>
      <c r="AI813" s="54">
        <f t="shared" ca="1" si="180"/>
        <v>1</v>
      </c>
      <c r="AJ813" s="54">
        <f t="shared" ca="1" si="181"/>
        <v>1</v>
      </c>
    </row>
    <row r="814" spans="1:36" x14ac:dyDescent="0.2">
      <c r="A814" s="54">
        <v>791</v>
      </c>
      <c r="B814" s="54">
        <f ca="1">MAX(0.02,MCDA_Prioritisation!$B$9+(RAND()-0.5)*2*$B$6)</f>
        <v>0.2024250155583249</v>
      </c>
      <c r="C814" s="54">
        <f ca="1">MAX(0.02,MCDA_Prioritisation!$B$10+(RAND()-0.5)*2*$B$6)</f>
        <v>0.31266116760666668</v>
      </c>
      <c r="D814" s="54">
        <f ca="1">MAX(0.02,MCDA_Prioritisation!$B$11+(RAND()-0.5)*2*$B$6)</f>
        <v>0.3038343615291213</v>
      </c>
      <c r="E814" s="54">
        <f ca="1">MAX(0.02,MCDA_Prioritisation!$B$12+(RAND()-0.5)*2*$B$6)</f>
        <v>0.15341279809927014</v>
      </c>
      <c r="F814" s="54">
        <f ca="1">MAX(0.02,MCDA_Prioritisation!$B$13+(RAND()-0.5)*2*$B$6)</f>
        <v>0.18478044974184168</v>
      </c>
      <c r="G814" s="54">
        <f t="shared" ca="1" si="168"/>
        <v>1.1571137925352246</v>
      </c>
      <c r="H814" s="54">
        <f t="shared" ca="1" si="169"/>
        <v>0.17493959268674322</v>
      </c>
      <c r="I814" s="54">
        <f t="shared" ca="1" si="170"/>
        <v>0.27020779600390832</v>
      </c>
      <c r="J814" s="54">
        <f t="shared" ca="1" si="171"/>
        <v>0.26257950038208711</v>
      </c>
      <c r="K814" s="54">
        <f t="shared" ca="1" si="172"/>
        <v>0.13258229146430295</v>
      </c>
      <c r="L814" s="54">
        <f t="shared" ca="1" si="173"/>
        <v>0.15969081946295843</v>
      </c>
      <c r="M814" s="54">
        <f ca="1">MIN(100,MAX(0,MCDA_Prioritisation!$F$2+(RAND()-0.5)*2*$B$7))</f>
        <v>86.890164765435216</v>
      </c>
      <c r="N814" s="54">
        <f ca="1">MIN(100,MAX(0,MCDA_Prioritisation!$F$3+(RAND()-0.5)*2*$B$7))</f>
        <v>100</v>
      </c>
      <c r="O814" s="54">
        <f ca="1">MIN(100,MAX(0,MCDA_Prioritisation!$F$4+(RAND()-0.5)*2*$B$7))</f>
        <v>83.922732045871484</v>
      </c>
      <c r="P814" s="54">
        <f ca="1">MIN(100,MAX(0,MCDA_Prioritisation!$F$5+(RAND()-0.5)*2*$B$7))</f>
        <v>78.585620569574743</v>
      </c>
      <c r="Q814" s="54">
        <f ca="1">MIN(100,MAX(0,MCDA_Prioritisation!$G$2+(RAND()-0.5)*2*$B$7))</f>
        <v>87.326956185772843</v>
      </c>
      <c r="R814" s="54">
        <f ca="1">MIN(100,MAX(0,MCDA_Prioritisation!$G$3+(RAND()-0.5)*2*$B$7))</f>
        <v>87.778069548680534</v>
      </c>
      <c r="S814" s="54">
        <f ca="1">MIN(100,MAX(0,MCDA_Prioritisation!$G$4+(RAND()-0.5)*2*$B$7))</f>
        <v>82.762654624529944</v>
      </c>
      <c r="T814" s="54">
        <f ca="1">MIN(100,MAX(0,MCDA_Prioritisation!$G$5+(RAND()-0.5)*2*$B$7))</f>
        <v>69.640739639696548</v>
      </c>
      <c r="U814" s="54">
        <f ca="1">MIN(100,MAX(0,MCDA_Prioritisation!$H$2+(RAND()-0.5)*2*$B$7))</f>
        <v>55.461727397818201</v>
      </c>
      <c r="V814" s="54">
        <f ca="1">MIN(100,MAX(0,MCDA_Prioritisation!$H$3+(RAND()-0.5)*2*$B$7))</f>
        <v>58.679338547277837</v>
      </c>
      <c r="W814" s="54">
        <f ca="1">MIN(100,MAX(0,MCDA_Prioritisation!$H$4+(RAND()-0.5)*2*$B$7))</f>
        <v>83.751188385538441</v>
      </c>
      <c r="X814" s="54">
        <f ca="1">MIN(100,MAX(0,MCDA_Prioritisation!$H$5+(RAND()-0.5)*2*$B$7))</f>
        <v>76.077935031678635</v>
      </c>
      <c r="Y814" s="54">
        <f ca="1">H814*MCDA_Prioritisation!$D$2+I814*MCDA_Prioritisation!$E$2+J814*M814+K814*Q814+L814*U814</f>
        <v>87.765051575991706</v>
      </c>
      <c r="Z814" s="54">
        <f ca="1">H814*MCDA_Prioritisation!$D$3+I814*MCDA_Prioritisation!$E$3+J814*N814+K814*R814+L814*V814</f>
        <v>82.206962832701052</v>
      </c>
      <c r="AA814" s="54">
        <f ca="1">H814*MCDA_Prioritisation!$D$4+I814*MCDA_Prioritisation!$E$4+J814*O814+K814*S814+L814*W814</f>
        <v>73.303919242844501</v>
      </c>
      <c r="AB814" s="54">
        <f ca="1">H814*MCDA_Prioritisation!$D$5+I814*MCDA_Prioritisation!$E$5+J814*P814+K814*T814+L814*X814</f>
        <v>74.02414337167265</v>
      </c>
      <c r="AC814" s="54">
        <f t="shared" ca="1" si="174"/>
        <v>1</v>
      </c>
      <c r="AD814" s="54">
        <f t="shared" ca="1" si="175"/>
        <v>2</v>
      </c>
      <c r="AE814" s="54">
        <f t="shared" ca="1" si="176"/>
        <v>4</v>
      </c>
      <c r="AF814" s="54">
        <f t="shared" ca="1" si="177"/>
        <v>3</v>
      </c>
      <c r="AG814" s="54">
        <f t="shared" ca="1" si="178"/>
        <v>1</v>
      </c>
      <c r="AH814" s="54">
        <f t="shared" ca="1" si="179"/>
        <v>1</v>
      </c>
      <c r="AI814" s="54">
        <f t="shared" ca="1" si="180"/>
        <v>0</v>
      </c>
      <c r="AJ814" s="54">
        <f t="shared" ca="1" si="181"/>
        <v>1</v>
      </c>
    </row>
    <row r="815" spans="1:36" x14ac:dyDescent="0.2">
      <c r="A815" s="54">
        <v>792</v>
      </c>
      <c r="B815" s="54">
        <f ca="1">MAX(0.02,MCDA_Prioritisation!$B$9+(RAND()-0.5)*2*$B$6)</f>
        <v>0.22347014214905775</v>
      </c>
      <c r="C815" s="54">
        <f ca="1">MAX(0.02,MCDA_Prioritisation!$B$10+(RAND()-0.5)*2*$B$6)</f>
        <v>0.28920443643351151</v>
      </c>
      <c r="D815" s="54">
        <f ca="1">MAX(0.02,MCDA_Prioritisation!$B$11+(RAND()-0.5)*2*$B$6)</f>
        <v>0.25635921242948656</v>
      </c>
      <c r="E815" s="54">
        <f ca="1">MAX(0.02,MCDA_Prioritisation!$B$12+(RAND()-0.5)*2*$B$6)</f>
        <v>0.17723169491751792</v>
      </c>
      <c r="F815" s="54">
        <f ca="1">MAX(0.02,MCDA_Prioritisation!$B$13+(RAND()-0.5)*2*$B$6)</f>
        <v>0.20188615867907247</v>
      </c>
      <c r="G815" s="54">
        <f t="shared" ca="1" si="168"/>
        <v>1.1481516446086462</v>
      </c>
      <c r="H815" s="54">
        <f t="shared" ca="1" si="169"/>
        <v>0.19463469237569989</v>
      </c>
      <c r="I815" s="54">
        <f t="shared" ca="1" si="170"/>
        <v>0.2518869678857521</v>
      </c>
      <c r="J815" s="54">
        <f t="shared" ca="1" si="171"/>
        <v>0.22327992441875394</v>
      </c>
      <c r="K815" s="54">
        <f t="shared" ca="1" si="172"/>
        <v>0.15436261904056089</v>
      </c>
      <c r="L815" s="54">
        <f t="shared" ca="1" si="173"/>
        <v>0.17583579627923321</v>
      </c>
      <c r="M815" s="54">
        <f ca="1">MIN(100,MAX(0,MCDA_Prioritisation!$F$2+(RAND()-0.5)*2*$B$7))</f>
        <v>75.172838777428524</v>
      </c>
      <c r="N815" s="54">
        <f ca="1">MIN(100,MAX(0,MCDA_Prioritisation!$F$3+(RAND()-0.5)*2*$B$7))</f>
        <v>100</v>
      </c>
      <c r="O815" s="54">
        <f ca="1">MIN(100,MAX(0,MCDA_Prioritisation!$F$4+(RAND()-0.5)*2*$B$7))</f>
        <v>99.477486817559452</v>
      </c>
      <c r="P815" s="54">
        <f ca="1">MIN(100,MAX(0,MCDA_Prioritisation!$F$5+(RAND()-0.5)*2*$B$7))</f>
        <v>79.688614754491397</v>
      </c>
      <c r="Q815" s="54">
        <f ca="1">MIN(100,MAX(0,MCDA_Prioritisation!$G$2+(RAND()-0.5)*2*$B$7))</f>
        <v>75.548071308574777</v>
      </c>
      <c r="R815" s="54">
        <f ca="1">MIN(100,MAX(0,MCDA_Prioritisation!$G$3+(RAND()-0.5)*2*$B$7))</f>
        <v>86.749477810042805</v>
      </c>
      <c r="S815" s="54">
        <f ca="1">MIN(100,MAX(0,MCDA_Prioritisation!$G$4+(RAND()-0.5)*2*$B$7))</f>
        <v>83.673533826136918</v>
      </c>
      <c r="T815" s="54">
        <f ca="1">MIN(100,MAX(0,MCDA_Prioritisation!$G$5+(RAND()-0.5)*2*$B$7))</f>
        <v>77.610564663052713</v>
      </c>
      <c r="U815" s="54">
        <f ca="1">MIN(100,MAX(0,MCDA_Prioritisation!$H$2+(RAND()-0.5)*2*$B$7))</f>
        <v>55.615291381366127</v>
      </c>
      <c r="V815" s="54">
        <f ca="1">MIN(100,MAX(0,MCDA_Prioritisation!$H$3+(RAND()-0.5)*2*$B$7))</f>
        <v>59.747406655344413</v>
      </c>
      <c r="W815" s="54">
        <f ca="1">MIN(100,MAX(0,MCDA_Prioritisation!$H$4+(RAND()-0.5)*2*$B$7))</f>
        <v>72.264278592775909</v>
      </c>
      <c r="X815" s="54">
        <f ca="1">MIN(100,MAX(0,MCDA_Prioritisation!$H$5+(RAND()-0.5)*2*$B$7))</f>
        <v>83.126155020647076</v>
      </c>
      <c r="Y815" s="54">
        <f ca="1">H815*MCDA_Prioritisation!$D$2+I815*MCDA_Prioritisation!$E$2+J815*M815+K815*Q815+L815*U815</f>
        <v>82.877708982711354</v>
      </c>
      <c r="Z815" s="54">
        <f ca="1">H815*MCDA_Prioritisation!$D$3+I815*MCDA_Prioritisation!$E$3+J815*N815+K815*R815+L815*V815</f>
        <v>81.554110995738242</v>
      </c>
      <c r="AA815" s="54">
        <f ca="1">H815*MCDA_Prioritisation!$D$4+I815*MCDA_Prioritisation!$E$4+J815*O815+K815*S815+L815*W815</f>
        <v>75.126543487506495</v>
      </c>
      <c r="AB815" s="54">
        <f ca="1">H815*MCDA_Prioritisation!$D$5+I815*MCDA_Prioritisation!$E$5+J815*P815+K815*T815+L815*X815</f>
        <v>75.901405171416428</v>
      </c>
      <c r="AC815" s="54">
        <f t="shared" ca="1" si="174"/>
        <v>1</v>
      </c>
      <c r="AD815" s="54">
        <f t="shared" ca="1" si="175"/>
        <v>2</v>
      </c>
      <c r="AE815" s="54">
        <f t="shared" ca="1" si="176"/>
        <v>4</v>
      </c>
      <c r="AF815" s="54">
        <f t="shared" ca="1" si="177"/>
        <v>3</v>
      </c>
      <c r="AG815" s="54">
        <f t="shared" ca="1" si="178"/>
        <v>1</v>
      </c>
      <c r="AH815" s="54">
        <f t="shared" ca="1" si="179"/>
        <v>1</v>
      </c>
      <c r="AI815" s="54">
        <f t="shared" ca="1" si="180"/>
        <v>0</v>
      </c>
      <c r="AJ815" s="54">
        <f t="shared" ca="1" si="181"/>
        <v>1</v>
      </c>
    </row>
    <row r="816" spans="1:36" x14ac:dyDescent="0.2">
      <c r="A816" s="54">
        <v>793</v>
      </c>
      <c r="B816" s="54">
        <f ca="1">MAX(0.02,MCDA_Prioritisation!$B$9+(RAND()-0.5)*2*$B$6)</f>
        <v>0.27141029175488218</v>
      </c>
      <c r="C816" s="54">
        <f ca="1">MAX(0.02,MCDA_Prioritisation!$B$10+(RAND()-0.5)*2*$B$6)</f>
        <v>0.24071021909009604</v>
      </c>
      <c r="D816" s="54">
        <f ca="1">MAX(0.02,MCDA_Prioritisation!$B$11+(RAND()-0.5)*2*$B$6)</f>
        <v>0.29260422846040451</v>
      </c>
      <c r="E816" s="54">
        <f ca="1">MAX(0.02,MCDA_Prioritisation!$B$12+(RAND()-0.5)*2*$B$6)</f>
        <v>7.5591190043611423E-2</v>
      </c>
      <c r="F816" s="54">
        <f ca="1">MAX(0.02,MCDA_Prioritisation!$B$13+(RAND()-0.5)*2*$B$6)</f>
        <v>8.1638354635312077E-2</v>
      </c>
      <c r="G816" s="54">
        <f t="shared" ca="1" si="168"/>
        <v>0.96195428398430627</v>
      </c>
      <c r="H816" s="54">
        <f t="shared" ca="1" si="169"/>
        <v>0.28214468844686813</v>
      </c>
      <c r="I816" s="54">
        <f t="shared" ca="1" si="170"/>
        <v>0.25023041437385302</v>
      </c>
      <c r="J816" s="54">
        <f t="shared" ca="1" si="171"/>
        <v>0.30417685469258554</v>
      </c>
      <c r="K816" s="54">
        <f t="shared" ca="1" si="172"/>
        <v>7.8580854934728536E-2</v>
      </c>
      <c r="L816" s="54">
        <f t="shared" ca="1" si="173"/>
        <v>8.4867187551964748E-2</v>
      </c>
      <c r="M816" s="54">
        <f ca="1">MIN(100,MAX(0,MCDA_Prioritisation!$F$2+(RAND()-0.5)*2*$B$7))</f>
        <v>78.02993479599408</v>
      </c>
      <c r="N816" s="54">
        <f ca="1">MIN(100,MAX(0,MCDA_Prioritisation!$F$3+(RAND()-0.5)*2*$B$7))</f>
        <v>87.005190063387005</v>
      </c>
      <c r="O816" s="54">
        <f ca="1">MIN(100,MAX(0,MCDA_Prioritisation!$F$4+(RAND()-0.5)*2*$B$7))</f>
        <v>80.220357988916064</v>
      </c>
      <c r="P816" s="54">
        <f ca="1">MIN(100,MAX(0,MCDA_Prioritisation!$F$5+(RAND()-0.5)*2*$B$7))</f>
        <v>78.419830900114377</v>
      </c>
      <c r="Q816" s="54">
        <f ca="1">MIN(100,MAX(0,MCDA_Prioritisation!$G$2+(RAND()-0.5)*2*$B$7))</f>
        <v>88.69323748476728</v>
      </c>
      <c r="R816" s="54">
        <f ca="1">MIN(100,MAX(0,MCDA_Prioritisation!$G$3+(RAND()-0.5)*2*$B$7))</f>
        <v>99.422478402119964</v>
      </c>
      <c r="S816" s="54">
        <f ca="1">MIN(100,MAX(0,MCDA_Prioritisation!$G$4+(RAND()-0.5)*2*$B$7))</f>
        <v>83.770634955361189</v>
      </c>
      <c r="T816" s="54">
        <f ca="1">MIN(100,MAX(0,MCDA_Prioritisation!$G$5+(RAND()-0.5)*2*$B$7))</f>
        <v>75.513858090448736</v>
      </c>
      <c r="U816" s="54">
        <f ca="1">MIN(100,MAX(0,MCDA_Prioritisation!$H$2+(RAND()-0.5)*2*$B$7))</f>
        <v>56.368133958415264</v>
      </c>
      <c r="V816" s="54">
        <f ca="1">MIN(100,MAX(0,MCDA_Prioritisation!$H$3+(RAND()-0.5)*2*$B$7))</f>
        <v>65.338660132664941</v>
      </c>
      <c r="W816" s="54">
        <f ca="1">MIN(100,MAX(0,MCDA_Prioritisation!$H$4+(RAND()-0.5)*2*$B$7))</f>
        <v>77.103029657268706</v>
      </c>
      <c r="X816" s="54">
        <f ca="1">MIN(100,MAX(0,MCDA_Prioritisation!$H$5+(RAND()-0.5)*2*$B$7))</f>
        <v>70.823975131902102</v>
      </c>
      <c r="Y816" s="54">
        <f ca="1">H816*MCDA_Prioritisation!$D$2+I816*MCDA_Prioritisation!$E$2+J816*M816+K816*Q816+L816*U816</f>
        <v>88.725805845270145</v>
      </c>
      <c r="Z816" s="54">
        <f ca="1">H816*MCDA_Prioritisation!$D$3+I816*MCDA_Prioritisation!$E$3+J816*N816+K816*R816+L816*V816</f>
        <v>82.679906306918397</v>
      </c>
      <c r="AA816" s="54">
        <f ca="1">H816*MCDA_Prioritisation!$D$4+I816*MCDA_Prioritisation!$E$4+J816*O816+K816*S816+L816*W816</f>
        <v>70.82329074796958</v>
      </c>
      <c r="AB816" s="54">
        <f ca="1">H816*MCDA_Prioritisation!$D$5+I816*MCDA_Prioritisation!$E$5+J816*P816+K816*T816+L816*X816</f>
        <v>71.81525604229941</v>
      </c>
      <c r="AC816" s="54">
        <f t="shared" ca="1" si="174"/>
        <v>1</v>
      </c>
      <c r="AD816" s="54">
        <f t="shared" ca="1" si="175"/>
        <v>2</v>
      </c>
      <c r="AE816" s="54">
        <f t="shared" ca="1" si="176"/>
        <v>4</v>
      </c>
      <c r="AF816" s="54">
        <f t="shared" ca="1" si="177"/>
        <v>3</v>
      </c>
      <c r="AG816" s="54">
        <f t="shared" ca="1" si="178"/>
        <v>1</v>
      </c>
      <c r="AH816" s="54">
        <f t="shared" ca="1" si="179"/>
        <v>1</v>
      </c>
      <c r="AI816" s="54">
        <f t="shared" ca="1" si="180"/>
        <v>0</v>
      </c>
      <c r="AJ816" s="54">
        <f t="shared" ca="1" si="181"/>
        <v>1</v>
      </c>
    </row>
    <row r="817" spans="1:36" x14ac:dyDescent="0.2">
      <c r="A817" s="54">
        <v>794</v>
      </c>
      <c r="B817" s="54">
        <f ca="1">MAX(0.02,MCDA_Prioritisation!$B$9+(RAND()-0.5)*2*$B$6)</f>
        <v>0.27473106871824182</v>
      </c>
      <c r="C817" s="54">
        <f ca="1">MAX(0.02,MCDA_Prioritisation!$B$10+(RAND()-0.5)*2*$B$6)</f>
        <v>0.19417631803312063</v>
      </c>
      <c r="D817" s="54">
        <f ca="1">MAX(0.02,MCDA_Prioritisation!$B$11+(RAND()-0.5)*2*$B$6)</f>
        <v>0.1723878084818522</v>
      </c>
      <c r="E817" s="54">
        <f ca="1">MAX(0.02,MCDA_Prioritisation!$B$12+(RAND()-0.5)*2*$B$6)</f>
        <v>0.20527561449766868</v>
      </c>
      <c r="F817" s="54">
        <f ca="1">MAX(0.02,MCDA_Prioritisation!$B$13+(RAND()-0.5)*2*$B$6)</f>
        <v>0.21594267602759171</v>
      </c>
      <c r="G817" s="54">
        <f t="shared" ca="1" si="168"/>
        <v>1.062513485758475</v>
      </c>
      <c r="H817" s="54">
        <f t="shared" ca="1" si="169"/>
        <v>0.25856713575934059</v>
      </c>
      <c r="I817" s="54">
        <f t="shared" ca="1" si="170"/>
        <v>0.18275186210413877</v>
      </c>
      <c r="J817" s="54">
        <f t="shared" ca="1" si="171"/>
        <v>0.16224528986452647</v>
      </c>
      <c r="K817" s="54">
        <f t="shared" ca="1" si="172"/>
        <v>0.1931981261876716</v>
      </c>
      <c r="L817" s="54">
        <f t="shared" ca="1" si="173"/>
        <v>0.20323758608432257</v>
      </c>
      <c r="M817" s="54">
        <f ca="1">MIN(100,MAX(0,MCDA_Prioritisation!$F$2+(RAND()-0.5)*2*$B$7))</f>
        <v>92.175354264638116</v>
      </c>
      <c r="N817" s="54">
        <f ca="1">MIN(100,MAX(0,MCDA_Prioritisation!$F$3+(RAND()-0.5)*2*$B$7))</f>
        <v>90.932348503136396</v>
      </c>
      <c r="O817" s="54">
        <f ca="1">MIN(100,MAX(0,MCDA_Prioritisation!$F$4+(RAND()-0.5)*2*$B$7))</f>
        <v>84.409319325798251</v>
      </c>
      <c r="P817" s="54">
        <f ca="1">MIN(100,MAX(0,MCDA_Prioritisation!$F$5+(RAND()-0.5)*2*$B$7))</f>
        <v>81.523891328303918</v>
      </c>
      <c r="Q817" s="54">
        <f ca="1">MIN(100,MAX(0,MCDA_Prioritisation!$G$2+(RAND()-0.5)*2*$B$7))</f>
        <v>79.434841877321887</v>
      </c>
      <c r="R817" s="54">
        <f ca="1">MIN(100,MAX(0,MCDA_Prioritisation!$G$3+(RAND()-0.5)*2*$B$7))</f>
        <v>92.062836618571041</v>
      </c>
      <c r="S817" s="54">
        <f ca="1">MIN(100,MAX(0,MCDA_Prioritisation!$G$4+(RAND()-0.5)*2*$B$7))</f>
        <v>83.087514153758093</v>
      </c>
      <c r="T817" s="54">
        <f ca="1">MIN(100,MAX(0,MCDA_Prioritisation!$G$5+(RAND()-0.5)*2*$B$7))</f>
        <v>74.343951421362632</v>
      </c>
      <c r="U817" s="54">
        <f ca="1">MIN(100,MAX(0,MCDA_Prioritisation!$H$2+(RAND()-0.5)*2*$B$7))</f>
        <v>65.530036847437472</v>
      </c>
      <c r="V817" s="54">
        <f ca="1">MIN(100,MAX(0,MCDA_Prioritisation!$H$3+(RAND()-0.5)*2*$B$7))</f>
        <v>67.037597659210718</v>
      </c>
      <c r="W817" s="54">
        <f ca="1">MIN(100,MAX(0,MCDA_Prioritisation!$H$4+(RAND()-0.5)*2*$B$7))</f>
        <v>72.570161171636869</v>
      </c>
      <c r="X817" s="54">
        <f ca="1">MIN(100,MAX(0,MCDA_Prioritisation!$H$5+(RAND()-0.5)*2*$B$7))</f>
        <v>66.598969257122263</v>
      </c>
      <c r="Y817" s="54">
        <f ca="1">H817*MCDA_Prioritisation!$D$2+I817*MCDA_Prioritisation!$E$2+J817*M817+K817*Q817+L817*U817</f>
        <v>87.751745966982043</v>
      </c>
      <c r="Z817" s="54">
        <f ca="1">H817*MCDA_Prioritisation!$D$3+I817*MCDA_Prioritisation!$E$3+J817*N817+K817*R817+L817*V817</f>
        <v>82.053267210862927</v>
      </c>
      <c r="AA817" s="54">
        <f ca="1">H817*MCDA_Prioritisation!$D$4+I817*MCDA_Prioritisation!$E$4+J817*O817+K817*S817+L817*W817</f>
        <v>72.469729612510662</v>
      </c>
      <c r="AB817" s="54">
        <f ca="1">H817*MCDA_Prioritisation!$D$5+I817*MCDA_Prioritisation!$E$5+J817*P817+K817*T817+L817*X817</f>
        <v>70.216844266466467</v>
      </c>
      <c r="AC817" s="54">
        <f t="shared" ca="1" si="174"/>
        <v>1</v>
      </c>
      <c r="AD817" s="54">
        <f t="shared" ca="1" si="175"/>
        <v>2</v>
      </c>
      <c r="AE817" s="54">
        <f t="shared" ca="1" si="176"/>
        <v>3</v>
      </c>
      <c r="AF817" s="54">
        <f t="shared" ca="1" si="177"/>
        <v>4</v>
      </c>
      <c r="AG817" s="54">
        <f t="shared" ca="1" si="178"/>
        <v>1</v>
      </c>
      <c r="AH817" s="54">
        <f t="shared" ca="1" si="179"/>
        <v>1</v>
      </c>
      <c r="AI817" s="54">
        <f t="shared" ca="1" si="180"/>
        <v>1</v>
      </c>
      <c r="AJ817" s="54">
        <f t="shared" ca="1" si="181"/>
        <v>1</v>
      </c>
    </row>
    <row r="818" spans="1:36" x14ac:dyDescent="0.2">
      <c r="A818" s="54">
        <v>795</v>
      </c>
      <c r="B818" s="54">
        <f ca="1">MAX(0.02,MCDA_Prioritisation!$B$9+(RAND()-0.5)*2*$B$6)</f>
        <v>0.15556313330991284</v>
      </c>
      <c r="C818" s="54">
        <f ca="1">MAX(0.02,MCDA_Prioritisation!$B$10+(RAND()-0.5)*2*$B$6)</f>
        <v>0.32546701779125853</v>
      </c>
      <c r="D818" s="54">
        <f ca="1">MAX(0.02,MCDA_Prioritisation!$B$11+(RAND()-0.5)*2*$B$6)</f>
        <v>0.31552699970775822</v>
      </c>
      <c r="E818" s="54">
        <f ca="1">MAX(0.02,MCDA_Prioritisation!$B$12+(RAND()-0.5)*2*$B$6)</f>
        <v>0.20021534837252333</v>
      </c>
      <c r="F818" s="54">
        <f ca="1">MAX(0.02,MCDA_Prioritisation!$B$13+(RAND()-0.5)*2*$B$6)</f>
        <v>0.10099744293464655</v>
      </c>
      <c r="G818" s="54">
        <f t="shared" ca="1" si="168"/>
        <v>1.0977699421160994</v>
      </c>
      <c r="H818" s="54">
        <f t="shared" ca="1" si="169"/>
        <v>0.14170831914931462</v>
      </c>
      <c r="I818" s="54">
        <f t="shared" ca="1" si="170"/>
        <v>0.29648016884473721</v>
      </c>
      <c r="J818" s="54">
        <f t="shared" ca="1" si="171"/>
        <v>0.28742543187103253</v>
      </c>
      <c r="K818" s="54">
        <f t="shared" ca="1" si="172"/>
        <v>0.18238370417264413</v>
      </c>
      <c r="L818" s="54">
        <f t="shared" ca="1" si="173"/>
        <v>9.2002375962271635E-2</v>
      </c>
      <c r="M818" s="54">
        <f ca="1">MIN(100,MAX(0,MCDA_Prioritisation!$F$2+(RAND()-0.5)*2*$B$7))</f>
        <v>90.98740096996724</v>
      </c>
      <c r="N818" s="54">
        <f ca="1">MIN(100,MAX(0,MCDA_Prioritisation!$F$3+(RAND()-0.5)*2*$B$7))</f>
        <v>91.600543647249268</v>
      </c>
      <c r="O818" s="54">
        <f ca="1">MIN(100,MAX(0,MCDA_Prioritisation!$F$4+(RAND()-0.5)*2*$B$7))</f>
        <v>91.374997131934876</v>
      </c>
      <c r="P818" s="54">
        <f ca="1">MIN(100,MAX(0,MCDA_Prioritisation!$F$5+(RAND()-0.5)*2*$B$7))</f>
        <v>76.72272057821408</v>
      </c>
      <c r="Q818" s="54">
        <f ca="1">MIN(100,MAX(0,MCDA_Prioritisation!$G$2+(RAND()-0.5)*2*$B$7))</f>
        <v>78.302246662022682</v>
      </c>
      <c r="R818" s="54">
        <f ca="1">MIN(100,MAX(0,MCDA_Prioritisation!$G$3+(RAND()-0.5)*2*$B$7))</f>
        <v>94.530293229145002</v>
      </c>
      <c r="S818" s="54">
        <f ca="1">MIN(100,MAX(0,MCDA_Prioritisation!$G$4+(RAND()-0.5)*2*$B$7))</f>
        <v>80.673970412374871</v>
      </c>
      <c r="T818" s="54">
        <f ca="1">MIN(100,MAX(0,MCDA_Prioritisation!$G$5+(RAND()-0.5)*2*$B$7))</f>
        <v>60.870915675124458</v>
      </c>
      <c r="U818" s="54">
        <f ca="1">MIN(100,MAX(0,MCDA_Prioritisation!$H$2+(RAND()-0.5)*2*$B$7))</f>
        <v>61.69037783601469</v>
      </c>
      <c r="V818" s="54">
        <f ca="1">MIN(100,MAX(0,MCDA_Prioritisation!$H$3+(RAND()-0.5)*2*$B$7))</f>
        <v>64.303796463182536</v>
      </c>
      <c r="W818" s="54">
        <f ca="1">MIN(100,MAX(0,MCDA_Prioritisation!$H$4+(RAND()-0.5)*2*$B$7))</f>
        <v>88.917906075937111</v>
      </c>
      <c r="X818" s="54">
        <f ca="1">MIN(100,MAX(0,MCDA_Prioritisation!$H$5+(RAND()-0.5)*2*$B$7))</f>
        <v>67.309366614736689</v>
      </c>
      <c r="Y818" s="54">
        <f ca="1">H818*MCDA_Prioritisation!$D$2+I818*MCDA_Prioritisation!$E$2+J818*M818+K818*Q818+L818*U818</f>
        <v>89.927656944204202</v>
      </c>
      <c r="Z818" s="54">
        <f ca="1">H818*MCDA_Prioritisation!$D$3+I818*MCDA_Prioritisation!$E$3+J818*N818+K818*R818+L818*V818</f>
        <v>83.43226619938639</v>
      </c>
      <c r="AA818" s="54">
        <f ca="1">H818*MCDA_Prioritisation!$D$4+I818*MCDA_Prioritisation!$E$4+J818*O818+K818*S818+L818*W818</f>
        <v>75.1971540638569</v>
      </c>
      <c r="AB818" s="54">
        <f ca="1">H818*MCDA_Prioritisation!$D$5+I818*MCDA_Prioritisation!$E$5+J818*P818+K818*T818+L818*X818</f>
        <v>71.799127886382635</v>
      </c>
      <c r="AC818" s="54">
        <f t="shared" ca="1" si="174"/>
        <v>1</v>
      </c>
      <c r="AD818" s="54">
        <f t="shared" ca="1" si="175"/>
        <v>2</v>
      </c>
      <c r="AE818" s="54">
        <f t="shared" ca="1" si="176"/>
        <v>3</v>
      </c>
      <c r="AF818" s="54">
        <f t="shared" ca="1" si="177"/>
        <v>4</v>
      </c>
      <c r="AG818" s="54">
        <f t="shared" ca="1" si="178"/>
        <v>1</v>
      </c>
      <c r="AH818" s="54">
        <f t="shared" ca="1" si="179"/>
        <v>1</v>
      </c>
      <c r="AI818" s="54">
        <f t="shared" ca="1" si="180"/>
        <v>1</v>
      </c>
      <c r="AJ818" s="54">
        <f t="shared" ca="1" si="181"/>
        <v>1</v>
      </c>
    </row>
    <row r="819" spans="1:36" x14ac:dyDescent="0.2">
      <c r="A819" s="54">
        <v>796</v>
      </c>
      <c r="B819" s="54">
        <f ca="1">MAX(0.02,MCDA_Prioritisation!$B$9+(RAND()-0.5)*2*$B$6)</f>
        <v>0.13984631059803679</v>
      </c>
      <c r="C819" s="54">
        <f ca="1">MAX(0.02,MCDA_Prioritisation!$B$10+(RAND()-0.5)*2*$B$6)</f>
        <v>0.27485247885760378</v>
      </c>
      <c r="D819" s="54">
        <f ca="1">MAX(0.02,MCDA_Prioritisation!$B$11+(RAND()-0.5)*2*$B$6)</f>
        <v>0.17342442724981522</v>
      </c>
      <c r="E819" s="54">
        <f ca="1">MAX(0.02,MCDA_Prioritisation!$B$12+(RAND()-0.5)*2*$B$6)</f>
        <v>0.20272493570695244</v>
      </c>
      <c r="F819" s="54">
        <f ca="1">MAX(0.02,MCDA_Prioritisation!$B$13+(RAND()-0.5)*2*$B$6)</f>
        <v>0.18750447171724577</v>
      </c>
      <c r="G819" s="54">
        <f t="shared" ca="1" si="168"/>
        <v>0.97835262412965407</v>
      </c>
      <c r="H819" s="54">
        <f t="shared" ca="1" si="169"/>
        <v>0.14294059948215967</v>
      </c>
      <c r="I819" s="54">
        <f t="shared" ca="1" si="170"/>
        <v>0.28093396192616493</v>
      </c>
      <c r="J819" s="54">
        <f t="shared" ca="1" si="171"/>
        <v>0.17726167740807583</v>
      </c>
      <c r="K819" s="54">
        <f t="shared" ca="1" si="172"/>
        <v>0.20721049926890853</v>
      </c>
      <c r="L819" s="54">
        <f t="shared" ca="1" si="173"/>
        <v>0.19165326191469093</v>
      </c>
      <c r="M819" s="54">
        <f ca="1">MIN(100,MAX(0,MCDA_Prioritisation!$F$2+(RAND()-0.5)*2*$B$7))</f>
        <v>76.992156105802451</v>
      </c>
      <c r="N819" s="54">
        <f ca="1">MIN(100,MAX(0,MCDA_Prioritisation!$F$3+(RAND()-0.5)*2*$B$7))</f>
        <v>87.965424474211446</v>
      </c>
      <c r="O819" s="54">
        <f ca="1">MIN(100,MAX(0,MCDA_Prioritisation!$F$4+(RAND()-0.5)*2*$B$7))</f>
        <v>90.332085888770735</v>
      </c>
      <c r="P819" s="54">
        <f ca="1">MIN(100,MAX(0,MCDA_Prioritisation!$F$5+(RAND()-0.5)*2*$B$7))</f>
        <v>74.683896490901645</v>
      </c>
      <c r="Q819" s="54">
        <f ca="1">MIN(100,MAX(0,MCDA_Prioritisation!$G$2+(RAND()-0.5)*2*$B$7))</f>
        <v>73.988349433134275</v>
      </c>
      <c r="R819" s="54">
        <f ca="1">MIN(100,MAX(0,MCDA_Prioritisation!$G$3+(RAND()-0.5)*2*$B$7))</f>
        <v>86.376283683033449</v>
      </c>
      <c r="S819" s="54">
        <f ca="1">MIN(100,MAX(0,MCDA_Prioritisation!$G$4+(RAND()-0.5)*2*$B$7))</f>
        <v>88.432328913613588</v>
      </c>
      <c r="T819" s="54">
        <f ca="1">MIN(100,MAX(0,MCDA_Prioritisation!$G$5+(RAND()-0.5)*2*$B$7))</f>
        <v>79.705195004573568</v>
      </c>
      <c r="U819" s="54">
        <f ca="1">MIN(100,MAX(0,MCDA_Prioritisation!$H$2+(RAND()-0.5)*2*$B$7))</f>
        <v>63.669646973354361</v>
      </c>
      <c r="V819" s="54">
        <f ca="1">MIN(100,MAX(0,MCDA_Prioritisation!$H$3+(RAND()-0.5)*2*$B$7))</f>
        <v>65.531212193602002</v>
      </c>
      <c r="W819" s="54">
        <f ca="1">MIN(100,MAX(0,MCDA_Prioritisation!$H$4+(RAND()-0.5)*2*$B$7))</f>
        <v>76.485984446455831</v>
      </c>
      <c r="X819" s="54">
        <f ca="1">MIN(100,MAX(0,MCDA_Prioritisation!$H$5+(RAND()-0.5)*2*$B$7))</f>
        <v>76.500854116915761</v>
      </c>
      <c r="Y819" s="54">
        <f ca="1">H819*MCDA_Prioritisation!$D$2+I819*MCDA_Prioritisation!$E$2+J819*M819+K819*Q819+L819*U819</f>
        <v>83.568873232933839</v>
      </c>
      <c r="Z819" s="54">
        <f ca="1">H819*MCDA_Prioritisation!$D$3+I819*MCDA_Prioritisation!$E$3+J819*N819+K819*R819+L819*V819</f>
        <v>78.974359601314788</v>
      </c>
      <c r="AA819" s="54">
        <f ca="1">H819*MCDA_Prioritisation!$D$4+I819*MCDA_Prioritisation!$E$4+J819*O819+K819*S819+L819*W819</f>
        <v>74.272526211796475</v>
      </c>
      <c r="AB819" s="54">
        <f ca="1">H819*MCDA_Prioritisation!$D$5+I819*MCDA_Prioritisation!$E$5+J819*P819+K819*T819+L819*X819</f>
        <v>75.626676011403774</v>
      </c>
      <c r="AC819" s="54">
        <f t="shared" ca="1" si="174"/>
        <v>1</v>
      </c>
      <c r="AD819" s="54">
        <f t="shared" ca="1" si="175"/>
        <v>2</v>
      </c>
      <c r="AE819" s="54">
        <f t="shared" ca="1" si="176"/>
        <v>4</v>
      </c>
      <c r="AF819" s="54">
        <f t="shared" ca="1" si="177"/>
        <v>3</v>
      </c>
      <c r="AG819" s="54">
        <f t="shared" ca="1" si="178"/>
        <v>1</v>
      </c>
      <c r="AH819" s="54">
        <f t="shared" ca="1" si="179"/>
        <v>1</v>
      </c>
      <c r="AI819" s="54">
        <f t="shared" ca="1" si="180"/>
        <v>0</v>
      </c>
      <c r="AJ819" s="54">
        <f t="shared" ca="1" si="181"/>
        <v>1</v>
      </c>
    </row>
    <row r="820" spans="1:36" x14ac:dyDescent="0.2">
      <c r="A820" s="54">
        <v>797</v>
      </c>
      <c r="B820" s="54">
        <f ca="1">MAX(0.02,MCDA_Prioritisation!$B$9+(RAND()-0.5)*2*$B$6)</f>
        <v>0.1845185033266348</v>
      </c>
      <c r="C820" s="54">
        <f ca="1">MAX(0.02,MCDA_Prioritisation!$B$10+(RAND()-0.5)*2*$B$6)</f>
        <v>0.31493992129021581</v>
      </c>
      <c r="D820" s="54">
        <f ca="1">MAX(0.02,MCDA_Prioritisation!$B$11+(RAND()-0.5)*2*$B$6)</f>
        <v>0.32022043867838379</v>
      </c>
      <c r="E820" s="54">
        <f ca="1">MAX(0.02,MCDA_Prioritisation!$B$12+(RAND()-0.5)*2*$B$6)</f>
        <v>0.18720333303716913</v>
      </c>
      <c r="F820" s="54">
        <f ca="1">MAX(0.02,MCDA_Prioritisation!$B$13+(RAND()-0.5)*2*$B$6)</f>
        <v>0.19406270918874452</v>
      </c>
      <c r="G820" s="54">
        <f t="shared" ca="1" si="168"/>
        <v>1.2009449055211481</v>
      </c>
      <c r="H820" s="54">
        <f t="shared" ca="1" si="169"/>
        <v>0.15364443654187726</v>
      </c>
      <c r="I820" s="54">
        <f t="shared" ca="1" si="170"/>
        <v>0.2622434383478634</v>
      </c>
      <c r="J820" s="54">
        <f t="shared" ca="1" si="171"/>
        <v>0.26664040723785298</v>
      </c>
      <c r="K820" s="54">
        <f t="shared" ca="1" si="172"/>
        <v>0.15588003427678687</v>
      </c>
      <c r="L820" s="54">
        <f t="shared" ca="1" si="173"/>
        <v>0.16159168359561951</v>
      </c>
      <c r="M820" s="54">
        <f ca="1">MIN(100,MAX(0,MCDA_Prioritisation!$F$2+(RAND()-0.5)*2*$B$7))</f>
        <v>90.04673497735952</v>
      </c>
      <c r="N820" s="54">
        <f ca="1">MIN(100,MAX(0,MCDA_Prioritisation!$F$3+(RAND()-0.5)*2*$B$7))</f>
        <v>93.902551217383319</v>
      </c>
      <c r="O820" s="54">
        <f ca="1">MIN(100,MAX(0,MCDA_Prioritisation!$F$4+(RAND()-0.5)*2*$B$7))</f>
        <v>91.880886071135606</v>
      </c>
      <c r="P820" s="54">
        <f ca="1">MIN(100,MAX(0,MCDA_Prioritisation!$F$5+(RAND()-0.5)*2*$B$7))</f>
        <v>82.903079104860623</v>
      </c>
      <c r="Q820" s="54">
        <f ca="1">MIN(100,MAX(0,MCDA_Prioritisation!$G$2+(RAND()-0.5)*2*$B$7))</f>
        <v>76.979059190644605</v>
      </c>
      <c r="R820" s="54">
        <f ca="1">MIN(100,MAX(0,MCDA_Prioritisation!$G$3+(RAND()-0.5)*2*$B$7))</f>
        <v>88.161575560561417</v>
      </c>
      <c r="S820" s="54">
        <f ca="1">MIN(100,MAX(0,MCDA_Prioritisation!$G$4+(RAND()-0.5)*2*$B$7))</f>
        <v>79.540319862108731</v>
      </c>
      <c r="T820" s="54">
        <f ca="1">MIN(100,MAX(0,MCDA_Prioritisation!$G$5+(RAND()-0.5)*2*$B$7))</f>
        <v>63.310707931489134</v>
      </c>
      <c r="U820" s="54">
        <f ca="1">MIN(100,MAX(0,MCDA_Prioritisation!$H$2+(RAND()-0.5)*2*$B$7))</f>
        <v>59.421323662795295</v>
      </c>
      <c r="V820" s="54">
        <f ca="1">MIN(100,MAX(0,MCDA_Prioritisation!$H$3+(RAND()-0.5)*2*$B$7))</f>
        <v>53.607956511452365</v>
      </c>
      <c r="W820" s="54">
        <f ca="1">MIN(100,MAX(0,MCDA_Prioritisation!$H$4+(RAND()-0.5)*2*$B$7))</f>
        <v>85.930441624202842</v>
      </c>
      <c r="X820" s="54">
        <f ca="1">MIN(100,MAX(0,MCDA_Prioritisation!$H$5+(RAND()-0.5)*2*$B$7))</f>
        <v>84.141258242602945</v>
      </c>
      <c r="Y820" s="54">
        <f ca="1">H820*MCDA_Prioritisation!$D$2+I820*MCDA_Prioritisation!$E$2+J820*M820+K820*Q820+L820*U820</f>
        <v>87.200375691160033</v>
      </c>
      <c r="Z820" s="54">
        <f ca="1">H820*MCDA_Prioritisation!$D$3+I820*MCDA_Prioritisation!$E$3+J820*N820+K820*R820+L820*V820</f>
        <v>79.94373204965764</v>
      </c>
      <c r="AA820" s="54">
        <f ca="1">H820*MCDA_Prioritisation!$D$4+I820*MCDA_Prioritisation!$E$4+J820*O820+K820*S820+L820*W820</f>
        <v>75.786632292790031</v>
      </c>
      <c r="AB820" s="54">
        <f ca="1">H820*MCDA_Prioritisation!$D$5+I820*MCDA_Prioritisation!$E$5+J820*P820+K820*T820+L820*X820</f>
        <v>75.777817994949459</v>
      </c>
      <c r="AC820" s="54">
        <f t="shared" ca="1" si="174"/>
        <v>1</v>
      </c>
      <c r="AD820" s="54">
        <f t="shared" ca="1" si="175"/>
        <v>2</v>
      </c>
      <c r="AE820" s="54">
        <f t="shared" ca="1" si="176"/>
        <v>3</v>
      </c>
      <c r="AF820" s="54">
        <f t="shared" ca="1" si="177"/>
        <v>4</v>
      </c>
      <c r="AG820" s="54">
        <f t="shared" ca="1" si="178"/>
        <v>1</v>
      </c>
      <c r="AH820" s="54">
        <f t="shared" ca="1" si="179"/>
        <v>1</v>
      </c>
      <c r="AI820" s="54">
        <f t="shared" ca="1" si="180"/>
        <v>1</v>
      </c>
      <c r="AJ820" s="54">
        <f t="shared" ca="1" si="181"/>
        <v>1</v>
      </c>
    </row>
    <row r="821" spans="1:36" x14ac:dyDescent="0.2">
      <c r="A821" s="54">
        <v>798</v>
      </c>
      <c r="B821" s="54">
        <f ca="1">MAX(0.02,MCDA_Prioritisation!$B$9+(RAND()-0.5)*2*$B$6)</f>
        <v>0.13434780120937523</v>
      </c>
      <c r="C821" s="54">
        <f ca="1">MAX(0.02,MCDA_Prioritisation!$B$10+(RAND()-0.5)*2*$B$6)</f>
        <v>0.21050278979328851</v>
      </c>
      <c r="D821" s="54">
        <f ca="1">MAX(0.02,MCDA_Prioritisation!$B$11+(RAND()-0.5)*2*$B$6)</f>
        <v>0.18430089733148641</v>
      </c>
      <c r="E821" s="54">
        <f ca="1">MAX(0.02,MCDA_Prioritisation!$B$12+(RAND()-0.5)*2*$B$6)</f>
        <v>0.22698602992190442</v>
      </c>
      <c r="F821" s="54">
        <f ca="1">MAX(0.02,MCDA_Prioritisation!$B$13+(RAND()-0.5)*2*$B$6)</f>
        <v>0.13444014902545981</v>
      </c>
      <c r="G821" s="54">
        <f t="shared" ca="1" si="168"/>
        <v>0.89057766728151444</v>
      </c>
      <c r="H821" s="54">
        <f t="shared" ca="1" si="169"/>
        <v>0.1508546712376827</v>
      </c>
      <c r="I821" s="54">
        <f t="shared" ca="1" si="170"/>
        <v>0.23636657141408859</v>
      </c>
      <c r="J821" s="54">
        <f t="shared" ca="1" si="171"/>
        <v>0.20694533907869522</v>
      </c>
      <c r="K821" s="54">
        <f t="shared" ca="1" si="172"/>
        <v>0.25487505274501054</v>
      </c>
      <c r="L821" s="54">
        <f t="shared" ca="1" si="173"/>
        <v>0.15095836552452291</v>
      </c>
      <c r="M821" s="54">
        <f ca="1">MIN(100,MAX(0,MCDA_Prioritisation!$F$2+(RAND()-0.5)*2*$B$7))</f>
        <v>88.444250518521869</v>
      </c>
      <c r="N821" s="54">
        <f ca="1">MIN(100,MAX(0,MCDA_Prioritisation!$F$3+(RAND()-0.5)*2*$B$7))</f>
        <v>100</v>
      </c>
      <c r="O821" s="54">
        <f ca="1">MIN(100,MAX(0,MCDA_Prioritisation!$F$4+(RAND()-0.5)*2*$B$7))</f>
        <v>82.01379110460087</v>
      </c>
      <c r="P821" s="54">
        <f ca="1">MIN(100,MAX(0,MCDA_Prioritisation!$F$5+(RAND()-0.5)*2*$B$7))</f>
        <v>78.56653394741663</v>
      </c>
      <c r="Q821" s="54">
        <f ca="1">MIN(100,MAX(0,MCDA_Prioritisation!$G$2+(RAND()-0.5)*2*$B$7))</f>
        <v>89.552416607194402</v>
      </c>
      <c r="R821" s="54">
        <f ca="1">MIN(100,MAX(0,MCDA_Prioritisation!$G$3+(RAND()-0.5)*2*$B$7))</f>
        <v>87.036337978736498</v>
      </c>
      <c r="S821" s="54">
        <f ca="1">MIN(100,MAX(0,MCDA_Prioritisation!$G$4+(RAND()-0.5)*2*$B$7))</f>
        <v>78.118354898292637</v>
      </c>
      <c r="T821" s="54">
        <f ca="1">MIN(100,MAX(0,MCDA_Prioritisation!$G$5+(RAND()-0.5)*2*$B$7))</f>
        <v>74.221950447992256</v>
      </c>
      <c r="U821" s="54">
        <f ca="1">MIN(100,MAX(0,MCDA_Prioritisation!$H$2+(RAND()-0.5)*2*$B$7))</f>
        <v>66.08237482606657</v>
      </c>
      <c r="V821" s="54">
        <f ca="1">MIN(100,MAX(0,MCDA_Prioritisation!$H$3+(RAND()-0.5)*2*$B$7))</f>
        <v>50.38169631637809</v>
      </c>
      <c r="W821" s="54">
        <f ca="1">MIN(100,MAX(0,MCDA_Prioritisation!$H$4+(RAND()-0.5)*2*$B$7))</f>
        <v>88.536846966451918</v>
      </c>
      <c r="X821" s="54">
        <f ca="1">MIN(100,MAX(0,MCDA_Prioritisation!$H$5+(RAND()-0.5)*2*$B$7))</f>
        <v>67.884176386896058</v>
      </c>
      <c r="Y821" s="54">
        <f ca="1">H821*MCDA_Prioritisation!$D$2+I821*MCDA_Prioritisation!$E$2+J821*M821+K821*Q821+L821*U821</f>
        <v>89.825613878217425</v>
      </c>
      <c r="Z821" s="54">
        <f ca="1">H821*MCDA_Prioritisation!$D$3+I821*MCDA_Prioritisation!$E$3+J821*N821+K821*R821+L821*V821</f>
        <v>80.85798122582122</v>
      </c>
      <c r="AA821" s="54">
        <f ca="1">H821*MCDA_Prioritisation!$D$4+I821*MCDA_Prioritisation!$E$4+J821*O821+K821*S821+L821*W821</f>
        <v>73.645523908839522</v>
      </c>
      <c r="AB821" s="54">
        <f ca="1">H821*MCDA_Prioritisation!$D$5+I821*MCDA_Prioritisation!$E$5+J821*P821+K821*T821+L821*X821</f>
        <v>73.307011634233248</v>
      </c>
      <c r="AC821" s="54">
        <f t="shared" ca="1" si="174"/>
        <v>1</v>
      </c>
      <c r="AD821" s="54">
        <f t="shared" ca="1" si="175"/>
        <v>2</v>
      </c>
      <c r="AE821" s="54">
        <f t="shared" ca="1" si="176"/>
        <v>3</v>
      </c>
      <c r="AF821" s="54">
        <f t="shared" ca="1" si="177"/>
        <v>4</v>
      </c>
      <c r="AG821" s="54">
        <f t="shared" ca="1" si="178"/>
        <v>1</v>
      </c>
      <c r="AH821" s="54">
        <f t="shared" ca="1" si="179"/>
        <v>1</v>
      </c>
      <c r="AI821" s="54">
        <f t="shared" ca="1" si="180"/>
        <v>1</v>
      </c>
      <c r="AJ821" s="54">
        <f t="shared" ca="1" si="181"/>
        <v>1</v>
      </c>
    </row>
    <row r="822" spans="1:36" x14ac:dyDescent="0.2">
      <c r="A822" s="54">
        <v>799</v>
      </c>
      <c r="B822" s="54">
        <f ca="1">MAX(0.02,MCDA_Prioritisation!$B$9+(RAND()-0.5)*2*$B$6)</f>
        <v>0.23266022551992133</v>
      </c>
      <c r="C822" s="54">
        <f ca="1">MAX(0.02,MCDA_Prioritisation!$B$10+(RAND()-0.5)*2*$B$6)</f>
        <v>0.26933914528618869</v>
      </c>
      <c r="D822" s="54">
        <f ca="1">MAX(0.02,MCDA_Prioritisation!$B$11+(RAND()-0.5)*2*$B$6)</f>
        <v>0.18617424359675408</v>
      </c>
      <c r="E822" s="54">
        <f ca="1">MAX(0.02,MCDA_Prioritisation!$B$12+(RAND()-0.5)*2*$B$6)</f>
        <v>0.15408495334865763</v>
      </c>
      <c r="F822" s="54">
        <f ca="1">MAX(0.02,MCDA_Prioritisation!$B$13+(RAND()-0.5)*2*$B$6)</f>
        <v>0.13772315344650962</v>
      </c>
      <c r="G822" s="54">
        <f t="shared" ca="1" si="168"/>
        <v>0.9799817211980314</v>
      </c>
      <c r="H822" s="54">
        <f t="shared" ca="1" si="169"/>
        <v>0.23741282157333843</v>
      </c>
      <c r="I822" s="54">
        <f t="shared" ca="1" si="170"/>
        <v>0.27484098882673091</v>
      </c>
      <c r="J822" s="54">
        <f t="shared" ca="1" si="171"/>
        <v>0.18997726138111573</v>
      </c>
      <c r="K822" s="54">
        <f t="shared" ca="1" si="172"/>
        <v>0.15723247690812864</v>
      </c>
      <c r="L822" s="54">
        <f t="shared" ca="1" si="173"/>
        <v>0.14053645131068623</v>
      </c>
      <c r="M822" s="54">
        <f ca="1">MIN(100,MAX(0,MCDA_Prioritisation!$F$2+(RAND()-0.5)*2*$B$7))</f>
        <v>85.780739807079868</v>
      </c>
      <c r="N822" s="54">
        <f ca="1">MIN(100,MAX(0,MCDA_Prioritisation!$F$3+(RAND()-0.5)*2*$B$7))</f>
        <v>91.54770427867669</v>
      </c>
      <c r="O822" s="54">
        <f ca="1">MIN(100,MAX(0,MCDA_Prioritisation!$F$4+(RAND()-0.5)*2*$B$7))</f>
        <v>84.155867811707566</v>
      </c>
      <c r="P822" s="54">
        <f ca="1">MIN(100,MAX(0,MCDA_Prioritisation!$F$5+(RAND()-0.5)*2*$B$7))</f>
        <v>70.635855045190922</v>
      </c>
      <c r="Q822" s="54">
        <f ca="1">MIN(100,MAX(0,MCDA_Prioritisation!$G$2+(RAND()-0.5)*2*$B$7))</f>
        <v>84.776596133713326</v>
      </c>
      <c r="R822" s="54">
        <f ca="1">MIN(100,MAX(0,MCDA_Prioritisation!$G$3+(RAND()-0.5)*2*$B$7))</f>
        <v>86.711815106376093</v>
      </c>
      <c r="S822" s="54">
        <f ca="1">MIN(100,MAX(0,MCDA_Prioritisation!$G$4+(RAND()-0.5)*2*$B$7))</f>
        <v>94.491093946311565</v>
      </c>
      <c r="T822" s="54">
        <f ca="1">MIN(100,MAX(0,MCDA_Prioritisation!$G$5+(RAND()-0.5)*2*$B$7))</f>
        <v>68.781222094756913</v>
      </c>
      <c r="U822" s="54">
        <f ca="1">MIN(100,MAX(0,MCDA_Prioritisation!$H$2+(RAND()-0.5)*2*$B$7))</f>
        <v>58.765862428065773</v>
      </c>
      <c r="V822" s="54">
        <f ca="1">MIN(100,MAX(0,MCDA_Prioritisation!$H$3+(RAND()-0.5)*2*$B$7))</f>
        <v>50.202708450636266</v>
      </c>
      <c r="W822" s="54">
        <f ca="1">MIN(100,MAX(0,MCDA_Prioritisation!$H$4+(RAND()-0.5)*2*$B$7))</f>
        <v>86.312096190299144</v>
      </c>
      <c r="X822" s="54">
        <f ca="1">MIN(100,MAX(0,MCDA_Prioritisation!$H$5+(RAND()-0.5)*2*$B$7))</f>
        <v>77.58832041245239</v>
      </c>
      <c r="Y822" s="54">
        <f ca="1">H822*MCDA_Prioritisation!$D$2+I822*MCDA_Prioritisation!$E$2+J822*M822+K822*Q822+L822*U822</f>
        <v>89.110151025598213</v>
      </c>
      <c r="Z822" s="54">
        <f ca="1">H822*MCDA_Prioritisation!$D$3+I822*MCDA_Prioritisation!$E$3+J822*N822+K822*R822+L822*V822</f>
        <v>78.818771859135396</v>
      </c>
      <c r="AA822" s="54">
        <f ca="1">H822*MCDA_Prioritisation!$D$4+I822*MCDA_Prioritisation!$E$4+J822*O822+K822*S822+L822*W822</f>
        <v>74.498125649214401</v>
      </c>
      <c r="AB822" s="54">
        <f ca="1">H822*MCDA_Prioritisation!$D$5+I822*MCDA_Prioritisation!$E$5+J822*P822+K822*T822+L822*X822</f>
        <v>70.850360791451493</v>
      </c>
      <c r="AC822" s="54">
        <f t="shared" ca="1" si="174"/>
        <v>1</v>
      </c>
      <c r="AD822" s="54">
        <f t="shared" ca="1" si="175"/>
        <v>2</v>
      </c>
      <c r="AE822" s="54">
        <f t="shared" ca="1" si="176"/>
        <v>3</v>
      </c>
      <c r="AF822" s="54">
        <f t="shared" ca="1" si="177"/>
        <v>4</v>
      </c>
      <c r="AG822" s="54">
        <f t="shared" ca="1" si="178"/>
        <v>1</v>
      </c>
      <c r="AH822" s="54">
        <f t="shared" ca="1" si="179"/>
        <v>1</v>
      </c>
      <c r="AI822" s="54">
        <f t="shared" ca="1" si="180"/>
        <v>1</v>
      </c>
      <c r="AJ822" s="54">
        <f t="shared" ca="1" si="181"/>
        <v>1</v>
      </c>
    </row>
    <row r="823" spans="1:36" x14ac:dyDescent="0.2">
      <c r="A823" s="54">
        <v>800</v>
      </c>
      <c r="B823" s="54">
        <f ca="1">MAX(0.02,MCDA_Prioritisation!$B$9+(RAND()-0.5)*2*$B$6)</f>
        <v>0.19987590427035531</v>
      </c>
      <c r="C823" s="54">
        <f ca="1">MAX(0.02,MCDA_Prioritisation!$B$10+(RAND()-0.5)*2*$B$6)</f>
        <v>0.32254633025536067</v>
      </c>
      <c r="D823" s="54">
        <f ca="1">MAX(0.02,MCDA_Prioritisation!$B$11+(RAND()-0.5)*2*$B$6)</f>
        <v>0.21103139574158589</v>
      </c>
      <c r="E823" s="54">
        <f ca="1">MAX(0.02,MCDA_Prioritisation!$B$12+(RAND()-0.5)*2*$B$6)</f>
        <v>0.15195881126553831</v>
      </c>
      <c r="F823" s="54">
        <f ca="1">MAX(0.02,MCDA_Prioritisation!$B$13+(RAND()-0.5)*2*$B$6)</f>
        <v>0.10592077704491307</v>
      </c>
      <c r="G823" s="54">
        <f t="shared" ca="1" si="168"/>
        <v>0.99133321857775336</v>
      </c>
      <c r="H823" s="54">
        <f t="shared" ca="1" si="169"/>
        <v>0.20162332959760335</v>
      </c>
      <c r="I823" s="54">
        <f t="shared" ca="1" si="170"/>
        <v>0.3253662080628264</v>
      </c>
      <c r="J823" s="54">
        <f t="shared" ca="1" si="171"/>
        <v>0.21287634852421122</v>
      </c>
      <c r="K823" s="54">
        <f t="shared" ca="1" si="172"/>
        <v>0.15328731895371234</v>
      </c>
      <c r="L823" s="54">
        <f t="shared" ca="1" si="173"/>
        <v>0.10684679486164658</v>
      </c>
      <c r="M823" s="54">
        <f ca="1">MIN(100,MAX(0,MCDA_Prioritisation!$F$2+(RAND()-0.5)*2*$B$7))</f>
        <v>82.092008229996438</v>
      </c>
      <c r="N823" s="54">
        <f ca="1">MIN(100,MAX(0,MCDA_Prioritisation!$F$3+(RAND()-0.5)*2*$B$7))</f>
        <v>85.123442283175194</v>
      </c>
      <c r="O823" s="54">
        <f ca="1">MIN(100,MAX(0,MCDA_Prioritisation!$F$4+(RAND()-0.5)*2*$B$7))</f>
        <v>80.254633283579011</v>
      </c>
      <c r="P823" s="54">
        <f ca="1">MIN(100,MAX(0,MCDA_Prioritisation!$F$5+(RAND()-0.5)*2*$B$7))</f>
        <v>72.735833216921122</v>
      </c>
      <c r="Q823" s="54">
        <f ca="1">MIN(100,MAX(0,MCDA_Prioritisation!$G$2+(RAND()-0.5)*2*$B$7))</f>
        <v>78.398467389388429</v>
      </c>
      <c r="R823" s="54">
        <f ca="1">MIN(100,MAX(0,MCDA_Prioritisation!$G$3+(RAND()-0.5)*2*$B$7))</f>
        <v>100</v>
      </c>
      <c r="S823" s="54">
        <f ca="1">MIN(100,MAX(0,MCDA_Prioritisation!$G$4+(RAND()-0.5)*2*$B$7))</f>
        <v>75.684927848705684</v>
      </c>
      <c r="T823" s="54">
        <f ca="1">MIN(100,MAX(0,MCDA_Prioritisation!$G$5+(RAND()-0.5)*2*$B$7))</f>
        <v>63.101151803418546</v>
      </c>
      <c r="U823" s="54">
        <f ca="1">MIN(100,MAX(0,MCDA_Prioritisation!$H$2+(RAND()-0.5)*2*$B$7))</f>
        <v>70.399453737067716</v>
      </c>
      <c r="V823" s="54">
        <f ca="1">MIN(100,MAX(0,MCDA_Prioritisation!$H$3+(RAND()-0.5)*2*$B$7))</f>
        <v>59.195737691578017</v>
      </c>
      <c r="W823" s="54">
        <f ca="1">MIN(100,MAX(0,MCDA_Prioritisation!$H$4+(RAND()-0.5)*2*$B$7))</f>
        <v>70.961843386802499</v>
      </c>
      <c r="X823" s="54">
        <f ca="1">MIN(100,MAX(0,MCDA_Prioritisation!$H$5+(RAND()-0.5)*2*$B$7))</f>
        <v>81.316981860005001</v>
      </c>
      <c r="Y823" s="54">
        <f ca="1">H823*MCDA_Prioritisation!$D$2+I823*MCDA_Prioritisation!$E$2+J823*M823+K823*Q823+L823*U823</f>
        <v>89.713847589079975</v>
      </c>
      <c r="Z823" s="54">
        <f ca="1">H823*MCDA_Prioritisation!$D$3+I823*MCDA_Prioritisation!$E$3+J823*N823+K823*R823+L823*V823</f>
        <v>81.058612982162543</v>
      </c>
      <c r="AA823" s="54">
        <f ca="1">H823*MCDA_Prioritisation!$D$4+I823*MCDA_Prioritisation!$E$4+J823*O823+K823*S823+L823*W823</f>
        <v>68.055009606712318</v>
      </c>
      <c r="AB823" s="54">
        <f ca="1">H823*MCDA_Prioritisation!$D$5+I823*MCDA_Prioritisation!$E$5+J823*P823+K823*T823+L823*X823</f>
        <v>71.906481695185946</v>
      </c>
      <c r="AC823" s="54">
        <f t="shared" ca="1" si="174"/>
        <v>1</v>
      </c>
      <c r="AD823" s="54">
        <f t="shared" ca="1" si="175"/>
        <v>2</v>
      </c>
      <c r="AE823" s="54">
        <f t="shared" ca="1" si="176"/>
        <v>4</v>
      </c>
      <c r="AF823" s="54">
        <f t="shared" ca="1" si="177"/>
        <v>3</v>
      </c>
      <c r="AG823" s="54">
        <f t="shared" ca="1" si="178"/>
        <v>1</v>
      </c>
      <c r="AH823" s="54">
        <f t="shared" ca="1" si="179"/>
        <v>1</v>
      </c>
      <c r="AI823" s="54">
        <f t="shared" ca="1" si="180"/>
        <v>0</v>
      </c>
      <c r="AJ823" s="54">
        <f t="shared" ca="1" si="181"/>
        <v>1</v>
      </c>
    </row>
    <row r="824" spans="1:36" x14ac:dyDescent="0.2">
      <c r="A824" s="54">
        <v>801</v>
      </c>
      <c r="B824" s="54">
        <f ca="1">MAX(0.02,MCDA_Prioritisation!$B$9+(RAND()-0.5)*2*$B$6)</f>
        <v>0.26928648752404244</v>
      </c>
      <c r="C824" s="54">
        <f ca="1">MAX(0.02,MCDA_Prioritisation!$B$10+(RAND()-0.5)*2*$B$6)</f>
        <v>0.23703566377211924</v>
      </c>
      <c r="D824" s="54">
        <f ca="1">MAX(0.02,MCDA_Prioritisation!$B$11+(RAND()-0.5)*2*$B$6)</f>
        <v>0.18689650276121833</v>
      </c>
      <c r="E824" s="54">
        <f ca="1">MAX(0.02,MCDA_Prioritisation!$B$12+(RAND()-0.5)*2*$B$6)</f>
        <v>0.13458955168609482</v>
      </c>
      <c r="F824" s="54">
        <f ca="1">MAX(0.02,MCDA_Prioritisation!$B$13+(RAND()-0.5)*2*$B$6)</f>
        <v>0.1379666060178586</v>
      </c>
      <c r="G824" s="54">
        <f t="shared" ca="1" si="168"/>
        <v>0.9657748117613334</v>
      </c>
      <c r="H824" s="54">
        <f t="shared" ca="1" si="169"/>
        <v>0.27882947892680154</v>
      </c>
      <c r="I824" s="54">
        <f t="shared" ca="1" si="170"/>
        <v>0.24543574846379049</v>
      </c>
      <c r="J824" s="54">
        <f t="shared" ca="1" si="171"/>
        <v>0.19351975272617178</v>
      </c>
      <c r="K824" s="54">
        <f t="shared" ca="1" si="172"/>
        <v>0.13935914464432647</v>
      </c>
      <c r="L824" s="54">
        <f t="shared" ca="1" si="173"/>
        <v>0.14285587523890975</v>
      </c>
      <c r="M824" s="54">
        <f ca="1">MIN(100,MAX(0,MCDA_Prioritisation!$F$2+(RAND()-0.5)*2*$B$7))</f>
        <v>76.518670540452774</v>
      </c>
      <c r="N824" s="54">
        <f ca="1">MIN(100,MAX(0,MCDA_Prioritisation!$F$3+(RAND()-0.5)*2*$B$7))</f>
        <v>90.247374505730846</v>
      </c>
      <c r="O824" s="54">
        <f ca="1">MIN(100,MAX(0,MCDA_Prioritisation!$F$4+(RAND()-0.5)*2*$B$7))</f>
        <v>86.831369524441598</v>
      </c>
      <c r="P824" s="54">
        <f ca="1">MIN(100,MAX(0,MCDA_Prioritisation!$F$5+(RAND()-0.5)*2*$B$7))</f>
        <v>83.71309418880827</v>
      </c>
      <c r="Q824" s="54">
        <f ca="1">MIN(100,MAX(0,MCDA_Prioritisation!$G$2+(RAND()-0.5)*2*$B$7))</f>
        <v>86.431317559316298</v>
      </c>
      <c r="R824" s="54">
        <f ca="1">MIN(100,MAX(0,MCDA_Prioritisation!$G$3+(RAND()-0.5)*2*$B$7))</f>
        <v>99.84750731954199</v>
      </c>
      <c r="S824" s="54">
        <f ca="1">MIN(100,MAX(0,MCDA_Prioritisation!$G$4+(RAND()-0.5)*2*$B$7))</f>
        <v>94.246784950564816</v>
      </c>
      <c r="T824" s="54">
        <f ca="1">MIN(100,MAX(0,MCDA_Prioritisation!$G$5+(RAND()-0.5)*2*$B$7))</f>
        <v>75.318729383146149</v>
      </c>
      <c r="U824" s="54">
        <f ca="1">MIN(100,MAX(0,MCDA_Prioritisation!$H$2+(RAND()-0.5)*2*$B$7))</f>
        <v>57.916632670466626</v>
      </c>
      <c r="V824" s="54">
        <f ca="1">MIN(100,MAX(0,MCDA_Prioritisation!$H$3+(RAND()-0.5)*2*$B$7))</f>
        <v>69.488457337850008</v>
      </c>
      <c r="W824" s="54">
        <f ca="1">MIN(100,MAX(0,MCDA_Prioritisation!$H$4+(RAND()-0.5)*2*$B$7))</f>
        <v>71.693304639317802</v>
      </c>
      <c r="X824" s="54">
        <f ca="1">MIN(100,MAX(0,MCDA_Prioritisation!$H$5+(RAND()-0.5)*2*$B$7))</f>
        <v>69.727500691948535</v>
      </c>
      <c r="Y824" s="54">
        <f ca="1">H824*MCDA_Prioritisation!$D$2+I824*MCDA_Prioritisation!$E$2+J824*M824+K824*Q824+L824*U824</f>
        <v>87.553122677561447</v>
      </c>
      <c r="Z824" s="54">
        <f ca="1">H824*MCDA_Prioritisation!$D$3+I824*MCDA_Prioritisation!$E$3+J824*N824+K824*R824+L824*V824</f>
        <v>83.52483497170499</v>
      </c>
      <c r="AA824" s="54">
        <f ca="1">H824*MCDA_Prioritisation!$D$4+I824*MCDA_Prioritisation!$E$4+J824*O824+K824*S824+L824*W824</f>
        <v>72.982996525432526</v>
      </c>
      <c r="AB824" s="54">
        <f ca="1">H824*MCDA_Prioritisation!$D$5+I824*MCDA_Prioritisation!$E$5+J824*P824+K824*T824+L824*X824</f>
        <v>72.095512043792056</v>
      </c>
      <c r="AC824" s="54">
        <f t="shared" ca="1" si="174"/>
        <v>1</v>
      </c>
      <c r="AD824" s="54">
        <f t="shared" ca="1" si="175"/>
        <v>2</v>
      </c>
      <c r="AE824" s="54">
        <f t="shared" ca="1" si="176"/>
        <v>3</v>
      </c>
      <c r="AF824" s="54">
        <f t="shared" ca="1" si="177"/>
        <v>4</v>
      </c>
      <c r="AG824" s="54">
        <f t="shared" ca="1" si="178"/>
        <v>1</v>
      </c>
      <c r="AH824" s="54">
        <f t="shared" ca="1" si="179"/>
        <v>1</v>
      </c>
      <c r="AI824" s="54">
        <f t="shared" ca="1" si="180"/>
        <v>1</v>
      </c>
      <c r="AJ824" s="54">
        <f t="shared" ca="1" si="181"/>
        <v>1</v>
      </c>
    </row>
    <row r="825" spans="1:36" x14ac:dyDescent="0.2">
      <c r="A825" s="54">
        <v>802</v>
      </c>
      <c r="B825" s="54">
        <f ca="1">MAX(0.02,MCDA_Prioritisation!$B$9+(RAND()-0.5)*2*$B$6)</f>
        <v>0.21638641583040916</v>
      </c>
      <c r="C825" s="54">
        <f ca="1">MAX(0.02,MCDA_Prioritisation!$B$10+(RAND()-0.5)*2*$B$6)</f>
        <v>0.3148869246788164</v>
      </c>
      <c r="D825" s="54">
        <f ca="1">MAX(0.02,MCDA_Prioritisation!$B$11+(RAND()-0.5)*2*$B$6)</f>
        <v>0.18797023562512283</v>
      </c>
      <c r="E825" s="54">
        <f ca="1">MAX(0.02,MCDA_Prioritisation!$B$12+(RAND()-0.5)*2*$B$6)</f>
        <v>8.9565529110563605E-2</v>
      </c>
      <c r="F825" s="54">
        <f ca="1">MAX(0.02,MCDA_Prioritisation!$B$13+(RAND()-0.5)*2*$B$6)</f>
        <v>0.18140197010825337</v>
      </c>
      <c r="G825" s="54">
        <f t="shared" ca="1" si="168"/>
        <v>0.99021107535316544</v>
      </c>
      <c r="H825" s="54">
        <f t="shared" ca="1" si="169"/>
        <v>0.21852554593295523</v>
      </c>
      <c r="I825" s="54">
        <f t="shared" ca="1" si="170"/>
        <v>0.31799980076622542</v>
      </c>
      <c r="J825" s="54">
        <f t="shared" ca="1" si="171"/>
        <v>0.18982845203794754</v>
      </c>
      <c r="K825" s="54">
        <f t="shared" ca="1" si="172"/>
        <v>9.0450946611175254E-2</v>
      </c>
      <c r="L825" s="54">
        <f t="shared" ca="1" si="173"/>
        <v>0.1831952546516965</v>
      </c>
      <c r="M825" s="54">
        <f ca="1">MIN(100,MAX(0,MCDA_Prioritisation!$F$2+(RAND()-0.5)*2*$B$7))</f>
        <v>87.809525389540212</v>
      </c>
      <c r="N825" s="54">
        <f ca="1">MIN(100,MAX(0,MCDA_Prioritisation!$F$3+(RAND()-0.5)*2*$B$7))</f>
        <v>98.827387959408682</v>
      </c>
      <c r="O825" s="54">
        <f ca="1">MIN(100,MAX(0,MCDA_Prioritisation!$F$4+(RAND()-0.5)*2*$B$7))</f>
        <v>97.518986420783875</v>
      </c>
      <c r="P825" s="54">
        <f ca="1">MIN(100,MAX(0,MCDA_Prioritisation!$F$5+(RAND()-0.5)*2*$B$7))</f>
        <v>75.34828979112811</v>
      </c>
      <c r="Q825" s="54">
        <f ca="1">MIN(100,MAX(0,MCDA_Prioritisation!$G$2+(RAND()-0.5)*2*$B$7))</f>
        <v>88.640387181486489</v>
      </c>
      <c r="R825" s="54">
        <f ca="1">MIN(100,MAX(0,MCDA_Prioritisation!$G$3+(RAND()-0.5)*2*$B$7))</f>
        <v>100</v>
      </c>
      <c r="S825" s="54">
        <f ca="1">MIN(100,MAX(0,MCDA_Prioritisation!$G$4+(RAND()-0.5)*2*$B$7))</f>
        <v>85.252142728516034</v>
      </c>
      <c r="T825" s="54">
        <f ca="1">MIN(100,MAX(0,MCDA_Prioritisation!$G$5+(RAND()-0.5)*2*$B$7))</f>
        <v>70.135076926456264</v>
      </c>
      <c r="U825" s="54">
        <f ca="1">MIN(100,MAX(0,MCDA_Prioritisation!$H$2+(RAND()-0.5)*2*$B$7))</f>
        <v>59.439818149231989</v>
      </c>
      <c r="V825" s="54">
        <f ca="1">MIN(100,MAX(0,MCDA_Prioritisation!$H$3+(RAND()-0.5)*2*$B$7))</f>
        <v>53.42835490305373</v>
      </c>
      <c r="W825" s="54">
        <f ca="1">MIN(100,MAX(0,MCDA_Prioritisation!$H$4+(RAND()-0.5)*2*$B$7))</f>
        <v>77.389221500205025</v>
      </c>
      <c r="X825" s="54">
        <f ca="1">MIN(100,MAX(0,MCDA_Prioritisation!$H$5+(RAND()-0.5)*2*$B$7))</f>
        <v>68.850641358813462</v>
      </c>
      <c r="Y825" s="54">
        <f ca="1">H825*MCDA_Prioritisation!$D$2+I825*MCDA_Prioritisation!$E$2+J825*M825+K825*Q825+L825*U825</f>
        <v>89.227980499646975</v>
      </c>
      <c r="Z825" s="54">
        <f ca="1">H825*MCDA_Prioritisation!$D$3+I825*MCDA_Prioritisation!$E$3+J825*N825+K825*R825+L825*V825</f>
        <v>79.818866068131157</v>
      </c>
      <c r="AA825" s="54">
        <f ca="1">H825*MCDA_Prioritisation!$D$4+I825*MCDA_Prioritisation!$E$4+J825*O825+K825*S825+L825*W825</f>
        <v>72.962631459540717</v>
      </c>
      <c r="AB825" s="54">
        <f ca="1">H825*MCDA_Prioritisation!$D$5+I825*MCDA_Prioritisation!$E$5+J825*P825+K825*T825+L825*X825</f>
        <v>71.599474226417868</v>
      </c>
      <c r="AC825" s="54">
        <f t="shared" ca="1" si="174"/>
        <v>1</v>
      </c>
      <c r="AD825" s="54">
        <f t="shared" ca="1" si="175"/>
        <v>2</v>
      </c>
      <c r="AE825" s="54">
        <f t="shared" ca="1" si="176"/>
        <v>3</v>
      </c>
      <c r="AF825" s="54">
        <f t="shared" ca="1" si="177"/>
        <v>4</v>
      </c>
      <c r="AG825" s="54">
        <f t="shared" ca="1" si="178"/>
        <v>1</v>
      </c>
      <c r="AH825" s="54">
        <f t="shared" ca="1" si="179"/>
        <v>1</v>
      </c>
      <c r="AI825" s="54">
        <f t="shared" ca="1" si="180"/>
        <v>1</v>
      </c>
      <c r="AJ825" s="54">
        <f t="shared" ca="1" si="181"/>
        <v>1</v>
      </c>
    </row>
    <row r="826" spans="1:36" x14ac:dyDescent="0.2">
      <c r="A826" s="54">
        <v>803</v>
      </c>
      <c r="B826" s="54">
        <f ca="1">MAX(0.02,MCDA_Prioritisation!$B$9+(RAND()-0.5)*2*$B$6)</f>
        <v>0.23957954867635159</v>
      </c>
      <c r="C826" s="54">
        <f ca="1">MAX(0.02,MCDA_Prioritisation!$B$10+(RAND()-0.5)*2*$B$6)</f>
        <v>0.270728255190615</v>
      </c>
      <c r="D826" s="54">
        <f ca="1">MAX(0.02,MCDA_Prioritisation!$B$11+(RAND()-0.5)*2*$B$6)</f>
        <v>0.26445197124622211</v>
      </c>
      <c r="E826" s="54">
        <f ca="1">MAX(0.02,MCDA_Prioritisation!$B$12+(RAND()-0.5)*2*$B$6)</f>
        <v>0.21146279688279757</v>
      </c>
      <c r="F826" s="54">
        <f ca="1">MAX(0.02,MCDA_Prioritisation!$B$13+(RAND()-0.5)*2*$B$6)</f>
        <v>0.18041262971979249</v>
      </c>
      <c r="G826" s="54">
        <f t="shared" ca="1" si="168"/>
        <v>1.1666352017157788</v>
      </c>
      <c r="H826" s="54">
        <f t="shared" ca="1" si="169"/>
        <v>0.20535943740082607</v>
      </c>
      <c r="I826" s="54">
        <f t="shared" ca="1" si="170"/>
        <v>0.23205904878616126</v>
      </c>
      <c r="J826" s="54">
        <f t="shared" ca="1" si="171"/>
        <v>0.22667923174038523</v>
      </c>
      <c r="K826" s="54">
        <f t="shared" ca="1" si="172"/>
        <v>0.18125871443943892</v>
      </c>
      <c r="L826" s="54">
        <f t="shared" ca="1" si="173"/>
        <v>0.15464356763318846</v>
      </c>
      <c r="M826" s="54">
        <f ca="1">MIN(100,MAX(0,MCDA_Prioritisation!$F$2+(RAND()-0.5)*2*$B$7))</f>
        <v>92.705481390685492</v>
      </c>
      <c r="N826" s="54">
        <f ca="1">MIN(100,MAX(0,MCDA_Prioritisation!$F$3+(RAND()-0.5)*2*$B$7))</f>
        <v>94.552376447842562</v>
      </c>
      <c r="O826" s="54">
        <f ca="1">MIN(100,MAX(0,MCDA_Prioritisation!$F$4+(RAND()-0.5)*2*$B$7))</f>
        <v>84.751863363408177</v>
      </c>
      <c r="P826" s="54">
        <f ca="1">MIN(100,MAX(0,MCDA_Prioritisation!$F$5+(RAND()-0.5)*2*$B$7))</f>
        <v>74.028573887151239</v>
      </c>
      <c r="Q826" s="54">
        <f ca="1">MIN(100,MAX(0,MCDA_Prioritisation!$G$2+(RAND()-0.5)*2*$B$7))</f>
        <v>86.1132922762486</v>
      </c>
      <c r="R826" s="54">
        <f ca="1">MIN(100,MAX(0,MCDA_Prioritisation!$G$3+(RAND()-0.5)*2*$B$7))</f>
        <v>90.335356224620284</v>
      </c>
      <c r="S826" s="54">
        <f ca="1">MIN(100,MAX(0,MCDA_Prioritisation!$G$4+(RAND()-0.5)*2*$B$7))</f>
        <v>82.15048732412366</v>
      </c>
      <c r="T826" s="54">
        <f ca="1">MIN(100,MAX(0,MCDA_Prioritisation!$G$5+(RAND()-0.5)*2*$B$7))</f>
        <v>65.807729655846629</v>
      </c>
      <c r="U826" s="54">
        <f ca="1">MIN(100,MAX(0,MCDA_Prioritisation!$H$2+(RAND()-0.5)*2*$B$7))</f>
        <v>56.366669371385278</v>
      </c>
      <c r="V826" s="54">
        <f ca="1">MIN(100,MAX(0,MCDA_Prioritisation!$H$3+(RAND()-0.5)*2*$B$7))</f>
        <v>69.19837622096253</v>
      </c>
      <c r="W826" s="54">
        <f ca="1">MIN(100,MAX(0,MCDA_Prioritisation!$H$4+(RAND()-0.5)*2*$B$7))</f>
        <v>84.795329583769828</v>
      </c>
      <c r="X826" s="54">
        <f ca="1">MIN(100,MAX(0,MCDA_Prioritisation!$H$5+(RAND()-0.5)*2*$B$7))</f>
        <v>75.044276450923533</v>
      </c>
      <c r="Y826" s="54">
        <f ca="1">H826*MCDA_Prioritisation!$D$2+I826*MCDA_Prioritisation!$E$2+J826*M826+K826*Q826+L826*U826</f>
        <v>89.081783419793794</v>
      </c>
      <c r="Z826" s="54">
        <f ca="1">H826*MCDA_Prioritisation!$D$3+I826*MCDA_Prioritisation!$E$3+J826*N826+K826*R826+L826*V826</f>
        <v>83.333001834297974</v>
      </c>
      <c r="AA826" s="54">
        <f ca="1">H826*MCDA_Prioritisation!$D$4+I826*MCDA_Prioritisation!$E$4+J826*O826+K826*S826+L826*W826</f>
        <v>74.172821576100915</v>
      </c>
      <c r="AB826" s="54">
        <f ca="1">H826*MCDA_Prioritisation!$D$5+I826*MCDA_Prioritisation!$E$5+J826*P826+K826*T826+L826*X826</f>
        <v>70.727770622556434</v>
      </c>
      <c r="AC826" s="54">
        <f t="shared" ca="1" si="174"/>
        <v>1</v>
      </c>
      <c r="AD826" s="54">
        <f t="shared" ca="1" si="175"/>
        <v>2</v>
      </c>
      <c r="AE826" s="54">
        <f t="shared" ca="1" si="176"/>
        <v>3</v>
      </c>
      <c r="AF826" s="54">
        <f t="shared" ca="1" si="177"/>
        <v>4</v>
      </c>
      <c r="AG826" s="54">
        <f t="shared" ca="1" si="178"/>
        <v>1</v>
      </c>
      <c r="AH826" s="54">
        <f t="shared" ca="1" si="179"/>
        <v>1</v>
      </c>
      <c r="AI826" s="54">
        <f t="shared" ca="1" si="180"/>
        <v>1</v>
      </c>
      <c r="AJ826" s="54">
        <f t="shared" ca="1" si="181"/>
        <v>1</v>
      </c>
    </row>
    <row r="827" spans="1:36" x14ac:dyDescent="0.2">
      <c r="A827" s="54">
        <v>804</v>
      </c>
      <c r="B827" s="54">
        <f ca="1">MAX(0.02,MCDA_Prioritisation!$B$9+(RAND()-0.5)*2*$B$6)</f>
        <v>0.15909360141614937</v>
      </c>
      <c r="C827" s="54">
        <f ca="1">MAX(0.02,MCDA_Prioritisation!$B$10+(RAND()-0.5)*2*$B$6)</f>
        <v>0.29111652506344399</v>
      </c>
      <c r="D827" s="54">
        <f ca="1">MAX(0.02,MCDA_Prioritisation!$B$11+(RAND()-0.5)*2*$B$6)</f>
        <v>0.28983989200236332</v>
      </c>
      <c r="E827" s="54">
        <f ca="1">MAX(0.02,MCDA_Prioritisation!$B$12+(RAND()-0.5)*2*$B$6)</f>
        <v>0.15982184368795102</v>
      </c>
      <c r="F827" s="54">
        <f ca="1">MAX(0.02,MCDA_Prioritisation!$B$13+(RAND()-0.5)*2*$B$6)</f>
        <v>0.16817142316731801</v>
      </c>
      <c r="G827" s="54">
        <f t="shared" ca="1" si="168"/>
        <v>1.0680432853372257</v>
      </c>
      <c r="H827" s="54">
        <f t="shared" ca="1" si="169"/>
        <v>0.14895800909971257</v>
      </c>
      <c r="I827" s="54">
        <f t="shared" ca="1" si="170"/>
        <v>0.27256996889552693</v>
      </c>
      <c r="J827" s="54">
        <f t="shared" ca="1" si="171"/>
        <v>0.27137466803215637</v>
      </c>
      <c r="K827" s="54">
        <f t="shared" ca="1" si="172"/>
        <v>0.14963985625122733</v>
      </c>
      <c r="L827" s="54">
        <f t="shared" ca="1" si="173"/>
        <v>0.15745749772137679</v>
      </c>
      <c r="M827" s="54">
        <f ca="1">MIN(100,MAX(0,MCDA_Prioritisation!$F$2+(RAND()-0.5)*2*$B$7))</f>
        <v>80.157195485693066</v>
      </c>
      <c r="N827" s="54">
        <f ca="1">MIN(100,MAX(0,MCDA_Prioritisation!$F$3+(RAND()-0.5)*2*$B$7))</f>
        <v>100</v>
      </c>
      <c r="O827" s="54">
        <f ca="1">MIN(100,MAX(0,MCDA_Prioritisation!$F$4+(RAND()-0.5)*2*$B$7))</f>
        <v>98.831469528758106</v>
      </c>
      <c r="P827" s="54">
        <f ca="1">MIN(100,MAX(0,MCDA_Prioritisation!$F$5+(RAND()-0.5)*2*$B$7))</f>
        <v>70.30328772960047</v>
      </c>
      <c r="Q827" s="54">
        <f ca="1">MIN(100,MAX(0,MCDA_Prioritisation!$G$2+(RAND()-0.5)*2*$B$7))</f>
        <v>89.787426786781452</v>
      </c>
      <c r="R827" s="54">
        <f ca="1">MIN(100,MAX(0,MCDA_Prioritisation!$G$3+(RAND()-0.5)*2*$B$7))</f>
        <v>91.842864092292999</v>
      </c>
      <c r="S827" s="54">
        <f ca="1">MIN(100,MAX(0,MCDA_Prioritisation!$G$4+(RAND()-0.5)*2*$B$7))</f>
        <v>79.022238087896696</v>
      </c>
      <c r="T827" s="54">
        <f ca="1">MIN(100,MAX(0,MCDA_Prioritisation!$G$5+(RAND()-0.5)*2*$B$7))</f>
        <v>72.852522581689456</v>
      </c>
      <c r="U827" s="54">
        <f ca="1">MIN(100,MAX(0,MCDA_Prioritisation!$H$2+(RAND()-0.5)*2*$B$7))</f>
        <v>73.186343669030492</v>
      </c>
      <c r="V827" s="54">
        <f ca="1">MIN(100,MAX(0,MCDA_Prioritisation!$H$3+(RAND()-0.5)*2*$B$7))</f>
        <v>54.052870479115988</v>
      </c>
      <c r="W827" s="54">
        <f ca="1">MIN(100,MAX(0,MCDA_Prioritisation!$H$4+(RAND()-0.5)*2*$B$7))</f>
        <v>85.287073525723784</v>
      </c>
      <c r="X827" s="54">
        <f ca="1">MIN(100,MAX(0,MCDA_Prioritisation!$H$5+(RAND()-0.5)*2*$B$7))</f>
        <v>68.984939914855076</v>
      </c>
      <c r="Y827" s="54">
        <f ca="1">H827*MCDA_Prioritisation!$D$2+I827*MCDA_Prioritisation!$E$2+J827*M827+K827*Q827+L827*U827</f>
        <v>88.864946293886419</v>
      </c>
      <c r="Z827" s="54">
        <f ca="1">H827*MCDA_Prioritisation!$D$3+I827*MCDA_Prioritisation!$E$3+J827*N827+K827*R827+L827*V827</f>
        <v>82.233579156885824</v>
      </c>
      <c r="AA827" s="54">
        <f ca="1">H827*MCDA_Prioritisation!$D$4+I827*MCDA_Prioritisation!$E$4+J827*O827+K827*S827+L827*W827</f>
        <v>77.314335705867791</v>
      </c>
      <c r="AB827" s="54">
        <f ca="1">H827*MCDA_Prioritisation!$D$5+I827*MCDA_Prioritisation!$E$5+J827*P827+K827*T827+L827*X827</f>
        <v>71.669103749668395</v>
      </c>
      <c r="AC827" s="54">
        <f t="shared" ca="1" si="174"/>
        <v>1</v>
      </c>
      <c r="AD827" s="54">
        <f t="shared" ca="1" si="175"/>
        <v>2</v>
      </c>
      <c r="AE827" s="54">
        <f t="shared" ca="1" si="176"/>
        <v>3</v>
      </c>
      <c r="AF827" s="54">
        <f t="shared" ca="1" si="177"/>
        <v>4</v>
      </c>
      <c r="AG827" s="54">
        <f t="shared" ca="1" si="178"/>
        <v>1</v>
      </c>
      <c r="AH827" s="54">
        <f t="shared" ca="1" si="179"/>
        <v>1</v>
      </c>
      <c r="AI827" s="54">
        <f t="shared" ca="1" si="180"/>
        <v>1</v>
      </c>
      <c r="AJ827" s="54">
        <f t="shared" ca="1" si="181"/>
        <v>1</v>
      </c>
    </row>
    <row r="828" spans="1:36" x14ac:dyDescent="0.2">
      <c r="A828" s="54">
        <v>805</v>
      </c>
      <c r="B828" s="54">
        <f ca="1">MAX(0.02,MCDA_Prioritisation!$B$9+(RAND()-0.5)*2*$B$6)</f>
        <v>0.27831278213003963</v>
      </c>
      <c r="C828" s="54">
        <f ca="1">MAX(0.02,MCDA_Prioritisation!$B$10+(RAND()-0.5)*2*$B$6)</f>
        <v>0.30305414848848711</v>
      </c>
      <c r="D828" s="54">
        <f ca="1">MAX(0.02,MCDA_Prioritisation!$B$11+(RAND()-0.5)*2*$B$6)</f>
        <v>0.30985355318524826</v>
      </c>
      <c r="E828" s="54">
        <f ca="1">MAX(0.02,MCDA_Prioritisation!$B$12+(RAND()-0.5)*2*$B$6)</f>
        <v>9.0142610630708928E-2</v>
      </c>
      <c r="F828" s="54">
        <f ca="1">MAX(0.02,MCDA_Prioritisation!$B$13+(RAND()-0.5)*2*$B$6)</f>
        <v>0.18361500326325886</v>
      </c>
      <c r="G828" s="54">
        <f t="shared" ca="1" si="168"/>
        <v>1.1649780976977429</v>
      </c>
      <c r="H828" s="54">
        <f t="shared" ca="1" si="169"/>
        <v>0.23889958333126426</v>
      </c>
      <c r="I828" s="54">
        <f t="shared" ca="1" si="170"/>
        <v>0.26013720694611325</v>
      </c>
      <c r="J828" s="54">
        <f t="shared" ca="1" si="171"/>
        <v>0.26597371555532945</v>
      </c>
      <c r="K828" s="54">
        <f t="shared" ca="1" si="172"/>
        <v>7.7377086151963606E-2</v>
      </c>
      <c r="L828" s="54">
        <f t="shared" ca="1" si="173"/>
        <v>0.15761240801532936</v>
      </c>
      <c r="M828" s="54">
        <f ca="1">MIN(100,MAX(0,MCDA_Prioritisation!$F$2+(RAND()-0.5)*2*$B$7))</f>
        <v>89.727458546651178</v>
      </c>
      <c r="N828" s="54">
        <f ca="1">MIN(100,MAX(0,MCDA_Prioritisation!$F$3+(RAND()-0.5)*2*$B$7))</f>
        <v>85.360708548305084</v>
      </c>
      <c r="O828" s="54">
        <f ca="1">MIN(100,MAX(0,MCDA_Prioritisation!$F$4+(RAND()-0.5)*2*$B$7))</f>
        <v>97.801214965978659</v>
      </c>
      <c r="P828" s="54">
        <f ca="1">MIN(100,MAX(0,MCDA_Prioritisation!$F$5+(RAND()-0.5)*2*$B$7))</f>
        <v>78.295452297320409</v>
      </c>
      <c r="Q828" s="54">
        <f ca="1">MIN(100,MAX(0,MCDA_Prioritisation!$G$2+(RAND()-0.5)*2*$B$7))</f>
        <v>70.514255198025168</v>
      </c>
      <c r="R828" s="54">
        <f ca="1">MIN(100,MAX(0,MCDA_Prioritisation!$G$3+(RAND()-0.5)*2*$B$7))</f>
        <v>92.399971829744359</v>
      </c>
      <c r="S828" s="54">
        <f ca="1">MIN(100,MAX(0,MCDA_Prioritisation!$G$4+(RAND()-0.5)*2*$B$7))</f>
        <v>80.590539531480843</v>
      </c>
      <c r="T828" s="54">
        <f ca="1">MIN(100,MAX(0,MCDA_Prioritisation!$G$5+(RAND()-0.5)*2*$B$7))</f>
        <v>62.345583001684936</v>
      </c>
      <c r="U828" s="54">
        <f ca="1">MIN(100,MAX(0,MCDA_Prioritisation!$H$2+(RAND()-0.5)*2*$B$7))</f>
        <v>63.557339519073871</v>
      </c>
      <c r="V828" s="54">
        <f ca="1">MIN(100,MAX(0,MCDA_Prioritisation!$H$3+(RAND()-0.5)*2*$B$7))</f>
        <v>55.564757917676772</v>
      </c>
      <c r="W828" s="54">
        <f ca="1">MIN(100,MAX(0,MCDA_Prioritisation!$H$4+(RAND()-0.5)*2*$B$7))</f>
        <v>88.776555508316392</v>
      </c>
      <c r="X828" s="54">
        <f ca="1">MIN(100,MAX(0,MCDA_Prioritisation!$H$5+(RAND()-0.5)*2*$B$7))</f>
        <v>74.221951864281479</v>
      </c>
      <c r="Y828" s="54">
        <f ca="1">H828*MCDA_Prioritisation!$D$2+I828*MCDA_Prioritisation!$E$2+J828*M828+K828*Q828+L828*U828</f>
        <v>89.242437492775593</v>
      </c>
      <c r="Z828" s="54">
        <f ca="1">H828*MCDA_Prioritisation!$D$3+I828*MCDA_Prioritisation!$E$3+J828*N828+K828*R828+L828*V828</f>
        <v>78.409178771684083</v>
      </c>
      <c r="AA828" s="54">
        <f ca="1">H828*MCDA_Prioritisation!$D$4+I828*MCDA_Prioritisation!$E$4+J828*O828+K828*S828+L828*W828</f>
        <v>77.065565124674151</v>
      </c>
      <c r="AB828" s="54">
        <f ca="1">H828*MCDA_Prioritisation!$D$5+I828*MCDA_Prioritisation!$E$5+J828*P828+K828*T828+L828*X828</f>
        <v>71.901934650489196</v>
      </c>
      <c r="AC828" s="54">
        <f t="shared" ca="1" si="174"/>
        <v>1</v>
      </c>
      <c r="AD828" s="54">
        <f t="shared" ca="1" si="175"/>
        <v>2</v>
      </c>
      <c r="AE828" s="54">
        <f t="shared" ca="1" si="176"/>
        <v>3</v>
      </c>
      <c r="AF828" s="54">
        <f t="shared" ca="1" si="177"/>
        <v>4</v>
      </c>
      <c r="AG828" s="54">
        <f t="shared" ca="1" si="178"/>
        <v>1</v>
      </c>
      <c r="AH828" s="54">
        <f t="shared" ca="1" si="179"/>
        <v>1</v>
      </c>
      <c r="AI828" s="54">
        <f t="shared" ca="1" si="180"/>
        <v>1</v>
      </c>
      <c r="AJ828" s="54">
        <f t="shared" ca="1" si="181"/>
        <v>1</v>
      </c>
    </row>
    <row r="829" spans="1:36" x14ac:dyDescent="0.2">
      <c r="A829" s="54">
        <v>806</v>
      </c>
      <c r="B829" s="54">
        <f ca="1">MAX(0.02,MCDA_Prioritisation!$B$9+(RAND()-0.5)*2*$B$6)</f>
        <v>0.20445369469658825</v>
      </c>
      <c r="C829" s="54">
        <f ca="1">MAX(0.02,MCDA_Prioritisation!$B$10+(RAND()-0.5)*2*$B$6)</f>
        <v>0.32519458752592634</v>
      </c>
      <c r="D829" s="54">
        <f ca="1">MAX(0.02,MCDA_Prioritisation!$B$11+(RAND()-0.5)*2*$B$6)</f>
        <v>0.2305400845802375</v>
      </c>
      <c r="E829" s="54">
        <f ca="1">MAX(0.02,MCDA_Prioritisation!$B$12+(RAND()-0.5)*2*$B$6)</f>
        <v>0.12845550559147212</v>
      </c>
      <c r="F829" s="54">
        <f ca="1">MAX(0.02,MCDA_Prioritisation!$B$13+(RAND()-0.5)*2*$B$6)</f>
        <v>7.3561539933915829E-2</v>
      </c>
      <c r="G829" s="54">
        <f t="shared" ca="1" si="168"/>
        <v>0.96220541232813994</v>
      </c>
      <c r="H829" s="54">
        <f t="shared" ca="1" si="169"/>
        <v>0.21248445714090788</v>
      </c>
      <c r="I829" s="54">
        <f t="shared" ca="1" si="170"/>
        <v>0.33796794671845554</v>
      </c>
      <c r="J829" s="54">
        <f t="shared" ca="1" si="171"/>
        <v>0.23959549762085172</v>
      </c>
      <c r="K829" s="54">
        <f t="shared" ca="1" si="172"/>
        <v>0.13350112558675264</v>
      </c>
      <c r="L829" s="54">
        <f t="shared" ca="1" si="173"/>
        <v>7.6450972933032324E-2</v>
      </c>
      <c r="M829" s="54">
        <f ca="1">MIN(100,MAX(0,MCDA_Prioritisation!$F$2+(RAND()-0.5)*2*$B$7))</f>
        <v>87.342362126871365</v>
      </c>
      <c r="N829" s="54">
        <f ca="1">MIN(100,MAX(0,MCDA_Prioritisation!$F$3+(RAND()-0.5)*2*$B$7))</f>
        <v>99.777416958058453</v>
      </c>
      <c r="O829" s="54">
        <f ca="1">MIN(100,MAX(0,MCDA_Prioritisation!$F$4+(RAND()-0.5)*2*$B$7))</f>
        <v>92.242117633221</v>
      </c>
      <c r="P829" s="54">
        <f ca="1">MIN(100,MAX(0,MCDA_Prioritisation!$F$5+(RAND()-0.5)*2*$B$7))</f>
        <v>74.353030862813057</v>
      </c>
      <c r="Q829" s="54">
        <f ca="1">MIN(100,MAX(0,MCDA_Prioritisation!$G$2+(RAND()-0.5)*2*$B$7))</f>
        <v>89.425579771388954</v>
      </c>
      <c r="R829" s="54">
        <f ca="1">MIN(100,MAX(0,MCDA_Prioritisation!$G$3+(RAND()-0.5)*2*$B$7))</f>
        <v>92.274475629732748</v>
      </c>
      <c r="S829" s="54">
        <f ca="1">MIN(100,MAX(0,MCDA_Prioritisation!$G$4+(RAND()-0.5)*2*$B$7))</f>
        <v>83.180410861316389</v>
      </c>
      <c r="T829" s="54">
        <f ca="1">MIN(100,MAX(0,MCDA_Prioritisation!$G$5+(RAND()-0.5)*2*$B$7))</f>
        <v>64.097929918008958</v>
      </c>
      <c r="U829" s="54">
        <f ca="1">MIN(100,MAX(0,MCDA_Prioritisation!$H$2+(RAND()-0.5)*2*$B$7))</f>
        <v>66.64206421611182</v>
      </c>
      <c r="V829" s="54">
        <f ca="1">MIN(100,MAX(0,MCDA_Prioritisation!$H$3+(RAND()-0.5)*2*$B$7))</f>
        <v>65.862012274601852</v>
      </c>
      <c r="W829" s="54">
        <f ca="1">MIN(100,MAX(0,MCDA_Prioritisation!$H$4+(RAND()-0.5)*2*$B$7))</f>
        <v>70.324091009485358</v>
      </c>
      <c r="X829" s="54">
        <f ca="1">MIN(100,MAX(0,MCDA_Prioritisation!$H$5+(RAND()-0.5)*2*$B$7))</f>
        <v>79.769635924965968</v>
      </c>
      <c r="Y829" s="54">
        <f ca="1">H829*MCDA_Prioritisation!$D$2+I829*MCDA_Prioritisation!$E$2+J829*M829+K829*Q829+L829*U829</f>
        <v>93.005343306420443</v>
      </c>
      <c r="Z829" s="54">
        <f ca="1">H829*MCDA_Prioritisation!$D$3+I829*MCDA_Prioritisation!$E$3+J829*N829+K829*R829+L829*V829</f>
        <v>84.410138124657962</v>
      </c>
      <c r="AA829" s="54">
        <f ca="1">H829*MCDA_Prioritisation!$D$4+I829*MCDA_Prioritisation!$E$4+J829*O829+K829*S829+L829*W829</f>
        <v>71.812603490579505</v>
      </c>
      <c r="AB829" s="54">
        <f ca="1">H829*MCDA_Prioritisation!$D$5+I829*MCDA_Prioritisation!$E$5+J829*P829+K829*T829+L829*X829</f>
        <v>72.168097017214265</v>
      </c>
      <c r="AC829" s="54">
        <f t="shared" ca="1" si="174"/>
        <v>1</v>
      </c>
      <c r="AD829" s="54">
        <f t="shared" ca="1" si="175"/>
        <v>2</v>
      </c>
      <c r="AE829" s="54">
        <f t="shared" ca="1" si="176"/>
        <v>4</v>
      </c>
      <c r="AF829" s="54">
        <f t="shared" ca="1" si="177"/>
        <v>3</v>
      </c>
      <c r="AG829" s="54">
        <f t="shared" ca="1" si="178"/>
        <v>1</v>
      </c>
      <c r="AH829" s="54">
        <f t="shared" ca="1" si="179"/>
        <v>1</v>
      </c>
      <c r="AI829" s="54">
        <f t="shared" ca="1" si="180"/>
        <v>0</v>
      </c>
      <c r="AJ829" s="54">
        <f t="shared" ca="1" si="181"/>
        <v>1</v>
      </c>
    </row>
    <row r="830" spans="1:36" x14ac:dyDescent="0.2">
      <c r="A830" s="54">
        <v>807</v>
      </c>
      <c r="B830" s="54">
        <f ca="1">MAX(0.02,MCDA_Prioritisation!$B$9+(RAND()-0.5)*2*$B$6)</f>
        <v>0.12509707959481653</v>
      </c>
      <c r="C830" s="54">
        <f ca="1">MAX(0.02,MCDA_Prioritisation!$B$10+(RAND()-0.5)*2*$B$6)</f>
        <v>0.29257171695450945</v>
      </c>
      <c r="D830" s="54">
        <f ca="1">MAX(0.02,MCDA_Prioritisation!$B$11+(RAND()-0.5)*2*$B$6)</f>
        <v>0.27441036083942927</v>
      </c>
      <c r="E830" s="54">
        <f ca="1">MAX(0.02,MCDA_Prioritisation!$B$12+(RAND()-0.5)*2*$B$6)</f>
        <v>0.17868548539722559</v>
      </c>
      <c r="F830" s="54">
        <f ca="1">MAX(0.02,MCDA_Prioritisation!$B$13+(RAND()-0.5)*2*$B$6)</f>
        <v>0.22776365809645482</v>
      </c>
      <c r="G830" s="54">
        <f t="shared" ca="1" si="168"/>
        <v>1.0985283008824358</v>
      </c>
      <c r="H830" s="54">
        <f t="shared" ca="1" si="169"/>
        <v>0.113876974761895</v>
      </c>
      <c r="I830" s="54">
        <f t="shared" ca="1" si="170"/>
        <v>0.26633061407656933</v>
      </c>
      <c r="J830" s="54">
        <f t="shared" ca="1" si="171"/>
        <v>0.24979817144355626</v>
      </c>
      <c r="K830" s="54">
        <f t="shared" ca="1" si="172"/>
        <v>0.16265897314952149</v>
      </c>
      <c r="L830" s="54">
        <f t="shared" ca="1" si="173"/>
        <v>0.20733526656845777</v>
      </c>
      <c r="M830" s="54">
        <f ca="1">MIN(100,MAX(0,MCDA_Prioritisation!$F$2+(RAND()-0.5)*2*$B$7))</f>
        <v>94.241871417452856</v>
      </c>
      <c r="N830" s="54">
        <f ca="1">MIN(100,MAX(0,MCDA_Prioritisation!$F$3+(RAND()-0.5)*2*$B$7))</f>
        <v>92.745720629019218</v>
      </c>
      <c r="O830" s="54">
        <f ca="1">MIN(100,MAX(0,MCDA_Prioritisation!$F$4+(RAND()-0.5)*2*$B$7))</f>
        <v>96.247766132954538</v>
      </c>
      <c r="P830" s="54">
        <f ca="1">MIN(100,MAX(0,MCDA_Prioritisation!$F$5+(RAND()-0.5)*2*$B$7))</f>
        <v>82.045677904062785</v>
      </c>
      <c r="Q830" s="54">
        <f ca="1">MIN(100,MAX(0,MCDA_Prioritisation!$G$2+(RAND()-0.5)*2*$B$7))</f>
        <v>87.490483793293478</v>
      </c>
      <c r="R830" s="54">
        <f ca="1">MIN(100,MAX(0,MCDA_Prioritisation!$G$3+(RAND()-0.5)*2*$B$7))</f>
        <v>100</v>
      </c>
      <c r="S830" s="54">
        <f ca="1">MIN(100,MAX(0,MCDA_Prioritisation!$G$4+(RAND()-0.5)*2*$B$7))</f>
        <v>75.519926402753356</v>
      </c>
      <c r="T830" s="54">
        <f ca="1">MIN(100,MAX(0,MCDA_Prioritisation!$G$5+(RAND()-0.5)*2*$B$7))</f>
        <v>76.058251080617296</v>
      </c>
      <c r="U830" s="54">
        <f ca="1">MIN(100,MAX(0,MCDA_Prioritisation!$H$2+(RAND()-0.5)*2*$B$7))</f>
        <v>60.023787448247425</v>
      </c>
      <c r="V830" s="54">
        <f ca="1">MIN(100,MAX(0,MCDA_Prioritisation!$H$3+(RAND()-0.5)*2*$B$7))</f>
        <v>57.056502868797644</v>
      </c>
      <c r="W830" s="54">
        <f ca="1">MIN(100,MAX(0,MCDA_Prioritisation!$H$4+(RAND()-0.5)*2*$B$7))</f>
        <v>83.811171227670897</v>
      </c>
      <c r="X830" s="54">
        <f ca="1">MIN(100,MAX(0,MCDA_Prioritisation!$H$5+(RAND()-0.5)*2*$B$7))</f>
        <v>66.549046836116901</v>
      </c>
      <c r="Y830" s="54">
        <f ca="1">H830*MCDA_Prioritisation!$D$2+I830*MCDA_Prioritisation!$E$2+J830*M830+K830*Q830+L830*U830</f>
        <v>88.2383662625477</v>
      </c>
      <c r="Z830" s="54">
        <f ca="1">H830*MCDA_Prioritisation!$D$3+I830*MCDA_Prioritisation!$E$3+J830*N830+K830*R830+L830*V830</f>
        <v>80.585420833305733</v>
      </c>
      <c r="AA830" s="54">
        <f ca="1">H830*MCDA_Prioritisation!$D$4+I830*MCDA_Prioritisation!$E$4+J830*O830+K830*S830+L830*W830</f>
        <v>76.1603686837841</v>
      </c>
      <c r="AB830" s="54">
        <f ca="1">H830*MCDA_Prioritisation!$D$5+I830*MCDA_Prioritisation!$E$5+J830*P830+K830*T830+L830*X830</f>
        <v>75.104486923392471</v>
      </c>
      <c r="AC830" s="54">
        <f t="shared" ca="1" si="174"/>
        <v>1</v>
      </c>
      <c r="AD830" s="54">
        <f t="shared" ca="1" si="175"/>
        <v>2</v>
      </c>
      <c r="AE830" s="54">
        <f t="shared" ca="1" si="176"/>
        <v>3</v>
      </c>
      <c r="AF830" s="54">
        <f t="shared" ca="1" si="177"/>
        <v>4</v>
      </c>
      <c r="AG830" s="54">
        <f t="shared" ca="1" si="178"/>
        <v>1</v>
      </c>
      <c r="AH830" s="54">
        <f t="shared" ca="1" si="179"/>
        <v>1</v>
      </c>
      <c r="AI830" s="54">
        <f t="shared" ca="1" si="180"/>
        <v>1</v>
      </c>
      <c r="AJ830" s="54">
        <f t="shared" ca="1" si="181"/>
        <v>1</v>
      </c>
    </row>
    <row r="831" spans="1:36" x14ac:dyDescent="0.2">
      <c r="A831" s="54">
        <v>808</v>
      </c>
      <c r="B831" s="54">
        <f ca="1">MAX(0.02,MCDA_Prioritisation!$B$9+(RAND()-0.5)*2*$B$6)</f>
        <v>0.19948195777509337</v>
      </c>
      <c r="C831" s="54">
        <f ca="1">MAX(0.02,MCDA_Prioritisation!$B$10+(RAND()-0.5)*2*$B$6)</f>
        <v>0.31792426517229466</v>
      </c>
      <c r="D831" s="54">
        <f ca="1">MAX(0.02,MCDA_Prioritisation!$B$11+(RAND()-0.5)*2*$B$6)</f>
        <v>0.21355312218872824</v>
      </c>
      <c r="E831" s="54">
        <f ca="1">MAX(0.02,MCDA_Prioritisation!$B$12+(RAND()-0.5)*2*$B$6)</f>
        <v>0.15659229077366574</v>
      </c>
      <c r="F831" s="54">
        <f ca="1">MAX(0.02,MCDA_Prioritisation!$B$13+(RAND()-0.5)*2*$B$6)</f>
        <v>0.15027851599713779</v>
      </c>
      <c r="G831" s="54">
        <f t="shared" ca="1" si="168"/>
        <v>1.0378301519069197</v>
      </c>
      <c r="H831" s="54">
        <f t="shared" ca="1" si="169"/>
        <v>0.19221060152141772</v>
      </c>
      <c r="I831" s="54">
        <f t="shared" ca="1" si="170"/>
        <v>0.30633554497153254</v>
      </c>
      <c r="J831" s="54">
        <f t="shared" ca="1" si="171"/>
        <v>0.2057688551410301</v>
      </c>
      <c r="K831" s="54">
        <f t="shared" ca="1" si="172"/>
        <v>0.15088431424539117</v>
      </c>
      <c r="L831" s="54">
        <f t="shared" ca="1" si="173"/>
        <v>0.14480068412062852</v>
      </c>
      <c r="M831" s="54">
        <f ca="1">MIN(100,MAX(0,MCDA_Prioritisation!$F$2+(RAND()-0.5)*2*$B$7))</f>
        <v>90.6945182266182</v>
      </c>
      <c r="N831" s="54">
        <f ca="1">MIN(100,MAX(0,MCDA_Prioritisation!$F$3+(RAND()-0.5)*2*$B$7))</f>
        <v>87.712231194792594</v>
      </c>
      <c r="O831" s="54">
        <f ca="1">MIN(100,MAX(0,MCDA_Prioritisation!$F$4+(RAND()-0.5)*2*$B$7))</f>
        <v>89.903681042913377</v>
      </c>
      <c r="P831" s="54">
        <f ca="1">MIN(100,MAX(0,MCDA_Prioritisation!$F$5+(RAND()-0.5)*2*$B$7))</f>
        <v>68.788424429363388</v>
      </c>
      <c r="Q831" s="54">
        <f ca="1">MIN(100,MAX(0,MCDA_Prioritisation!$G$2+(RAND()-0.5)*2*$B$7))</f>
        <v>79.66851913335249</v>
      </c>
      <c r="R831" s="54">
        <f ca="1">MIN(100,MAX(0,MCDA_Prioritisation!$G$3+(RAND()-0.5)*2*$B$7))</f>
        <v>94.905844092394133</v>
      </c>
      <c r="S831" s="54">
        <f ca="1">MIN(100,MAX(0,MCDA_Prioritisation!$G$4+(RAND()-0.5)*2*$B$7))</f>
        <v>90.625853000557569</v>
      </c>
      <c r="T831" s="54">
        <f ca="1">MIN(100,MAX(0,MCDA_Prioritisation!$G$5+(RAND()-0.5)*2*$B$7))</f>
        <v>66.156334835540136</v>
      </c>
      <c r="U831" s="54">
        <f ca="1">MIN(100,MAX(0,MCDA_Prioritisation!$H$2+(RAND()-0.5)*2*$B$7))</f>
        <v>67.544393930953049</v>
      </c>
      <c r="V831" s="54">
        <f ca="1">MIN(100,MAX(0,MCDA_Prioritisation!$H$3+(RAND()-0.5)*2*$B$7))</f>
        <v>68.093085988674645</v>
      </c>
      <c r="W831" s="54">
        <f ca="1">MIN(100,MAX(0,MCDA_Prioritisation!$H$4+(RAND()-0.5)*2*$B$7))</f>
        <v>82.385177497808897</v>
      </c>
      <c r="X831" s="54">
        <f ca="1">MIN(100,MAX(0,MCDA_Prioritisation!$H$5+(RAND()-0.5)*2*$B$7))</f>
        <v>67.537746548009324</v>
      </c>
      <c r="Y831" s="54">
        <f ca="1">H831*MCDA_Prioritisation!$D$2+I831*MCDA_Prioritisation!$E$2+J831*M831+K831*Q831+L831*U831</f>
        <v>90.31792615845049</v>
      </c>
      <c r="Z831" s="54">
        <f ca="1">H831*MCDA_Prioritisation!$D$3+I831*MCDA_Prioritisation!$E$3+J831*N831+K831*R831+L831*V831</f>
        <v>81.305721804051842</v>
      </c>
      <c r="AA831" s="54">
        <f ca="1">H831*MCDA_Prioritisation!$D$4+I831*MCDA_Prioritisation!$E$4+J831*O831+K831*S831+L831*W831</f>
        <v>74.196455171634057</v>
      </c>
      <c r="AB831" s="54">
        <f ca="1">H831*MCDA_Prioritisation!$D$5+I831*MCDA_Prioritisation!$E$5+J831*P831+K831*T831+L831*X831</f>
        <v>69.877763633007703</v>
      </c>
      <c r="AC831" s="54">
        <f t="shared" ca="1" si="174"/>
        <v>1</v>
      </c>
      <c r="AD831" s="54">
        <f t="shared" ca="1" si="175"/>
        <v>2</v>
      </c>
      <c r="AE831" s="54">
        <f t="shared" ca="1" si="176"/>
        <v>3</v>
      </c>
      <c r="AF831" s="54">
        <f t="shared" ca="1" si="177"/>
        <v>4</v>
      </c>
      <c r="AG831" s="54">
        <f t="shared" ca="1" si="178"/>
        <v>1</v>
      </c>
      <c r="AH831" s="54">
        <f t="shared" ca="1" si="179"/>
        <v>1</v>
      </c>
      <c r="AI831" s="54">
        <f t="shared" ca="1" si="180"/>
        <v>1</v>
      </c>
      <c r="AJ831" s="54">
        <f t="shared" ca="1" si="181"/>
        <v>1</v>
      </c>
    </row>
    <row r="832" spans="1:36" x14ac:dyDescent="0.2">
      <c r="A832" s="54">
        <v>809</v>
      </c>
      <c r="B832" s="54">
        <f ca="1">MAX(0.02,MCDA_Prioritisation!$B$9+(RAND()-0.5)*2*$B$6)</f>
        <v>0.14112542850347426</v>
      </c>
      <c r="C832" s="54">
        <f ca="1">MAX(0.02,MCDA_Prioritisation!$B$10+(RAND()-0.5)*2*$B$6)</f>
        <v>0.25133223966016116</v>
      </c>
      <c r="D832" s="54">
        <f ca="1">MAX(0.02,MCDA_Prioritisation!$B$11+(RAND()-0.5)*2*$B$6)</f>
        <v>0.30311873284558355</v>
      </c>
      <c r="E832" s="54">
        <f ca="1">MAX(0.02,MCDA_Prioritisation!$B$12+(RAND()-0.5)*2*$B$6)</f>
        <v>0.13321224653240751</v>
      </c>
      <c r="F832" s="54">
        <f ca="1">MAX(0.02,MCDA_Prioritisation!$B$13+(RAND()-0.5)*2*$B$6)</f>
        <v>0.22265057438324362</v>
      </c>
      <c r="G832" s="54">
        <f t="shared" ca="1" si="168"/>
        <v>1.05143922192487</v>
      </c>
      <c r="H832" s="54">
        <f t="shared" ca="1" si="169"/>
        <v>0.13422119468314669</v>
      </c>
      <c r="I832" s="54">
        <f t="shared" ca="1" si="170"/>
        <v>0.23903639356352635</v>
      </c>
      <c r="J832" s="54">
        <f t="shared" ca="1" si="171"/>
        <v>0.28828935284596291</v>
      </c>
      <c r="K832" s="54">
        <f t="shared" ca="1" si="172"/>
        <v>0.12669514676134663</v>
      </c>
      <c r="L832" s="54">
        <f t="shared" ca="1" si="173"/>
        <v>0.2117579121460175</v>
      </c>
      <c r="M832" s="54">
        <f ca="1">MIN(100,MAX(0,MCDA_Prioritisation!$F$2+(RAND()-0.5)*2*$B$7))</f>
        <v>90.092185831867582</v>
      </c>
      <c r="N832" s="54">
        <f ca="1">MIN(100,MAX(0,MCDA_Prioritisation!$F$3+(RAND()-0.5)*2*$B$7))</f>
        <v>100</v>
      </c>
      <c r="O832" s="54">
        <f ca="1">MIN(100,MAX(0,MCDA_Prioritisation!$F$4+(RAND()-0.5)*2*$B$7))</f>
        <v>99.366587699909488</v>
      </c>
      <c r="P832" s="54">
        <f ca="1">MIN(100,MAX(0,MCDA_Prioritisation!$F$5+(RAND()-0.5)*2*$B$7))</f>
        <v>70.125063474653103</v>
      </c>
      <c r="Q832" s="54">
        <f ca="1">MIN(100,MAX(0,MCDA_Prioritisation!$G$2+(RAND()-0.5)*2*$B$7))</f>
        <v>82.109934381623859</v>
      </c>
      <c r="R832" s="54">
        <f ca="1">MIN(100,MAX(0,MCDA_Prioritisation!$G$3+(RAND()-0.5)*2*$B$7))</f>
        <v>100</v>
      </c>
      <c r="S832" s="54">
        <f ca="1">MIN(100,MAX(0,MCDA_Prioritisation!$G$4+(RAND()-0.5)*2*$B$7))</f>
        <v>86.527151670931005</v>
      </c>
      <c r="T832" s="54">
        <f ca="1">MIN(100,MAX(0,MCDA_Prioritisation!$G$5+(RAND()-0.5)*2*$B$7))</f>
        <v>78.418904711694211</v>
      </c>
      <c r="U832" s="54">
        <f ca="1">MIN(100,MAX(0,MCDA_Prioritisation!$H$2+(RAND()-0.5)*2*$B$7))</f>
        <v>68.739991665034239</v>
      </c>
      <c r="V832" s="54">
        <f ca="1">MIN(100,MAX(0,MCDA_Prioritisation!$H$3+(RAND()-0.5)*2*$B$7))</f>
        <v>53.993233118456381</v>
      </c>
      <c r="W832" s="54">
        <f ca="1">MIN(100,MAX(0,MCDA_Prioritisation!$H$4+(RAND()-0.5)*2*$B$7))</f>
        <v>84.819190878777889</v>
      </c>
      <c r="X832" s="54">
        <f ca="1">MIN(100,MAX(0,MCDA_Prioritisation!$H$5+(RAND()-0.5)*2*$B$7))</f>
        <v>80.592130522802464</v>
      </c>
      <c r="Y832" s="54">
        <f ca="1">H832*MCDA_Prioritisation!$D$2+I832*MCDA_Prioritisation!$E$2+J832*M832+K832*Q832+L832*U832</f>
        <v>88.257544077581315</v>
      </c>
      <c r="Z832" s="54">
        <f ca="1">H832*MCDA_Prioritisation!$D$3+I832*MCDA_Prioritisation!$E$3+J832*N832+K832*R832+L832*V832</f>
        <v>82.046917439348363</v>
      </c>
      <c r="AA832" s="54">
        <f ca="1">H832*MCDA_Prioritisation!$D$4+I832*MCDA_Prioritisation!$E$4+J832*O832+K832*S832+L832*W832</f>
        <v>79.954757917479483</v>
      </c>
      <c r="AB832" s="54">
        <f ca="1">H832*MCDA_Prioritisation!$D$5+I832*MCDA_Prioritisation!$E$5+J832*P832+K832*T832+L832*X832</f>
        <v>74.442322084937928</v>
      </c>
      <c r="AC832" s="54">
        <f t="shared" ca="1" si="174"/>
        <v>1</v>
      </c>
      <c r="AD832" s="54">
        <f t="shared" ca="1" si="175"/>
        <v>2</v>
      </c>
      <c r="AE832" s="54">
        <f t="shared" ca="1" si="176"/>
        <v>3</v>
      </c>
      <c r="AF832" s="54">
        <f t="shared" ca="1" si="177"/>
        <v>4</v>
      </c>
      <c r="AG832" s="54">
        <f t="shared" ca="1" si="178"/>
        <v>1</v>
      </c>
      <c r="AH832" s="54">
        <f t="shared" ca="1" si="179"/>
        <v>1</v>
      </c>
      <c r="AI832" s="54">
        <f t="shared" ca="1" si="180"/>
        <v>1</v>
      </c>
      <c r="AJ832" s="54">
        <f t="shared" ca="1" si="181"/>
        <v>1</v>
      </c>
    </row>
    <row r="833" spans="1:36" x14ac:dyDescent="0.2">
      <c r="A833" s="54">
        <v>810</v>
      </c>
      <c r="B833" s="54">
        <f ca="1">MAX(0.02,MCDA_Prioritisation!$B$9+(RAND()-0.5)*2*$B$6)</f>
        <v>0.13613403501763904</v>
      </c>
      <c r="C833" s="54">
        <f ca="1">MAX(0.02,MCDA_Prioritisation!$B$10+(RAND()-0.5)*2*$B$6)</f>
        <v>0.29573465250285091</v>
      </c>
      <c r="D833" s="54">
        <f ca="1">MAX(0.02,MCDA_Prioritisation!$B$11+(RAND()-0.5)*2*$B$6)</f>
        <v>0.22537750017834582</v>
      </c>
      <c r="E833" s="54">
        <f ca="1">MAX(0.02,MCDA_Prioritisation!$B$12+(RAND()-0.5)*2*$B$6)</f>
        <v>0.20128127863117315</v>
      </c>
      <c r="F833" s="54">
        <f ca="1">MAX(0.02,MCDA_Prioritisation!$B$13+(RAND()-0.5)*2*$B$6)</f>
        <v>0.14251989677160659</v>
      </c>
      <c r="G833" s="54">
        <f t="shared" ca="1" si="168"/>
        <v>1.0010473631016157</v>
      </c>
      <c r="H833" s="54">
        <f t="shared" ca="1" si="169"/>
        <v>0.1359916024311231</v>
      </c>
      <c r="I833" s="54">
        <f t="shared" ca="1" si="170"/>
        <v>0.29542523501241275</v>
      </c>
      <c r="J833" s="54">
        <f t="shared" ca="1" si="171"/>
        <v>0.2251416950742898</v>
      </c>
      <c r="K833" s="54">
        <f t="shared" ca="1" si="172"/>
        <v>0.20107068461529048</v>
      </c>
      <c r="L833" s="54">
        <f t="shared" ca="1" si="173"/>
        <v>0.14237078286688368</v>
      </c>
      <c r="M833" s="54">
        <f ca="1">MIN(100,MAX(0,MCDA_Prioritisation!$F$2+(RAND()-0.5)*2*$B$7))</f>
        <v>87.554354133116775</v>
      </c>
      <c r="N833" s="54">
        <f ca="1">MIN(100,MAX(0,MCDA_Prioritisation!$F$3+(RAND()-0.5)*2*$B$7))</f>
        <v>91.359962899609357</v>
      </c>
      <c r="O833" s="54">
        <f ca="1">MIN(100,MAX(0,MCDA_Prioritisation!$F$4+(RAND()-0.5)*2*$B$7))</f>
        <v>92.09036918977506</v>
      </c>
      <c r="P833" s="54">
        <f ca="1">MIN(100,MAX(0,MCDA_Prioritisation!$F$5+(RAND()-0.5)*2*$B$7))</f>
        <v>79.95807848467399</v>
      </c>
      <c r="Q833" s="54">
        <f ca="1">MIN(100,MAX(0,MCDA_Prioritisation!$G$2+(RAND()-0.5)*2*$B$7))</f>
        <v>75.820061893463702</v>
      </c>
      <c r="R833" s="54">
        <f ca="1">MIN(100,MAX(0,MCDA_Prioritisation!$G$3+(RAND()-0.5)*2*$B$7))</f>
        <v>85.161551684892515</v>
      </c>
      <c r="S833" s="54">
        <f ca="1">MIN(100,MAX(0,MCDA_Prioritisation!$G$4+(RAND()-0.5)*2*$B$7))</f>
        <v>91.481843057608373</v>
      </c>
      <c r="T833" s="54">
        <f ca="1">MIN(100,MAX(0,MCDA_Prioritisation!$G$5+(RAND()-0.5)*2*$B$7))</f>
        <v>69.728176152556443</v>
      </c>
      <c r="U833" s="54">
        <f ca="1">MIN(100,MAX(0,MCDA_Prioritisation!$H$2+(RAND()-0.5)*2*$B$7))</f>
        <v>59.657216725300692</v>
      </c>
      <c r="V833" s="54">
        <f ca="1">MIN(100,MAX(0,MCDA_Prioritisation!$H$3+(RAND()-0.5)*2*$B$7))</f>
        <v>58.168980467065765</v>
      </c>
      <c r="W833" s="54">
        <f ca="1">MIN(100,MAX(0,MCDA_Prioritisation!$H$4+(RAND()-0.5)*2*$B$7))</f>
        <v>83.956789403230644</v>
      </c>
      <c r="X833" s="54">
        <f ca="1">MIN(100,MAX(0,MCDA_Prioritisation!$H$5+(RAND()-0.5)*2*$B$7))</f>
        <v>78.39958255982765</v>
      </c>
      <c r="Y833" s="54">
        <f ca="1">H833*MCDA_Prioritisation!$D$2+I833*MCDA_Prioritisation!$E$2+J833*M833+K833*Q833+L833*U833</f>
        <v>86.592455846351001</v>
      </c>
      <c r="Z833" s="54">
        <f ca="1">H833*MCDA_Prioritisation!$D$3+I833*MCDA_Prioritisation!$E$3+J833*N833+K833*R833+L833*V833</f>
        <v>79.344699552631113</v>
      </c>
      <c r="AA833" s="54">
        <f ca="1">H833*MCDA_Prioritisation!$D$4+I833*MCDA_Prioritisation!$E$4+J833*O833+K833*S833+L833*W833</f>
        <v>76.66445194812961</v>
      </c>
      <c r="AB833" s="54">
        <f ca="1">H833*MCDA_Prioritisation!$D$5+I833*MCDA_Prioritisation!$E$5+J833*P833+K833*T833+L833*X833</f>
        <v>75.244451274291549</v>
      </c>
      <c r="AC833" s="54">
        <f t="shared" ca="1" si="174"/>
        <v>1</v>
      </c>
      <c r="AD833" s="54">
        <f t="shared" ca="1" si="175"/>
        <v>2</v>
      </c>
      <c r="AE833" s="54">
        <f t="shared" ca="1" si="176"/>
        <v>3</v>
      </c>
      <c r="AF833" s="54">
        <f t="shared" ca="1" si="177"/>
        <v>4</v>
      </c>
      <c r="AG833" s="54">
        <f t="shared" ca="1" si="178"/>
        <v>1</v>
      </c>
      <c r="AH833" s="54">
        <f t="shared" ca="1" si="179"/>
        <v>1</v>
      </c>
      <c r="AI833" s="54">
        <f t="shared" ca="1" si="180"/>
        <v>1</v>
      </c>
      <c r="AJ833" s="54">
        <f t="shared" ca="1" si="181"/>
        <v>1</v>
      </c>
    </row>
    <row r="834" spans="1:36" x14ac:dyDescent="0.2">
      <c r="A834" s="54">
        <v>811</v>
      </c>
      <c r="B834" s="54">
        <f ca="1">MAX(0.02,MCDA_Prioritisation!$B$9+(RAND()-0.5)*2*$B$6)</f>
        <v>0.26341859599612855</v>
      </c>
      <c r="C834" s="54">
        <f ca="1">MAX(0.02,MCDA_Prioritisation!$B$10+(RAND()-0.5)*2*$B$6)</f>
        <v>0.32258010427183109</v>
      </c>
      <c r="D834" s="54">
        <f ca="1">MAX(0.02,MCDA_Prioritisation!$B$11+(RAND()-0.5)*2*$B$6)</f>
        <v>0.22312894612643774</v>
      </c>
      <c r="E834" s="54">
        <f ca="1">MAX(0.02,MCDA_Prioritisation!$B$12+(RAND()-0.5)*2*$B$6)</f>
        <v>8.3599669310064018E-2</v>
      </c>
      <c r="F834" s="54">
        <f ca="1">MAX(0.02,MCDA_Prioritisation!$B$13+(RAND()-0.5)*2*$B$6)</f>
        <v>9.7397923047670268E-2</v>
      </c>
      <c r="G834" s="54">
        <f t="shared" ca="1" si="168"/>
        <v>0.99012523875213165</v>
      </c>
      <c r="H834" s="54">
        <f t="shared" ca="1" si="169"/>
        <v>0.26604573410139365</v>
      </c>
      <c r="I834" s="54">
        <f t="shared" ca="1" si="170"/>
        <v>0.32579727457345015</v>
      </c>
      <c r="J834" s="54">
        <f t="shared" ca="1" si="171"/>
        <v>0.22535426569637818</v>
      </c>
      <c r="K834" s="54">
        <f t="shared" ca="1" si="172"/>
        <v>8.443342926539861E-2</v>
      </c>
      <c r="L834" s="54">
        <f t="shared" ca="1" si="173"/>
        <v>9.8369296363379446E-2</v>
      </c>
      <c r="M834" s="54">
        <f ca="1">MIN(100,MAX(0,MCDA_Prioritisation!$F$2+(RAND()-0.5)*2*$B$7))</f>
        <v>86.711348072845666</v>
      </c>
      <c r="N834" s="54">
        <f ca="1">MIN(100,MAX(0,MCDA_Prioritisation!$F$3+(RAND()-0.5)*2*$B$7))</f>
        <v>100</v>
      </c>
      <c r="O834" s="54">
        <f ca="1">MIN(100,MAX(0,MCDA_Prioritisation!$F$4+(RAND()-0.5)*2*$B$7))</f>
        <v>95.358665261450312</v>
      </c>
      <c r="P834" s="54">
        <f ca="1">MIN(100,MAX(0,MCDA_Prioritisation!$F$5+(RAND()-0.5)*2*$B$7))</f>
        <v>68.021528130709086</v>
      </c>
      <c r="Q834" s="54">
        <f ca="1">MIN(100,MAX(0,MCDA_Prioritisation!$G$2+(RAND()-0.5)*2*$B$7))</f>
        <v>74.041031064802283</v>
      </c>
      <c r="R834" s="54">
        <f ca="1">MIN(100,MAX(0,MCDA_Prioritisation!$G$3+(RAND()-0.5)*2*$B$7))</f>
        <v>95.343138309207106</v>
      </c>
      <c r="S834" s="54">
        <f ca="1">MIN(100,MAX(0,MCDA_Prioritisation!$G$4+(RAND()-0.5)*2*$B$7))</f>
        <v>86.477510689917295</v>
      </c>
      <c r="T834" s="54">
        <f ca="1">MIN(100,MAX(0,MCDA_Prioritisation!$G$5+(RAND()-0.5)*2*$B$7))</f>
        <v>64.162305145351581</v>
      </c>
      <c r="U834" s="54">
        <f ca="1">MIN(100,MAX(0,MCDA_Prioritisation!$H$2+(RAND()-0.5)*2*$B$7))</f>
        <v>69.080521852276291</v>
      </c>
      <c r="V834" s="54">
        <f ca="1">MIN(100,MAX(0,MCDA_Prioritisation!$H$3+(RAND()-0.5)*2*$B$7))</f>
        <v>55.323958353114669</v>
      </c>
      <c r="W834" s="54">
        <f ca="1">MIN(100,MAX(0,MCDA_Prioritisation!$H$4+(RAND()-0.5)*2*$B$7))</f>
        <v>89.749764534677311</v>
      </c>
      <c r="X834" s="54">
        <f ca="1">MIN(100,MAX(0,MCDA_Prioritisation!$H$5+(RAND()-0.5)*2*$B$7))</f>
        <v>72.755215254239602</v>
      </c>
      <c r="Y834" s="54">
        <f ca="1">H834*MCDA_Prioritisation!$D$2+I834*MCDA_Prioritisation!$E$2+J834*M834+K834*Q834+L834*U834</f>
        <v>91.772013526154211</v>
      </c>
      <c r="Z834" s="54">
        <f ca="1">H834*MCDA_Prioritisation!$D$3+I834*MCDA_Prioritisation!$E$3+J834*N834+K834*R834+L834*V834</f>
        <v>82.973657050002871</v>
      </c>
      <c r="AA834" s="54">
        <f ca="1">H834*MCDA_Prioritisation!$D$4+I834*MCDA_Prioritisation!$E$4+J834*O834+K834*S834+L834*W834</f>
        <v>73.916317333207132</v>
      </c>
      <c r="AB834" s="54">
        <f ca="1">H834*MCDA_Prioritisation!$D$5+I834*MCDA_Prioritisation!$E$5+J834*P834+K834*T834+L834*X834</f>
        <v>69.420467376720836</v>
      </c>
      <c r="AC834" s="54">
        <f t="shared" ca="1" si="174"/>
        <v>1</v>
      </c>
      <c r="AD834" s="54">
        <f t="shared" ca="1" si="175"/>
        <v>2</v>
      </c>
      <c r="AE834" s="54">
        <f t="shared" ca="1" si="176"/>
        <v>3</v>
      </c>
      <c r="AF834" s="54">
        <f t="shared" ca="1" si="177"/>
        <v>4</v>
      </c>
      <c r="AG834" s="54">
        <f t="shared" ca="1" si="178"/>
        <v>1</v>
      </c>
      <c r="AH834" s="54">
        <f t="shared" ca="1" si="179"/>
        <v>1</v>
      </c>
      <c r="AI834" s="54">
        <f t="shared" ca="1" si="180"/>
        <v>1</v>
      </c>
      <c r="AJ834" s="54">
        <f t="shared" ca="1" si="181"/>
        <v>1</v>
      </c>
    </row>
    <row r="835" spans="1:36" x14ac:dyDescent="0.2">
      <c r="A835" s="54">
        <v>812</v>
      </c>
      <c r="B835" s="54">
        <f ca="1">MAX(0.02,MCDA_Prioritisation!$B$9+(RAND()-0.5)*2*$B$6)</f>
        <v>0.25908653622516609</v>
      </c>
      <c r="C835" s="54">
        <f ca="1">MAX(0.02,MCDA_Prioritisation!$B$10+(RAND()-0.5)*2*$B$6)</f>
        <v>0.24751559334845377</v>
      </c>
      <c r="D835" s="54">
        <f ca="1">MAX(0.02,MCDA_Prioritisation!$B$11+(RAND()-0.5)*2*$B$6)</f>
        <v>0.19760053526796065</v>
      </c>
      <c r="E835" s="54">
        <f ca="1">MAX(0.02,MCDA_Prioritisation!$B$12+(RAND()-0.5)*2*$B$6)</f>
        <v>8.5652644117855711E-2</v>
      </c>
      <c r="F835" s="54">
        <f ca="1">MAX(0.02,MCDA_Prioritisation!$B$13+(RAND()-0.5)*2*$B$6)</f>
        <v>0.17884553017953259</v>
      </c>
      <c r="G835" s="54">
        <f t="shared" ca="1" si="168"/>
        <v>0.96870083913896865</v>
      </c>
      <c r="H835" s="54">
        <f t="shared" ca="1" si="169"/>
        <v>0.26745773902235448</v>
      </c>
      <c r="I835" s="54">
        <f t="shared" ca="1" si="170"/>
        <v>0.25551293376442041</v>
      </c>
      <c r="J835" s="54">
        <f t="shared" ca="1" si="171"/>
        <v>0.20398509765264394</v>
      </c>
      <c r="K835" s="54">
        <f t="shared" ca="1" si="172"/>
        <v>8.842011966665396E-2</v>
      </c>
      <c r="L835" s="54">
        <f t="shared" ca="1" si="173"/>
        <v>0.18462410989392736</v>
      </c>
      <c r="M835" s="54">
        <f ca="1">MIN(100,MAX(0,MCDA_Prioritisation!$F$2+(RAND()-0.5)*2*$B$7))</f>
        <v>81.429293784068747</v>
      </c>
      <c r="N835" s="54">
        <f ca="1">MIN(100,MAX(0,MCDA_Prioritisation!$F$3+(RAND()-0.5)*2*$B$7))</f>
        <v>97.703081518779683</v>
      </c>
      <c r="O835" s="54">
        <f ca="1">MIN(100,MAX(0,MCDA_Prioritisation!$F$4+(RAND()-0.5)*2*$B$7))</f>
        <v>95.043856770999412</v>
      </c>
      <c r="P835" s="54">
        <f ca="1">MIN(100,MAX(0,MCDA_Prioritisation!$F$5+(RAND()-0.5)*2*$B$7))</f>
        <v>66.322314471477938</v>
      </c>
      <c r="Q835" s="54">
        <f ca="1">MIN(100,MAX(0,MCDA_Prioritisation!$G$2+(RAND()-0.5)*2*$B$7))</f>
        <v>83.905531278879579</v>
      </c>
      <c r="R835" s="54">
        <f ca="1">MIN(100,MAX(0,MCDA_Prioritisation!$G$3+(RAND()-0.5)*2*$B$7))</f>
        <v>99.526981486924996</v>
      </c>
      <c r="S835" s="54">
        <f ca="1">MIN(100,MAX(0,MCDA_Prioritisation!$G$4+(RAND()-0.5)*2*$B$7))</f>
        <v>82.149537631214628</v>
      </c>
      <c r="T835" s="54">
        <f ca="1">MIN(100,MAX(0,MCDA_Prioritisation!$G$5+(RAND()-0.5)*2*$B$7))</f>
        <v>72.446655504502701</v>
      </c>
      <c r="U835" s="54">
        <f ca="1">MIN(100,MAX(0,MCDA_Prioritisation!$H$2+(RAND()-0.5)*2*$B$7))</f>
        <v>70.965397815289975</v>
      </c>
      <c r="V835" s="54">
        <f ca="1">MIN(100,MAX(0,MCDA_Prioritisation!$H$3+(RAND()-0.5)*2*$B$7))</f>
        <v>61.591666389301167</v>
      </c>
      <c r="W835" s="54">
        <f ca="1">MIN(100,MAX(0,MCDA_Prioritisation!$H$4+(RAND()-0.5)*2*$B$7))</f>
        <v>86.077366366581387</v>
      </c>
      <c r="X835" s="54">
        <f ca="1">MIN(100,MAX(0,MCDA_Prioritisation!$H$5+(RAND()-0.5)*2*$B$7))</f>
        <v>73.599352254604284</v>
      </c>
      <c r="Y835" s="54">
        <f ca="1">H835*MCDA_Prioritisation!$D$2+I835*MCDA_Prioritisation!$E$2+J835*M835+K835*Q835+L835*U835</f>
        <v>89.428290244295653</v>
      </c>
      <c r="Z835" s="54">
        <f ca="1">H835*MCDA_Prioritisation!$D$3+I835*MCDA_Prioritisation!$E$3+J835*N835+K835*R835+L835*V835</f>
        <v>82.059186667112996</v>
      </c>
      <c r="AA835" s="54">
        <f ca="1">H835*MCDA_Prioritisation!$D$4+I835*MCDA_Prioritisation!$E$4+J835*O835+K835*S835+L835*W835</f>
        <v>75.104413282784833</v>
      </c>
      <c r="AB835" s="54">
        <f ca="1">H835*MCDA_Prioritisation!$D$5+I835*MCDA_Prioritisation!$E$5+J835*P835+K835*T835+L835*X835</f>
        <v>69.204593015031548</v>
      </c>
      <c r="AC835" s="54">
        <f t="shared" ca="1" si="174"/>
        <v>1</v>
      </c>
      <c r="AD835" s="54">
        <f t="shared" ca="1" si="175"/>
        <v>2</v>
      </c>
      <c r="AE835" s="54">
        <f t="shared" ca="1" si="176"/>
        <v>3</v>
      </c>
      <c r="AF835" s="54">
        <f t="shared" ca="1" si="177"/>
        <v>4</v>
      </c>
      <c r="AG835" s="54">
        <f t="shared" ca="1" si="178"/>
        <v>1</v>
      </c>
      <c r="AH835" s="54">
        <f t="shared" ca="1" si="179"/>
        <v>1</v>
      </c>
      <c r="AI835" s="54">
        <f t="shared" ca="1" si="180"/>
        <v>1</v>
      </c>
      <c r="AJ835" s="54">
        <f t="shared" ca="1" si="181"/>
        <v>1</v>
      </c>
    </row>
    <row r="836" spans="1:36" x14ac:dyDescent="0.2">
      <c r="A836" s="54">
        <v>813</v>
      </c>
      <c r="B836" s="54">
        <f ca="1">MAX(0.02,MCDA_Prioritisation!$B$9+(RAND()-0.5)*2*$B$6)</f>
        <v>0.23911299827409091</v>
      </c>
      <c r="C836" s="54">
        <f ca="1">MAX(0.02,MCDA_Prioritisation!$B$10+(RAND()-0.5)*2*$B$6)</f>
        <v>0.20468077729900563</v>
      </c>
      <c r="D836" s="54">
        <f ca="1">MAX(0.02,MCDA_Prioritisation!$B$11+(RAND()-0.5)*2*$B$6)</f>
        <v>0.21991634098205434</v>
      </c>
      <c r="E836" s="54">
        <f ca="1">MAX(0.02,MCDA_Prioritisation!$B$12+(RAND()-0.5)*2*$B$6)</f>
        <v>0.11420984146204763</v>
      </c>
      <c r="F836" s="54">
        <f ca="1">MAX(0.02,MCDA_Prioritisation!$B$13+(RAND()-0.5)*2*$B$6)</f>
        <v>0.20929940618599319</v>
      </c>
      <c r="G836" s="54">
        <f t="shared" ca="1" si="168"/>
        <v>0.98721936420319167</v>
      </c>
      <c r="H836" s="54">
        <f t="shared" ca="1" si="169"/>
        <v>0.24220857789503017</v>
      </c>
      <c r="I836" s="54">
        <f t="shared" ca="1" si="170"/>
        <v>0.20733059411188554</v>
      </c>
      <c r="J836" s="54">
        <f t="shared" ca="1" si="171"/>
        <v>0.22276339885163626</v>
      </c>
      <c r="K836" s="54">
        <f t="shared" ca="1" si="172"/>
        <v>0.11568841293366355</v>
      </c>
      <c r="L836" s="54">
        <f t="shared" ca="1" si="173"/>
        <v>0.21200901620778451</v>
      </c>
      <c r="M836" s="54">
        <f ca="1">MIN(100,MAX(0,MCDA_Prioritisation!$F$2+(RAND()-0.5)*2*$B$7))</f>
        <v>84.931291883910475</v>
      </c>
      <c r="N836" s="54">
        <f ca="1">MIN(100,MAX(0,MCDA_Prioritisation!$F$3+(RAND()-0.5)*2*$B$7))</f>
        <v>93.913640685848989</v>
      </c>
      <c r="O836" s="54">
        <f ca="1">MIN(100,MAX(0,MCDA_Prioritisation!$F$4+(RAND()-0.5)*2*$B$7))</f>
        <v>89.830828710546101</v>
      </c>
      <c r="P836" s="54">
        <f ca="1">MIN(100,MAX(0,MCDA_Prioritisation!$F$5+(RAND()-0.5)*2*$B$7))</f>
        <v>82.495860881525161</v>
      </c>
      <c r="Q836" s="54">
        <f ca="1">MIN(100,MAX(0,MCDA_Prioritisation!$G$2+(RAND()-0.5)*2*$B$7))</f>
        <v>87.545717131093028</v>
      </c>
      <c r="R836" s="54">
        <f ca="1">MIN(100,MAX(0,MCDA_Prioritisation!$G$3+(RAND()-0.5)*2*$B$7))</f>
        <v>97.079770199214138</v>
      </c>
      <c r="S836" s="54">
        <f ca="1">MIN(100,MAX(0,MCDA_Prioritisation!$G$4+(RAND()-0.5)*2*$B$7))</f>
        <v>78.629290044950807</v>
      </c>
      <c r="T836" s="54">
        <f ca="1">MIN(100,MAX(0,MCDA_Prioritisation!$G$5+(RAND()-0.5)*2*$B$7))</f>
        <v>60.663827457665469</v>
      </c>
      <c r="U836" s="54">
        <f ca="1">MIN(100,MAX(0,MCDA_Prioritisation!$H$2+(RAND()-0.5)*2*$B$7))</f>
        <v>74.158506669233432</v>
      </c>
      <c r="V836" s="54">
        <f ca="1">MIN(100,MAX(0,MCDA_Prioritisation!$H$3+(RAND()-0.5)*2*$B$7))</f>
        <v>66.893222083464707</v>
      </c>
      <c r="W836" s="54">
        <f ca="1">MIN(100,MAX(0,MCDA_Prioritisation!$H$4+(RAND()-0.5)*2*$B$7))</f>
        <v>71.226083154196658</v>
      </c>
      <c r="X836" s="54">
        <f ca="1">MIN(100,MAX(0,MCDA_Prioritisation!$H$5+(RAND()-0.5)*2*$B$7))</f>
        <v>65.564064437160184</v>
      </c>
      <c r="Y836" s="54">
        <f ca="1">H836*MCDA_Prioritisation!$D$2+I836*MCDA_Prioritisation!$E$2+J836*M836+K836*Q836+L836*U836</f>
        <v>89.723797566030044</v>
      </c>
      <c r="Z836" s="54">
        <f ca="1">H836*MCDA_Prioritisation!$D$3+I836*MCDA_Prioritisation!$E$3+J836*N836+K836*R836+L836*V836</f>
        <v>82.580345357262985</v>
      </c>
      <c r="AA836" s="54">
        <f ca="1">H836*MCDA_Prioritisation!$D$4+I836*MCDA_Prioritisation!$E$4+J836*O836+K836*S836+L836*W836</f>
        <v>72.383013332605373</v>
      </c>
      <c r="AB836" s="54">
        <f ca="1">H836*MCDA_Prioritisation!$D$5+I836*MCDA_Prioritisation!$E$5+J836*P836+K836*T836+L836*X836</f>
        <v>69.585387017613769</v>
      </c>
      <c r="AC836" s="54">
        <f t="shared" ca="1" si="174"/>
        <v>1</v>
      </c>
      <c r="AD836" s="54">
        <f t="shared" ca="1" si="175"/>
        <v>2</v>
      </c>
      <c r="AE836" s="54">
        <f t="shared" ca="1" si="176"/>
        <v>3</v>
      </c>
      <c r="AF836" s="54">
        <f t="shared" ca="1" si="177"/>
        <v>4</v>
      </c>
      <c r="AG836" s="54">
        <f t="shared" ca="1" si="178"/>
        <v>1</v>
      </c>
      <c r="AH836" s="54">
        <f t="shared" ca="1" si="179"/>
        <v>1</v>
      </c>
      <c r="AI836" s="54">
        <f t="shared" ca="1" si="180"/>
        <v>1</v>
      </c>
      <c r="AJ836" s="54">
        <f t="shared" ca="1" si="181"/>
        <v>1</v>
      </c>
    </row>
    <row r="837" spans="1:36" x14ac:dyDescent="0.2">
      <c r="A837" s="54">
        <v>814</v>
      </c>
      <c r="B837" s="54">
        <f ca="1">MAX(0.02,MCDA_Prioritisation!$B$9+(RAND()-0.5)*2*$B$6)</f>
        <v>0.15923164276998608</v>
      </c>
      <c r="C837" s="54">
        <f ca="1">MAX(0.02,MCDA_Prioritisation!$B$10+(RAND()-0.5)*2*$B$6)</f>
        <v>0.17521597477697437</v>
      </c>
      <c r="D837" s="54">
        <f ca="1">MAX(0.02,MCDA_Prioritisation!$B$11+(RAND()-0.5)*2*$B$6)</f>
        <v>0.29576224012363517</v>
      </c>
      <c r="E837" s="54">
        <f ca="1">MAX(0.02,MCDA_Prioritisation!$B$12+(RAND()-0.5)*2*$B$6)</f>
        <v>0.18993176249364319</v>
      </c>
      <c r="F837" s="54">
        <f ca="1">MAX(0.02,MCDA_Prioritisation!$B$13+(RAND()-0.5)*2*$B$6)</f>
        <v>7.6103285408816584E-2</v>
      </c>
      <c r="G837" s="54">
        <f t="shared" ca="1" si="168"/>
        <v>0.89624490557305547</v>
      </c>
      <c r="H837" s="54">
        <f t="shared" ca="1" si="169"/>
        <v>0.17766532538131863</v>
      </c>
      <c r="I837" s="54">
        <f t="shared" ca="1" si="170"/>
        <v>0.19550010682062618</v>
      </c>
      <c r="J837" s="54">
        <f t="shared" ca="1" si="171"/>
        <v>0.33000158582159633</v>
      </c>
      <c r="K837" s="54">
        <f t="shared" ca="1" si="172"/>
        <v>0.21191948909567476</v>
      </c>
      <c r="L837" s="54">
        <f t="shared" ca="1" si="173"/>
        <v>8.4913492880784008E-2</v>
      </c>
      <c r="M837" s="54">
        <f ca="1">MIN(100,MAX(0,MCDA_Prioritisation!$F$2+(RAND()-0.5)*2*$B$7))</f>
        <v>79.195277801687439</v>
      </c>
      <c r="N837" s="54">
        <f ca="1">MIN(100,MAX(0,MCDA_Prioritisation!$F$3+(RAND()-0.5)*2*$B$7))</f>
        <v>99.548187816329786</v>
      </c>
      <c r="O837" s="54">
        <f ca="1">MIN(100,MAX(0,MCDA_Prioritisation!$F$4+(RAND()-0.5)*2*$B$7))</f>
        <v>87.381963532597183</v>
      </c>
      <c r="P837" s="54">
        <f ca="1">MIN(100,MAX(0,MCDA_Prioritisation!$F$5+(RAND()-0.5)*2*$B$7))</f>
        <v>65.71283667500073</v>
      </c>
      <c r="Q837" s="54">
        <f ca="1">MIN(100,MAX(0,MCDA_Prioritisation!$G$2+(RAND()-0.5)*2*$B$7))</f>
        <v>71.708262089468434</v>
      </c>
      <c r="R837" s="54">
        <f ca="1">MIN(100,MAX(0,MCDA_Prioritisation!$G$3+(RAND()-0.5)*2*$B$7))</f>
        <v>93.576594351603077</v>
      </c>
      <c r="S837" s="54">
        <f ca="1">MIN(100,MAX(0,MCDA_Prioritisation!$G$4+(RAND()-0.5)*2*$B$7))</f>
        <v>92.211053185370716</v>
      </c>
      <c r="T837" s="54">
        <f ca="1">MIN(100,MAX(0,MCDA_Prioritisation!$G$5+(RAND()-0.5)*2*$B$7))</f>
        <v>69.175559440642061</v>
      </c>
      <c r="U837" s="54">
        <f ca="1">MIN(100,MAX(0,MCDA_Prioritisation!$H$2+(RAND()-0.5)*2*$B$7))</f>
        <v>58.145943860153984</v>
      </c>
      <c r="V837" s="54">
        <f ca="1">MIN(100,MAX(0,MCDA_Prioritisation!$H$3+(RAND()-0.5)*2*$B$7))</f>
        <v>61.773126093560158</v>
      </c>
      <c r="W837" s="54">
        <f ca="1">MIN(100,MAX(0,MCDA_Prioritisation!$H$4+(RAND()-0.5)*2*$B$7))</f>
        <v>85.031348346645444</v>
      </c>
      <c r="X837" s="54">
        <f ca="1">MIN(100,MAX(0,MCDA_Prioritisation!$H$5+(RAND()-0.5)*2*$B$7))</f>
        <v>73.56685564424258</v>
      </c>
      <c r="Y837" s="54">
        <f ca="1">H837*MCDA_Prioritisation!$D$2+I837*MCDA_Prioritisation!$E$2+J837*M837+K837*Q837+L837*U837</f>
        <v>83.584863940287747</v>
      </c>
      <c r="Z837" s="54">
        <f ca="1">H837*MCDA_Prioritisation!$D$3+I837*MCDA_Prioritisation!$E$3+J837*N837+K837*R837+L837*V837</f>
        <v>87.672713285501828</v>
      </c>
      <c r="AA837" s="54">
        <f ca="1">H837*MCDA_Prioritisation!$D$4+I837*MCDA_Prioritisation!$E$4+J837*O837+K837*S837+L837*W837</f>
        <v>78.633025636737557</v>
      </c>
      <c r="AB837" s="54">
        <f ca="1">H837*MCDA_Prioritisation!$D$5+I837*MCDA_Prioritisation!$E$5+J837*P837+K837*T837+L837*X837</f>
        <v>68.461335144180097</v>
      </c>
      <c r="AC837" s="54">
        <f t="shared" ca="1" si="174"/>
        <v>2</v>
      </c>
      <c r="AD837" s="54">
        <f t="shared" ca="1" si="175"/>
        <v>1</v>
      </c>
      <c r="AE837" s="54">
        <f t="shared" ca="1" si="176"/>
        <v>3</v>
      </c>
      <c r="AF837" s="54">
        <f t="shared" ca="1" si="177"/>
        <v>4</v>
      </c>
      <c r="AG837" s="54">
        <f t="shared" ca="1" si="178"/>
        <v>0</v>
      </c>
      <c r="AH837" s="54">
        <f t="shared" ca="1" si="179"/>
        <v>0</v>
      </c>
      <c r="AI837" s="54">
        <f t="shared" ca="1" si="180"/>
        <v>0</v>
      </c>
      <c r="AJ837" s="54">
        <f t="shared" ca="1" si="181"/>
        <v>1</v>
      </c>
    </row>
    <row r="838" spans="1:36" x14ac:dyDescent="0.2">
      <c r="A838" s="54">
        <v>815</v>
      </c>
      <c r="B838" s="54">
        <f ca="1">MAX(0.02,MCDA_Prioritisation!$B$9+(RAND()-0.5)*2*$B$6)</f>
        <v>0.12045934488438599</v>
      </c>
      <c r="C838" s="54">
        <f ca="1">MAX(0.02,MCDA_Prioritisation!$B$10+(RAND()-0.5)*2*$B$6)</f>
        <v>0.3224904085982323</v>
      </c>
      <c r="D838" s="54">
        <f ca="1">MAX(0.02,MCDA_Prioritisation!$B$11+(RAND()-0.5)*2*$B$6)</f>
        <v>0.27438829861154185</v>
      </c>
      <c r="E838" s="54">
        <f ca="1">MAX(0.02,MCDA_Prioritisation!$B$12+(RAND()-0.5)*2*$B$6)</f>
        <v>0.10619462499244589</v>
      </c>
      <c r="F838" s="54">
        <f ca="1">MAX(0.02,MCDA_Prioritisation!$B$13+(RAND()-0.5)*2*$B$6)</f>
        <v>8.5888245180160749E-2</v>
      </c>
      <c r="G838" s="54">
        <f t="shared" ca="1" si="168"/>
        <v>0.90942092226676685</v>
      </c>
      <c r="H838" s="54">
        <f t="shared" ca="1" si="169"/>
        <v>0.13245719549110044</v>
      </c>
      <c r="I838" s="54">
        <f t="shared" ca="1" si="170"/>
        <v>0.35461072062693749</v>
      </c>
      <c r="J838" s="54">
        <f t="shared" ca="1" si="171"/>
        <v>0.30171760061074732</v>
      </c>
      <c r="K838" s="54">
        <f t="shared" ca="1" si="172"/>
        <v>0.11677169767301117</v>
      </c>
      <c r="L838" s="54">
        <f t="shared" ca="1" si="173"/>
        <v>9.4442785598203502E-2</v>
      </c>
      <c r="M838" s="54">
        <f ca="1">MIN(100,MAX(0,MCDA_Prioritisation!$F$2+(RAND()-0.5)*2*$B$7))</f>
        <v>86.746681345003438</v>
      </c>
      <c r="N838" s="54">
        <f ca="1">MIN(100,MAX(0,MCDA_Prioritisation!$F$3+(RAND()-0.5)*2*$B$7))</f>
        <v>98.338240253930664</v>
      </c>
      <c r="O838" s="54">
        <f ca="1">MIN(100,MAX(0,MCDA_Prioritisation!$F$4+(RAND()-0.5)*2*$B$7))</f>
        <v>94.21871428652311</v>
      </c>
      <c r="P838" s="54">
        <f ca="1">MIN(100,MAX(0,MCDA_Prioritisation!$F$5+(RAND()-0.5)*2*$B$7))</f>
        <v>77.632382226088168</v>
      </c>
      <c r="Q838" s="54">
        <f ca="1">MIN(100,MAX(0,MCDA_Prioritisation!$G$2+(RAND()-0.5)*2*$B$7))</f>
        <v>88.124307032493277</v>
      </c>
      <c r="R838" s="54">
        <f ca="1">MIN(100,MAX(0,MCDA_Prioritisation!$G$3+(RAND()-0.5)*2*$B$7))</f>
        <v>85.788985817862098</v>
      </c>
      <c r="S838" s="54">
        <f ca="1">MIN(100,MAX(0,MCDA_Prioritisation!$G$4+(RAND()-0.5)*2*$B$7))</f>
        <v>81.269385496017364</v>
      </c>
      <c r="T838" s="54">
        <f ca="1">MIN(100,MAX(0,MCDA_Prioritisation!$G$5+(RAND()-0.5)*2*$B$7))</f>
        <v>70.673316026141208</v>
      </c>
      <c r="U838" s="54">
        <f ca="1">MIN(100,MAX(0,MCDA_Prioritisation!$H$2+(RAND()-0.5)*2*$B$7))</f>
        <v>67.725774832345081</v>
      </c>
      <c r="V838" s="54">
        <f ca="1">MIN(100,MAX(0,MCDA_Prioritisation!$H$3+(RAND()-0.5)*2*$B$7))</f>
        <v>69.896014529043839</v>
      </c>
      <c r="W838" s="54">
        <f ca="1">MIN(100,MAX(0,MCDA_Prioritisation!$H$4+(RAND()-0.5)*2*$B$7))</f>
        <v>76.738585860647703</v>
      </c>
      <c r="X838" s="54">
        <f ca="1">MIN(100,MAX(0,MCDA_Prioritisation!$H$5+(RAND()-0.5)*2*$B$7))</f>
        <v>77.828914702398265</v>
      </c>
      <c r="Y838" s="54">
        <f ca="1">H838*MCDA_Prioritisation!$D$2+I838*MCDA_Prioritisation!$E$2+J838*M838+K838*Q838+L838*U838</f>
        <v>91.566427938568594</v>
      </c>
      <c r="Z838" s="54">
        <f ca="1">H838*MCDA_Prioritisation!$D$3+I838*MCDA_Prioritisation!$E$3+J838*N838+K838*R838+L838*V838</f>
        <v>83.655488541841862</v>
      </c>
      <c r="AA838" s="54">
        <f ca="1">H838*MCDA_Prioritisation!$D$4+I838*MCDA_Prioritisation!$E$4+J838*O838+K838*S838+L838*W838</f>
        <v>73.730757706256043</v>
      </c>
      <c r="AB838" s="54">
        <f ca="1">H838*MCDA_Prioritisation!$D$5+I838*MCDA_Prioritisation!$E$5+J838*P838+K838*T838+L838*X838</f>
        <v>75.875900076982376</v>
      </c>
      <c r="AC838" s="54">
        <f t="shared" ca="1" si="174"/>
        <v>1</v>
      </c>
      <c r="AD838" s="54">
        <f t="shared" ca="1" si="175"/>
        <v>2</v>
      </c>
      <c r="AE838" s="54">
        <f t="shared" ca="1" si="176"/>
        <v>4</v>
      </c>
      <c r="AF838" s="54">
        <f t="shared" ca="1" si="177"/>
        <v>3</v>
      </c>
      <c r="AG838" s="54">
        <f t="shared" ca="1" si="178"/>
        <v>1</v>
      </c>
      <c r="AH838" s="54">
        <f t="shared" ca="1" si="179"/>
        <v>1</v>
      </c>
      <c r="AI838" s="54">
        <f t="shared" ca="1" si="180"/>
        <v>0</v>
      </c>
      <c r="AJ838" s="54">
        <f t="shared" ca="1" si="181"/>
        <v>1</v>
      </c>
    </row>
    <row r="839" spans="1:36" x14ac:dyDescent="0.2">
      <c r="A839" s="54">
        <v>816</v>
      </c>
      <c r="B839" s="54">
        <f ca="1">MAX(0.02,MCDA_Prioritisation!$B$9+(RAND()-0.5)*2*$B$6)</f>
        <v>0.21250041748977536</v>
      </c>
      <c r="C839" s="54">
        <f ca="1">MAX(0.02,MCDA_Prioritisation!$B$10+(RAND()-0.5)*2*$B$6)</f>
        <v>0.192368477560798</v>
      </c>
      <c r="D839" s="54">
        <f ca="1">MAX(0.02,MCDA_Prioritisation!$B$11+(RAND()-0.5)*2*$B$6)</f>
        <v>0.20764521572687927</v>
      </c>
      <c r="E839" s="54">
        <f ca="1">MAX(0.02,MCDA_Prioritisation!$B$12+(RAND()-0.5)*2*$B$6)</f>
        <v>0.1359675284487982</v>
      </c>
      <c r="F839" s="54">
        <f ca="1">MAX(0.02,MCDA_Prioritisation!$B$13+(RAND()-0.5)*2*$B$6)</f>
        <v>0.20397372601500044</v>
      </c>
      <c r="G839" s="54">
        <f t="shared" ca="1" si="168"/>
        <v>0.95245536524125118</v>
      </c>
      <c r="H839" s="54">
        <f t="shared" ca="1" si="169"/>
        <v>0.22310800615412596</v>
      </c>
      <c r="I839" s="54">
        <f t="shared" ca="1" si="170"/>
        <v>0.20197112072760726</v>
      </c>
      <c r="J839" s="54">
        <f t="shared" ca="1" si="171"/>
        <v>0.21801044259358443</v>
      </c>
      <c r="K839" s="54">
        <f t="shared" ca="1" si="172"/>
        <v>0.14275475094243228</v>
      </c>
      <c r="L839" s="54">
        <f t="shared" ca="1" si="173"/>
        <v>0.21415567958225015</v>
      </c>
      <c r="M839" s="54">
        <f ca="1">MIN(100,MAX(0,MCDA_Prioritisation!$F$2+(RAND()-0.5)*2*$B$7))</f>
        <v>83.439015707669</v>
      </c>
      <c r="N839" s="54">
        <f ca="1">MIN(100,MAX(0,MCDA_Prioritisation!$F$3+(RAND()-0.5)*2*$B$7))</f>
        <v>100</v>
      </c>
      <c r="O839" s="54">
        <f ca="1">MIN(100,MAX(0,MCDA_Prioritisation!$F$4+(RAND()-0.5)*2*$B$7))</f>
        <v>82.444395072372501</v>
      </c>
      <c r="P839" s="54">
        <f ca="1">MIN(100,MAX(0,MCDA_Prioritisation!$F$5+(RAND()-0.5)*2*$B$7))</f>
        <v>79.820463714057411</v>
      </c>
      <c r="Q839" s="54">
        <f ca="1">MIN(100,MAX(0,MCDA_Prioritisation!$G$2+(RAND()-0.5)*2*$B$7))</f>
        <v>79.121808991517867</v>
      </c>
      <c r="R839" s="54">
        <f ca="1">MIN(100,MAX(0,MCDA_Prioritisation!$G$3+(RAND()-0.5)*2*$B$7))</f>
        <v>94.683401002934147</v>
      </c>
      <c r="S839" s="54">
        <f ca="1">MIN(100,MAX(0,MCDA_Prioritisation!$G$4+(RAND()-0.5)*2*$B$7))</f>
        <v>92.69518974161555</v>
      </c>
      <c r="T839" s="54">
        <f ca="1">MIN(100,MAX(0,MCDA_Prioritisation!$G$5+(RAND()-0.5)*2*$B$7))</f>
        <v>68.199178391513541</v>
      </c>
      <c r="U839" s="54">
        <f ca="1">MIN(100,MAX(0,MCDA_Prioritisation!$H$2+(RAND()-0.5)*2*$B$7))</f>
        <v>57.737825818284577</v>
      </c>
      <c r="V839" s="54">
        <f ca="1">MIN(100,MAX(0,MCDA_Prioritisation!$H$3+(RAND()-0.5)*2*$B$7))</f>
        <v>63.26233752469436</v>
      </c>
      <c r="W839" s="54">
        <f ca="1">MIN(100,MAX(0,MCDA_Prioritisation!$H$4+(RAND()-0.5)*2*$B$7))</f>
        <v>73.182910737056275</v>
      </c>
      <c r="X839" s="54">
        <f ca="1">MIN(100,MAX(0,MCDA_Prioritisation!$H$5+(RAND()-0.5)*2*$B$7))</f>
        <v>66.800051473021568</v>
      </c>
      <c r="Y839" s="54">
        <f ca="1">H839*MCDA_Prioritisation!$D$2+I839*MCDA_Prioritisation!$E$2+J839*M839+K839*Q839+L839*U839</f>
        <v>84.358386894590424</v>
      </c>
      <c r="Z839" s="54">
        <f ca="1">H839*MCDA_Prioritisation!$D$3+I839*MCDA_Prioritisation!$E$3+J839*N839+K839*R839+L839*V839</f>
        <v>83.053281804127323</v>
      </c>
      <c r="AA839" s="54">
        <f ca="1">H839*MCDA_Prioritisation!$D$4+I839*MCDA_Prioritisation!$E$4+J839*O839+K839*S839+L839*W839</f>
        <v>73.431490337770683</v>
      </c>
      <c r="AB839" s="54">
        <f ca="1">H839*MCDA_Prioritisation!$D$5+I839*MCDA_Prioritisation!$E$5+J839*P839+K839*T839+L839*X839</f>
        <v>70.268652872521571</v>
      </c>
      <c r="AC839" s="54">
        <f t="shared" ca="1" si="174"/>
        <v>1</v>
      </c>
      <c r="AD839" s="54">
        <f t="shared" ca="1" si="175"/>
        <v>2</v>
      </c>
      <c r="AE839" s="54">
        <f t="shared" ca="1" si="176"/>
        <v>3</v>
      </c>
      <c r="AF839" s="54">
        <f t="shared" ca="1" si="177"/>
        <v>4</v>
      </c>
      <c r="AG839" s="54">
        <f t="shared" ca="1" si="178"/>
        <v>1</v>
      </c>
      <c r="AH839" s="54">
        <f t="shared" ca="1" si="179"/>
        <v>1</v>
      </c>
      <c r="AI839" s="54">
        <f t="shared" ca="1" si="180"/>
        <v>1</v>
      </c>
      <c r="AJ839" s="54">
        <f t="shared" ca="1" si="181"/>
        <v>1</v>
      </c>
    </row>
    <row r="840" spans="1:36" x14ac:dyDescent="0.2">
      <c r="A840" s="54">
        <v>817</v>
      </c>
      <c r="B840" s="54">
        <f ca="1">MAX(0.02,MCDA_Prioritisation!$B$9+(RAND()-0.5)*2*$B$6)</f>
        <v>0.22385985268895969</v>
      </c>
      <c r="C840" s="54">
        <f ca="1">MAX(0.02,MCDA_Prioritisation!$B$10+(RAND()-0.5)*2*$B$6)</f>
        <v>0.22406943124995574</v>
      </c>
      <c r="D840" s="54">
        <f ca="1">MAX(0.02,MCDA_Prioritisation!$B$11+(RAND()-0.5)*2*$B$6)</f>
        <v>0.19933168665060705</v>
      </c>
      <c r="E840" s="54">
        <f ca="1">MAX(0.02,MCDA_Prioritisation!$B$12+(RAND()-0.5)*2*$B$6)</f>
        <v>0.20902350506109335</v>
      </c>
      <c r="F840" s="54">
        <f ca="1">MAX(0.02,MCDA_Prioritisation!$B$13+(RAND()-0.5)*2*$B$6)</f>
        <v>0.13018894453372923</v>
      </c>
      <c r="G840" s="54">
        <f t="shared" ca="1" si="168"/>
        <v>0.98647342018434503</v>
      </c>
      <c r="H840" s="54">
        <f t="shared" ca="1" si="169"/>
        <v>0.22692943176018507</v>
      </c>
      <c r="I840" s="54">
        <f t="shared" ca="1" si="170"/>
        <v>0.22714188407436589</v>
      </c>
      <c r="J840" s="54">
        <f t="shared" ca="1" si="171"/>
        <v>0.20206493410978815</v>
      </c>
      <c r="K840" s="54">
        <f t="shared" ca="1" si="172"/>
        <v>0.21188964728723511</v>
      </c>
      <c r="L840" s="54">
        <f t="shared" ca="1" si="173"/>
        <v>0.13197410276842581</v>
      </c>
      <c r="M840" s="54">
        <f ca="1">MIN(100,MAX(0,MCDA_Prioritisation!$F$2+(RAND()-0.5)*2*$B$7))</f>
        <v>79.664093474891587</v>
      </c>
      <c r="N840" s="54">
        <f ca="1">MIN(100,MAX(0,MCDA_Prioritisation!$F$3+(RAND()-0.5)*2*$B$7))</f>
        <v>100</v>
      </c>
      <c r="O840" s="54">
        <f ca="1">MIN(100,MAX(0,MCDA_Prioritisation!$F$4+(RAND()-0.5)*2*$B$7))</f>
        <v>84.228045337526595</v>
      </c>
      <c r="P840" s="54">
        <f ca="1">MIN(100,MAX(0,MCDA_Prioritisation!$F$5+(RAND()-0.5)*2*$B$7))</f>
        <v>68.568187966383249</v>
      </c>
      <c r="Q840" s="54">
        <f ca="1">MIN(100,MAX(0,MCDA_Prioritisation!$G$2+(RAND()-0.5)*2*$B$7))</f>
        <v>71.9605131986131</v>
      </c>
      <c r="R840" s="54">
        <f ca="1">MIN(100,MAX(0,MCDA_Prioritisation!$G$3+(RAND()-0.5)*2*$B$7))</f>
        <v>97.787988644966163</v>
      </c>
      <c r="S840" s="54">
        <f ca="1">MIN(100,MAX(0,MCDA_Prioritisation!$G$4+(RAND()-0.5)*2*$B$7))</f>
        <v>82.712289519137286</v>
      </c>
      <c r="T840" s="54">
        <f ca="1">MIN(100,MAX(0,MCDA_Prioritisation!$G$5+(RAND()-0.5)*2*$B$7))</f>
        <v>64.696777052299794</v>
      </c>
      <c r="U840" s="54">
        <f ca="1">MIN(100,MAX(0,MCDA_Prioritisation!$H$2+(RAND()-0.5)*2*$B$7))</f>
        <v>67.564190952108589</v>
      </c>
      <c r="V840" s="54">
        <f ca="1">MIN(100,MAX(0,MCDA_Prioritisation!$H$3+(RAND()-0.5)*2*$B$7))</f>
        <v>51.996932463966431</v>
      </c>
      <c r="W840" s="54">
        <f ca="1">MIN(100,MAX(0,MCDA_Prioritisation!$H$4+(RAND()-0.5)*2*$B$7))</f>
        <v>86.280925845960098</v>
      </c>
      <c r="X840" s="54">
        <f ca="1">MIN(100,MAX(0,MCDA_Prioritisation!$H$5+(RAND()-0.5)*2*$B$7))</f>
        <v>71.217040259859118</v>
      </c>
      <c r="Y840" s="54">
        <f ca="1">H840*MCDA_Prioritisation!$D$2+I840*MCDA_Prioritisation!$E$2+J840*M840+K840*Q840+L840*U840</f>
        <v>85.668862622816746</v>
      </c>
      <c r="Z840" s="54">
        <f ca="1">H840*MCDA_Prioritisation!$D$3+I840*MCDA_Prioritisation!$E$3+J840*N840+K840*R840+L840*V840</f>
        <v>84.141329164291193</v>
      </c>
      <c r="AA840" s="54">
        <f ca="1">H840*MCDA_Prioritisation!$D$4+I840*MCDA_Prioritisation!$E$4+J840*O840+K840*S840+L840*W840</f>
        <v>74.123848971834136</v>
      </c>
      <c r="AB840" s="54">
        <f ca="1">H840*MCDA_Prioritisation!$D$5+I840*MCDA_Prioritisation!$E$5+J840*P840+K840*T840+L840*X840</f>
        <v>68.107657685677395</v>
      </c>
      <c r="AC840" s="54">
        <f t="shared" ca="1" si="174"/>
        <v>1</v>
      </c>
      <c r="AD840" s="54">
        <f t="shared" ca="1" si="175"/>
        <v>2</v>
      </c>
      <c r="AE840" s="54">
        <f t="shared" ca="1" si="176"/>
        <v>3</v>
      </c>
      <c r="AF840" s="54">
        <f t="shared" ca="1" si="177"/>
        <v>4</v>
      </c>
      <c r="AG840" s="54">
        <f t="shared" ca="1" si="178"/>
        <v>1</v>
      </c>
      <c r="AH840" s="54">
        <f t="shared" ca="1" si="179"/>
        <v>1</v>
      </c>
      <c r="AI840" s="54">
        <f t="shared" ca="1" si="180"/>
        <v>1</v>
      </c>
      <c r="AJ840" s="54">
        <f t="shared" ca="1" si="181"/>
        <v>1</v>
      </c>
    </row>
    <row r="841" spans="1:36" x14ac:dyDescent="0.2">
      <c r="A841" s="54">
        <v>818</v>
      </c>
      <c r="B841" s="54">
        <f ca="1">MAX(0.02,MCDA_Prioritisation!$B$9+(RAND()-0.5)*2*$B$6)</f>
        <v>0.27312991673110498</v>
      </c>
      <c r="C841" s="54">
        <f ca="1">MAX(0.02,MCDA_Prioritisation!$B$10+(RAND()-0.5)*2*$B$6)</f>
        <v>0.32679874555582927</v>
      </c>
      <c r="D841" s="54">
        <f ca="1">MAX(0.02,MCDA_Prioritisation!$B$11+(RAND()-0.5)*2*$B$6)</f>
        <v>0.28044607939718785</v>
      </c>
      <c r="E841" s="54">
        <f ca="1">MAX(0.02,MCDA_Prioritisation!$B$12+(RAND()-0.5)*2*$B$6)</f>
        <v>0.11586980924986448</v>
      </c>
      <c r="F841" s="54">
        <f ca="1">MAX(0.02,MCDA_Prioritisation!$B$13+(RAND()-0.5)*2*$B$6)</f>
        <v>0.16688088304201196</v>
      </c>
      <c r="G841" s="54">
        <f t="shared" ca="1" si="168"/>
        <v>1.1631254339759984</v>
      </c>
      <c r="H841" s="54">
        <f t="shared" ca="1" si="169"/>
        <v>0.23482412881080642</v>
      </c>
      <c r="I841" s="54">
        <f t="shared" ca="1" si="170"/>
        <v>0.28096603857995672</v>
      </c>
      <c r="J841" s="54">
        <f t="shared" ca="1" si="171"/>
        <v>0.24111421795542559</v>
      </c>
      <c r="K841" s="54">
        <f t="shared" ca="1" si="172"/>
        <v>9.9619358209525236E-2</v>
      </c>
      <c r="L841" s="54">
        <f t="shared" ca="1" si="173"/>
        <v>0.14347625644428613</v>
      </c>
      <c r="M841" s="54">
        <f ca="1">MIN(100,MAX(0,MCDA_Prioritisation!$F$2+(RAND()-0.5)*2*$B$7))</f>
        <v>75.194071180097353</v>
      </c>
      <c r="N841" s="54">
        <f ca="1">MIN(100,MAX(0,MCDA_Prioritisation!$F$3+(RAND()-0.5)*2*$B$7))</f>
        <v>100</v>
      </c>
      <c r="O841" s="54">
        <f ca="1">MIN(100,MAX(0,MCDA_Prioritisation!$F$4+(RAND()-0.5)*2*$B$7))</f>
        <v>85.15890163525188</v>
      </c>
      <c r="P841" s="54">
        <f ca="1">MIN(100,MAX(0,MCDA_Prioritisation!$F$5+(RAND()-0.5)*2*$B$7))</f>
        <v>79.587353616511905</v>
      </c>
      <c r="Q841" s="54">
        <f ca="1">MIN(100,MAX(0,MCDA_Prioritisation!$G$2+(RAND()-0.5)*2*$B$7))</f>
        <v>87.279024018006496</v>
      </c>
      <c r="R841" s="54">
        <f ca="1">MIN(100,MAX(0,MCDA_Prioritisation!$G$3+(RAND()-0.5)*2*$B$7))</f>
        <v>87.378805273944664</v>
      </c>
      <c r="S841" s="54">
        <f ca="1">MIN(100,MAX(0,MCDA_Prioritisation!$G$4+(RAND()-0.5)*2*$B$7))</f>
        <v>89.116346576880531</v>
      </c>
      <c r="T841" s="54">
        <f ca="1">MIN(100,MAX(0,MCDA_Prioritisation!$G$5+(RAND()-0.5)*2*$B$7))</f>
        <v>67.034038253403693</v>
      </c>
      <c r="U841" s="54">
        <f ca="1">MIN(100,MAX(0,MCDA_Prioritisation!$H$2+(RAND()-0.5)*2*$B$7))</f>
        <v>59.722573978791132</v>
      </c>
      <c r="V841" s="54">
        <f ca="1">MIN(100,MAX(0,MCDA_Prioritisation!$H$3+(RAND()-0.5)*2*$B$7))</f>
        <v>61.151478104875828</v>
      </c>
      <c r="W841" s="54">
        <f ca="1">MIN(100,MAX(0,MCDA_Prioritisation!$H$4+(RAND()-0.5)*2*$B$7))</f>
        <v>87.603899179869913</v>
      </c>
      <c r="X841" s="54">
        <f ca="1">MIN(100,MAX(0,MCDA_Prioritisation!$H$5+(RAND()-0.5)*2*$B$7))</f>
        <v>82.076395057384872</v>
      </c>
      <c r="Y841" s="54">
        <f ca="1">H841*MCDA_Prioritisation!$D$2+I841*MCDA_Prioritisation!$E$2+J841*M841+K841*Q841+L841*U841</f>
        <v>86.972828104071525</v>
      </c>
      <c r="Z841" s="54">
        <f ca="1">H841*MCDA_Prioritisation!$D$3+I841*MCDA_Prioritisation!$E$3+J841*N841+K841*R841+L841*V841</f>
        <v>82.546607807512402</v>
      </c>
      <c r="AA841" s="54">
        <f ca="1">H841*MCDA_Prioritisation!$D$4+I841*MCDA_Prioritisation!$E$4+J841*O841+K841*S841+L841*W841</f>
        <v>73.657006905241502</v>
      </c>
      <c r="AB841" s="54">
        <f ca="1">H841*MCDA_Prioritisation!$D$5+I841*MCDA_Prioritisation!$E$5+J841*P841+K841*T841+L841*X841</f>
        <v>73.73373349679234</v>
      </c>
      <c r="AC841" s="54">
        <f t="shared" ca="1" si="174"/>
        <v>1</v>
      </c>
      <c r="AD841" s="54">
        <f t="shared" ca="1" si="175"/>
        <v>2</v>
      </c>
      <c r="AE841" s="54">
        <f t="shared" ca="1" si="176"/>
        <v>4</v>
      </c>
      <c r="AF841" s="54">
        <f t="shared" ca="1" si="177"/>
        <v>3</v>
      </c>
      <c r="AG841" s="54">
        <f t="shared" ca="1" si="178"/>
        <v>1</v>
      </c>
      <c r="AH841" s="54">
        <f t="shared" ca="1" si="179"/>
        <v>1</v>
      </c>
      <c r="AI841" s="54">
        <f t="shared" ca="1" si="180"/>
        <v>0</v>
      </c>
      <c r="AJ841" s="54">
        <f t="shared" ca="1" si="181"/>
        <v>1</v>
      </c>
    </row>
    <row r="842" spans="1:36" x14ac:dyDescent="0.2">
      <c r="A842" s="54">
        <v>819</v>
      </c>
      <c r="B842" s="54">
        <f ca="1">MAX(0.02,MCDA_Prioritisation!$B$9+(RAND()-0.5)*2*$B$6)</f>
        <v>0.12897610460635928</v>
      </c>
      <c r="C842" s="54">
        <f ca="1">MAX(0.02,MCDA_Prioritisation!$B$10+(RAND()-0.5)*2*$B$6)</f>
        <v>0.24036012440757354</v>
      </c>
      <c r="D842" s="54">
        <f ca="1">MAX(0.02,MCDA_Prioritisation!$B$11+(RAND()-0.5)*2*$B$6)</f>
        <v>0.22833381853660031</v>
      </c>
      <c r="E842" s="54">
        <f ca="1">MAX(0.02,MCDA_Prioritisation!$B$12+(RAND()-0.5)*2*$B$6)</f>
        <v>0.19124347262966335</v>
      </c>
      <c r="F842" s="54">
        <f ca="1">MAX(0.02,MCDA_Prioritisation!$B$13+(RAND()-0.5)*2*$B$6)</f>
        <v>0.18579434400863307</v>
      </c>
      <c r="G842" s="54">
        <f t="shared" ca="1" si="168"/>
        <v>0.97470786418882949</v>
      </c>
      <c r="H842" s="54">
        <f t="shared" ca="1" si="169"/>
        <v>0.13232283163499009</v>
      </c>
      <c r="I842" s="54">
        <f t="shared" ca="1" si="170"/>
        <v>0.24659709153737652</v>
      </c>
      <c r="J842" s="54">
        <f t="shared" ca="1" si="171"/>
        <v>0.23425872194703598</v>
      </c>
      <c r="K842" s="54">
        <f t="shared" ca="1" si="172"/>
        <v>0.19620593990879495</v>
      </c>
      <c r="L842" s="54">
        <f t="shared" ca="1" si="173"/>
        <v>0.19061541497180251</v>
      </c>
      <c r="M842" s="54">
        <f ca="1">MIN(100,MAX(0,MCDA_Prioritisation!$F$2+(RAND()-0.5)*2*$B$7))</f>
        <v>94.372008178550459</v>
      </c>
      <c r="N842" s="54">
        <f ca="1">MIN(100,MAX(0,MCDA_Prioritisation!$F$3+(RAND()-0.5)*2*$B$7))</f>
        <v>100</v>
      </c>
      <c r="O842" s="54">
        <f ca="1">MIN(100,MAX(0,MCDA_Prioritisation!$F$4+(RAND()-0.5)*2*$B$7))</f>
        <v>82.695227759144572</v>
      </c>
      <c r="P842" s="54">
        <f ca="1">MIN(100,MAX(0,MCDA_Prioritisation!$F$5+(RAND()-0.5)*2*$B$7))</f>
        <v>81.306663071324266</v>
      </c>
      <c r="Q842" s="54">
        <f ca="1">MIN(100,MAX(0,MCDA_Prioritisation!$G$2+(RAND()-0.5)*2*$B$7))</f>
        <v>72.004860940437652</v>
      </c>
      <c r="R842" s="54">
        <f ca="1">MIN(100,MAX(0,MCDA_Prioritisation!$G$3+(RAND()-0.5)*2*$B$7))</f>
        <v>94.376523806243469</v>
      </c>
      <c r="S842" s="54">
        <f ca="1">MIN(100,MAX(0,MCDA_Prioritisation!$G$4+(RAND()-0.5)*2*$B$7))</f>
        <v>92.88240314515231</v>
      </c>
      <c r="T842" s="54">
        <f ca="1">MIN(100,MAX(0,MCDA_Prioritisation!$G$5+(RAND()-0.5)*2*$B$7))</f>
        <v>78.526797540020524</v>
      </c>
      <c r="U842" s="54">
        <f ca="1">MIN(100,MAX(0,MCDA_Prioritisation!$H$2+(RAND()-0.5)*2*$B$7))</f>
        <v>59.923926142595882</v>
      </c>
      <c r="V842" s="54">
        <f ca="1">MIN(100,MAX(0,MCDA_Prioritisation!$H$3+(RAND()-0.5)*2*$B$7))</f>
        <v>59.039091378138451</v>
      </c>
      <c r="W842" s="54">
        <f ca="1">MIN(100,MAX(0,MCDA_Prioritisation!$H$4+(RAND()-0.5)*2*$B$7))</f>
        <v>86.520995886405501</v>
      </c>
      <c r="X842" s="54">
        <f ca="1">MIN(100,MAX(0,MCDA_Prioritisation!$H$5+(RAND()-0.5)*2*$B$7))</f>
        <v>79.140077146391477</v>
      </c>
      <c r="Y842" s="54">
        <f ca="1">H842*MCDA_Prioritisation!$D$2+I842*MCDA_Prioritisation!$E$2+J842*M842+K842*Q842+L842*U842</f>
        <v>85.549663807950324</v>
      </c>
      <c r="Z842" s="54">
        <f ca="1">H842*MCDA_Prioritisation!$D$3+I842*MCDA_Prioritisation!$E$3+J842*N842+K842*R842+L842*V842</f>
        <v>82.695798832850215</v>
      </c>
      <c r="AA842" s="54">
        <f ca="1">H842*MCDA_Prioritisation!$D$4+I842*MCDA_Prioritisation!$E$4+J842*O842+K842*S842+L842*W842</f>
        <v>76.7533276801949</v>
      </c>
      <c r="AB842" s="54">
        <f ca="1">H842*MCDA_Prioritisation!$D$5+I842*MCDA_Prioritisation!$E$5+J842*P842+K842*T842+L842*X842</f>
        <v>77.299263381718958</v>
      </c>
      <c r="AC842" s="54">
        <f t="shared" ca="1" si="174"/>
        <v>1</v>
      </c>
      <c r="AD842" s="54">
        <f t="shared" ca="1" si="175"/>
        <v>2</v>
      </c>
      <c r="AE842" s="54">
        <f t="shared" ca="1" si="176"/>
        <v>4</v>
      </c>
      <c r="AF842" s="54">
        <f t="shared" ca="1" si="177"/>
        <v>3</v>
      </c>
      <c r="AG842" s="54">
        <f t="shared" ca="1" si="178"/>
        <v>1</v>
      </c>
      <c r="AH842" s="54">
        <f t="shared" ca="1" si="179"/>
        <v>1</v>
      </c>
      <c r="AI842" s="54">
        <f t="shared" ca="1" si="180"/>
        <v>0</v>
      </c>
      <c r="AJ842" s="54">
        <f t="shared" ca="1" si="181"/>
        <v>1</v>
      </c>
    </row>
    <row r="843" spans="1:36" x14ac:dyDescent="0.2">
      <c r="A843" s="54">
        <v>820</v>
      </c>
      <c r="B843" s="54">
        <f ca="1">MAX(0.02,MCDA_Prioritisation!$B$9+(RAND()-0.5)*2*$B$6)</f>
        <v>0.18666080656570946</v>
      </c>
      <c r="C843" s="54">
        <f ca="1">MAX(0.02,MCDA_Prioritisation!$B$10+(RAND()-0.5)*2*$B$6)</f>
        <v>0.17081181552415287</v>
      </c>
      <c r="D843" s="54">
        <f ca="1">MAX(0.02,MCDA_Prioritisation!$B$11+(RAND()-0.5)*2*$B$6)</f>
        <v>0.19072758683639265</v>
      </c>
      <c r="E843" s="54">
        <f ca="1">MAX(0.02,MCDA_Prioritisation!$B$12+(RAND()-0.5)*2*$B$6)</f>
        <v>0.12733630526134693</v>
      </c>
      <c r="F843" s="54">
        <f ca="1">MAX(0.02,MCDA_Prioritisation!$B$13+(RAND()-0.5)*2*$B$6)</f>
        <v>0.14218943054700753</v>
      </c>
      <c r="G843" s="54">
        <f t="shared" ca="1" si="168"/>
        <v>0.81772594473460947</v>
      </c>
      <c r="H843" s="54">
        <f t="shared" ca="1" si="169"/>
        <v>0.22826817195617985</v>
      </c>
      <c r="I843" s="54">
        <f t="shared" ca="1" si="170"/>
        <v>0.20888638378667235</v>
      </c>
      <c r="J843" s="54">
        <f t="shared" ca="1" si="171"/>
        <v>0.23324145218150408</v>
      </c>
      <c r="K843" s="54">
        <f t="shared" ca="1" si="172"/>
        <v>0.15572002586107689</v>
      </c>
      <c r="L843" s="54">
        <f t="shared" ca="1" si="173"/>
        <v>0.17388396621456678</v>
      </c>
      <c r="M843" s="54">
        <f ca="1">MIN(100,MAX(0,MCDA_Prioritisation!$F$2+(RAND()-0.5)*2*$B$7))</f>
        <v>75.947251246352806</v>
      </c>
      <c r="N843" s="54">
        <f ca="1">MIN(100,MAX(0,MCDA_Prioritisation!$F$3+(RAND()-0.5)*2*$B$7))</f>
        <v>85.018446428078079</v>
      </c>
      <c r="O843" s="54">
        <f ca="1">MIN(100,MAX(0,MCDA_Prioritisation!$F$4+(RAND()-0.5)*2*$B$7))</f>
        <v>95.297633745532792</v>
      </c>
      <c r="P843" s="54">
        <f ca="1">MIN(100,MAX(0,MCDA_Prioritisation!$F$5+(RAND()-0.5)*2*$B$7))</f>
        <v>82.822173586418799</v>
      </c>
      <c r="Q843" s="54">
        <f ca="1">MIN(100,MAX(0,MCDA_Prioritisation!$G$2+(RAND()-0.5)*2*$B$7))</f>
        <v>88.022449096548939</v>
      </c>
      <c r="R843" s="54">
        <f ca="1">MIN(100,MAX(0,MCDA_Prioritisation!$G$3+(RAND()-0.5)*2*$B$7))</f>
        <v>89.925735762697784</v>
      </c>
      <c r="S843" s="54">
        <f ca="1">MIN(100,MAX(0,MCDA_Prioritisation!$G$4+(RAND()-0.5)*2*$B$7))</f>
        <v>86.840913241790574</v>
      </c>
      <c r="T843" s="54">
        <f ca="1">MIN(100,MAX(0,MCDA_Prioritisation!$G$5+(RAND()-0.5)*2*$B$7))</f>
        <v>78.228658423950534</v>
      </c>
      <c r="U843" s="54">
        <f ca="1">MIN(100,MAX(0,MCDA_Prioritisation!$H$2+(RAND()-0.5)*2*$B$7))</f>
        <v>74.796691115572514</v>
      </c>
      <c r="V843" s="54">
        <f ca="1">MIN(100,MAX(0,MCDA_Prioritisation!$H$3+(RAND()-0.5)*2*$B$7))</f>
        <v>59.710837114906298</v>
      </c>
      <c r="W843" s="54">
        <f ca="1">MIN(100,MAX(0,MCDA_Prioritisation!$H$4+(RAND()-0.5)*2*$B$7))</f>
        <v>80.651848723362008</v>
      </c>
      <c r="X843" s="54">
        <f ca="1">MIN(100,MAX(0,MCDA_Prioritisation!$H$5+(RAND()-0.5)*2*$B$7))</f>
        <v>66.827664946814764</v>
      </c>
      <c r="Y843" s="54">
        <f ca="1">H843*MCDA_Prioritisation!$D$2+I843*MCDA_Prioritisation!$E$2+J843*M843+K843*Q843+L843*U843</f>
        <v>88.142306104749608</v>
      </c>
      <c r="Z843" s="54">
        <f ca="1">H843*MCDA_Prioritisation!$D$3+I843*MCDA_Prioritisation!$E$3+J843*N843+K843*R843+L843*V843</f>
        <v>79.357474724460118</v>
      </c>
      <c r="AA843" s="54">
        <f ca="1">H843*MCDA_Prioritisation!$D$4+I843*MCDA_Prioritisation!$E$4+J843*O843+K843*S843+L843*W843</f>
        <v>77.063347428250239</v>
      </c>
      <c r="AB843" s="54">
        <f ca="1">H843*MCDA_Prioritisation!$D$5+I843*MCDA_Prioritisation!$E$5+J843*P843+K843*T843+L843*X843</f>
        <v>72.800574440703514</v>
      </c>
      <c r="AC843" s="54">
        <f t="shared" ca="1" si="174"/>
        <v>1</v>
      </c>
      <c r="AD843" s="54">
        <f t="shared" ca="1" si="175"/>
        <v>2</v>
      </c>
      <c r="AE843" s="54">
        <f t="shared" ca="1" si="176"/>
        <v>3</v>
      </c>
      <c r="AF843" s="54">
        <f t="shared" ca="1" si="177"/>
        <v>4</v>
      </c>
      <c r="AG843" s="54">
        <f t="shared" ca="1" si="178"/>
        <v>1</v>
      </c>
      <c r="AH843" s="54">
        <f t="shared" ca="1" si="179"/>
        <v>1</v>
      </c>
      <c r="AI843" s="54">
        <f t="shared" ca="1" si="180"/>
        <v>1</v>
      </c>
      <c r="AJ843" s="54">
        <f t="shared" ca="1" si="181"/>
        <v>1</v>
      </c>
    </row>
    <row r="844" spans="1:36" x14ac:dyDescent="0.2">
      <c r="A844" s="54">
        <v>821</v>
      </c>
      <c r="B844" s="54">
        <f ca="1">MAX(0.02,MCDA_Prioritisation!$B$9+(RAND()-0.5)*2*$B$6)</f>
        <v>0.13866027972069106</v>
      </c>
      <c r="C844" s="54">
        <f ca="1">MAX(0.02,MCDA_Prioritisation!$B$10+(RAND()-0.5)*2*$B$6)</f>
        <v>0.21743628205994336</v>
      </c>
      <c r="D844" s="54">
        <f ca="1">MAX(0.02,MCDA_Prioritisation!$B$11+(RAND()-0.5)*2*$B$6)</f>
        <v>0.21574812419278519</v>
      </c>
      <c r="E844" s="54">
        <f ca="1">MAX(0.02,MCDA_Prioritisation!$B$12+(RAND()-0.5)*2*$B$6)</f>
        <v>0.20090869947876555</v>
      </c>
      <c r="F844" s="54">
        <f ca="1">MAX(0.02,MCDA_Prioritisation!$B$13+(RAND()-0.5)*2*$B$6)</f>
        <v>9.7702884913406812E-2</v>
      </c>
      <c r="G844" s="54">
        <f t="shared" ca="1" si="168"/>
        <v>0.87045627036559203</v>
      </c>
      <c r="H844" s="54">
        <f t="shared" ca="1" si="169"/>
        <v>0.15929608923657207</v>
      </c>
      <c r="I844" s="54">
        <f t="shared" ca="1" si="170"/>
        <v>0.24979575592995618</v>
      </c>
      <c r="J844" s="54">
        <f t="shared" ca="1" si="171"/>
        <v>0.24785636170116954</v>
      </c>
      <c r="K844" s="54">
        <f t="shared" ca="1" si="172"/>
        <v>0.2308084924178716</v>
      </c>
      <c r="L844" s="54">
        <f t="shared" ca="1" si="173"/>
        <v>0.11224330071443056</v>
      </c>
      <c r="M844" s="54">
        <f ca="1">MIN(100,MAX(0,MCDA_Prioritisation!$F$2+(RAND()-0.5)*2*$B$7))</f>
        <v>83.799265963093205</v>
      </c>
      <c r="N844" s="54">
        <f ca="1">MIN(100,MAX(0,MCDA_Prioritisation!$F$3+(RAND()-0.5)*2*$B$7))</f>
        <v>100</v>
      </c>
      <c r="O844" s="54">
        <f ca="1">MIN(100,MAX(0,MCDA_Prioritisation!$F$4+(RAND()-0.5)*2*$B$7))</f>
        <v>80.003612115364874</v>
      </c>
      <c r="P844" s="54">
        <f ca="1">MIN(100,MAX(0,MCDA_Prioritisation!$F$5+(RAND()-0.5)*2*$B$7))</f>
        <v>65.148674585091797</v>
      </c>
      <c r="Q844" s="54">
        <f ca="1">MIN(100,MAX(0,MCDA_Prioritisation!$G$2+(RAND()-0.5)*2*$B$7))</f>
        <v>85.50699967714371</v>
      </c>
      <c r="R844" s="54">
        <f ca="1">MIN(100,MAX(0,MCDA_Prioritisation!$G$3+(RAND()-0.5)*2*$B$7))</f>
        <v>97.812033207894629</v>
      </c>
      <c r="S844" s="54">
        <f ca="1">MIN(100,MAX(0,MCDA_Prioritisation!$G$4+(RAND()-0.5)*2*$B$7))</f>
        <v>77.598992355677154</v>
      </c>
      <c r="T844" s="54">
        <f ca="1">MIN(100,MAX(0,MCDA_Prioritisation!$G$5+(RAND()-0.5)*2*$B$7))</f>
        <v>78.399394414987881</v>
      </c>
      <c r="U844" s="54">
        <f ca="1">MIN(100,MAX(0,MCDA_Prioritisation!$H$2+(RAND()-0.5)*2*$B$7))</f>
        <v>59.3247185635676</v>
      </c>
      <c r="V844" s="54">
        <f ca="1">MIN(100,MAX(0,MCDA_Prioritisation!$H$3+(RAND()-0.5)*2*$B$7))</f>
        <v>68.307547783458801</v>
      </c>
      <c r="W844" s="54">
        <f ca="1">MIN(100,MAX(0,MCDA_Prioritisation!$H$4+(RAND()-0.5)*2*$B$7))</f>
        <v>86.835128996577879</v>
      </c>
      <c r="X844" s="54">
        <f ca="1">MIN(100,MAX(0,MCDA_Prioritisation!$H$5+(RAND()-0.5)*2*$B$7))</f>
        <v>78.281004051788642</v>
      </c>
      <c r="Y844" s="54">
        <f ca="1">H844*MCDA_Prioritisation!$D$2+I844*MCDA_Prioritisation!$E$2+J844*M844+K844*Q844+L844*U844</f>
        <v>88.073909603680221</v>
      </c>
      <c r="Z844" s="54">
        <f ca="1">H844*MCDA_Prioritisation!$D$3+I844*MCDA_Prioritisation!$E$3+J844*N844+K844*R844+L844*V844</f>
        <v>87.117487495462726</v>
      </c>
      <c r="AA844" s="54">
        <f ca="1">H844*MCDA_Prioritisation!$D$4+I844*MCDA_Prioritisation!$E$4+J844*O844+K844*S844+L844*W844</f>
        <v>72.204238424237886</v>
      </c>
      <c r="AB844" s="54">
        <f ca="1">H844*MCDA_Prioritisation!$D$5+I844*MCDA_Prioritisation!$E$5+J844*P844+K844*T844+L844*X844</f>
        <v>72.489611646295714</v>
      </c>
      <c r="AC844" s="54">
        <f t="shared" ca="1" si="174"/>
        <v>1</v>
      </c>
      <c r="AD844" s="54">
        <f t="shared" ca="1" si="175"/>
        <v>2</v>
      </c>
      <c r="AE844" s="54">
        <f t="shared" ca="1" si="176"/>
        <v>4</v>
      </c>
      <c r="AF844" s="54">
        <f t="shared" ca="1" si="177"/>
        <v>3</v>
      </c>
      <c r="AG844" s="54">
        <f t="shared" ca="1" si="178"/>
        <v>1</v>
      </c>
      <c r="AH844" s="54">
        <f t="shared" ca="1" si="179"/>
        <v>1</v>
      </c>
      <c r="AI844" s="54">
        <f t="shared" ca="1" si="180"/>
        <v>0</v>
      </c>
      <c r="AJ844" s="54">
        <f t="shared" ca="1" si="181"/>
        <v>1</v>
      </c>
    </row>
    <row r="845" spans="1:36" x14ac:dyDescent="0.2">
      <c r="A845" s="54">
        <v>822</v>
      </c>
      <c r="B845" s="54">
        <f ca="1">MAX(0.02,MCDA_Prioritisation!$B$9+(RAND()-0.5)*2*$B$6)</f>
        <v>0.25578921309205321</v>
      </c>
      <c r="C845" s="54">
        <f ca="1">MAX(0.02,MCDA_Prioritisation!$B$10+(RAND()-0.5)*2*$B$6)</f>
        <v>0.31539278821780048</v>
      </c>
      <c r="D845" s="54">
        <f ca="1">MAX(0.02,MCDA_Prioritisation!$B$11+(RAND()-0.5)*2*$B$6)</f>
        <v>0.30002479917334424</v>
      </c>
      <c r="E845" s="54">
        <f ca="1">MAX(0.02,MCDA_Prioritisation!$B$12+(RAND()-0.5)*2*$B$6)</f>
        <v>0.21427366278241475</v>
      </c>
      <c r="F845" s="54">
        <f ca="1">MAX(0.02,MCDA_Prioritisation!$B$13+(RAND()-0.5)*2*$B$6)</f>
        <v>9.6775905626669961E-2</v>
      </c>
      <c r="G845" s="54">
        <f t="shared" ca="1" si="168"/>
        <v>1.1822563688922825</v>
      </c>
      <c r="H845" s="54">
        <f t="shared" ca="1" si="169"/>
        <v>0.21635680705337662</v>
      </c>
      <c r="I845" s="54">
        <f t="shared" ca="1" si="170"/>
        <v>0.26677190879784257</v>
      </c>
      <c r="J845" s="54">
        <f t="shared" ca="1" si="171"/>
        <v>0.25377304539661993</v>
      </c>
      <c r="K845" s="54">
        <f t="shared" ca="1" si="172"/>
        <v>0.18124128439517639</v>
      </c>
      <c r="L845" s="54">
        <f t="shared" ca="1" si="173"/>
        <v>8.1856954356984646E-2</v>
      </c>
      <c r="M845" s="54">
        <f ca="1">MIN(100,MAX(0,MCDA_Prioritisation!$F$2+(RAND()-0.5)*2*$B$7))</f>
        <v>82.256903607888518</v>
      </c>
      <c r="N845" s="54">
        <f ca="1">MIN(100,MAX(0,MCDA_Prioritisation!$F$3+(RAND()-0.5)*2*$B$7))</f>
        <v>88.050698305520783</v>
      </c>
      <c r="O845" s="54">
        <f ca="1">MIN(100,MAX(0,MCDA_Prioritisation!$F$4+(RAND()-0.5)*2*$B$7))</f>
        <v>80.233037813998294</v>
      </c>
      <c r="P845" s="54">
        <f ca="1">MIN(100,MAX(0,MCDA_Prioritisation!$F$5+(RAND()-0.5)*2*$B$7))</f>
        <v>70.764935091535577</v>
      </c>
      <c r="Q845" s="54">
        <f ca="1">MIN(100,MAX(0,MCDA_Prioritisation!$G$2+(RAND()-0.5)*2*$B$7))</f>
        <v>75.409769578173709</v>
      </c>
      <c r="R845" s="54">
        <f ca="1">MIN(100,MAX(0,MCDA_Prioritisation!$G$3+(RAND()-0.5)*2*$B$7))</f>
        <v>93.041945613638106</v>
      </c>
      <c r="S845" s="54">
        <f ca="1">MIN(100,MAX(0,MCDA_Prioritisation!$G$4+(RAND()-0.5)*2*$B$7))</f>
        <v>83.487026676198312</v>
      </c>
      <c r="T845" s="54">
        <f ca="1">MIN(100,MAX(0,MCDA_Prioritisation!$G$5+(RAND()-0.5)*2*$B$7))</f>
        <v>79.127382657009051</v>
      </c>
      <c r="U845" s="54">
        <f ca="1">MIN(100,MAX(0,MCDA_Prioritisation!$H$2+(RAND()-0.5)*2*$B$7))</f>
        <v>72.44994943556074</v>
      </c>
      <c r="V845" s="54">
        <f ca="1">MIN(100,MAX(0,MCDA_Prioritisation!$H$3+(RAND()-0.5)*2*$B$7))</f>
        <v>55.792991872177794</v>
      </c>
      <c r="W845" s="54">
        <f ca="1">MIN(100,MAX(0,MCDA_Prioritisation!$H$4+(RAND()-0.5)*2*$B$7))</f>
        <v>78.49102683361113</v>
      </c>
      <c r="X845" s="54">
        <f ca="1">MIN(100,MAX(0,MCDA_Prioritisation!$H$5+(RAND()-0.5)*2*$B$7))</f>
        <v>77.813412664489192</v>
      </c>
      <c r="Y845" s="54">
        <f ca="1">H845*MCDA_Prioritisation!$D$2+I845*MCDA_Prioritisation!$E$2+J845*M845+K845*Q845+L845*U845</f>
        <v>88.78535221699704</v>
      </c>
      <c r="Z845" s="54">
        <f ca="1">H845*MCDA_Prioritisation!$D$3+I845*MCDA_Prioritisation!$E$3+J845*N845+K845*R845+L845*V845</f>
        <v>82.085474429009466</v>
      </c>
      <c r="AA845" s="54">
        <f ca="1">H845*MCDA_Prioritisation!$D$4+I845*MCDA_Prioritisation!$E$4+J845*O845+K845*S845+L845*W845</f>
        <v>71.534325886837578</v>
      </c>
      <c r="AB845" s="54">
        <f ca="1">H845*MCDA_Prioritisation!$D$5+I845*MCDA_Prioritisation!$E$5+J845*P845+K845*T845+L845*X845</f>
        <v>72.585372901994617</v>
      </c>
      <c r="AC845" s="54">
        <f t="shared" ca="1" si="174"/>
        <v>1</v>
      </c>
      <c r="AD845" s="54">
        <f t="shared" ca="1" si="175"/>
        <v>2</v>
      </c>
      <c r="AE845" s="54">
        <f t="shared" ca="1" si="176"/>
        <v>4</v>
      </c>
      <c r="AF845" s="54">
        <f t="shared" ca="1" si="177"/>
        <v>3</v>
      </c>
      <c r="AG845" s="54">
        <f t="shared" ca="1" si="178"/>
        <v>1</v>
      </c>
      <c r="AH845" s="54">
        <f t="shared" ca="1" si="179"/>
        <v>1</v>
      </c>
      <c r="AI845" s="54">
        <f t="shared" ca="1" si="180"/>
        <v>0</v>
      </c>
      <c r="AJ845" s="54">
        <f t="shared" ca="1" si="181"/>
        <v>1</v>
      </c>
    </row>
    <row r="846" spans="1:36" x14ac:dyDescent="0.2">
      <c r="A846" s="54">
        <v>823</v>
      </c>
      <c r="B846" s="54">
        <f ca="1">MAX(0.02,MCDA_Prioritisation!$B$9+(RAND()-0.5)*2*$B$6)</f>
        <v>0.15436282022911219</v>
      </c>
      <c r="C846" s="54">
        <f ca="1">MAX(0.02,MCDA_Prioritisation!$B$10+(RAND()-0.5)*2*$B$6)</f>
        <v>0.29864868598775945</v>
      </c>
      <c r="D846" s="54">
        <f ca="1">MAX(0.02,MCDA_Prioritisation!$B$11+(RAND()-0.5)*2*$B$6)</f>
        <v>0.28441960771054181</v>
      </c>
      <c r="E846" s="54">
        <f ca="1">MAX(0.02,MCDA_Prioritisation!$B$12+(RAND()-0.5)*2*$B$6)</f>
        <v>0.14320350648361141</v>
      </c>
      <c r="F846" s="54">
        <f ca="1">MAX(0.02,MCDA_Prioritisation!$B$13+(RAND()-0.5)*2*$B$6)</f>
        <v>0.19106275331422801</v>
      </c>
      <c r="G846" s="54">
        <f t="shared" ca="1" si="168"/>
        <v>1.0716973737252529</v>
      </c>
      <c r="H846" s="54">
        <f t="shared" ca="1" si="169"/>
        <v>0.14403582952950822</v>
      </c>
      <c r="I846" s="54">
        <f t="shared" ca="1" si="170"/>
        <v>0.27866886054749529</v>
      </c>
      <c r="J846" s="54">
        <f t="shared" ca="1" si="171"/>
        <v>0.26539171848661958</v>
      </c>
      <c r="K846" s="54">
        <f t="shared" ca="1" si="172"/>
        <v>0.13362308240602627</v>
      </c>
      <c r="L846" s="54">
        <f t="shared" ca="1" si="173"/>
        <v>0.17828050903035064</v>
      </c>
      <c r="M846" s="54">
        <f ca="1">MIN(100,MAX(0,MCDA_Prioritisation!$F$2+(RAND()-0.5)*2*$B$7))</f>
        <v>89.390922125716514</v>
      </c>
      <c r="N846" s="54">
        <f ca="1">MIN(100,MAX(0,MCDA_Prioritisation!$F$3+(RAND()-0.5)*2*$B$7))</f>
        <v>93.834207713596925</v>
      </c>
      <c r="O846" s="54">
        <f ca="1">MIN(100,MAX(0,MCDA_Prioritisation!$F$4+(RAND()-0.5)*2*$B$7))</f>
        <v>94.41605187192765</v>
      </c>
      <c r="P846" s="54">
        <f ca="1">MIN(100,MAX(0,MCDA_Prioritisation!$F$5+(RAND()-0.5)*2*$B$7))</f>
        <v>72.050533820106466</v>
      </c>
      <c r="Q846" s="54">
        <f ca="1">MIN(100,MAX(0,MCDA_Prioritisation!$G$2+(RAND()-0.5)*2*$B$7))</f>
        <v>78.128119281494932</v>
      </c>
      <c r="R846" s="54">
        <f ca="1">MIN(100,MAX(0,MCDA_Prioritisation!$G$3+(RAND()-0.5)*2*$B$7))</f>
        <v>94.684017506539504</v>
      </c>
      <c r="S846" s="54">
        <f ca="1">MIN(100,MAX(0,MCDA_Prioritisation!$G$4+(RAND()-0.5)*2*$B$7))</f>
        <v>90.009749116423052</v>
      </c>
      <c r="T846" s="54">
        <f ca="1">MIN(100,MAX(0,MCDA_Prioritisation!$G$5+(RAND()-0.5)*2*$B$7))</f>
        <v>65.773276065674736</v>
      </c>
      <c r="U846" s="54">
        <f ca="1">MIN(100,MAX(0,MCDA_Prioritisation!$H$2+(RAND()-0.5)*2*$B$7))</f>
        <v>74.526949248724563</v>
      </c>
      <c r="V846" s="54">
        <f ca="1">MIN(100,MAX(0,MCDA_Prioritisation!$H$3+(RAND()-0.5)*2*$B$7))</f>
        <v>61.074338025087847</v>
      </c>
      <c r="W846" s="54">
        <f ca="1">MIN(100,MAX(0,MCDA_Prioritisation!$H$4+(RAND()-0.5)*2*$B$7))</f>
        <v>73.523066978640273</v>
      </c>
      <c r="X846" s="54">
        <f ca="1">MIN(100,MAX(0,MCDA_Prioritisation!$H$5+(RAND()-0.5)*2*$B$7))</f>
        <v>79.474647475393681</v>
      </c>
      <c r="Y846" s="54">
        <f ca="1">H846*MCDA_Prioritisation!$D$2+I846*MCDA_Prioritisation!$E$2+J846*M846+K846*Q846+L846*U846</f>
        <v>89.720502017268601</v>
      </c>
      <c r="Z846" s="54">
        <f ca="1">H846*MCDA_Prioritisation!$D$3+I846*MCDA_Prioritisation!$E$3+J846*N846+K846*R846+L846*V846</f>
        <v>81.298258446256412</v>
      </c>
      <c r="AA846" s="54">
        <f ca="1">H846*MCDA_Prioritisation!$D$4+I846*MCDA_Prioritisation!$E$4+J846*O846+K846*S846+L846*W846</f>
        <v>75.422276294513864</v>
      </c>
      <c r="AB846" s="54">
        <f ca="1">H846*MCDA_Prioritisation!$D$5+I846*MCDA_Prioritisation!$E$5+J846*P846+K846*T846+L846*X846</f>
        <v>73.157571120427662</v>
      </c>
      <c r="AC846" s="54">
        <f t="shared" ca="1" si="174"/>
        <v>1</v>
      </c>
      <c r="AD846" s="54">
        <f t="shared" ca="1" si="175"/>
        <v>2</v>
      </c>
      <c r="AE846" s="54">
        <f t="shared" ca="1" si="176"/>
        <v>3</v>
      </c>
      <c r="AF846" s="54">
        <f t="shared" ca="1" si="177"/>
        <v>4</v>
      </c>
      <c r="AG846" s="54">
        <f t="shared" ca="1" si="178"/>
        <v>1</v>
      </c>
      <c r="AH846" s="54">
        <f t="shared" ca="1" si="179"/>
        <v>1</v>
      </c>
      <c r="AI846" s="54">
        <f t="shared" ca="1" si="180"/>
        <v>1</v>
      </c>
      <c r="AJ846" s="54">
        <f t="shared" ca="1" si="181"/>
        <v>1</v>
      </c>
    </row>
    <row r="847" spans="1:36" x14ac:dyDescent="0.2">
      <c r="A847" s="54">
        <v>824</v>
      </c>
      <c r="B847" s="54">
        <f ca="1">MAX(0.02,MCDA_Prioritisation!$B$9+(RAND()-0.5)*2*$B$6)</f>
        <v>0.19375640667553914</v>
      </c>
      <c r="C847" s="54">
        <f ca="1">MAX(0.02,MCDA_Prioritisation!$B$10+(RAND()-0.5)*2*$B$6)</f>
        <v>0.32066875536223582</v>
      </c>
      <c r="D847" s="54">
        <f ca="1">MAX(0.02,MCDA_Prioritisation!$B$11+(RAND()-0.5)*2*$B$6)</f>
        <v>0.27173944307151715</v>
      </c>
      <c r="E847" s="54">
        <f ca="1">MAX(0.02,MCDA_Prioritisation!$B$12+(RAND()-0.5)*2*$B$6)</f>
        <v>0.17478625443354848</v>
      </c>
      <c r="F847" s="54">
        <f ca="1">MAX(0.02,MCDA_Prioritisation!$B$13+(RAND()-0.5)*2*$B$6)</f>
        <v>0.12321200746819896</v>
      </c>
      <c r="G847" s="54">
        <f t="shared" ca="1" si="168"/>
        <v>1.0841628670110395</v>
      </c>
      <c r="H847" s="54">
        <f t="shared" ca="1" si="169"/>
        <v>0.17871522127455988</v>
      </c>
      <c r="I847" s="54">
        <f t="shared" ca="1" si="170"/>
        <v>0.29577544584818422</v>
      </c>
      <c r="J847" s="54">
        <f t="shared" ca="1" si="171"/>
        <v>0.25064448464342226</v>
      </c>
      <c r="K847" s="54">
        <f t="shared" ca="1" si="172"/>
        <v>0.16121770976663483</v>
      </c>
      <c r="L847" s="54">
        <f t="shared" ca="1" si="173"/>
        <v>0.11364713846719891</v>
      </c>
      <c r="M847" s="54">
        <f ca="1">MIN(100,MAX(0,MCDA_Prioritisation!$F$2+(RAND()-0.5)*2*$B$7))</f>
        <v>75.570448731907604</v>
      </c>
      <c r="N847" s="54">
        <f ca="1">MIN(100,MAX(0,MCDA_Prioritisation!$F$3+(RAND()-0.5)*2*$B$7))</f>
        <v>91.113992745635599</v>
      </c>
      <c r="O847" s="54">
        <f ca="1">MIN(100,MAX(0,MCDA_Prioritisation!$F$4+(RAND()-0.5)*2*$B$7))</f>
        <v>93.782280206758116</v>
      </c>
      <c r="P847" s="54">
        <f ca="1">MIN(100,MAX(0,MCDA_Prioritisation!$F$5+(RAND()-0.5)*2*$B$7))</f>
        <v>81.709933270618478</v>
      </c>
      <c r="Q847" s="54">
        <f ca="1">MIN(100,MAX(0,MCDA_Prioritisation!$G$2+(RAND()-0.5)*2*$B$7))</f>
        <v>85.634337627101417</v>
      </c>
      <c r="R847" s="54">
        <f ca="1">MIN(100,MAX(0,MCDA_Prioritisation!$G$3+(RAND()-0.5)*2*$B$7))</f>
        <v>91.759222954433227</v>
      </c>
      <c r="S847" s="54">
        <f ca="1">MIN(100,MAX(0,MCDA_Prioritisation!$G$4+(RAND()-0.5)*2*$B$7))</f>
        <v>84.779392498708816</v>
      </c>
      <c r="T847" s="54">
        <f ca="1">MIN(100,MAX(0,MCDA_Prioritisation!$G$5+(RAND()-0.5)*2*$B$7))</f>
        <v>68.86940081590555</v>
      </c>
      <c r="U847" s="54">
        <f ca="1">MIN(100,MAX(0,MCDA_Prioritisation!$H$2+(RAND()-0.5)*2*$B$7))</f>
        <v>59.860590600597412</v>
      </c>
      <c r="V847" s="54">
        <f ca="1">MIN(100,MAX(0,MCDA_Prioritisation!$H$3+(RAND()-0.5)*2*$B$7))</f>
        <v>68.993455764279588</v>
      </c>
      <c r="W847" s="54">
        <f ca="1">MIN(100,MAX(0,MCDA_Prioritisation!$H$4+(RAND()-0.5)*2*$B$7))</f>
        <v>86.125987971855878</v>
      </c>
      <c r="X847" s="54">
        <f ca="1">MIN(100,MAX(0,MCDA_Prioritisation!$H$5+(RAND()-0.5)*2*$B$7))</f>
        <v>84.394467577951161</v>
      </c>
      <c r="Y847" s="54">
        <f ca="1">H847*MCDA_Prioritisation!$D$2+I847*MCDA_Prioritisation!$E$2+J847*M847+K847*Q847+L847*U847</f>
        <v>86.999139507294004</v>
      </c>
      <c r="Z847" s="54">
        <f ca="1">H847*MCDA_Prioritisation!$D$3+I847*MCDA_Prioritisation!$E$3+J847*N847+K847*R847+L847*V847</f>
        <v>82.601427334058656</v>
      </c>
      <c r="AA847" s="54">
        <f ca="1">H847*MCDA_Prioritisation!$D$4+I847*MCDA_Prioritisation!$E$4+J847*O847+K847*S847+L847*W847</f>
        <v>75.53980641714395</v>
      </c>
      <c r="AB847" s="54">
        <f ca="1">H847*MCDA_Prioritisation!$D$5+I847*MCDA_Prioritisation!$E$5+J847*P847+K847*T847+L847*X847</f>
        <v>75.53179645209768</v>
      </c>
      <c r="AC847" s="54">
        <f t="shared" ca="1" si="174"/>
        <v>1</v>
      </c>
      <c r="AD847" s="54">
        <f t="shared" ca="1" si="175"/>
        <v>2</v>
      </c>
      <c r="AE847" s="54">
        <f t="shared" ca="1" si="176"/>
        <v>3</v>
      </c>
      <c r="AF847" s="54">
        <f t="shared" ca="1" si="177"/>
        <v>4</v>
      </c>
      <c r="AG847" s="54">
        <f t="shared" ca="1" si="178"/>
        <v>1</v>
      </c>
      <c r="AH847" s="54">
        <f t="shared" ca="1" si="179"/>
        <v>1</v>
      </c>
      <c r="AI847" s="54">
        <f t="shared" ca="1" si="180"/>
        <v>1</v>
      </c>
      <c r="AJ847" s="54">
        <f t="shared" ca="1" si="181"/>
        <v>1</v>
      </c>
    </row>
    <row r="848" spans="1:36" x14ac:dyDescent="0.2">
      <c r="A848" s="54">
        <v>825</v>
      </c>
      <c r="B848" s="54">
        <f ca="1">MAX(0.02,MCDA_Prioritisation!$B$9+(RAND()-0.5)*2*$B$6)</f>
        <v>0.17510477432146337</v>
      </c>
      <c r="C848" s="54">
        <f ca="1">MAX(0.02,MCDA_Prioritisation!$B$10+(RAND()-0.5)*2*$B$6)</f>
        <v>0.23685062240074589</v>
      </c>
      <c r="D848" s="54">
        <f ca="1">MAX(0.02,MCDA_Prioritisation!$B$11+(RAND()-0.5)*2*$B$6)</f>
        <v>0.27307299661564377</v>
      </c>
      <c r="E848" s="54">
        <f ca="1">MAX(0.02,MCDA_Prioritisation!$B$12+(RAND()-0.5)*2*$B$6)</f>
        <v>0.22142248325121502</v>
      </c>
      <c r="F848" s="54">
        <f ca="1">MAX(0.02,MCDA_Prioritisation!$B$13+(RAND()-0.5)*2*$B$6)</f>
        <v>0.13885447701295275</v>
      </c>
      <c r="G848" s="54">
        <f t="shared" ca="1" si="168"/>
        <v>1.0453053536020209</v>
      </c>
      <c r="H848" s="54">
        <f t="shared" ca="1" si="169"/>
        <v>0.16751542859516533</v>
      </c>
      <c r="I848" s="54">
        <f t="shared" ca="1" si="170"/>
        <v>0.22658510413687408</v>
      </c>
      <c r="J848" s="54">
        <f t="shared" ca="1" si="171"/>
        <v>0.26123753760053048</v>
      </c>
      <c r="K848" s="54">
        <f t="shared" ca="1" si="172"/>
        <v>0.21182564739405055</v>
      </c>
      <c r="L848" s="54">
        <f t="shared" ca="1" si="173"/>
        <v>0.13283628227337943</v>
      </c>
      <c r="M848" s="54">
        <f ca="1">MIN(100,MAX(0,MCDA_Prioritisation!$F$2+(RAND()-0.5)*2*$B$7))</f>
        <v>81.317684317877237</v>
      </c>
      <c r="N848" s="54">
        <f ca="1">MIN(100,MAX(0,MCDA_Prioritisation!$F$3+(RAND()-0.5)*2*$B$7))</f>
        <v>91.680449509292828</v>
      </c>
      <c r="O848" s="54">
        <f ca="1">MIN(100,MAX(0,MCDA_Prioritisation!$F$4+(RAND()-0.5)*2*$B$7))</f>
        <v>80.04886269734331</v>
      </c>
      <c r="P848" s="54">
        <f ca="1">MIN(100,MAX(0,MCDA_Prioritisation!$F$5+(RAND()-0.5)*2*$B$7))</f>
        <v>69.624831168567354</v>
      </c>
      <c r="Q848" s="54">
        <f ca="1">MIN(100,MAX(0,MCDA_Prioritisation!$G$2+(RAND()-0.5)*2*$B$7))</f>
        <v>83.811395830816537</v>
      </c>
      <c r="R848" s="54">
        <f ca="1">MIN(100,MAX(0,MCDA_Prioritisation!$G$3+(RAND()-0.5)*2*$B$7))</f>
        <v>86.556627184223828</v>
      </c>
      <c r="S848" s="54">
        <f ca="1">MIN(100,MAX(0,MCDA_Prioritisation!$G$4+(RAND()-0.5)*2*$B$7))</f>
        <v>89.887067699477726</v>
      </c>
      <c r="T848" s="54">
        <f ca="1">MIN(100,MAX(0,MCDA_Prioritisation!$G$5+(RAND()-0.5)*2*$B$7))</f>
        <v>63.53432641482307</v>
      </c>
      <c r="U848" s="54">
        <f ca="1">MIN(100,MAX(0,MCDA_Prioritisation!$H$2+(RAND()-0.5)*2*$B$7))</f>
        <v>55.367683642981305</v>
      </c>
      <c r="V848" s="54">
        <f ca="1">MIN(100,MAX(0,MCDA_Prioritisation!$H$3+(RAND()-0.5)*2*$B$7))</f>
        <v>61.001033723787977</v>
      </c>
      <c r="W848" s="54">
        <f ca="1">MIN(100,MAX(0,MCDA_Prioritisation!$H$4+(RAND()-0.5)*2*$B$7))</f>
        <v>86.281258003955628</v>
      </c>
      <c r="X848" s="54">
        <f ca="1">MIN(100,MAX(0,MCDA_Prioritisation!$H$5+(RAND()-0.5)*2*$B$7))</f>
        <v>71.321174010285574</v>
      </c>
      <c r="Y848" s="54">
        <f ca="1">H848*MCDA_Prioritisation!$D$2+I848*MCDA_Prioritisation!$E$2+J848*M848+K848*Q848+L848*U848</f>
        <v>85.761525321867452</v>
      </c>
      <c r="Z848" s="54">
        <f ca="1">H848*MCDA_Prioritisation!$D$3+I848*MCDA_Prioritisation!$E$3+J848*N848+K848*R848+L848*V848</f>
        <v>81.507674651155597</v>
      </c>
      <c r="AA848" s="54">
        <f ca="1">H848*MCDA_Prioritisation!$D$4+I848*MCDA_Prioritisation!$E$4+J848*O848+K848*S848+L848*W848</f>
        <v>75.43741281912942</v>
      </c>
      <c r="AB848" s="54">
        <f ca="1">H848*MCDA_Prioritisation!$D$5+I848*MCDA_Prioritisation!$E$5+J848*P848+K848*T848+L848*X848</f>
        <v>69.065636702696835</v>
      </c>
      <c r="AC848" s="54">
        <f t="shared" ca="1" si="174"/>
        <v>1</v>
      </c>
      <c r="AD848" s="54">
        <f t="shared" ca="1" si="175"/>
        <v>2</v>
      </c>
      <c r="AE848" s="54">
        <f t="shared" ca="1" si="176"/>
        <v>3</v>
      </c>
      <c r="AF848" s="54">
        <f t="shared" ca="1" si="177"/>
        <v>4</v>
      </c>
      <c r="AG848" s="54">
        <f t="shared" ca="1" si="178"/>
        <v>1</v>
      </c>
      <c r="AH848" s="54">
        <f t="shared" ca="1" si="179"/>
        <v>1</v>
      </c>
      <c r="AI848" s="54">
        <f t="shared" ca="1" si="180"/>
        <v>1</v>
      </c>
      <c r="AJ848" s="54">
        <f t="shared" ca="1" si="181"/>
        <v>1</v>
      </c>
    </row>
    <row r="849" spans="1:36" x14ac:dyDescent="0.2">
      <c r="A849" s="54">
        <v>826</v>
      </c>
      <c r="B849" s="54">
        <f ca="1">MAX(0.02,MCDA_Prioritisation!$B$9+(RAND()-0.5)*2*$B$6)</f>
        <v>0.14333865943180296</v>
      </c>
      <c r="C849" s="54">
        <f ca="1">MAX(0.02,MCDA_Prioritisation!$B$10+(RAND()-0.5)*2*$B$6)</f>
        <v>0.25730971022725191</v>
      </c>
      <c r="D849" s="54">
        <f ca="1">MAX(0.02,MCDA_Prioritisation!$B$11+(RAND()-0.5)*2*$B$6)</f>
        <v>0.30376455371649613</v>
      </c>
      <c r="E849" s="54">
        <f ca="1">MAX(0.02,MCDA_Prioritisation!$B$12+(RAND()-0.5)*2*$B$6)</f>
        <v>0.21281198738660809</v>
      </c>
      <c r="F849" s="54">
        <f ca="1">MAX(0.02,MCDA_Prioritisation!$B$13+(RAND()-0.5)*2*$B$6)</f>
        <v>0.16575830481929862</v>
      </c>
      <c r="G849" s="54">
        <f t="shared" ca="1" si="168"/>
        <v>1.0829832155814576</v>
      </c>
      <c r="H849" s="54">
        <f t="shared" ca="1" si="169"/>
        <v>0.1323553840627566</v>
      </c>
      <c r="I849" s="54">
        <f t="shared" ca="1" si="170"/>
        <v>0.23759344237768393</v>
      </c>
      <c r="J849" s="54">
        <f t="shared" ca="1" si="171"/>
        <v>0.28048869949789929</v>
      </c>
      <c r="K849" s="54">
        <f t="shared" ca="1" si="172"/>
        <v>0.19650534221100421</v>
      </c>
      <c r="L849" s="54">
        <f t="shared" ca="1" si="173"/>
        <v>0.15305713185065606</v>
      </c>
      <c r="M849" s="54">
        <f ca="1">MIN(100,MAX(0,MCDA_Prioritisation!$F$2+(RAND()-0.5)*2*$B$7))</f>
        <v>94.256492575072173</v>
      </c>
      <c r="N849" s="54">
        <f ca="1">MIN(100,MAX(0,MCDA_Prioritisation!$F$3+(RAND()-0.5)*2*$B$7))</f>
        <v>85.681568304121313</v>
      </c>
      <c r="O849" s="54">
        <f ca="1">MIN(100,MAX(0,MCDA_Prioritisation!$F$4+(RAND()-0.5)*2*$B$7))</f>
        <v>93.061359435836479</v>
      </c>
      <c r="P849" s="54">
        <f ca="1">MIN(100,MAX(0,MCDA_Prioritisation!$F$5+(RAND()-0.5)*2*$B$7))</f>
        <v>76.198437220619866</v>
      </c>
      <c r="Q849" s="54">
        <f ca="1">MIN(100,MAX(0,MCDA_Prioritisation!$G$2+(RAND()-0.5)*2*$B$7))</f>
        <v>86.163531174493045</v>
      </c>
      <c r="R849" s="54">
        <f ca="1">MIN(100,MAX(0,MCDA_Prioritisation!$G$3+(RAND()-0.5)*2*$B$7))</f>
        <v>89.893403795907048</v>
      </c>
      <c r="S849" s="54">
        <f ca="1">MIN(100,MAX(0,MCDA_Prioritisation!$G$4+(RAND()-0.5)*2*$B$7))</f>
        <v>87.35849303444391</v>
      </c>
      <c r="T849" s="54">
        <f ca="1">MIN(100,MAX(0,MCDA_Prioritisation!$G$5+(RAND()-0.5)*2*$B$7))</f>
        <v>79.651583631862906</v>
      </c>
      <c r="U849" s="54">
        <f ca="1">MIN(100,MAX(0,MCDA_Prioritisation!$H$2+(RAND()-0.5)*2*$B$7))</f>
        <v>72.569662932010644</v>
      </c>
      <c r="V849" s="54">
        <f ca="1">MIN(100,MAX(0,MCDA_Prioritisation!$H$3+(RAND()-0.5)*2*$B$7))</f>
        <v>54.622479069520757</v>
      </c>
      <c r="W849" s="54">
        <f ca="1">MIN(100,MAX(0,MCDA_Prioritisation!$H$4+(RAND()-0.5)*2*$B$7))</f>
        <v>72.267542144490108</v>
      </c>
      <c r="X849" s="54">
        <f ca="1">MIN(100,MAX(0,MCDA_Prioritisation!$H$5+(RAND()-0.5)*2*$B$7))</f>
        <v>74.557702029940003</v>
      </c>
      <c r="Y849" s="54">
        <f ca="1">H849*MCDA_Prioritisation!$D$2+I849*MCDA_Prioritisation!$E$2+J849*M849+K849*Q849+L849*U849</f>
        <v>91.471662312954166</v>
      </c>
      <c r="Z849" s="54">
        <f ca="1">H849*MCDA_Prioritisation!$D$3+I849*MCDA_Prioritisation!$E$3+J849*N849+K849*R849+L849*V849</f>
        <v>78.904571029078667</v>
      </c>
      <c r="AA849" s="54">
        <f ca="1">H849*MCDA_Prioritisation!$D$4+I849*MCDA_Prioritisation!$E$4+J849*O849+K849*S849+L849*W849</f>
        <v>76.506226170166741</v>
      </c>
      <c r="AB849" s="54">
        <f ca="1">H849*MCDA_Prioritisation!$D$5+I849*MCDA_Prioritisation!$E$5+J849*P849+K849*T849+L849*X849</f>
        <v>75.440678634510519</v>
      </c>
      <c r="AC849" s="54">
        <f t="shared" ca="1" si="174"/>
        <v>1</v>
      </c>
      <c r="AD849" s="54">
        <f t="shared" ca="1" si="175"/>
        <v>2</v>
      </c>
      <c r="AE849" s="54">
        <f t="shared" ca="1" si="176"/>
        <v>3</v>
      </c>
      <c r="AF849" s="54">
        <f t="shared" ca="1" si="177"/>
        <v>4</v>
      </c>
      <c r="AG849" s="54">
        <f t="shared" ca="1" si="178"/>
        <v>1</v>
      </c>
      <c r="AH849" s="54">
        <f t="shared" ca="1" si="179"/>
        <v>1</v>
      </c>
      <c r="AI849" s="54">
        <f t="shared" ca="1" si="180"/>
        <v>1</v>
      </c>
      <c r="AJ849" s="54">
        <f t="shared" ca="1" si="181"/>
        <v>1</v>
      </c>
    </row>
    <row r="850" spans="1:36" x14ac:dyDescent="0.2">
      <c r="A850" s="54">
        <v>827</v>
      </c>
      <c r="B850" s="54">
        <f ca="1">MAX(0.02,MCDA_Prioritisation!$B$9+(RAND()-0.5)*2*$B$6)</f>
        <v>0.27388292134949421</v>
      </c>
      <c r="C850" s="54">
        <f ca="1">MAX(0.02,MCDA_Prioritisation!$B$10+(RAND()-0.5)*2*$B$6)</f>
        <v>0.20949038087502517</v>
      </c>
      <c r="D850" s="54">
        <f ca="1">MAX(0.02,MCDA_Prioritisation!$B$11+(RAND()-0.5)*2*$B$6)</f>
        <v>0.17314431724062612</v>
      </c>
      <c r="E850" s="54">
        <f ca="1">MAX(0.02,MCDA_Prioritisation!$B$12+(RAND()-0.5)*2*$B$6)</f>
        <v>0.21894661950535826</v>
      </c>
      <c r="F850" s="54">
        <f ca="1">MAX(0.02,MCDA_Prioritisation!$B$13+(RAND()-0.5)*2*$B$6)</f>
        <v>0.2287725363487981</v>
      </c>
      <c r="G850" s="54">
        <f t="shared" ca="1" si="168"/>
        <v>1.1042367753193016</v>
      </c>
      <c r="H850" s="54">
        <f t="shared" ca="1" si="169"/>
        <v>0.24802916138189482</v>
      </c>
      <c r="I850" s="54">
        <f t="shared" ca="1" si="170"/>
        <v>0.18971509150693594</v>
      </c>
      <c r="J850" s="54">
        <f t="shared" ca="1" si="171"/>
        <v>0.15679999173235254</v>
      </c>
      <c r="K850" s="54">
        <f t="shared" ca="1" si="172"/>
        <v>0.19827868841086871</v>
      </c>
      <c r="L850" s="54">
        <f t="shared" ca="1" si="173"/>
        <v>0.20717706696794819</v>
      </c>
      <c r="M850" s="54">
        <f ca="1">MIN(100,MAX(0,MCDA_Prioritisation!$F$2+(RAND()-0.5)*2*$B$7))</f>
        <v>82.715456446520491</v>
      </c>
      <c r="N850" s="54">
        <f ca="1">MIN(100,MAX(0,MCDA_Prioritisation!$F$3+(RAND()-0.5)*2*$B$7))</f>
        <v>100</v>
      </c>
      <c r="O850" s="54">
        <f ca="1">MIN(100,MAX(0,MCDA_Prioritisation!$F$4+(RAND()-0.5)*2*$B$7))</f>
        <v>81.853780265053402</v>
      </c>
      <c r="P850" s="54">
        <f ca="1">MIN(100,MAX(0,MCDA_Prioritisation!$F$5+(RAND()-0.5)*2*$B$7))</f>
        <v>84.565819127605437</v>
      </c>
      <c r="Q850" s="54">
        <f ca="1">MIN(100,MAX(0,MCDA_Prioritisation!$G$2+(RAND()-0.5)*2*$B$7))</f>
        <v>77.97151317159728</v>
      </c>
      <c r="R850" s="54">
        <f ca="1">MIN(100,MAX(0,MCDA_Prioritisation!$G$3+(RAND()-0.5)*2*$B$7))</f>
        <v>100</v>
      </c>
      <c r="S850" s="54">
        <f ca="1">MIN(100,MAX(0,MCDA_Prioritisation!$G$4+(RAND()-0.5)*2*$B$7))</f>
        <v>82.786912572738444</v>
      </c>
      <c r="T850" s="54">
        <f ca="1">MIN(100,MAX(0,MCDA_Prioritisation!$G$5+(RAND()-0.5)*2*$B$7))</f>
        <v>65.813475632463323</v>
      </c>
      <c r="U850" s="54">
        <f ca="1">MIN(100,MAX(0,MCDA_Prioritisation!$H$2+(RAND()-0.5)*2*$B$7))</f>
        <v>60.228780997037461</v>
      </c>
      <c r="V850" s="54">
        <f ca="1">MIN(100,MAX(0,MCDA_Prioritisation!$H$3+(RAND()-0.5)*2*$B$7))</f>
        <v>67.72492828782363</v>
      </c>
      <c r="W850" s="54">
        <f ca="1">MIN(100,MAX(0,MCDA_Prioritisation!$H$4+(RAND()-0.5)*2*$B$7))</f>
        <v>84.833120540684178</v>
      </c>
      <c r="X850" s="54">
        <f ca="1">MIN(100,MAX(0,MCDA_Prioritisation!$H$5+(RAND()-0.5)*2*$B$7))</f>
        <v>82.815532426192888</v>
      </c>
      <c r="Y850" s="54">
        <f ca="1">H850*MCDA_Prioritisation!$D$2+I850*MCDA_Prioritisation!$E$2+J850*M850+K850*Q850+L850*U850</f>
        <v>84.682319734931468</v>
      </c>
      <c r="Z850" s="54">
        <f ca="1">H850*MCDA_Prioritisation!$D$3+I850*MCDA_Prioritisation!$E$3+J850*N850+K850*R850+L850*V850</f>
        <v>85.013345967186453</v>
      </c>
      <c r="AA850" s="54">
        <f ca="1">H850*MCDA_Prioritisation!$D$4+I850*MCDA_Prioritisation!$E$4+J850*O850+K850*S850+L850*W850</f>
        <v>74.444418241322197</v>
      </c>
      <c r="AB850" s="54">
        <f ca="1">H850*MCDA_Prioritisation!$D$5+I850*MCDA_Prioritisation!$E$5+J850*P850+K850*T850+L850*X850</f>
        <v>72.584491430853916</v>
      </c>
      <c r="AC850" s="54">
        <f t="shared" ca="1" si="174"/>
        <v>2</v>
      </c>
      <c r="AD850" s="54">
        <f t="shared" ca="1" si="175"/>
        <v>1</v>
      </c>
      <c r="AE850" s="54">
        <f t="shared" ca="1" si="176"/>
        <v>3</v>
      </c>
      <c r="AF850" s="54">
        <f t="shared" ca="1" si="177"/>
        <v>4</v>
      </c>
      <c r="AG850" s="54">
        <f t="shared" ca="1" si="178"/>
        <v>0</v>
      </c>
      <c r="AH850" s="54">
        <f t="shared" ca="1" si="179"/>
        <v>0</v>
      </c>
      <c r="AI850" s="54">
        <f t="shared" ca="1" si="180"/>
        <v>0</v>
      </c>
      <c r="AJ850" s="54">
        <f t="shared" ca="1" si="181"/>
        <v>1</v>
      </c>
    </row>
    <row r="851" spans="1:36" x14ac:dyDescent="0.2">
      <c r="A851" s="54">
        <v>828</v>
      </c>
      <c r="B851" s="54">
        <f ca="1">MAX(0.02,MCDA_Prioritisation!$B$9+(RAND()-0.5)*2*$B$6)</f>
        <v>0.22396651264467482</v>
      </c>
      <c r="C851" s="54">
        <f ca="1">MAX(0.02,MCDA_Prioritisation!$B$10+(RAND()-0.5)*2*$B$6)</f>
        <v>0.26040195881410444</v>
      </c>
      <c r="D851" s="54">
        <f ca="1">MAX(0.02,MCDA_Prioritisation!$B$11+(RAND()-0.5)*2*$B$6)</f>
        <v>0.24208757681111281</v>
      </c>
      <c r="E851" s="54">
        <f ca="1">MAX(0.02,MCDA_Prioritisation!$B$12+(RAND()-0.5)*2*$B$6)</f>
        <v>0.20707838946685786</v>
      </c>
      <c r="F851" s="54">
        <f ca="1">MAX(0.02,MCDA_Prioritisation!$B$13+(RAND()-0.5)*2*$B$6)</f>
        <v>0.13838434583923931</v>
      </c>
      <c r="G851" s="54">
        <f t="shared" ca="1" si="168"/>
        <v>1.0719187835759891</v>
      </c>
      <c r="H851" s="54">
        <f t="shared" ca="1" si="169"/>
        <v>0.20893981528853175</v>
      </c>
      <c r="I851" s="54">
        <f t="shared" ca="1" si="170"/>
        <v>0.24293067982761435</v>
      </c>
      <c r="J851" s="54">
        <f t="shared" ca="1" si="171"/>
        <v>0.22584507382499006</v>
      </c>
      <c r="K851" s="54">
        <f t="shared" ca="1" si="172"/>
        <v>0.19318477541370363</v>
      </c>
      <c r="L851" s="54">
        <f t="shared" ca="1" si="173"/>
        <v>0.12909965564516029</v>
      </c>
      <c r="M851" s="54">
        <f ca="1">MIN(100,MAX(0,MCDA_Prioritisation!$F$2+(RAND()-0.5)*2*$B$7))</f>
        <v>85.504256541362551</v>
      </c>
      <c r="N851" s="54">
        <f ca="1">MIN(100,MAX(0,MCDA_Prioritisation!$F$3+(RAND()-0.5)*2*$B$7))</f>
        <v>95.807278568993596</v>
      </c>
      <c r="O851" s="54">
        <f ca="1">MIN(100,MAX(0,MCDA_Prioritisation!$F$4+(RAND()-0.5)*2*$B$7))</f>
        <v>85.820150381596676</v>
      </c>
      <c r="P851" s="54">
        <f ca="1">MIN(100,MAX(0,MCDA_Prioritisation!$F$5+(RAND()-0.5)*2*$B$7))</f>
        <v>80.198624990238116</v>
      </c>
      <c r="Q851" s="54">
        <f ca="1">MIN(100,MAX(0,MCDA_Prioritisation!$G$2+(RAND()-0.5)*2*$B$7))</f>
        <v>79.904155572986241</v>
      </c>
      <c r="R851" s="54">
        <f ca="1">MIN(100,MAX(0,MCDA_Prioritisation!$G$3+(RAND()-0.5)*2*$B$7))</f>
        <v>88.400337244501515</v>
      </c>
      <c r="S851" s="54">
        <f ca="1">MIN(100,MAX(0,MCDA_Prioritisation!$G$4+(RAND()-0.5)*2*$B$7))</f>
        <v>84.087460926693552</v>
      </c>
      <c r="T851" s="54">
        <f ca="1">MIN(100,MAX(0,MCDA_Prioritisation!$G$5+(RAND()-0.5)*2*$B$7))</f>
        <v>67.382992153293515</v>
      </c>
      <c r="U851" s="54">
        <f ca="1">MIN(100,MAX(0,MCDA_Prioritisation!$H$2+(RAND()-0.5)*2*$B$7))</f>
        <v>60.049726203417883</v>
      </c>
      <c r="V851" s="54">
        <f ca="1">MIN(100,MAX(0,MCDA_Prioritisation!$H$3+(RAND()-0.5)*2*$B$7))</f>
        <v>59.441607940180788</v>
      </c>
      <c r="W851" s="54">
        <f ca="1">MIN(100,MAX(0,MCDA_Prioritisation!$H$4+(RAND()-0.5)*2*$B$7))</f>
        <v>84.948998046815277</v>
      </c>
      <c r="X851" s="54">
        <f ca="1">MIN(100,MAX(0,MCDA_Prioritisation!$H$5+(RAND()-0.5)*2*$B$7))</f>
        <v>76.056048334501284</v>
      </c>
      <c r="Y851" s="54">
        <f ca="1">H851*MCDA_Prioritisation!$D$2+I851*MCDA_Prioritisation!$E$2+J851*M851+K851*Q851+L851*U851</f>
        <v>87.686429965985909</v>
      </c>
      <c r="Z851" s="54">
        <f ca="1">H851*MCDA_Prioritisation!$D$3+I851*MCDA_Prioritisation!$E$3+J851*N851+K851*R851+L851*V851</f>
        <v>82.317457571952801</v>
      </c>
      <c r="AA851" s="54">
        <f ca="1">H851*MCDA_Prioritisation!$D$4+I851*MCDA_Prioritisation!$E$4+J851*O851+K851*S851+L851*W851</f>
        <v>74.39346666528246</v>
      </c>
      <c r="AB851" s="54">
        <f ca="1">H851*MCDA_Prioritisation!$D$5+I851*MCDA_Prioritisation!$E$5+J851*P851+K851*T851+L851*X851</f>
        <v>72.466570565562989</v>
      </c>
      <c r="AC851" s="54">
        <f t="shared" ca="1" si="174"/>
        <v>1</v>
      </c>
      <c r="AD851" s="54">
        <f t="shared" ca="1" si="175"/>
        <v>2</v>
      </c>
      <c r="AE851" s="54">
        <f t="shared" ca="1" si="176"/>
        <v>3</v>
      </c>
      <c r="AF851" s="54">
        <f t="shared" ca="1" si="177"/>
        <v>4</v>
      </c>
      <c r="AG851" s="54">
        <f t="shared" ca="1" si="178"/>
        <v>1</v>
      </c>
      <c r="AH851" s="54">
        <f t="shared" ca="1" si="179"/>
        <v>1</v>
      </c>
      <c r="AI851" s="54">
        <f t="shared" ca="1" si="180"/>
        <v>1</v>
      </c>
      <c r="AJ851" s="54">
        <f t="shared" ca="1" si="181"/>
        <v>1</v>
      </c>
    </row>
    <row r="852" spans="1:36" x14ac:dyDescent="0.2">
      <c r="A852" s="54">
        <v>829</v>
      </c>
      <c r="B852" s="54">
        <f ca="1">MAX(0.02,MCDA_Prioritisation!$B$9+(RAND()-0.5)*2*$B$6)</f>
        <v>0.21329185381112709</v>
      </c>
      <c r="C852" s="54">
        <f ca="1">MAX(0.02,MCDA_Prioritisation!$B$10+(RAND()-0.5)*2*$B$6)</f>
        <v>0.20833714773663209</v>
      </c>
      <c r="D852" s="54">
        <f ca="1">MAX(0.02,MCDA_Prioritisation!$B$11+(RAND()-0.5)*2*$B$6)</f>
        <v>0.27839293207905597</v>
      </c>
      <c r="E852" s="54">
        <f ca="1">MAX(0.02,MCDA_Prioritisation!$B$12+(RAND()-0.5)*2*$B$6)</f>
        <v>0.11966093044955003</v>
      </c>
      <c r="F852" s="54">
        <f ca="1">MAX(0.02,MCDA_Prioritisation!$B$13+(RAND()-0.5)*2*$B$6)</f>
        <v>0.15481503611523065</v>
      </c>
      <c r="G852" s="54">
        <f t="shared" ca="1" si="168"/>
        <v>0.97449790019159588</v>
      </c>
      <c r="H852" s="54">
        <f t="shared" ca="1" si="169"/>
        <v>0.21887358994738912</v>
      </c>
      <c r="I852" s="54">
        <f t="shared" ca="1" si="170"/>
        <v>0.21378922180917059</v>
      </c>
      <c r="J852" s="54">
        <f t="shared" ca="1" si="171"/>
        <v>0.28567832934716553</v>
      </c>
      <c r="K852" s="54">
        <f t="shared" ca="1" si="172"/>
        <v>0.12279239434587136</v>
      </c>
      <c r="L852" s="54">
        <f t="shared" ca="1" si="173"/>
        <v>0.15886646455040332</v>
      </c>
      <c r="M852" s="54">
        <f ca="1">MIN(100,MAX(0,MCDA_Prioritisation!$F$2+(RAND()-0.5)*2*$B$7))</f>
        <v>85.027046400198302</v>
      </c>
      <c r="N852" s="54">
        <f ca="1">MIN(100,MAX(0,MCDA_Prioritisation!$F$3+(RAND()-0.5)*2*$B$7))</f>
        <v>100</v>
      </c>
      <c r="O852" s="54">
        <f ca="1">MIN(100,MAX(0,MCDA_Prioritisation!$F$4+(RAND()-0.5)*2*$B$7))</f>
        <v>96.940482384287336</v>
      </c>
      <c r="P852" s="54">
        <f ca="1">MIN(100,MAX(0,MCDA_Prioritisation!$F$5+(RAND()-0.5)*2*$B$7))</f>
        <v>84.99120907187806</v>
      </c>
      <c r="Q852" s="54">
        <f ca="1">MIN(100,MAX(0,MCDA_Prioritisation!$G$2+(RAND()-0.5)*2*$B$7))</f>
        <v>70.24262766198315</v>
      </c>
      <c r="R852" s="54">
        <f ca="1">MIN(100,MAX(0,MCDA_Prioritisation!$G$3+(RAND()-0.5)*2*$B$7))</f>
        <v>100</v>
      </c>
      <c r="S852" s="54">
        <f ca="1">MIN(100,MAX(0,MCDA_Prioritisation!$G$4+(RAND()-0.5)*2*$B$7))</f>
        <v>83.99812480881323</v>
      </c>
      <c r="T852" s="54">
        <f ca="1">MIN(100,MAX(0,MCDA_Prioritisation!$G$5+(RAND()-0.5)*2*$B$7))</f>
        <v>71.946847132256138</v>
      </c>
      <c r="U852" s="54">
        <f ca="1">MIN(100,MAX(0,MCDA_Prioritisation!$H$2+(RAND()-0.5)*2*$B$7))</f>
        <v>68.113159295638681</v>
      </c>
      <c r="V852" s="54">
        <f ca="1">MIN(100,MAX(0,MCDA_Prioritisation!$H$3+(RAND()-0.5)*2*$B$7))</f>
        <v>64.41647430184851</v>
      </c>
      <c r="W852" s="54">
        <f ca="1">MIN(100,MAX(0,MCDA_Prioritisation!$H$4+(RAND()-0.5)*2*$B$7))</f>
        <v>83.696578835891245</v>
      </c>
      <c r="X852" s="54">
        <f ca="1">MIN(100,MAX(0,MCDA_Prioritisation!$H$5+(RAND()-0.5)*2*$B$7))</f>
        <v>79.013006594001709</v>
      </c>
      <c r="Y852" s="54">
        <f ca="1">H852*MCDA_Prioritisation!$D$2+I852*MCDA_Prioritisation!$E$2+J852*M852+K852*Q852+L852*U852</f>
        <v>87.002822983005558</v>
      </c>
      <c r="Z852" s="54">
        <f ca="1">H852*MCDA_Prioritisation!$D$3+I852*MCDA_Prioritisation!$E$3+J852*N852+K852*R852+L852*V852</f>
        <v>85.757856899987672</v>
      </c>
      <c r="AA852" s="54">
        <f ca="1">H852*MCDA_Prioritisation!$D$4+I852*MCDA_Prioritisation!$E$4+J852*O852+K852*S852+L852*W852</f>
        <v>78.207005908128892</v>
      </c>
      <c r="AB852" s="54">
        <f ca="1">H852*MCDA_Prioritisation!$D$5+I852*MCDA_Prioritisation!$E$5+J852*P852+K852*T852+L852*X852</f>
        <v>75.261829813672506</v>
      </c>
      <c r="AC852" s="54">
        <f t="shared" ca="1" si="174"/>
        <v>1</v>
      </c>
      <c r="AD852" s="54">
        <f t="shared" ca="1" si="175"/>
        <v>2</v>
      </c>
      <c r="AE852" s="54">
        <f t="shared" ca="1" si="176"/>
        <v>3</v>
      </c>
      <c r="AF852" s="54">
        <f t="shared" ca="1" si="177"/>
        <v>4</v>
      </c>
      <c r="AG852" s="54">
        <f t="shared" ca="1" si="178"/>
        <v>1</v>
      </c>
      <c r="AH852" s="54">
        <f t="shared" ca="1" si="179"/>
        <v>1</v>
      </c>
      <c r="AI852" s="54">
        <f t="shared" ca="1" si="180"/>
        <v>1</v>
      </c>
      <c r="AJ852" s="54">
        <f t="shared" ca="1" si="181"/>
        <v>1</v>
      </c>
    </row>
    <row r="853" spans="1:36" x14ac:dyDescent="0.2">
      <c r="A853" s="54">
        <v>830</v>
      </c>
      <c r="B853" s="54">
        <f ca="1">MAX(0.02,MCDA_Prioritisation!$B$9+(RAND()-0.5)*2*$B$6)</f>
        <v>0.22635063427624336</v>
      </c>
      <c r="C853" s="54">
        <f ca="1">MAX(0.02,MCDA_Prioritisation!$B$10+(RAND()-0.5)*2*$B$6)</f>
        <v>0.29026201904849791</v>
      </c>
      <c r="D853" s="54">
        <f ca="1">MAX(0.02,MCDA_Prioritisation!$B$11+(RAND()-0.5)*2*$B$6)</f>
        <v>0.26452940950917841</v>
      </c>
      <c r="E853" s="54">
        <f ca="1">MAX(0.02,MCDA_Prioritisation!$B$12+(RAND()-0.5)*2*$B$6)</f>
        <v>9.3706405844704521E-2</v>
      </c>
      <c r="F853" s="54">
        <f ca="1">MAX(0.02,MCDA_Prioritisation!$B$13+(RAND()-0.5)*2*$B$6)</f>
        <v>0.22326617562100404</v>
      </c>
      <c r="G853" s="54">
        <f t="shared" ca="1" si="168"/>
        <v>1.0981146442996281</v>
      </c>
      <c r="H853" s="54">
        <f t="shared" ca="1" si="169"/>
        <v>0.20612659657280924</v>
      </c>
      <c r="I853" s="54">
        <f t="shared" ca="1" si="170"/>
        <v>0.2643276096491961</v>
      </c>
      <c r="J853" s="54">
        <f t="shared" ca="1" si="171"/>
        <v>0.24089416426815244</v>
      </c>
      <c r="K853" s="54">
        <f t="shared" ca="1" si="172"/>
        <v>8.5333900545939798E-2</v>
      </c>
      <c r="L853" s="54">
        <f t="shared" ca="1" si="173"/>
        <v>0.20331772896390254</v>
      </c>
      <c r="M853" s="54">
        <f ca="1">MIN(100,MAX(0,MCDA_Prioritisation!$F$2+(RAND()-0.5)*2*$B$7))</f>
        <v>83.988333081293291</v>
      </c>
      <c r="N853" s="54">
        <f ca="1">MIN(100,MAX(0,MCDA_Prioritisation!$F$3+(RAND()-0.5)*2*$B$7))</f>
        <v>88.118229118857556</v>
      </c>
      <c r="O853" s="54">
        <f ca="1">MIN(100,MAX(0,MCDA_Prioritisation!$F$4+(RAND()-0.5)*2*$B$7))</f>
        <v>99.95822751962946</v>
      </c>
      <c r="P853" s="54">
        <f ca="1">MIN(100,MAX(0,MCDA_Prioritisation!$F$5+(RAND()-0.5)*2*$B$7))</f>
        <v>80.496082469247057</v>
      </c>
      <c r="Q853" s="54">
        <f ca="1">MIN(100,MAX(0,MCDA_Prioritisation!$G$2+(RAND()-0.5)*2*$B$7))</f>
        <v>77.651574321723913</v>
      </c>
      <c r="R853" s="54">
        <f ca="1">MIN(100,MAX(0,MCDA_Prioritisation!$G$3+(RAND()-0.5)*2*$B$7))</f>
        <v>92.222186038977839</v>
      </c>
      <c r="S853" s="54">
        <f ca="1">MIN(100,MAX(0,MCDA_Prioritisation!$G$4+(RAND()-0.5)*2*$B$7))</f>
        <v>89.355496210684365</v>
      </c>
      <c r="T853" s="54">
        <f ca="1">MIN(100,MAX(0,MCDA_Prioritisation!$G$5+(RAND()-0.5)*2*$B$7))</f>
        <v>64.232972460130512</v>
      </c>
      <c r="U853" s="54">
        <f ca="1">MIN(100,MAX(0,MCDA_Prioritisation!$H$2+(RAND()-0.5)*2*$B$7))</f>
        <v>58.088487344477819</v>
      </c>
      <c r="V853" s="54">
        <f ca="1">MIN(100,MAX(0,MCDA_Prioritisation!$H$3+(RAND()-0.5)*2*$B$7))</f>
        <v>59.440734085567726</v>
      </c>
      <c r="W853" s="54">
        <f ca="1">MIN(100,MAX(0,MCDA_Prioritisation!$H$4+(RAND()-0.5)*2*$B$7))</f>
        <v>74.262316609952862</v>
      </c>
      <c r="X853" s="54">
        <f ca="1">MIN(100,MAX(0,MCDA_Prioritisation!$H$5+(RAND()-0.5)*2*$B$7))</f>
        <v>74.822094659374088</v>
      </c>
      <c r="Y853" s="54">
        <f ca="1">H853*MCDA_Prioritisation!$D$2+I853*MCDA_Prioritisation!$E$2+J853*M853+K853*Q853+L853*U853</f>
        <v>85.714450974327164</v>
      </c>
      <c r="Z853" s="54">
        <f ca="1">H853*MCDA_Prioritisation!$D$3+I853*MCDA_Prioritisation!$E$3+J853*N853+K853*R853+L853*V853</f>
        <v>78.420840258360712</v>
      </c>
      <c r="AA853" s="54">
        <f ca="1">H853*MCDA_Prioritisation!$D$4+I853*MCDA_Prioritisation!$E$4+J853*O853+K853*S853+L853*W853</f>
        <v>75.57456633430013</v>
      </c>
      <c r="AB853" s="54">
        <f ca="1">H853*MCDA_Prioritisation!$D$5+I853*MCDA_Prioritisation!$E$5+J853*P853+K853*T853+L853*X853</f>
        <v>73.252846481716091</v>
      </c>
      <c r="AC853" s="54">
        <f t="shared" ca="1" si="174"/>
        <v>1</v>
      </c>
      <c r="AD853" s="54">
        <f t="shared" ca="1" si="175"/>
        <v>2</v>
      </c>
      <c r="AE853" s="54">
        <f t="shared" ca="1" si="176"/>
        <v>3</v>
      </c>
      <c r="AF853" s="54">
        <f t="shared" ca="1" si="177"/>
        <v>4</v>
      </c>
      <c r="AG853" s="54">
        <f t="shared" ca="1" si="178"/>
        <v>1</v>
      </c>
      <c r="AH853" s="54">
        <f t="shared" ca="1" si="179"/>
        <v>1</v>
      </c>
      <c r="AI853" s="54">
        <f t="shared" ca="1" si="180"/>
        <v>1</v>
      </c>
      <c r="AJ853" s="54">
        <f t="shared" ca="1" si="181"/>
        <v>1</v>
      </c>
    </row>
    <row r="854" spans="1:36" x14ac:dyDescent="0.2">
      <c r="A854" s="54">
        <v>831</v>
      </c>
      <c r="B854" s="54">
        <f ca="1">MAX(0.02,MCDA_Prioritisation!$B$9+(RAND()-0.5)*2*$B$6)</f>
        <v>0.14136830297647202</v>
      </c>
      <c r="C854" s="54">
        <f ca="1">MAX(0.02,MCDA_Prioritisation!$B$10+(RAND()-0.5)*2*$B$6)</f>
        <v>0.25531519794429464</v>
      </c>
      <c r="D854" s="54">
        <f ca="1">MAX(0.02,MCDA_Prioritisation!$B$11+(RAND()-0.5)*2*$B$6)</f>
        <v>0.18079635454704612</v>
      </c>
      <c r="E854" s="54">
        <f ca="1">MAX(0.02,MCDA_Prioritisation!$B$12+(RAND()-0.5)*2*$B$6)</f>
        <v>7.2607580765003107E-2</v>
      </c>
      <c r="F854" s="54">
        <f ca="1">MAX(0.02,MCDA_Prioritisation!$B$13+(RAND()-0.5)*2*$B$6)</f>
        <v>0.15585746902016043</v>
      </c>
      <c r="G854" s="54">
        <f t="shared" ca="1" si="168"/>
        <v>0.80594490525297624</v>
      </c>
      <c r="H854" s="54">
        <f t="shared" ca="1" si="169"/>
        <v>0.17540690691766112</v>
      </c>
      <c r="I854" s="54">
        <f t="shared" ca="1" si="170"/>
        <v>0.31678989007834762</v>
      </c>
      <c r="J854" s="54">
        <f t="shared" ca="1" si="171"/>
        <v>0.22432842911302525</v>
      </c>
      <c r="K854" s="54">
        <f t="shared" ca="1" si="172"/>
        <v>9.009000527425938E-2</v>
      </c>
      <c r="L854" s="54">
        <f t="shared" ca="1" si="173"/>
        <v>0.19338476861670673</v>
      </c>
      <c r="M854" s="54">
        <f ca="1">MIN(100,MAX(0,MCDA_Prioritisation!$F$2+(RAND()-0.5)*2*$B$7))</f>
        <v>78.619404895412458</v>
      </c>
      <c r="N854" s="54">
        <f ca="1">MIN(100,MAX(0,MCDA_Prioritisation!$F$3+(RAND()-0.5)*2*$B$7))</f>
        <v>91.822195324487623</v>
      </c>
      <c r="O854" s="54">
        <f ca="1">MIN(100,MAX(0,MCDA_Prioritisation!$F$4+(RAND()-0.5)*2*$B$7))</f>
        <v>92.973577862656967</v>
      </c>
      <c r="P854" s="54">
        <f ca="1">MIN(100,MAX(0,MCDA_Prioritisation!$F$5+(RAND()-0.5)*2*$B$7))</f>
        <v>67.588537692921108</v>
      </c>
      <c r="Q854" s="54">
        <f ca="1">MIN(100,MAX(0,MCDA_Prioritisation!$G$2+(RAND()-0.5)*2*$B$7))</f>
        <v>87.650332296870118</v>
      </c>
      <c r="R854" s="54">
        <f ca="1">MIN(100,MAX(0,MCDA_Prioritisation!$G$3+(RAND()-0.5)*2*$B$7))</f>
        <v>91.849434615904897</v>
      </c>
      <c r="S854" s="54">
        <f ca="1">MIN(100,MAX(0,MCDA_Prioritisation!$G$4+(RAND()-0.5)*2*$B$7))</f>
        <v>82.667828088398977</v>
      </c>
      <c r="T854" s="54">
        <f ca="1">MIN(100,MAX(0,MCDA_Prioritisation!$G$5+(RAND()-0.5)*2*$B$7))</f>
        <v>63.986162902429044</v>
      </c>
      <c r="U854" s="54">
        <f ca="1">MIN(100,MAX(0,MCDA_Prioritisation!$H$2+(RAND()-0.5)*2*$B$7))</f>
        <v>70.904752500950636</v>
      </c>
      <c r="V854" s="54">
        <f ca="1">MIN(100,MAX(0,MCDA_Prioritisation!$H$3+(RAND()-0.5)*2*$B$7))</f>
        <v>56.422034394122562</v>
      </c>
      <c r="W854" s="54">
        <f ca="1">MIN(100,MAX(0,MCDA_Prioritisation!$H$4+(RAND()-0.5)*2*$B$7))</f>
        <v>86.091893001214359</v>
      </c>
      <c r="X854" s="54">
        <f ca="1">MIN(100,MAX(0,MCDA_Prioritisation!$H$5+(RAND()-0.5)*2*$B$7))</f>
        <v>70.369328245940096</v>
      </c>
      <c r="Y854" s="54">
        <f ca="1">H854*MCDA_Prioritisation!$D$2+I854*MCDA_Prioritisation!$E$2+J854*M854+K854*Q854+L854*U854</f>
        <v>88.464565352726453</v>
      </c>
      <c r="Z854" s="54">
        <f ca="1">H854*MCDA_Prioritisation!$D$3+I854*MCDA_Prioritisation!$E$3+J854*N854+K854*R854+L854*V854</f>
        <v>78.153480931966357</v>
      </c>
      <c r="AA854" s="54">
        <f ca="1">H854*MCDA_Prioritisation!$D$4+I854*MCDA_Prioritisation!$E$4+J854*O854+K854*S854+L854*W854</f>
        <v>74.446776947581426</v>
      </c>
      <c r="AB854" s="54">
        <f ca="1">H854*MCDA_Prioritisation!$D$5+I854*MCDA_Prioritisation!$E$5+J854*P854+K854*T854+L854*X854</f>
        <v>70.483928013662464</v>
      </c>
      <c r="AC854" s="54">
        <f t="shared" ca="1" si="174"/>
        <v>1</v>
      </c>
      <c r="AD854" s="54">
        <f t="shared" ca="1" si="175"/>
        <v>2</v>
      </c>
      <c r="AE854" s="54">
        <f t="shared" ca="1" si="176"/>
        <v>3</v>
      </c>
      <c r="AF854" s="54">
        <f t="shared" ca="1" si="177"/>
        <v>4</v>
      </c>
      <c r="AG854" s="54">
        <f t="shared" ca="1" si="178"/>
        <v>1</v>
      </c>
      <c r="AH854" s="54">
        <f t="shared" ca="1" si="179"/>
        <v>1</v>
      </c>
      <c r="AI854" s="54">
        <f t="shared" ca="1" si="180"/>
        <v>1</v>
      </c>
      <c r="AJ854" s="54">
        <f t="shared" ca="1" si="181"/>
        <v>1</v>
      </c>
    </row>
    <row r="855" spans="1:36" x14ac:dyDescent="0.2">
      <c r="A855" s="54">
        <v>832</v>
      </c>
      <c r="B855" s="54">
        <f ca="1">MAX(0.02,MCDA_Prioritisation!$B$9+(RAND()-0.5)*2*$B$6)</f>
        <v>0.18343478910199423</v>
      </c>
      <c r="C855" s="54">
        <f ca="1">MAX(0.02,MCDA_Prioritisation!$B$10+(RAND()-0.5)*2*$B$6)</f>
        <v>0.18526054444243995</v>
      </c>
      <c r="D855" s="54">
        <f ca="1">MAX(0.02,MCDA_Prioritisation!$B$11+(RAND()-0.5)*2*$B$6)</f>
        <v>0.19542612433512149</v>
      </c>
      <c r="E855" s="54">
        <f ca="1">MAX(0.02,MCDA_Prioritisation!$B$12+(RAND()-0.5)*2*$B$6)</f>
        <v>0.15626421331107587</v>
      </c>
      <c r="F855" s="54">
        <f ca="1">MAX(0.02,MCDA_Prioritisation!$B$13+(RAND()-0.5)*2*$B$6)</f>
        <v>0.16362948504702771</v>
      </c>
      <c r="G855" s="54">
        <f t="shared" ca="1" si="168"/>
        <v>0.88401515623765925</v>
      </c>
      <c r="H855" s="54">
        <f t="shared" ca="1" si="169"/>
        <v>0.20750185990327014</v>
      </c>
      <c r="I855" s="54">
        <f t="shared" ca="1" si="170"/>
        <v>0.20956715858911629</v>
      </c>
      <c r="J855" s="54">
        <f t="shared" ca="1" si="171"/>
        <v>0.22106648619787125</v>
      </c>
      <c r="K855" s="54">
        <f t="shared" ca="1" si="172"/>
        <v>0.17676644139918535</v>
      </c>
      <c r="L855" s="54">
        <f t="shared" ca="1" si="173"/>
        <v>0.18509805391055698</v>
      </c>
      <c r="M855" s="54">
        <f ca="1">MIN(100,MAX(0,MCDA_Prioritisation!$F$2+(RAND()-0.5)*2*$B$7))</f>
        <v>89.259696749225029</v>
      </c>
      <c r="N855" s="54">
        <f ca="1">MIN(100,MAX(0,MCDA_Prioritisation!$F$3+(RAND()-0.5)*2*$B$7))</f>
        <v>100</v>
      </c>
      <c r="O855" s="54">
        <f ca="1">MIN(100,MAX(0,MCDA_Prioritisation!$F$4+(RAND()-0.5)*2*$B$7))</f>
        <v>92.929897007773306</v>
      </c>
      <c r="P855" s="54">
        <f ca="1">MIN(100,MAX(0,MCDA_Prioritisation!$F$5+(RAND()-0.5)*2*$B$7))</f>
        <v>76.373705309008542</v>
      </c>
      <c r="Q855" s="54">
        <f ca="1">MIN(100,MAX(0,MCDA_Prioritisation!$G$2+(RAND()-0.5)*2*$B$7))</f>
        <v>75.274124361425777</v>
      </c>
      <c r="R855" s="54">
        <f ca="1">MIN(100,MAX(0,MCDA_Prioritisation!$G$3+(RAND()-0.5)*2*$B$7))</f>
        <v>92.553097341769643</v>
      </c>
      <c r="S855" s="54">
        <f ca="1">MIN(100,MAX(0,MCDA_Prioritisation!$G$4+(RAND()-0.5)*2*$B$7))</f>
        <v>90.589083364988241</v>
      </c>
      <c r="T855" s="54">
        <f ca="1">MIN(100,MAX(0,MCDA_Prioritisation!$G$5+(RAND()-0.5)*2*$B$7))</f>
        <v>66.863289302561853</v>
      </c>
      <c r="U855" s="54">
        <f ca="1">MIN(100,MAX(0,MCDA_Prioritisation!$H$2+(RAND()-0.5)*2*$B$7))</f>
        <v>58.574689873805802</v>
      </c>
      <c r="V855" s="54">
        <f ca="1">MIN(100,MAX(0,MCDA_Prioritisation!$H$3+(RAND()-0.5)*2*$B$7))</f>
        <v>56.710181117319848</v>
      </c>
      <c r="W855" s="54">
        <f ca="1">MIN(100,MAX(0,MCDA_Prioritisation!$H$4+(RAND()-0.5)*2*$B$7))</f>
        <v>77.505796861675961</v>
      </c>
      <c r="X855" s="54">
        <f ca="1">MIN(100,MAX(0,MCDA_Prioritisation!$H$5+(RAND()-0.5)*2*$B$7))</f>
        <v>77.437355804932096</v>
      </c>
      <c r="Y855" s="54">
        <f ca="1">H855*MCDA_Prioritisation!$D$2+I855*MCDA_Prioritisation!$E$2+J855*M855+K855*Q855+L855*U855</f>
        <v>85.587229565542188</v>
      </c>
      <c r="Z855" s="54">
        <f ca="1">H855*MCDA_Prioritisation!$D$3+I855*MCDA_Prioritisation!$E$3+J855*N855+K855*R855+L855*V855</f>
        <v>82.340129032592557</v>
      </c>
      <c r="AA855" s="54">
        <f ca="1">H855*MCDA_Prioritisation!$D$4+I855*MCDA_Prioritisation!$E$4+J855*O855+K855*S855+L855*W855</f>
        <v>76.783113482311677</v>
      </c>
      <c r="AB855" s="54">
        <f ca="1">H855*MCDA_Prioritisation!$D$5+I855*MCDA_Prioritisation!$E$5+J855*P855+K855*T855+L855*X855</f>
        <v>71.672394975715406</v>
      </c>
      <c r="AC855" s="54">
        <f t="shared" ca="1" si="174"/>
        <v>1</v>
      </c>
      <c r="AD855" s="54">
        <f t="shared" ca="1" si="175"/>
        <v>2</v>
      </c>
      <c r="AE855" s="54">
        <f t="shared" ca="1" si="176"/>
        <v>3</v>
      </c>
      <c r="AF855" s="54">
        <f t="shared" ca="1" si="177"/>
        <v>4</v>
      </c>
      <c r="AG855" s="54">
        <f t="shared" ca="1" si="178"/>
        <v>1</v>
      </c>
      <c r="AH855" s="54">
        <f t="shared" ca="1" si="179"/>
        <v>1</v>
      </c>
      <c r="AI855" s="54">
        <f t="shared" ca="1" si="180"/>
        <v>1</v>
      </c>
      <c r="AJ855" s="54">
        <f t="shared" ca="1" si="181"/>
        <v>1</v>
      </c>
    </row>
    <row r="856" spans="1:36" x14ac:dyDescent="0.2">
      <c r="A856" s="54">
        <v>833</v>
      </c>
      <c r="B856" s="54">
        <f ca="1">MAX(0.02,MCDA_Prioritisation!$B$9+(RAND()-0.5)*2*$B$6)</f>
        <v>0.14755224945935858</v>
      </c>
      <c r="C856" s="54">
        <f ca="1">MAX(0.02,MCDA_Prioritisation!$B$10+(RAND()-0.5)*2*$B$6)</f>
        <v>0.2964387846863914</v>
      </c>
      <c r="D856" s="54">
        <f ca="1">MAX(0.02,MCDA_Prioritisation!$B$11+(RAND()-0.5)*2*$B$6)</f>
        <v>0.31557797361513101</v>
      </c>
      <c r="E856" s="54">
        <f ca="1">MAX(0.02,MCDA_Prioritisation!$B$12+(RAND()-0.5)*2*$B$6)</f>
        <v>0.21641234481331409</v>
      </c>
      <c r="F856" s="54">
        <f ca="1">MAX(0.02,MCDA_Prioritisation!$B$13+(RAND()-0.5)*2*$B$6)</f>
        <v>7.2297371357080933E-2</v>
      </c>
      <c r="G856" s="54">
        <f t="shared" ref="G856:G919" ca="1" si="182">SUM(B856:F856)</f>
        <v>1.0482787239312761</v>
      </c>
      <c r="H856" s="54">
        <f t="shared" ref="H856:H919" ca="1" si="183">B856/$G856</f>
        <v>0.14075669580128952</v>
      </c>
      <c r="I856" s="54">
        <f t="shared" ref="I856:I919" ca="1" si="184">C856/$G856</f>
        <v>0.28278622652445018</v>
      </c>
      <c r="J856" s="54">
        <f t="shared" ref="J856:J919" ca="1" si="185">D856/$G856</f>
        <v>0.30104395559192892</v>
      </c>
      <c r="K856" s="54">
        <f t="shared" ref="K856:K919" ca="1" si="186">E856/$G856</f>
        <v>0.20644542321885551</v>
      </c>
      <c r="L856" s="54">
        <f t="shared" ref="L856:L919" ca="1" si="187">F856/$G856</f>
        <v>6.8967698863475799E-2</v>
      </c>
      <c r="M856" s="54">
        <f ca="1">MIN(100,MAX(0,MCDA_Prioritisation!$F$2+(RAND()-0.5)*2*$B$7))</f>
        <v>85.764852745396865</v>
      </c>
      <c r="N856" s="54">
        <f ca="1">MIN(100,MAX(0,MCDA_Prioritisation!$F$3+(RAND()-0.5)*2*$B$7))</f>
        <v>89.278615123911649</v>
      </c>
      <c r="O856" s="54">
        <f ca="1">MIN(100,MAX(0,MCDA_Prioritisation!$F$4+(RAND()-0.5)*2*$B$7))</f>
        <v>98.422303883346771</v>
      </c>
      <c r="P856" s="54">
        <f ca="1">MIN(100,MAX(0,MCDA_Prioritisation!$F$5+(RAND()-0.5)*2*$B$7))</f>
        <v>72.116857468945241</v>
      </c>
      <c r="Q856" s="54">
        <f ca="1">MIN(100,MAX(0,MCDA_Prioritisation!$G$2+(RAND()-0.5)*2*$B$7))</f>
        <v>78.915785935627369</v>
      </c>
      <c r="R856" s="54">
        <f ca="1">MIN(100,MAX(0,MCDA_Prioritisation!$G$3+(RAND()-0.5)*2*$B$7))</f>
        <v>91.557523863846257</v>
      </c>
      <c r="S856" s="54">
        <f ca="1">MIN(100,MAX(0,MCDA_Prioritisation!$G$4+(RAND()-0.5)*2*$B$7))</f>
        <v>78.356108851475454</v>
      </c>
      <c r="T856" s="54">
        <f ca="1">MIN(100,MAX(0,MCDA_Prioritisation!$G$5+(RAND()-0.5)*2*$B$7))</f>
        <v>65.857505750051374</v>
      </c>
      <c r="U856" s="54">
        <f ca="1">MIN(100,MAX(0,MCDA_Prioritisation!$H$2+(RAND()-0.5)*2*$B$7))</f>
        <v>67.614809433315614</v>
      </c>
      <c r="V856" s="54">
        <f ca="1">MIN(100,MAX(0,MCDA_Prioritisation!$H$3+(RAND()-0.5)*2*$B$7))</f>
        <v>66.131657287478163</v>
      </c>
      <c r="W856" s="54">
        <f ca="1">MIN(100,MAX(0,MCDA_Prioritisation!$H$4+(RAND()-0.5)*2*$B$7))</f>
        <v>79.957318975764949</v>
      </c>
      <c r="X856" s="54">
        <f ca="1">MIN(100,MAX(0,MCDA_Prioritisation!$H$5+(RAND()-0.5)*2*$B$7))</f>
        <v>80.319277316640225</v>
      </c>
      <c r="Y856" s="54">
        <f ca="1">H856*MCDA_Prioritisation!$D$2+I856*MCDA_Prioritisation!$E$2+J856*M856+K856*Q856+L856*U856</f>
        <v>89.128323395644955</v>
      </c>
      <c r="Z856" s="54">
        <f ca="1">H856*MCDA_Prioritisation!$D$3+I856*MCDA_Prioritisation!$E$3+J856*N856+K856*R856+L856*V856</f>
        <v>83.207328772426521</v>
      </c>
      <c r="AA856" s="54">
        <f ca="1">H856*MCDA_Prioritisation!$D$4+I856*MCDA_Prioritisation!$E$4+J856*O856+K856*S856+L856*W856</f>
        <v>76.546344138365015</v>
      </c>
      <c r="AB856" s="54">
        <f ca="1">H856*MCDA_Prioritisation!$D$5+I856*MCDA_Prioritisation!$E$5+J856*P856+K856*T856+L856*X856</f>
        <v>72.096298159788788</v>
      </c>
      <c r="AC856" s="54">
        <f t="shared" ref="AC856:AC919" ca="1" si="188">SUMPRODUCT(--($Y856:$AB856&gt;Y856))+1</f>
        <v>1</v>
      </c>
      <c r="AD856" s="54">
        <f t="shared" ref="AD856:AD919" ca="1" si="189">SUMPRODUCT(--($Y856:$AB856&gt;Z856))+1</f>
        <v>2</v>
      </c>
      <c r="AE856" s="54">
        <f t="shared" ref="AE856:AE919" ca="1" si="190">SUMPRODUCT(--($Y856:$AB856&gt;AA856))+1</f>
        <v>3</v>
      </c>
      <c r="AF856" s="54">
        <f t="shared" ref="AF856:AF919" ca="1" si="191">SUMPRODUCT(--($Y856:$AB856&gt;AB856))+1</f>
        <v>4</v>
      </c>
      <c r="AG856" s="54">
        <f t="shared" ref="AG856:AG919" ca="1" si="192">IF(AC856=1,1,0)</f>
        <v>1</v>
      </c>
      <c r="AH856" s="54">
        <f t="shared" ref="AH856:AH919" ca="1" si="193">IF(AD856=2,1,0)</f>
        <v>1</v>
      </c>
      <c r="AI856" s="54">
        <f t="shared" ref="AI856:AI919" ca="1" si="194">IF(AND(AC856=1,AD856=2,AE856=3,AF856=4),1,0)</f>
        <v>1</v>
      </c>
      <c r="AJ856" s="54">
        <f t="shared" ref="AJ856:AJ919" ca="1" si="195">IF(AND(AC856&lt;=2,AD856&lt;=2),1,0)</f>
        <v>1</v>
      </c>
    </row>
    <row r="857" spans="1:36" x14ac:dyDescent="0.2">
      <c r="A857" s="54">
        <v>834</v>
      </c>
      <c r="B857" s="54">
        <f ca="1">MAX(0.02,MCDA_Prioritisation!$B$9+(RAND()-0.5)*2*$B$6)</f>
        <v>0.19404195017967332</v>
      </c>
      <c r="C857" s="54">
        <f ca="1">MAX(0.02,MCDA_Prioritisation!$B$10+(RAND()-0.5)*2*$B$6)</f>
        <v>0.23350668968635072</v>
      </c>
      <c r="D857" s="54">
        <f ca="1">MAX(0.02,MCDA_Prioritisation!$B$11+(RAND()-0.5)*2*$B$6)</f>
        <v>0.27821458697006773</v>
      </c>
      <c r="E857" s="54">
        <f ca="1">MAX(0.02,MCDA_Prioritisation!$B$12+(RAND()-0.5)*2*$B$6)</f>
        <v>0.10323340845468912</v>
      </c>
      <c r="F857" s="54">
        <f ca="1">MAX(0.02,MCDA_Prioritisation!$B$13+(RAND()-0.5)*2*$B$6)</f>
        <v>0.14288380739305226</v>
      </c>
      <c r="G857" s="54">
        <f t="shared" ca="1" si="182"/>
        <v>0.95188044268383321</v>
      </c>
      <c r="H857" s="54">
        <f t="shared" ca="1" si="183"/>
        <v>0.20385117865492725</v>
      </c>
      <c r="I857" s="54">
        <f t="shared" ca="1" si="184"/>
        <v>0.24531094370210724</v>
      </c>
      <c r="J857" s="54">
        <f t="shared" ca="1" si="185"/>
        <v>0.29227891917354648</v>
      </c>
      <c r="K857" s="54">
        <f t="shared" ca="1" si="186"/>
        <v>0.10845207425800434</v>
      </c>
      <c r="L857" s="54">
        <f t="shared" ca="1" si="187"/>
        <v>0.15010688421141463</v>
      </c>
      <c r="M857" s="54">
        <f ca="1">MIN(100,MAX(0,MCDA_Prioritisation!$F$2+(RAND()-0.5)*2*$B$7))</f>
        <v>83.266029982709142</v>
      </c>
      <c r="N857" s="54">
        <f ca="1">MIN(100,MAX(0,MCDA_Prioritisation!$F$3+(RAND()-0.5)*2*$B$7))</f>
        <v>88.870774907011636</v>
      </c>
      <c r="O857" s="54">
        <f ca="1">MIN(100,MAX(0,MCDA_Prioritisation!$F$4+(RAND()-0.5)*2*$B$7))</f>
        <v>98.414608323744545</v>
      </c>
      <c r="P857" s="54">
        <f ca="1">MIN(100,MAX(0,MCDA_Prioritisation!$F$5+(RAND()-0.5)*2*$B$7))</f>
        <v>65.360756364777572</v>
      </c>
      <c r="Q857" s="54">
        <f ca="1">MIN(100,MAX(0,MCDA_Prioritisation!$G$2+(RAND()-0.5)*2*$B$7))</f>
        <v>76.365391034950434</v>
      </c>
      <c r="R857" s="54">
        <f ca="1">MIN(100,MAX(0,MCDA_Prioritisation!$G$3+(RAND()-0.5)*2*$B$7))</f>
        <v>90.998750615161555</v>
      </c>
      <c r="S857" s="54">
        <f ca="1">MIN(100,MAX(0,MCDA_Prioritisation!$G$4+(RAND()-0.5)*2*$B$7))</f>
        <v>81.72919941115542</v>
      </c>
      <c r="T857" s="54">
        <f ca="1">MIN(100,MAX(0,MCDA_Prioritisation!$G$5+(RAND()-0.5)*2*$B$7))</f>
        <v>76.56198085818923</v>
      </c>
      <c r="U857" s="54">
        <f ca="1">MIN(100,MAX(0,MCDA_Prioritisation!$H$2+(RAND()-0.5)*2*$B$7))</f>
        <v>72.396796375409366</v>
      </c>
      <c r="V857" s="54">
        <f ca="1">MIN(100,MAX(0,MCDA_Prioritisation!$H$3+(RAND()-0.5)*2*$B$7))</f>
        <v>69.910329686846339</v>
      </c>
      <c r="W857" s="54">
        <f ca="1">MIN(100,MAX(0,MCDA_Prioritisation!$H$4+(RAND()-0.5)*2*$B$7))</f>
        <v>70.791938190455511</v>
      </c>
      <c r="X857" s="54">
        <f ca="1">MIN(100,MAX(0,MCDA_Prioritisation!$H$5+(RAND()-0.5)*2*$B$7))</f>
        <v>82.93746478841598</v>
      </c>
      <c r="Y857" s="54">
        <f ca="1">H857*MCDA_Prioritisation!$D$2+I857*MCDA_Prioritisation!$E$2+J857*M857+K857*Q857+L857*U857</f>
        <v>88.402360072986724</v>
      </c>
      <c r="Z857" s="54">
        <f ca="1">H857*MCDA_Prioritisation!$D$3+I857*MCDA_Prioritisation!$E$3+J857*N857+K857*R857+L857*V857</f>
        <v>81.994823657987354</v>
      </c>
      <c r="AA857" s="54">
        <f ca="1">H857*MCDA_Prioritisation!$D$4+I857*MCDA_Prioritisation!$E$4+J857*O857+K857*S857+L857*W857</f>
        <v>75.830168475466579</v>
      </c>
      <c r="AB857" s="54">
        <f ca="1">H857*MCDA_Prioritisation!$D$5+I857*MCDA_Prioritisation!$E$5+J857*P857+K857*T857+L857*X857</f>
        <v>71.304364248018572</v>
      </c>
      <c r="AC857" s="54">
        <f t="shared" ca="1" si="188"/>
        <v>1</v>
      </c>
      <c r="AD857" s="54">
        <f t="shared" ca="1" si="189"/>
        <v>2</v>
      </c>
      <c r="AE857" s="54">
        <f t="shared" ca="1" si="190"/>
        <v>3</v>
      </c>
      <c r="AF857" s="54">
        <f t="shared" ca="1" si="191"/>
        <v>4</v>
      </c>
      <c r="AG857" s="54">
        <f t="shared" ca="1" si="192"/>
        <v>1</v>
      </c>
      <c r="AH857" s="54">
        <f t="shared" ca="1" si="193"/>
        <v>1</v>
      </c>
      <c r="AI857" s="54">
        <f t="shared" ca="1" si="194"/>
        <v>1</v>
      </c>
      <c r="AJ857" s="54">
        <f t="shared" ca="1" si="195"/>
        <v>1</v>
      </c>
    </row>
    <row r="858" spans="1:36" x14ac:dyDescent="0.2">
      <c r="A858" s="54">
        <v>835</v>
      </c>
      <c r="B858" s="54">
        <f ca="1">MAX(0.02,MCDA_Prioritisation!$B$9+(RAND()-0.5)*2*$B$6)</f>
        <v>0.22025718743640735</v>
      </c>
      <c r="C858" s="54">
        <f ca="1">MAX(0.02,MCDA_Prioritisation!$B$10+(RAND()-0.5)*2*$B$6)</f>
        <v>0.22073275908399581</v>
      </c>
      <c r="D858" s="54">
        <f ca="1">MAX(0.02,MCDA_Prioritisation!$B$11+(RAND()-0.5)*2*$B$6)</f>
        <v>0.22007809830199887</v>
      </c>
      <c r="E858" s="54">
        <f ca="1">MAX(0.02,MCDA_Prioritisation!$B$12+(RAND()-0.5)*2*$B$6)</f>
        <v>9.3492290051131882E-2</v>
      </c>
      <c r="F858" s="54">
        <f ca="1">MAX(0.02,MCDA_Prioritisation!$B$13+(RAND()-0.5)*2*$B$6)</f>
        <v>0.11448163496469468</v>
      </c>
      <c r="G858" s="54">
        <f t="shared" ca="1" si="182"/>
        <v>0.86904196983822857</v>
      </c>
      <c r="H858" s="54">
        <f t="shared" ca="1" si="183"/>
        <v>0.25344827416955251</v>
      </c>
      <c r="I858" s="54">
        <f t="shared" ca="1" si="184"/>
        <v>0.2539955108555747</v>
      </c>
      <c r="J858" s="54">
        <f t="shared" ca="1" si="185"/>
        <v>0.25324219766159994</v>
      </c>
      <c r="K858" s="54">
        <f t="shared" ca="1" si="186"/>
        <v>0.1075808686990519</v>
      </c>
      <c r="L858" s="54">
        <f t="shared" ca="1" si="187"/>
        <v>0.13173314861422095</v>
      </c>
      <c r="M858" s="54">
        <f ca="1">MIN(100,MAX(0,MCDA_Prioritisation!$F$2+(RAND()-0.5)*2*$B$7))</f>
        <v>80.337929852377798</v>
      </c>
      <c r="N858" s="54">
        <f ca="1">MIN(100,MAX(0,MCDA_Prioritisation!$F$3+(RAND()-0.5)*2*$B$7))</f>
        <v>100</v>
      </c>
      <c r="O858" s="54">
        <f ca="1">MIN(100,MAX(0,MCDA_Prioritisation!$F$4+(RAND()-0.5)*2*$B$7))</f>
        <v>84.395968610010343</v>
      </c>
      <c r="P858" s="54">
        <f ca="1">MIN(100,MAX(0,MCDA_Prioritisation!$F$5+(RAND()-0.5)*2*$B$7))</f>
        <v>77.620793260915846</v>
      </c>
      <c r="Q858" s="54">
        <f ca="1">MIN(100,MAX(0,MCDA_Prioritisation!$G$2+(RAND()-0.5)*2*$B$7))</f>
        <v>86.843099702549594</v>
      </c>
      <c r="R858" s="54">
        <f ca="1">MIN(100,MAX(0,MCDA_Prioritisation!$G$3+(RAND()-0.5)*2*$B$7))</f>
        <v>89.075228018008232</v>
      </c>
      <c r="S858" s="54">
        <f ca="1">MIN(100,MAX(0,MCDA_Prioritisation!$G$4+(RAND()-0.5)*2*$B$7))</f>
        <v>78.048986349186592</v>
      </c>
      <c r="T858" s="54">
        <f ca="1">MIN(100,MAX(0,MCDA_Prioritisation!$G$5+(RAND()-0.5)*2*$B$7))</f>
        <v>68.7707416693532</v>
      </c>
      <c r="U858" s="54">
        <f ca="1">MIN(100,MAX(0,MCDA_Prioritisation!$H$2+(RAND()-0.5)*2*$B$7))</f>
        <v>68.139023673447866</v>
      </c>
      <c r="V858" s="54">
        <f ca="1">MIN(100,MAX(0,MCDA_Prioritisation!$H$3+(RAND()-0.5)*2*$B$7))</f>
        <v>66.168696967009581</v>
      </c>
      <c r="W858" s="54">
        <f ca="1">MIN(100,MAX(0,MCDA_Prioritisation!$H$4+(RAND()-0.5)*2*$B$7))</f>
        <v>82.409717386218517</v>
      </c>
      <c r="X858" s="54">
        <f ca="1">MIN(100,MAX(0,MCDA_Prioritisation!$H$5+(RAND()-0.5)*2*$B$7))</f>
        <v>80.190779193915461</v>
      </c>
      <c r="Y858" s="54">
        <f ca="1">H858*MCDA_Prioritisation!$D$2+I858*MCDA_Prioritisation!$E$2+J858*M858+K858*Q858+L858*U858</f>
        <v>89.40815665243322</v>
      </c>
      <c r="Z858" s="54">
        <f ca="1">H858*MCDA_Prioritisation!$D$3+I858*MCDA_Prioritisation!$E$3+J858*N858+K858*R858+L858*V858</f>
        <v>84.246599834872654</v>
      </c>
      <c r="AA858" s="54">
        <f ca="1">H858*MCDA_Prioritisation!$D$4+I858*MCDA_Prioritisation!$E$4+J858*O858+K858*S858+L858*W858</f>
        <v>72.128238348910557</v>
      </c>
      <c r="AB858" s="54">
        <f ca="1">H858*MCDA_Prioritisation!$D$5+I858*MCDA_Prioritisation!$E$5+J858*P858+K858*T858+L858*X858</f>
        <v>72.429766320754737</v>
      </c>
      <c r="AC858" s="54">
        <f t="shared" ca="1" si="188"/>
        <v>1</v>
      </c>
      <c r="AD858" s="54">
        <f t="shared" ca="1" si="189"/>
        <v>2</v>
      </c>
      <c r="AE858" s="54">
        <f t="shared" ca="1" si="190"/>
        <v>4</v>
      </c>
      <c r="AF858" s="54">
        <f t="shared" ca="1" si="191"/>
        <v>3</v>
      </c>
      <c r="AG858" s="54">
        <f t="shared" ca="1" si="192"/>
        <v>1</v>
      </c>
      <c r="AH858" s="54">
        <f t="shared" ca="1" si="193"/>
        <v>1</v>
      </c>
      <c r="AI858" s="54">
        <f t="shared" ca="1" si="194"/>
        <v>0</v>
      </c>
      <c r="AJ858" s="54">
        <f t="shared" ca="1" si="195"/>
        <v>1</v>
      </c>
    </row>
    <row r="859" spans="1:36" x14ac:dyDescent="0.2">
      <c r="A859" s="54">
        <v>836</v>
      </c>
      <c r="B859" s="54">
        <f ca="1">MAX(0.02,MCDA_Prioritisation!$B$9+(RAND()-0.5)*2*$B$6)</f>
        <v>0.17766126302379648</v>
      </c>
      <c r="C859" s="54">
        <f ca="1">MAX(0.02,MCDA_Prioritisation!$B$10+(RAND()-0.5)*2*$B$6)</f>
        <v>0.23314346521068102</v>
      </c>
      <c r="D859" s="54">
        <f ca="1">MAX(0.02,MCDA_Prioritisation!$B$11+(RAND()-0.5)*2*$B$6)</f>
        <v>0.25382235721324586</v>
      </c>
      <c r="E859" s="54">
        <f ca="1">MAX(0.02,MCDA_Prioritisation!$B$12+(RAND()-0.5)*2*$B$6)</f>
        <v>0.12197646758621195</v>
      </c>
      <c r="F859" s="54">
        <f ca="1">MAX(0.02,MCDA_Prioritisation!$B$13+(RAND()-0.5)*2*$B$6)</f>
        <v>9.2534348499439256E-2</v>
      </c>
      <c r="G859" s="54">
        <f t="shared" ca="1" si="182"/>
        <v>0.87913790153337468</v>
      </c>
      <c r="H859" s="54">
        <f t="shared" ca="1" si="183"/>
        <v>0.2020857737039016</v>
      </c>
      <c r="I859" s="54">
        <f t="shared" ca="1" si="184"/>
        <v>0.26519555669711986</v>
      </c>
      <c r="J859" s="54">
        <f t="shared" ca="1" si="185"/>
        <v>0.28871734089786599</v>
      </c>
      <c r="K859" s="54">
        <f t="shared" ca="1" si="186"/>
        <v>0.13874554535012429</v>
      </c>
      <c r="L859" s="54">
        <f t="shared" ca="1" si="187"/>
        <v>0.10525578335098817</v>
      </c>
      <c r="M859" s="54">
        <f ca="1">MIN(100,MAX(0,MCDA_Prioritisation!$F$2+(RAND()-0.5)*2*$B$7))</f>
        <v>92.883570457268618</v>
      </c>
      <c r="N859" s="54">
        <f ca="1">MIN(100,MAX(0,MCDA_Prioritisation!$F$3+(RAND()-0.5)*2*$B$7))</f>
        <v>88.556527714986203</v>
      </c>
      <c r="O859" s="54">
        <f ca="1">MIN(100,MAX(0,MCDA_Prioritisation!$F$4+(RAND()-0.5)*2*$B$7))</f>
        <v>87.164514289236735</v>
      </c>
      <c r="P859" s="54">
        <f ca="1">MIN(100,MAX(0,MCDA_Prioritisation!$F$5+(RAND()-0.5)*2*$B$7))</f>
        <v>74.87636964757985</v>
      </c>
      <c r="Q859" s="54">
        <f ca="1">MIN(100,MAX(0,MCDA_Prioritisation!$G$2+(RAND()-0.5)*2*$B$7))</f>
        <v>89.703406148061262</v>
      </c>
      <c r="R859" s="54">
        <f ca="1">MIN(100,MAX(0,MCDA_Prioritisation!$G$3+(RAND()-0.5)*2*$B$7))</f>
        <v>93.569968889321146</v>
      </c>
      <c r="S859" s="54">
        <f ca="1">MIN(100,MAX(0,MCDA_Prioritisation!$G$4+(RAND()-0.5)*2*$B$7))</f>
        <v>84.010205993276074</v>
      </c>
      <c r="T859" s="54">
        <f ca="1">MIN(100,MAX(0,MCDA_Prioritisation!$G$5+(RAND()-0.5)*2*$B$7))</f>
        <v>68.131308545646135</v>
      </c>
      <c r="U859" s="54">
        <f ca="1">MIN(100,MAX(0,MCDA_Prioritisation!$H$2+(RAND()-0.5)*2*$B$7))</f>
        <v>70.012006393517183</v>
      </c>
      <c r="V859" s="54">
        <f ca="1">MIN(100,MAX(0,MCDA_Prioritisation!$H$3+(RAND()-0.5)*2*$B$7))</f>
        <v>61.516091660746767</v>
      </c>
      <c r="W859" s="54">
        <f ca="1">MIN(100,MAX(0,MCDA_Prioritisation!$H$4+(RAND()-0.5)*2*$B$7))</f>
        <v>77.914109444322477</v>
      </c>
      <c r="X859" s="54">
        <f ca="1">MIN(100,MAX(0,MCDA_Prioritisation!$H$5+(RAND()-0.5)*2*$B$7))</f>
        <v>78.533090472548849</v>
      </c>
      <c r="Y859" s="54">
        <f ca="1">H859*MCDA_Prioritisation!$D$2+I859*MCDA_Prioritisation!$E$2+J859*M859+K859*Q859+L859*U859</f>
        <v>93.360347098324809</v>
      </c>
      <c r="Z859" s="54">
        <f ca="1">H859*MCDA_Prioritisation!$D$3+I859*MCDA_Prioritisation!$E$3+J859*N859+K859*R859+L859*V859</f>
        <v>81.973753438500225</v>
      </c>
      <c r="AA859" s="54">
        <f ca="1">H859*MCDA_Prioritisation!$D$4+I859*MCDA_Prioritisation!$E$4+J859*O859+K859*S859+L859*W859</f>
        <v>73.560136738079649</v>
      </c>
      <c r="AB859" s="54">
        <f ca="1">H859*MCDA_Prioritisation!$D$5+I859*MCDA_Prioritisation!$E$5+J859*P859+K859*T859+L859*X859</f>
        <v>72.363501566180901</v>
      </c>
      <c r="AC859" s="54">
        <f t="shared" ca="1" si="188"/>
        <v>1</v>
      </c>
      <c r="AD859" s="54">
        <f t="shared" ca="1" si="189"/>
        <v>2</v>
      </c>
      <c r="AE859" s="54">
        <f t="shared" ca="1" si="190"/>
        <v>3</v>
      </c>
      <c r="AF859" s="54">
        <f t="shared" ca="1" si="191"/>
        <v>4</v>
      </c>
      <c r="AG859" s="54">
        <f t="shared" ca="1" si="192"/>
        <v>1</v>
      </c>
      <c r="AH859" s="54">
        <f t="shared" ca="1" si="193"/>
        <v>1</v>
      </c>
      <c r="AI859" s="54">
        <f t="shared" ca="1" si="194"/>
        <v>1</v>
      </c>
      <c r="AJ859" s="54">
        <f t="shared" ca="1" si="195"/>
        <v>1</v>
      </c>
    </row>
    <row r="860" spans="1:36" x14ac:dyDescent="0.2">
      <c r="A860" s="54">
        <v>837</v>
      </c>
      <c r="B860" s="54">
        <f ca="1">MAX(0.02,MCDA_Prioritisation!$B$9+(RAND()-0.5)*2*$B$6)</f>
        <v>0.13930840174030598</v>
      </c>
      <c r="C860" s="54">
        <f ca="1">MAX(0.02,MCDA_Prioritisation!$B$10+(RAND()-0.5)*2*$B$6)</f>
        <v>0.31130926915778401</v>
      </c>
      <c r="D860" s="54">
        <f ca="1">MAX(0.02,MCDA_Prioritisation!$B$11+(RAND()-0.5)*2*$B$6)</f>
        <v>0.19045377840785979</v>
      </c>
      <c r="E860" s="54">
        <f ca="1">MAX(0.02,MCDA_Prioritisation!$B$12+(RAND()-0.5)*2*$B$6)</f>
        <v>0.10363034875019618</v>
      </c>
      <c r="F860" s="54">
        <f ca="1">MAX(0.02,MCDA_Prioritisation!$B$13+(RAND()-0.5)*2*$B$6)</f>
        <v>9.9983835709475222E-2</v>
      </c>
      <c r="G860" s="54">
        <f t="shared" ca="1" si="182"/>
        <v>0.84468563376562122</v>
      </c>
      <c r="H860" s="54">
        <f t="shared" ca="1" si="183"/>
        <v>0.16492337050799247</v>
      </c>
      <c r="I860" s="54">
        <f t="shared" ca="1" si="184"/>
        <v>0.3685504484904788</v>
      </c>
      <c r="J860" s="54">
        <f t="shared" ca="1" si="185"/>
        <v>0.22547296981814879</v>
      </c>
      <c r="K860" s="54">
        <f t="shared" ca="1" si="186"/>
        <v>0.12268510864593557</v>
      </c>
      <c r="L860" s="54">
        <f t="shared" ca="1" si="187"/>
        <v>0.11836810253744436</v>
      </c>
      <c r="M860" s="54">
        <f ca="1">MIN(100,MAX(0,MCDA_Prioritisation!$F$2+(RAND()-0.5)*2*$B$7))</f>
        <v>81.254340896834762</v>
      </c>
      <c r="N860" s="54">
        <f ca="1">MIN(100,MAX(0,MCDA_Prioritisation!$F$3+(RAND()-0.5)*2*$B$7))</f>
        <v>97.465526170929778</v>
      </c>
      <c r="O860" s="54">
        <f ca="1">MIN(100,MAX(0,MCDA_Prioritisation!$F$4+(RAND()-0.5)*2*$B$7))</f>
        <v>87.371592247902896</v>
      </c>
      <c r="P860" s="54">
        <f ca="1">MIN(100,MAX(0,MCDA_Prioritisation!$F$5+(RAND()-0.5)*2*$B$7))</f>
        <v>70.380689192753692</v>
      </c>
      <c r="Q860" s="54">
        <f ca="1">MIN(100,MAX(0,MCDA_Prioritisation!$G$2+(RAND()-0.5)*2*$B$7))</f>
        <v>81.829046418706156</v>
      </c>
      <c r="R860" s="54">
        <f ca="1">MIN(100,MAX(0,MCDA_Prioritisation!$G$3+(RAND()-0.5)*2*$B$7))</f>
        <v>94.514123057463294</v>
      </c>
      <c r="S860" s="54">
        <f ca="1">MIN(100,MAX(0,MCDA_Prioritisation!$G$4+(RAND()-0.5)*2*$B$7))</f>
        <v>91.026802204660584</v>
      </c>
      <c r="T860" s="54">
        <f ca="1">MIN(100,MAX(0,MCDA_Prioritisation!$G$5+(RAND()-0.5)*2*$B$7))</f>
        <v>72.235851674520219</v>
      </c>
      <c r="U860" s="54">
        <f ca="1">MIN(100,MAX(0,MCDA_Prioritisation!$H$2+(RAND()-0.5)*2*$B$7))</f>
        <v>63.675653661970991</v>
      </c>
      <c r="V860" s="54">
        <f ca="1">MIN(100,MAX(0,MCDA_Prioritisation!$H$3+(RAND()-0.5)*2*$B$7))</f>
        <v>55.559888068992812</v>
      </c>
      <c r="W860" s="54">
        <f ca="1">MIN(100,MAX(0,MCDA_Prioritisation!$H$4+(RAND()-0.5)*2*$B$7))</f>
        <v>75.728218207937147</v>
      </c>
      <c r="X860" s="54">
        <f ca="1">MIN(100,MAX(0,MCDA_Prioritisation!$H$5+(RAND()-0.5)*2*$B$7))</f>
        <v>68.282211133238874</v>
      </c>
      <c r="Y860" s="54">
        <f ca="1">H860*MCDA_Prioritisation!$D$2+I860*MCDA_Prioritisation!$E$2+J860*M860+K860*Q860+L860*U860</f>
        <v>89.244411204543979</v>
      </c>
      <c r="Z860" s="54">
        <f ca="1">H860*MCDA_Prioritisation!$D$3+I860*MCDA_Prioritisation!$E$3+J860*N860+K860*R860+L860*V860</f>
        <v>81.365285908069851</v>
      </c>
      <c r="AA860" s="54">
        <f ca="1">H860*MCDA_Prioritisation!$D$4+I860*MCDA_Prioritisation!$E$4+J860*O860+K860*S860+L860*W860</f>
        <v>71.418416737255868</v>
      </c>
      <c r="AB860" s="54">
        <f ca="1">H860*MCDA_Prioritisation!$D$5+I860*MCDA_Prioritisation!$E$5+J860*P860+K860*T860+L860*X860</f>
        <v>72.558838991416792</v>
      </c>
      <c r="AC860" s="54">
        <f t="shared" ca="1" si="188"/>
        <v>1</v>
      </c>
      <c r="AD860" s="54">
        <f t="shared" ca="1" si="189"/>
        <v>2</v>
      </c>
      <c r="AE860" s="54">
        <f t="shared" ca="1" si="190"/>
        <v>4</v>
      </c>
      <c r="AF860" s="54">
        <f t="shared" ca="1" si="191"/>
        <v>3</v>
      </c>
      <c r="AG860" s="54">
        <f t="shared" ca="1" si="192"/>
        <v>1</v>
      </c>
      <c r="AH860" s="54">
        <f t="shared" ca="1" si="193"/>
        <v>1</v>
      </c>
      <c r="AI860" s="54">
        <f t="shared" ca="1" si="194"/>
        <v>0</v>
      </c>
      <c r="AJ860" s="54">
        <f t="shared" ca="1" si="195"/>
        <v>1</v>
      </c>
    </row>
    <row r="861" spans="1:36" x14ac:dyDescent="0.2">
      <c r="A861" s="54">
        <v>838</v>
      </c>
      <c r="B861" s="54">
        <f ca="1">MAX(0.02,MCDA_Prioritisation!$B$9+(RAND()-0.5)*2*$B$6)</f>
        <v>0.27999898312066412</v>
      </c>
      <c r="C861" s="54">
        <f ca="1">MAX(0.02,MCDA_Prioritisation!$B$10+(RAND()-0.5)*2*$B$6)</f>
        <v>0.30753211341168168</v>
      </c>
      <c r="D861" s="54">
        <f ca="1">MAX(0.02,MCDA_Prioritisation!$B$11+(RAND()-0.5)*2*$B$6)</f>
        <v>0.19490706425599608</v>
      </c>
      <c r="E861" s="54">
        <f ca="1">MAX(0.02,MCDA_Prioritisation!$B$12+(RAND()-0.5)*2*$B$6)</f>
        <v>7.4678511462995575E-2</v>
      </c>
      <c r="F861" s="54">
        <f ca="1">MAX(0.02,MCDA_Prioritisation!$B$13+(RAND()-0.5)*2*$B$6)</f>
        <v>0.15904366109694726</v>
      </c>
      <c r="G861" s="54">
        <f t="shared" ca="1" si="182"/>
        <v>1.0161603333482847</v>
      </c>
      <c r="H861" s="54">
        <f t="shared" ca="1" si="183"/>
        <v>0.27554606682791627</v>
      </c>
      <c r="I861" s="54">
        <f t="shared" ca="1" si="184"/>
        <v>0.30264132865563875</v>
      </c>
      <c r="J861" s="54">
        <f t="shared" ca="1" si="185"/>
        <v>0.19180739284889256</v>
      </c>
      <c r="K861" s="54">
        <f t="shared" ca="1" si="186"/>
        <v>7.349087443408385E-2</v>
      </c>
      <c r="L861" s="54">
        <f t="shared" ca="1" si="187"/>
        <v>0.15651433723346855</v>
      </c>
      <c r="M861" s="54">
        <f ca="1">MIN(100,MAX(0,MCDA_Prioritisation!$F$2+(RAND()-0.5)*2*$B$7))</f>
        <v>93.066599246483761</v>
      </c>
      <c r="N861" s="54">
        <f ca="1">MIN(100,MAX(0,MCDA_Prioritisation!$F$3+(RAND()-0.5)*2*$B$7))</f>
        <v>89.784484296931723</v>
      </c>
      <c r="O861" s="54">
        <f ca="1">MIN(100,MAX(0,MCDA_Prioritisation!$F$4+(RAND()-0.5)*2*$B$7))</f>
        <v>85.26708153843343</v>
      </c>
      <c r="P861" s="54">
        <f ca="1">MIN(100,MAX(0,MCDA_Prioritisation!$F$5+(RAND()-0.5)*2*$B$7))</f>
        <v>70.29814102594213</v>
      </c>
      <c r="Q861" s="54">
        <f ca="1">MIN(100,MAX(0,MCDA_Prioritisation!$G$2+(RAND()-0.5)*2*$B$7))</f>
        <v>78.511585128664123</v>
      </c>
      <c r="R861" s="54">
        <f ca="1">MIN(100,MAX(0,MCDA_Prioritisation!$G$3+(RAND()-0.5)*2*$B$7))</f>
        <v>86.685053226210343</v>
      </c>
      <c r="S861" s="54">
        <f ca="1">MIN(100,MAX(0,MCDA_Prioritisation!$G$4+(RAND()-0.5)*2*$B$7))</f>
        <v>76.224849745003652</v>
      </c>
      <c r="T861" s="54">
        <f ca="1">MIN(100,MAX(0,MCDA_Prioritisation!$G$5+(RAND()-0.5)*2*$B$7))</f>
        <v>72.067490816475512</v>
      </c>
      <c r="U861" s="54">
        <f ca="1">MIN(100,MAX(0,MCDA_Prioritisation!$H$2+(RAND()-0.5)*2*$B$7))</f>
        <v>55.25983449513275</v>
      </c>
      <c r="V861" s="54">
        <f ca="1">MIN(100,MAX(0,MCDA_Prioritisation!$H$3+(RAND()-0.5)*2*$B$7))</f>
        <v>60.119966992224562</v>
      </c>
      <c r="W861" s="54">
        <f ca="1">MIN(100,MAX(0,MCDA_Prioritisation!$H$4+(RAND()-0.5)*2*$B$7))</f>
        <v>71.847438352421378</v>
      </c>
      <c r="X861" s="54">
        <f ca="1">MIN(100,MAX(0,MCDA_Prioritisation!$H$5+(RAND()-0.5)*2*$B$7))</f>
        <v>78.356081765306371</v>
      </c>
      <c r="Y861" s="54">
        <f ca="1">H861*MCDA_Prioritisation!$D$2+I861*MCDA_Prioritisation!$E$2+J861*M861+K861*Q861+L861*U861</f>
        <v>90.088442727084669</v>
      </c>
      <c r="Z861" s="54">
        <f ca="1">H861*MCDA_Prioritisation!$D$3+I861*MCDA_Prioritisation!$E$3+J861*N861+K861*R861+L861*V861</f>
        <v>79.09365876047616</v>
      </c>
      <c r="AA861" s="54">
        <f ca="1">H861*MCDA_Prioritisation!$D$4+I861*MCDA_Prioritisation!$E$4+J861*O861+K861*S861+L861*W861</f>
        <v>68.896958767122044</v>
      </c>
      <c r="AB861" s="54">
        <f ca="1">H861*MCDA_Prioritisation!$D$5+I861*MCDA_Prioritisation!$E$5+J861*P861+K861*T861+L861*X861</f>
        <v>71.118093415324921</v>
      </c>
      <c r="AC861" s="54">
        <f t="shared" ca="1" si="188"/>
        <v>1</v>
      </c>
      <c r="AD861" s="54">
        <f t="shared" ca="1" si="189"/>
        <v>2</v>
      </c>
      <c r="AE861" s="54">
        <f t="shared" ca="1" si="190"/>
        <v>4</v>
      </c>
      <c r="AF861" s="54">
        <f t="shared" ca="1" si="191"/>
        <v>3</v>
      </c>
      <c r="AG861" s="54">
        <f t="shared" ca="1" si="192"/>
        <v>1</v>
      </c>
      <c r="AH861" s="54">
        <f t="shared" ca="1" si="193"/>
        <v>1</v>
      </c>
      <c r="AI861" s="54">
        <f t="shared" ca="1" si="194"/>
        <v>0</v>
      </c>
      <c r="AJ861" s="54">
        <f t="shared" ca="1" si="195"/>
        <v>1</v>
      </c>
    </row>
    <row r="862" spans="1:36" x14ac:dyDescent="0.2">
      <c r="A862" s="54">
        <v>839</v>
      </c>
      <c r="B862" s="54">
        <f ca="1">MAX(0.02,MCDA_Prioritisation!$B$9+(RAND()-0.5)*2*$B$6)</f>
        <v>0.12541704296755823</v>
      </c>
      <c r="C862" s="54">
        <f ca="1">MAX(0.02,MCDA_Prioritisation!$B$10+(RAND()-0.5)*2*$B$6)</f>
        <v>0.29163105132167438</v>
      </c>
      <c r="D862" s="54">
        <f ca="1">MAX(0.02,MCDA_Prioritisation!$B$11+(RAND()-0.5)*2*$B$6)</f>
        <v>0.20765559896498217</v>
      </c>
      <c r="E862" s="54">
        <f ca="1">MAX(0.02,MCDA_Prioritisation!$B$12+(RAND()-0.5)*2*$B$6)</f>
        <v>0.17895381365844304</v>
      </c>
      <c r="F862" s="54">
        <f ca="1">MAX(0.02,MCDA_Prioritisation!$B$13+(RAND()-0.5)*2*$B$6)</f>
        <v>0.11479895932543122</v>
      </c>
      <c r="G862" s="54">
        <f t="shared" ca="1" si="182"/>
        <v>0.91845646623808919</v>
      </c>
      <c r="H862" s="54">
        <f t="shared" ca="1" si="183"/>
        <v>0.13655197342259953</v>
      </c>
      <c r="I862" s="54">
        <f t="shared" ca="1" si="184"/>
        <v>0.31752299868513917</v>
      </c>
      <c r="J862" s="54">
        <f t="shared" ca="1" si="185"/>
        <v>0.22609193423779775</v>
      </c>
      <c r="K862" s="54">
        <f t="shared" ca="1" si="186"/>
        <v>0.19484191166013665</v>
      </c>
      <c r="L862" s="54">
        <f t="shared" ca="1" si="187"/>
        <v>0.12499118199432674</v>
      </c>
      <c r="M862" s="54">
        <f ca="1">MIN(100,MAX(0,MCDA_Prioritisation!$F$2+(RAND()-0.5)*2*$B$7))</f>
        <v>89.977903827734295</v>
      </c>
      <c r="N862" s="54">
        <f ca="1">MIN(100,MAX(0,MCDA_Prioritisation!$F$3+(RAND()-0.5)*2*$B$7))</f>
        <v>85.919010571309485</v>
      </c>
      <c r="O862" s="54">
        <f ca="1">MIN(100,MAX(0,MCDA_Prioritisation!$F$4+(RAND()-0.5)*2*$B$7))</f>
        <v>92.493735363936111</v>
      </c>
      <c r="P862" s="54">
        <f ca="1">MIN(100,MAX(0,MCDA_Prioritisation!$F$5+(RAND()-0.5)*2*$B$7))</f>
        <v>68.524077590568766</v>
      </c>
      <c r="Q862" s="54">
        <f ca="1">MIN(100,MAX(0,MCDA_Prioritisation!$G$2+(RAND()-0.5)*2*$B$7))</f>
        <v>70.031935453904438</v>
      </c>
      <c r="R862" s="54">
        <f ca="1">MIN(100,MAX(0,MCDA_Prioritisation!$G$3+(RAND()-0.5)*2*$B$7))</f>
        <v>88.54668263203304</v>
      </c>
      <c r="S862" s="54">
        <f ca="1">MIN(100,MAX(0,MCDA_Prioritisation!$G$4+(RAND()-0.5)*2*$B$7))</f>
        <v>87.781627328788602</v>
      </c>
      <c r="T862" s="54">
        <f ca="1">MIN(100,MAX(0,MCDA_Prioritisation!$G$5+(RAND()-0.5)*2*$B$7))</f>
        <v>77.835144749808023</v>
      </c>
      <c r="U862" s="54">
        <f ca="1">MIN(100,MAX(0,MCDA_Prioritisation!$H$2+(RAND()-0.5)*2*$B$7))</f>
        <v>70.384016474592741</v>
      </c>
      <c r="V862" s="54">
        <f ca="1">MIN(100,MAX(0,MCDA_Prioritisation!$H$3+(RAND()-0.5)*2*$B$7))</f>
        <v>61.216813824757928</v>
      </c>
      <c r="W862" s="54">
        <f ca="1">MIN(100,MAX(0,MCDA_Prioritisation!$H$4+(RAND()-0.5)*2*$B$7))</f>
        <v>88.106092083132395</v>
      </c>
      <c r="X862" s="54">
        <f ca="1">MIN(100,MAX(0,MCDA_Prioritisation!$H$5+(RAND()-0.5)*2*$B$7))</f>
        <v>84.195956544994019</v>
      </c>
      <c r="Y862" s="54">
        <f ca="1">H862*MCDA_Prioritisation!$D$2+I862*MCDA_Prioritisation!$E$2+J862*M862+K862*Q862+L862*U862</f>
        <v>88.19331311961443</v>
      </c>
      <c r="Z862" s="54">
        <f ca="1">H862*MCDA_Prioritisation!$D$3+I862*MCDA_Prioritisation!$E$3+J862*N862+K862*R862+L862*V862</f>
        <v>79.356554715336671</v>
      </c>
      <c r="AA862" s="54">
        <f ca="1">H862*MCDA_Prioritisation!$D$4+I862*MCDA_Prioritisation!$E$4+J862*O862+K862*S862+L862*W862</f>
        <v>75.856225187614555</v>
      </c>
      <c r="AB862" s="54">
        <f ca="1">H862*MCDA_Prioritisation!$D$5+I862*MCDA_Prioritisation!$E$5+J862*P862+K862*T862+L862*X862</f>
        <v>75.130456882448343</v>
      </c>
      <c r="AC862" s="54">
        <f t="shared" ca="1" si="188"/>
        <v>1</v>
      </c>
      <c r="AD862" s="54">
        <f t="shared" ca="1" si="189"/>
        <v>2</v>
      </c>
      <c r="AE862" s="54">
        <f t="shared" ca="1" si="190"/>
        <v>3</v>
      </c>
      <c r="AF862" s="54">
        <f t="shared" ca="1" si="191"/>
        <v>4</v>
      </c>
      <c r="AG862" s="54">
        <f t="shared" ca="1" si="192"/>
        <v>1</v>
      </c>
      <c r="AH862" s="54">
        <f t="shared" ca="1" si="193"/>
        <v>1</v>
      </c>
      <c r="AI862" s="54">
        <f t="shared" ca="1" si="194"/>
        <v>1</v>
      </c>
      <c r="AJ862" s="54">
        <f t="shared" ca="1" si="195"/>
        <v>1</v>
      </c>
    </row>
    <row r="863" spans="1:36" x14ac:dyDescent="0.2">
      <c r="A863" s="54">
        <v>840</v>
      </c>
      <c r="B863" s="54">
        <f ca="1">MAX(0.02,MCDA_Prioritisation!$B$9+(RAND()-0.5)*2*$B$6)</f>
        <v>0.12684100708475429</v>
      </c>
      <c r="C863" s="54">
        <f ca="1">MAX(0.02,MCDA_Prioritisation!$B$10+(RAND()-0.5)*2*$B$6)</f>
        <v>0.32011023893835483</v>
      </c>
      <c r="D863" s="54">
        <f ca="1">MAX(0.02,MCDA_Prioritisation!$B$11+(RAND()-0.5)*2*$B$6)</f>
        <v>0.20290022504259589</v>
      </c>
      <c r="E863" s="54">
        <f ca="1">MAX(0.02,MCDA_Prioritisation!$B$12+(RAND()-0.5)*2*$B$6)</f>
        <v>0.19882460324855133</v>
      </c>
      <c r="F863" s="54">
        <f ca="1">MAX(0.02,MCDA_Prioritisation!$B$13+(RAND()-0.5)*2*$B$6)</f>
        <v>0.18490598676286521</v>
      </c>
      <c r="G863" s="54">
        <f t="shared" ca="1" si="182"/>
        <v>1.0335820610771216</v>
      </c>
      <c r="H863" s="54">
        <f t="shared" ca="1" si="183"/>
        <v>0.12271982250985483</v>
      </c>
      <c r="I863" s="54">
        <f t="shared" ca="1" si="184"/>
        <v>0.30970955378691462</v>
      </c>
      <c r="J863" s="54">
        <f t="shared" ca="1" si="185"/>
        <v>0.19630780436644626</v>
      </c>
      <c r="K863" s="54">
        <f t="shared" ca="1" si="186"/>
        <v>0.19236460338848302</v>
      </c>
      <c r="L863" s="54">
        <f t="shared" ca="1" si="187"/>
        <v>0.17889821594830127</v>
      </c>
      <c r="M863" s="54">
        <f ca="1">MIN(100,MAX(0,MCDA_Prioritisation!$F$2+(RAND()-0.5)*2*$B$7))</f>
        <v>91.106678050448039</v>
      </c>
      <c r="N863" s="54">
        <f ca="1">MIN(100,MAX(0,MCDA_Prioritisation!$F$3+(RAND()-0.5)*2*$B$7))</f>
        <v>94.801351304393521</v>
      </c>
      <c r="O863" s="54">
        <f ca="1">MIN(100,MAX(0,MCDA_Prioritisation!$F$4+(RAND()-0.5)*2*$B$7))</f>
        <v>85.026172666322466</v>
      </c>
      <c r="P863" s="54">
        <f ca="1">MIN(100,MAX(0,MCDA_Prioritisation!$F$5+(RAND()-0.5)*2*$B$7))</f>
        <v>67.144275148265976</v>
      </c>
      <c r="Q863" s="54">
        <f ca="1">MIN(100,MAX(0,MCDA_Prioritisation!$G$2+(RAND()-0.5)*2*$B$7))</f>
        <v>85.006440677267506</v>
      </c>
      <c r="R863" s="54">
        <f ca="1">MIN(100,MAX(0,MCDA_Prioritisation!$G$3+(RAND()-0.5)*2*$B$7))</f>
        <v>99.445109757583623</v>
      </c>
      <c r="S863" s="54">
        <f ca="1">MIN(100,MAX(0,MCDA_Prioritisation!$G$4+(RAND()-0.5)*2*$B$7))</f>
        <v>93.026697830740332</v>
      </c>
      <c r="T863" s="54">
        <f ca="1">MIN(100,MAX(0,MCDA_Prioritisation!$G$5+(RAND()-0.5)*2*$B$7))</f>
        <v>72.120717451354992</v>
      </c>
      <c r="U863" s="54">
        <f ca="1">MIN(100,MAX(0,MCDA_Prioritisation!$H$2+(RAND()-0.5)*2*$B$7))</f>
        <v>74.798341207124409</v>
      </c>
      <c r="V863" s="54">
        <f ca="1">MIN(100,MAX(0,MCDA_Prioritisation!$H$3+(RAND()-0.5)*2*$B$7))</f>
        <v>66.78707503654708</v>
      </c>
      <c r="W863" s="54">
        <f ca="1">MIN(100,MAX(0,MCDA_Prioritisation!$H$4+(RAND()-0.5)*2*$B$7))</f>
        <v>88.669809085407763</v>
      </c>
      <c r="X863" s="54">
        <f ca="1">MIN(100,MAX(0,MCDA_Prioritisation!$H$5+(RAND()-0.5)*2*$B$7))</f>
        <v>68.906577391365985</v>
      </c>
      <c r="Y863" s="54">
        <f ca="1">H863*MCDA_Prioritisation!$D$2+I863*MCDA_Prioritisation!$E$2+J863*M863+K863*Q863+L863*U863</f>
        <v>90.861409605077128</v>
      </c>
      <c r="Z863" s="54">
        <f ca="1">H863*MCDA_Prioritisation!$D$3+I863*MCDA_Prioritisation!$E$3+J863*N863+K863*R863+L863*V863</f>
        <v>82.937708581829369</v>
      </c>
      <c r="AA863" s="54">
        <f ca="1">H863*MCDA_Prioritisation!$D$4+I863*MCDA_Prioritisation!$E$4+J863*O863+K863*S863+L863*W863</f>
        <v>75.887951163555016</v>
      </c>
      <c r="AB863" s="54">
        <f ca="1">H863*MCDA_Prioritisation!$D$5+I863*MCDA_Prioritisation!$E$5+J863*P863+K863*T863+L863*X863</f>
        <v>71.938903911744845</v>
      </c>
      <c r="AC863" s="54">
        <f t="shared" ca="1" si="188"/>
        <v>1</v>
      </c>
      <c r="AD863" s="54">
        <f t="shared" ca="1" si="189"/>
        <v>2</v>
      </c>
      <c r="AE863" s="54">
        <f t="shared" ca="1" si="190"/>
        <v>3</v>
      </c>
      <c r="AF863" s="54">
        <f t="shared" ca="1" si="191"/>
        <v>4</v>
      </c>
      <c r="AG863" s="54">
        <f t="shared" ca="1" si="192"/>
        <v>1</v>
      </c>
      <c r="AH863" s="54">
        <f t="shared" ca="1" si="193"/>
        <v>1</v>
      </c>
      <c r="AI863" s="54">
        <f t="shared" ca="1" si="194"/>
        <v>1</v>
      </c>
      <c r="AJ863" s="54">
        <f t="shared" ca="1" si="195"/>
        <v>1</v>
      </c>
    </row>
    <row r="864" spans="1:36" x14ac:dyDescent="0.2">
      <c r="A864" s="54">
        <v>841</v>
      </c>
      <c r="B864" s="54">
        <f ca="1">MAX(0.02,MCDA_Prioritisation!$B$9+(RAND()-0.5)*2*$B$6)</f>
        <v>0.25338965997938245</v>
      </c>
      <c r="C864" s="54">
        <f ca="1">MAX(0.02,MCDA_Prioritisation!$B$10+(RAND()-0.5)*2*$B$6)</f>
        <v>0.28556252328508835</v>
      </c>
      <c r="D864" s="54">
        <f ca="1">MAX(0.02,MCDA_Prioritisation!$B$11+(RAND()-0.5)*2*$B$6)</f>
        <v>0.31696837367237052</v>
      </c>
      <c r="E864" s="54">
        <f ca="1">MAX(0.02,MCDA_Prioritisation!$B$12+(RAND()-0.5)*2*$B$6)</f>
        <v>7.4237640780086989E-2</v>
      </c>
      <c r="F864" s="54">
        <f ca="1">MAX(0.02,MCDA_Prioritisation!$B$13+(RAND()-0.5)*2*$B$6)</f>
        <v>0.15143124752580925</v>
      </c>
      <c r="G864" s="54">
        <f t="shared" ca="1" si="182"/>
        <v>1.0815894452427375</v>
      </c>
      <c r="H864" s="54">
        <f t="shared" ca="1" si="183"/>
        <v>0.23427527061575112</v>
      </c>
      <c r="I864" s="54">
        <f t="shared" ca="1" si="184"/>
        <v>0.26402118155008486</v>
      </c>
      <c r="J864" s="54">
        <f t="shared" ca="1" si="185"/>
        <v>0.29305793900497462</v>
      </c>
      <c r="K864" s="54">
        <f t="shared" ca="1" si="186"/>
        <v>6.8637541820155329E-2</v>
      </c>
      <c r="L864" s="54">
        <f t="shared" ca="1" si="187"/>
        <v>0.14000806700903415</v>
      </c>
      <c r="M864" s="54">
        <f ca="1">MIN(100,MAX(0,MCDA_Prioritisation!$F$2+(RAND()-0.5)*2*$B$7))</f>
        <v>80.124077748433763</v>
      </c>
      <c r="N864" s="54">
        <f ca="1">MIN(100,MAX(0,MCDA_Prioritisation!$F$3+(RAND()-0.5)*2*$B$7))</f>
        <v>85.566122822308955</v>
      </c>
      <c r="O864" s="54">
        <f ca="1">MIN(100,MAX(0,MCDA_Prioritisation!$F$4+(RAND()-0.5)*2*$B$7))</f>
        <v>87.894170509687626</v>
      </c>
      <c r="P864" s="54">
        <f ca="1">MIN(100,MAX(0,MCDA_Prioritisation!$F$5+(RAND()-0.5)*2*$B$7))</f>
        <v>83.487744540099911</v>
      </c>
      <c r="Q864" s="54">
        <f ca="1">MIN(100,MAX(0,MCDA_Prioritisation!$G$2+(RAND()-0.5)*2*$B$7))</f>
        <v>82.618390619302801</v>
      </c>
      <c r="R864" s="54">
        <f ca="1">MIN(100,MAX(0,MCDA_Prioritisation!$G$3+(RAND()-0.5)*2*$B$7))</f>
        <v>90.805301480193819</v>
      </c>
      <c r="S864" s="54">
        <f ca="1">MIN(100,MAX(0,MCDA_Prioritisation!$G$4+(RAND()-0.5)*2*$B$7))</f>
        <v>93.808321692614442</v>
      </c>
      <c r="T864" s="54">
        <f ca="1">MIN(100,MAX(0,MCDA_Prioritisation!$G$5+(RAND()-0.5)*2*$B$7))</f>
        <v>67.776014241178189</v>
      </c>
      <c r="U864" s="54">
        <f ca="1">MIN(100,MAX(0,MCDA_Prioritisation!$H$2+(RAND()-0.5)*2*$B$7))</f>
        <v>62.604932064211255</v>
      </c>
      <c r="V864" s="54">
        <f ca="1">MIN(100,MAX(0,MCDA_Prioritisation!$H$3+(RAND()-0.5)*2*$B$7))</f>
        <v>58.084276007560121</v>
      </c>
      <c r="W864" s="54">
        <f ca="1">MIN(100,MAX(0,MCDA_Prioritisation!$H$4+(RAND()-0.5)*2*$B$7))</f>
        <v>84.559221218303918</v>
      </c>
      <c r="X864" s="54">
        <f ca="1">MIN(100,MAX(0,MCDA_Prioritisation!$H$5+(RAND()-0.5)*2*$B$7))</f>
        <v>68.757454188907943</v>
      </c>
      <c r="Y864" s="54">
        <f ca="1">H864*MCDA_Prioritisation!$D$2+I864*MCDA_Prioritisation!$E$2+J864*M864+K864*Q864+L864*U864</f>
        <v>87.74656107100239</v>
      </c>
      <c r="Z864" s="54">
        <f ca="1">H864*MCDA_Prioritisation!$D$3+I864*MCDA_Prioritisation!$E$3+J864*N864+K864*R864+L864*V864</f>
        <v>79.117210133184898</v>
      </c>
      <c r="AA864" s="54">
        <f ca="1">H864*MCDA_Prioritisation!$D$4+I864*MCDA_Prioritisation!$E$4+J864*O864+K864*S864+L864*W864</f>
        <v>74.750538166150548</v>
      </c>
      <c r="AB864" s="54">
        <f ca="1">H864*MCDA_Prioritisation!$D$5+I864*MCDA_Prioritisation!$E$5+J864*P864+K864*T864+L864*X864</f>
        <v>73.381473239415484</v>
      </c>
      <c r="AC864" s="54">
        <f t="shared" ca="1" si="188"/>
        <v>1</v>
      </c>
      <c r="AD864" s="54">
        <f t="shared" ca="1" si="189"/>
        <v>2</v>
      </c>
      <c r="AE864" s="54">
        <f t="shared" ca="1" si="190"/>
        <v>3</v>
      </c>
      <c r="AF864" s="54">
        <f t="shared" ca="1" si="191"/>
        <v>4</v>
      </c>
      <c r="AG864" s="54">
        <f t="shared" ca="1" si="192"/>
        <v>1</v>
      </c>
      <c r="AH864" s="54">
        <f t="shared" ca="1" si="193"/>
        <v>1</v>
      </c>
      <c r="AI864" s="54">
        <f t="shared" ca="1" si="194"/>
        <v>1</v>
      </c>
      <c r="AJ864" s="54">
        <f t="shared" ca="1" si="195"/>
        <v>1</v>
      </c>
    </row>
    <row r="865" spans="1:36" x14ac:dyDescent="0.2">
      <c r="A865" s="54">
        <v>842</v>
      </c>
      <c r="B865" s="54">
        <f ca="1">MAX(0.02,MCDA_Prioritisation!$B$9+(RAND()-0.5)*2*$B$6)</f>
        <v>0.15121978828828694</v>
      </c>
      <c r="C865" s="54">
        <f ca="1">MAX(0.02,MCDA_Prioritisation!$B$10+(RAND()-0.5)*2*$B$6)</f>
        <v>0.26702460494704933</v>
      </c>
      <c r="D865" s="54">
        <f ca="1">MAX(0.02,MCDA_Prioritisation!$B$11+(RAND()-0.5)*2*$B$6)</f>
        <v>0.20266517899693323</v>
      </c>
      <c r="E865" s="54">
        <f ca="1">MAX(0.02,MCDA_Prioritisation!$B$12+(RAND()-0.5)*2*$B$6)</f>
        <v>0.12719482268857302</v>
      </c>
      <c r="F865" s="54">
        <f ca="1">MAX(0.02,MCDA_Prioritisation!$B$13+(RAND()-0.5)*2*$B$6)</f>
        <v>0.15820511005178903</v>
      </c>
      <c r="G865" s="54">
        <f t="shared" ca="1" si="182"/>
        <v>0.90630950497263163</v>
      </c>
      <c r="H865" s="54">
        <f t="shared" ca="1" si="183"/>
        <v>0.1668522590335775</v>
      </c>
      <c r="I865" s="54">
        <f t="shared" ca="1" si="184"/>
        <v>0.29462849444033229</v>
      </c>
      <c r="J865" s="54">
        <f t="shared" ca="1" si="185"/>
        <v>0.22361585957663904</v>
      </c>
      <c r="K865" s="54">
        <f t="shared" ca="1" si="186"/>
        <v>0.14034369273487207</v>
      </c>
      <c r="L865" s="54">
        <f t="shared" ca="1" si="187"/>
        <v>0.17455969421457898</v>
      </c>
      <c r="M865" s="54">
        <f ca="1">MIN(100,MAX(0,MCDA_Prioritisation!$F$2+(RAND()-0.5)*2*$B$7))</f>
        <v>81.029452068576134</v>
      </c>
      <c r="N865" s="54">
        <f ca="1">MIN(100,MAX(0,MCDA_Prioritisation!$F$3+(RAND()-0.5)*2*$B$7))</f>
        <v>86.731582133523432</v>
      </c>
      <c r="O865" s="54">
        <f ca="1">MIN(100,MAX(0,MCDA_Prioritisation!$F$4+(RAND()-0.5)*2*$B$7))</f>
        <v>90.110140374610239</v>
      </c>
      <c r="P865" s="54">
        <f ca="1">MIN(100,MAX(0,MCDA_Prioritisation!$F$5+(RAND()-0.5)*2*$B$7))</f>
        <v>82.101540436259256</v>
      </c>
      <c r="Q865" s="54">
        <f ca="1">MIN(100,MAX(0,MCDA_Prioritisation!$G$2+(RAND()-0.5)*2*$B$7))</f>
        <v>76.155949234858696</v>
      </c>
      <c r="R865" s="54">
        <f ca="1">MIN(100,MAX(0,MCDA_Prioritisation!$G$3+(RAND()-0.5)*2*$B$7))</f>
        <v>88.865925119090889</v>
      </c>
      <c r="S865" s="54">
        <f ca="1">MIN(100,MAX(0,MCDA_Prioritisation!$G$4+(RAND()-0.5)*2*$B$7))</f>
        <v>81.606768381861954</v>
      </c>
      <c r="T865" s="54">
        <f ca="1">MIN(100,MAX(0,MCDA_Prioritisation!$G$5+(RAND()-0.5)*2*$B$7))</f>
        <v>73.284532206950814</v>
      </c>
      <c r="U865" s="54">
        <f ca="1">MIN(100,MAX(0,MCDA_Prioritisation!$H$2+(RAND()-0.5)*2*$B$7))</f>
        <v>69.505601871140541</v>
      </c>
      <c r="V865" s="54">
        <f ca="1">MIN(100,MAX(0,MCDA_Prioritisation!$H$3+(RAND()-0.5)*2*$B$7))</f>
        <v>56.567898873667716</v>
      </c>
      <c r="W865" s="54">
        <f ca="1">MIN(100,MAX(0,MCDA_Prioritisation!$H$4+(RAND()-0.5)*2*$B$7))</f>
        <v>78.366118518208495</v>
      </c>
      <c r="X865" s="54">
        <f ca="1">MIN(100,MAX(0,MCDA_Prioritisation!$H$5+(RAND()-0.5)*2*$B$7))</f>
        <v>65.532462276936883</v>
      </c>
      <c r="Y865" s="54">
        <f ca="1">H865*MCDA_Prioritisation!$D$2+I865*MCDA_Prioritisation!$E$2+J865*M865+K865*Q865+L865*U865</f>
        <v>87.088429670905796</v>
      </c>
      <c r="Z865" s="54">
        <f ca="1">H865*MCDA_Prioritisation!$D$3+I865*MCDA_Prioritisation!$E$3+J865*N865+K865*R865+L865*V865</f>
        <v>77.750691441797343</v>
      </c>
      <c r="AA865" s="54">
        <f ca="1">H865*MCDA_Prioritisation!$D$4+I865*MCDA_Prioritisation!$E$4+J865*O865+K865*S865+L865*W865</f>
        <v>72.971873021229868</v>
      </c>
      <c r="AB865" s="54">
        <f ca="1">H865*MCDA_Prioritisation!$D$5+I865*MCDA_Prioritisation!$E$5+J865*P865+K865*T865+L865*X865</f>
        <v>73.714965042247002</v>
      </c>
      <c r="AC865" s="54">
        <f t="shared" ca="1" si="188"/>
        <v>1</v>
      </c>
      <c r="AD865" s="54">
        <f t="shared" ca="1" si="189"/>
        <v>2</v>
      </c>
      <c r="AE865" s="54">
        <f t="shared" ca="1" si="190"/>
        <v>4</v>
      </c>
      <c r="AF865" s="54">
        <f t="shared" ca="1" si="191"/>
        <v>3</v>
      </c>
      <c r="AG865" s="54">
        <f t="shared" ca="1" si="192"/>
        <v>1</v>
      </c>
      <c r="AH865" s="54">
        <f t="shared" ca="1" si="193"/>
        <v>1</v>
      </c>
      <c r="AI865" s="54">
        <f t="shared" ca="1" si="194"/>
        <v>0</v>
      </c>
      <c r="AJ865" s="54">
        <f t="shared" ca="1" si="195"/>
        <v>1</v>
      </c>
    </row>
    <row r="866" spans="1:36" x14ac:dyDescent="0.2">
      <c r="A866" s="54">
        <v>843</v>
      </c>
      <c r="B866" s="54">
        <f ca="1">MAX(0.02,MCDA_Prioritisation!$B$9+(RAND()-0.5)*2*$B$6)</f>
        <v>0.13545449271501891</v>
      </c>
      <c r="C866" s="54">
        <f ca="1">MAX(0.02,MCDA_Prioritisation!$B$10+(RAND()-0.5)*2*$B$6)</f>
        <v>0.28995210612254418</v>
      </c>
      <c r="D866" s="54">
        <f ca="1">MAX(0.02,MCDA_Prioritisation!$B$11+(RAND()-0.5)*2*$B$6)</f>
        <v>0.19416628804852584</v>
      </c>
      <c r="E866" s="54">
        <f ca="1">MAX(0.02,MCDA_Prioritisation!$B$12+(RAND()-0.5)*2*$B$6)</f>
        <v>0.13884464079927425</v>
      </c>
      <c r="F866" s="54">
        <f ca="1">MAX(0.02,MCDA_Prioritisation!$B$13+(RAND()-0.5)*2*$B$6)</f>
        <v>0.13263621009381707</v>
      </c>
      <c r="G866" s="54">
        <f t="shared" ca="1" si="182"/>
        <v>0.89105373777918029</v>
      </c>
      <c r="H866" s="54">
        <f t="shared" ca="1" si="183"/>
        <v>0.15201607599180181</v>
      </c>
      <c r="I866" s="54">
        <f t="shared" ca="1" si="184"/>
        <v>0.32540361352975966</v>
      </c>
      <c r="J866" s="54">
        <f t="shared" ca="1" si="185"/>
        <v>0.21790637288886372</v>
      </c>
      <c r="K866" s="54">
        <f t="shared" ca="1" si="186"/>
        <v>0.15582072653140314</v>
      </c>
      <c r="L866" s="54">
        <f t="shared" ca="1" si="187"/>
        <v>0.14885321105817165</v>
      </c>
      <c r="M866" s="54">
        <f ca="1">MIN(100,MAX(0,MCDA_Prioritisation!$F$2+(RAND()-0.5)*2*$B$7))</f>
        <v>87.791286811091197</v>
      </c>
      <c r="N866" s="54">
        <f ca="1">MIN(100,MAX(0,MCDA_Prioritisation!$F$3+(RAND()-0.5)*2*$B$7))</f>
        <v>96.242688110945693</v>
      </c>
      <c r="O866" s="54">
        <f ca="1">MIN(100,MAX(0,MCDA_Prioritisation!$F$4+(RAND()-0.5)*2*$B$7))</f>
        <v>90.488026079553819</v>
      </c>
      <c r="P866" s="54">
        <f ca="1">MIN(100,MAX(0,MCDA_Prioritisation!$F$5+(RAND()-0.5)*2*$B$7))</f>
        <v>68.620680996174769</v>
      </c>
      <c r="Q866" s="54">
        <f ca="1">MIN(100,MAX(0,MCDA_Prioritisation!$G$2+(RAND()-0.5)*2*$B$7))</f>
        <v>70.712611247388566</v>
      </c>
      <c r="R866" s="54">
        <f ca="1">MIN(100,MAX(0,MCDA_Prioritisation!$G$3+(RAND()-0.5)*2*$B$7))</f>
        <v>100</v>
      </c>
      <c r="S866" s="54">
        <f ca="1">MIN(100,MAX(0,MCDA_Prioritisation!$G$4+(RAND()-0.5)*2*$B$7))</f>
        <v>89.719670556470263</v>
      </c>
      <c r="T866" s="54">
        <f ca="1">MIN(100,MAX(0,MCDA_Prioritisation!$G$5+(RAND()-0.5)*2*$B$7))</f>
        <v>78.796062759216497</v>
      </c>
      <c r="U866" s="54">
        <f ca="1">MIN(100,MAX(0,MCDA_Prioritisation!$H$2+(RAND()-0.5)*2*$B$7))</f>
        <v>62.058384703469628</v>
      </c>
      <c r="V866" s="54">
        <f ca="1">MIN(100,MAX(0,MCDA_Prioritisation!$H$3+(RAND()-0.5)*2*$B$7))</f>
        <v>63.278833128353959</v>
      </c>
      <c r="W866" s="54">
        <f ca="1">MIN(100,MAX(0,MCDA_Prioritisation!$H$4+(RAND()-0.5)*2*$B$7))</f>
        <v>74.643104268226111</v>
      </c>
      <c r="X866" s="54">
        <f ca="1">MIN(100,MAX(0,MCDA_Prioritisation!$H$5+(RAND()-0.5)*2*$B$7))</f>
        <v>81.297593034378224</v>
      </c>
      <c r="Y866" s="54">
        <f ca="1">H866*MCDA_Prioritisation!$D$2+I866*MCDA_Prioritisation!$E$2+J866*M866+K866*Q866+L866*U866</f>
        <v>87.12833012810249</v>
      </c>
      <c r="Z866" s="54">
        <f ca="1">H866*MCDA_Prioritisation!$D$3+I866*MCDA_Prioritisation!$E$3+J866*N866+K866*R866+L866*V866</f>
        <v>82.924667145643269</v>
      </c>
      <c r="AA866" s="54">
        <f ca="1">H866*MCDA_Prioritisation!$D$4+I866*MCDA_Prioritisation!$E$4+J866*O866+K866*S866+L866*W866</f>
        <v>73.143761457797837</v>
      </c>
      <c r="AB866" s="54">
        <f ca="1">H866*MCDA_Prioritisation!$D$5+I866*MCDA_Prioritisation!$E$5+J866*P866+K866*T866+L866*X866</f>
        <v>74.764225406137015</v>
      </c>
      <c r="AC866" s="54">
        <f t="shared" ca="1" si="188"/>
        <v>1</v>
      </c>
      <c r="AD866" s="54">
        <f t="shared" ca="1" si="189"/>
        <v>2</v>
      </c>
      <c r="AE866" s="54">
        <f t="shared" ca="1" si="190"/>
        <v>4</v>
      </c>
      <c r="AF866" s="54">
        <f t="shared" ca="1" si="191"/>
        <v>3</v>
      </c>
      <c r="AG866" s="54">
        <f t="shared" ca="1" si="192"/>
        <v>1</v>
      </c>
      <c r="AH866" s="54">
        <f t="shared" ca="1" si="193"/>
        <v>1</v>
      </c>
      <c r="AI866" s="54">
        <f t="shared" ca="1" si="194"/>
        <v>0</v>
      </c>
      <c r="AJ866" s="54">
        <f t="shared" ca="1" si="195"/>
        <v>1</v>
      </c>
    </row>
    <row r="867" spans="1:36" x14ac:dyDescent="0.2">
      <c r="A867" s="54">
        <v>844</v>
      </c>
      <c r="B867" s="54">
        <f ca="1">MAX(0.02,MCDA_Prioritisation!$B$9+(RAND()-0.5)*2*$B$6)</f>
        <v>0.17902664842257354</v>
      </c>
      <c r="C867" s="54">
        <f ca="1">MAX(0.02,MCDA_Prioritisation!$B$10+(RAND()-0.5)*2*$B$6)</f>
        <v>0.32804692209809982</v>
      </c>
      <c r="D867" s="54">
        <f ca="1">MAX(0.02,MCDA_Prioritisation!$B$11+(RAND()-0.5)*2*$B$6)</f>
        <v>0.17174176763879428</v>
      </c>
      <c r="E867" s="54">
        <f ca="1">MAX(0.02,MCDA_Prioritisation!$B$12+(RAND()-0.5)*2*$B$6)</f>
        <v>0.12669139922642275</v>
      </c>
      <c r="F867" s="54">
        <f ca="1">MAX(0.02,MCDA_Prioritisation!$B$13+(RAND()-0.5)*2*$B$6)</f>
        <v>0.11856461682363006</v>
      </c>
      <c r="G867" s="54">
        <f t="shared" ca="1" si="182"/>
        <v>0.92407135420952047</v>
      </c>
      <c r="H867" s="54">
        <f t="shared" ca="1" si="183"/>
        <v>0.19373682303540135</v>
      </c>
      <c r="I867" s="54">
        <f t="shared" ca="1" si="184"/>
        <v>0.35500172211129888</v>
      </c>
      <c r="J867" s="54">
        <f t="shared" ca="1" si="185"/>
        <v>0.1858533617089641</v>
      </c>
      <c r="K867" s="54">
        <f t="shared" ca="1" si="186"/>
        <v>0.13710131652636126</v>
      </c>
      <c r="L867" s="54">
        <f t="shared" ca="1" si="187"/>
        <v>0.12830677661797443</v>
      </c>
      <c r="M867" s="54">
        <f ca="1">MIN(100,MAX(0,MCDA_Prioritisation!$F$2+(RAND()-0.5)*2*$B$7))</f>
        <v>88.5890417649114</v>
      </c>
      <c r="N867" s="54">
        <f ca="1">MIN(100,MAX(0,MCDA_Prioritisation!$F$3+(RAND()-0.5)*2*$B$7))</f>
        <v>86.900673071142563</v>
      </c>
      <c r="O867" s="54">
        <f ca="1">MIN(100,MAX(0,MCDA_Prioritisation!$F$4+(RAND()-0.5)*2*$B$7))</f>
        <v>96.834564063080279</v>
      </c>
      <c r="P867" s="54">
        <f ca="1">MIN(100,MAX(0,MCDA_Prioritisation!$F$5+(RAND()-0.5)*2*$B$7))</f>
        <v>74.220209270881071</v>
      </c>
      <c r="Q867" s="54">
        <f ca="1">MIN(100,MAX(0,MCDA_Prioritisation!$G$2+(RAND()-0.5)*2*$B$7))</f>
        <v>89.875345665246741</v>
      </c>
      <c r="R867" s="54">
        <f ca="1">MIN(100,MAX(0,MCDA_Prioritisation!$G$3+(RAND()-0.5)*2*$B$7))</f>
        <v>100</v>
      </c>
      <c r="S867" s="54">
        <f ca="1">MIN(100,MAX(0,MCDA_Prioritisation!$G$4+(RAND()-0.5)*2*$B$7))</f>
        <v>90.565605007416664</v>
      </c>
      <c r="T867" s="54">
        <f ca="1">MIN(100,MAX(0,MCDA_Prioritisation!$G$5+(RAND()-0.5)*2*$B$7))</f>
        <v>76.891994875753298</v>
      </c>
      <c r="U867" s="54">
        <f ca="1">MIN(100,MAX(0,MCDA_Prioritisation!$H$2+(RAND()-0.5)*2*$B$7))</f>
        <v>69.264740665583844</v>
      </c>
      <c r="V867" s="54">
        <f ca="1">MIN(100,MAX(0,MCDA_Prioritisation!$H$3+(RAND()-0.5)*2*$B$7))</f>
        <v>50.141478524872007</v>
      </c>
      <c r="W867" s="54">
        <f ca="1">MIN(100,MAX(0,MCDA_Prioritisation!$H$4+(RAND()-0.5)*2*$B$7))</f>
        <v>86.986139761087756</v>
      </c>
      <c r="X867" s="54">
        <f ca="1">MIN(100,MAX(0,MCDA_Prioritisation!$H$5+(RAND()-0.5)*2*$B$7))</f>
        <v>75.732717767255721</v>
      </c>
      <c r="Y867" s="54">
        <f ca="1">H867*MCDA_Prioritisation!$D$2+I867*MCDA_Prioritisation!$E$2+J867*M867+K867*Q867+L867*U867</f>
        <v>92.54758955930275</v>
      </c>
      <c r="Z867" s="54">
        <f ca="1">H867*MCDA_Prioritisation!$D$3+I867*MCDA_Prioritisation!$E$3+J867*N867+K867*R867+L867*V867</f>
        <v>79.044698406263848</v>
      </c>
      <c r="AA867" s="54">
        <f ca="1">H867*MCDA_Prioritisation!$D$4+I867*MCDA_Prioritisation!$E$4+J867*O867+K867*S867+L867*W867</f>
        <v>74.429027894214357</v>
      </c>
      <c r="AB867" s="54">
        <f ca="1">H867*MCDA_Prioritisation!$D$5+I867*MCDA_Prioritisation!$E$5+J867*P867+K867*T867+L867*X867</f>
        <v>74.188261843813564</v>
      </c>
      <c r="AC867" s="54">
        <f t="shared" ca="1" si="188"/>
        <v>1</v>
      </c>
      <c r="AD867" s="54">
        <f t="shared" ca="1" si="189"/>
        <v>2</v>
      </c>
      <c r="AE867" s="54">
        <f t="shared" ca="1" si="190"/>
        <v>3</v>
      </c>
      <c r="AF867" s="54">
        <f t="shared" ca="1" si="191"/>
        <v>4</v>
      </c>
      <c r="AG867" s="54">
        <f t="shared" ca="1" si="192"/>
        <v>1</v>
      </c>
      <c r="AH867" s="54">
        <f t="shared" ca="1" si="193"/>
        <v>1</v>
      </c>
      <c r="AI867" s="54">
        <f t="shared" ca="1" si="194"/>
        <v>1</v>
      </c>
      <c r="AJ867" s="54">
        <f t="shared" ca="1" si="195"/>
        <v>1</v>
      </c>
    </row>
    <row r="868" spans="1:36" x14ac:dyDescent="0.2">
      <c r="A868" s="54">
        <v>845</v>
      </c>
      <c r="B868" s="54">
        <f ca="1">MAX(0.02,MCDA_Prioritisation!$B$9+(RAND()-0.5)*2*$B$6)</f>
        <v>0.27539429357052531</v>
      </c>
      <c r="C868" s="54">
        <f ca="1">MAX(0.02,MCDA_Prioritisation!$B$10+(RAND()-0.5)*2*$B$6)</f>
        <v>0.32797288471737268</v>
      </c>
      <c r="D868" s="54">
        <f ca="1">MAX(0.02,MCDA_Prioritisation!$B$11+(RAND()-0.5)*2*$B$6)</f>
        <v>0.2752014768476006</v>
      </c>
      <c r="E868" s="54">
        <f ca="1">MAX(0.02,MCDA_Prioritisation!$B$12+(RAND()-0.5)*2*$B$6)</f>
        <v>9.1683021240580947E-2</v>
      </c>
      <c r="F868" s="54">
        <f ca="1">MAX(0.02,MCDA_Prioritisation!$B$13+(RAND()-0.5)*2*$B$6)</f>
        <v>0.20587958144969953</v>
      </c>
      <c r="G868" s="54">
        <f t="shared" ca="1" si="182"/>
        <v>1.176131257825779</v>
      </c>
      <c r="H868" s="54">
        <f t="shared" ca="1" si="183"/>
        <v>0.23415268639286485</v>
      </c>
      <c r="I868" s="54">
        <f t="shared" ca="1" si="184"/>
        <v>0.27885738308126445</v>
      </c>
      <c r="J868" s="54">
        <f t="shared" ca="1" si="185"/>
        <v>0.23398874489259289</v>
      </c>
      <c r="K868" s="54">
        <f t="shared" ca="1" si="186"/>
        <v>7.7953052119427643E-2</v>
      </c>
      <c r="L868" s="54">
        <f t="shared" ca="1" si="187"/>
        <v>0.17504813351385021</v>
      </c>
      <c r="M868" s="54">
        <f ca="1">MIN(100,MAX(0,MCDA_Prioritisation!$F$2+(RAND()-0.5)*2*$B$7))</f>
        <v>93.81511372475093</v>
      </c>
      <c r="N868" s="54">
        <f ca="1">MIN(100,MAX(0,MCDA_Prioritisation!$F$3+(RAND()-0.5)*2*$B$7))</f>
        <v>89.058059714893602</v>
      </c>
      <c r="O868" s="54">
        <f ca="1">MIN(100,MAX(0,MCDA_Prioritisation!$F$4+(RAND()-0.5)*2*$B$7))</f>
        <v>94.566001919050265</v>
      </c>
      <c r="P868" s="54">
        <f ca="1">MIN(100,MAX(0,MCDA_Prioritisation!$F$5+(RAND()-0.5)*2*$B$7))</f>
        <v>83.674015510107282</v>
      </c>
      <c r="Q868" s="54">
        <f ca="1">MIN(100,MAX(0,MCDA_Prioritisation!$G$2+(RAND()-0.5)*2*$B$7))</f>
        <v>82.193174784232625</v>
      </c>
      <c r="R868" s="54">
        <f ca="1">MIN(100,MAX(0,MCDA_Prioritisation!$G$3+(RAND()-0.5)*2*$B$7))</f>
        <v>93.824454302368679</v>
      </c>
      <c r="S868" s="54">
        <f ca="1">MIN(100,MAX(0,MCDA_Prioritisation!$G$4+(RAND()-0.5)*2*$B$7))</f>
        <v>90.689127391998582</v>
      </c>
      <c r="T868" s="54">
        <f ca="1">MIN(100,MAX(0,MCDA_Prioritisation!$G$5+(RAND()-0.5)*2*$B$7))</f>
        <v>62.543245455392473</v>
      </c>
      <c r="U868" s="54">
        <f ca="1">MIN(100,MAX(0,MCDA_Prioritisation!$H$2+(RAND()-0.5)*2*$B$7))</f>
        <v>68.737491790920757</v>
      </c>
      <c r="V868" s="54">
        <f ca="1">MIN(100,MAX(0,MCDA_Prioritisation!$H$3+(RAND()-0.5)*2*$B$7))</f>
        <v>59.305162809497425</v>
      </c>
      <c r="W868" s="54">
        <f ca="1">MIN(100,MAX(0,MCDA_Prioritisation!$H$4+(RAND()-0.5)*2*$B$7))</f>
        <v>87.863905902062356</v>
      </c>
      <c r="X868" s="54">
        <f ca="1">MIN(100,MAX(0,MCDA_Prioritisation!$H$5+(RAND()-0.5)*2*$B$7))</f>
        <v>79.177185650152708</v>
      </c>
      <c r="Y868" s="54">
        <f ca="1">H868*MCDA_Prioritisation!$D$2+I868*MCDA_Prioritisation!$E$2+J868*M868+K868*Q868+L868*U868</f>
        <v>91.692266138064056</v>
      </c>
      <c r="Z868" s="54">
        <f ca="1">H868*MCDA_Prioritisation!$D$3+I868*MCDA_Prioritisation!$E$3+J868*N868+K868*R868+L868*V868</f>
        <v>79.278485895432141</v>
      </c>
      <c r="AA868" s="54">
        <f ca="1">H868*MCDA_Prioritisation!$D$4+I868*MCDA_Prioritisation!$E$4+J868*O868+K868*S868+L868*W868</f>
        <v>76.09270640799383</v>
      </c>
      <c r="AB868" s="54">
        <f ca="1">H868*MCDA_Prioritisation!$D$5+I868*MCDA_Prioritisation!$E$5+J868*P868+K868*T868+L868*X868</f>
        <v>74.191266341466033</v>
      </c>
      <c r="AC868" s="54">
        <f t="shared" ca="1" si="188"/>
        <v>1</v>
      </c>
      <c r="AD868" s="54">
        <f t="shared" ca="1" si="189"/>
        <v>2</v>
      </c>
      <c r="AE868" s="54">
        <f t="shared" ca="1" si="190"/>
        <v>3</v>
      </c>
      <c r="AF868" s="54">
        <f t="shared" ca="1" si="191"/>
        <v>4</v>
      </c>
      <c r="AG868" s="54">
        <f t="shared" ca="1" si="192"/>
        <v>1</v>
      </c>
      <c r="AH868" s="54">
        <f t="shared" ca="1" si="193"/>
        <v>1</v>
      </c>
      <c r="AI868" s="54">
        <f t="shared" ca="1" si="194"/>
        <v>1</v>
      </c>
      <c r="AJ868" s="54">
        <f t="shared" ca="1" si="195"/>
        <v>1</v>
      </c>
    </row>
    <row r="869" spans="1:36" x14ac:dyDescent="0.2">
      <c r="A869" s="54">
        <v>846</v>
      </c>
      <c r="B869" s="54">
        <f ca="1">MAX(0.02,MCDA_Prioritisation!$B$9+(RAND()-0.5)*2*$B$6)</f>
        <v>0.16395177412636935</v>
      </c>
      <c r="C869" s="54">
        <f ca="1">MAX(0.02,MCDA_Prioritisation!$B$10+(RAND()-0.5)*2*$B$6)</f>
        <v>0.20982370911847681</v>
      </c>
      <c r="D869" s="54">
        <f ca="1">MAX(0.02,MCDA_Prioritisation!$B$11+(RAND()-0.5)*2*$B$6)</f>
        <v>0.18743129094369751</v>
      </c>
      <c r="E869" s="54">
        <f ca="1">MAX(0.02,MCDA_Prioritisation!$B$12+(RAND()-0.5)*2*$B$6)</f>
        <v>0.17212164672880689</v>
      </c>
      <c r="F869" s="54">
        <f ca="1">MAX(0.02,MCDA_Prioritisation!$B$13+(RAND()-0.5)*2*$B$6)</f>
        <v>0.10321196414419184</v>
      </c>
      <c r="G869" s="54">
        <f t="shared" ca="1" si="182"/>
        <v>0.83654038506154249</v>
      </c>
      <c r="H869" s="54">
        <f t="shared" ca="1" si="183"/>
        <v>0.19598787703992052</v>
      </c>
      <c r="I869" s="54">
        <f t="shared" ca="1" si="184"/>
        <v>0.25082316749482514</v>
      </c>
      <c r="J869" s="54">
        <f t="shared" ca="1" si="185"/>
        <v>0.22405528088151846</v>
      </c>
      <c r="K869" s="54">
        <f t="shared" ca="1" si="186"/>
        <v>0.20575413907380488</v>
      </c>
      <c r="L869" s="54">
        <f t="shared" ca="1" si="187"/>
        <v>0.12337953550993089</v>
      </c>
      <c r="M869" s="54">
        <f ca="1">MIN(100,MAX(0,MCDA_Prioritisation!$F$2+(RAND()-0.5)*2*$B$7))</f>
        <v>77.394586692177811</v>
      </c>
      <c r="N869" s="54">
        <f ca="1">MIN(100,MAX(0,MCDA_Prioritisation!$F$3+(RAND()-0.5)*2*$B$7))</f>
        <v>95.901684098533721</v>
      </c>
      <c r="O869" s="54">
        <f ca="1">MIN(100,MAX(0,MCDA_Prioritisation!$F$4+(RAND()-0.5)*2*$B$7))</f>
        <v>94.748666636502335</v>
      </c>
      <c r="P869" s="54">
        <f ca="1">MIN(100,MAX(0,MCDA_Prioritisation!$F$5+(RAND()-0.5)*2*$B$7))</f>
        <v>66.920790223284371</v>
      </c>
      <c r="Q869" s="54">
        <f ca="1">MIN(100,MAX(0,MCDA_Prioritisation!$G$2+(RAND()-0.5)*2*$B$7))</f>
        <v>82.67502306690352</v>
      </c>
      <c r="R869" s="54">
        <f ca="1">MIN(100,MAX(0,MCDA_Prioritisation!$G$3+(RAND()-0.5)*2*$B$7))</f>
        <v>96.220595686883343</v>
      </c>
      <c r="S869" s="54">
        <f ca="1">MIN(100,MAX(0,MCDA_Prioritisation!$G$4+(RAND()-0.5)*2*$B$7))</f>
        <v>91.916079126377454</v>
      </c>
      <c r="T869" s="54">
        <f ca="1">MIN(100,MAX(0,MCDA_Prioritisation!$G$5+(RAND()-0.5)*2*$B$7))</f>
        <v>65.591189354467048</v>
      </c>
      <c r="U869" s="54">
        <f ca="1">MIN(100,MAX(0,MCDA_Prioritisation!$H$2+(RAND()-0.5)*2*$B$7))</f>
        <v>70.212216623197406</v>
      </c>
      <c r="V869" s="54">
        <f ca="1">MIN(100,MAX(0,MCDA_Prioritisation!$H$3+(RAND()-0.5)*2*$B$7))</f>
        <v>54.951672815069458</v>
      </c>
      <c r="W869" s="54">
        <f ca="1">MIN(100,MAX(0,MCDA_Prioritisation!$H$4+(RAND()-0.5)*2*$B$7))</f>
        <v>72.673720396533739</v>
      </c>
      <c r="X869" s="54">
        <f ca="1">MIN(100,MAX(0,MCDA_Prioritisation!$H$5+(RAND()-0.5)*2*$B$7))</f>
        <v>68.4483412836951</v>
      </c>
      <c r="Y869" s="54">
        <f ca="1">H869*MCDA_Prioritisation!$D$2+I869*MCDA_Prioritisation!$E$2+J869*M869+K869*Q869+L869*U869</f>
        <v>87.695249181629947</v>
      </c>
      <c r="Z869" s="54">
        <f ca="1">H869*MCDA_Prioritisation!$D$3+I869*MCDA_Prioritisation!$E$3+J869*N869+K869*R869+L869*V869</f>
        <v>83.435382357119508</v>
      </c>
      <c r="AA869" s="54">
        <f ca="1">H869*MCDA_Prioritisation!$D$4+I869*MCDA_Prioritisation!$E$4+J869*O869+K869*S869+L869*W869</f>
        <v>76.436210014524391</v>
      </c>
      <c r="AB869" s="54">
        <f ca="1">H869*MCDA_Prioritisation!$D$5+I869*MCDA_Prioritisation!$E$5+J869*P869+K869*T869+L869*X869</f>
        <v>68.428918844642737</v>
      </c>
      <c r="AC869" s="54">
        <f t="shared" ca="1" si="188"/>
        <v>1</v>
      </c>
      <c r="AD869" s="54">
        <f t="shared" ca="1" si="189"/>
        <v>2</v>
      </c>
      <c r="AE869" s="54">
        <f t="shared" ca="1" si="190"/>
        <v>3</v>
      </c>
      <c r="AF869" s="54">
        <f t="shared" ca="1" si="191"/>
        <v>4</v>
      </c>
      <c r="AG869" s="54">
        <f t="shared" ca="1" si="192"/>
        <v>1</v>
      </c>
      <c r="AH869" s="54">
        <f t="shared" ca="1" si="193"/>
        <v>1</v>
      </c>
      <c r="AI869" s="54">
        <f t="shared" ca="1" si="194"/>
        <v>1</v>
      </c>
      <c r="AJ869" s="54">
        <f t="shared" ca="1" si="195"/>
        <v>1</v>
      </c>
    </row>
    <row r="870" spans="1:36" x14ac:dyDescent="0.2">
      <c r="A870" s="54">
        <v>847</v>
      </c>
      <c r="B870" s="54">
        <f ca="1">MAX(0.02,MCDA_Prioritisation!$B$9+(RAND()-0.5)*2*$B$6)</f>
        <v>0.19129000343645253</v>
      </c>
      <c r="C870" s="54">
        <f ca="1">MAX(0.02,MCDA_Prioritisation!$B$10+(RAND()-0.5)*2*$B$6)</f>
        <v>0.28983951565589616</v>
      </c>
      <c r="D870" s="54">
        <f ca="1">MAX(0.02,MCDA_Prioritisation!$B$11+(RAND()-0.5)*2*$B$6)</f>
        <v>0.19219212801724966</v>
      </c>
      <c r="E870" s="54">
        <f ca="1">MAX(0.02,MCDA_Prioritisation!$B$12+(RAND()-0.5)*2*$B$6)</f>
        <v>0.1786853111889353</v>
      </c>
      <c r="F870" s="54">
        <f ca="1">MAX(0.02,MCDA_Prioritisation!$B$13+(RAND()-0.5)*2*$B$6)</f>
        <v>0.19917905720395598</v>
      </c>
      <c r="G870" s="54">
        <f t="shared" ca="1" si="182"/>
        <v>1.0511860155024897</v>
      </c>
      <c r="H870" s="54">
        <f t="shared" ca="1" si="183"/>
        <v>0.18197540741160997</v>
      </c>
      <c r="I870" s="54">
        <f t="shared" ca="1" si="184"/>
        <v>0.27572619058991821</v>
      </c>
      <c r="J870" s="54">
        <f t="shared" ca="1" si="185"/>
        <v>0.18283360431253232</v>
      </c>
      <c r="K870" s="54">
        <f t="shared" ca="1" si="186"/>
        <v>0.16998448281631662</v>
      </c>
      <c r="L870" s="54">
        <f t="shared" ca="1" si="187"/>
        <v>0.18948031486962283</v>
      </c>
      <c r="M870" s="54">
        <f ca="1">MIN(100,MAX(0,MCDA_Prioritisation!$F$2+(RAND()-0.5)*2*$B$7))</f>
        <v>75.182227598195453</v>
      </c>
      <c r="N870" s="54">
        <f ca="1">MIN(100,MAX(0,MCDA_Prioritisation!$F$3+(RAND()-0.5)*2*$B$7))</f>
        <v>88.624504595507744</v>
      </c>
      <c r="O870" s="54">
        <f ca="1">MIN(100,MAX(0,MCDA_Prioritisation!$F$4+(RAND()-0.5)*2*$B$7))</f>
        <v>83.89304830301937</v>
      </c>
      <c r="P870" s="54">
        <f ca="1">MIN(100,MAX(0,MCDA_Prioritisation!$F$5+(RAND()-0.5)*2*$B$7))</f>
        <v>82.989406420907642</v>
      </c>
      <c r="Q870" s="54">
        <f ca="1">MIN(100,MAX(0,MCDA_Prioritisation!$G$2+(RAND()-0.5)*2*$B$7))</f>
        <v>72.35463973333222</v>
      </c>
      <c r="R870" s="54">
        <f ca="1">MIN(100,MAX(0,MCDA_Prioritisation!$G$3+(RAND()-0.5)*2*$B$7))</f>
        <v>100</v>
      </c>
      <c r="S870" s="54">
        <f ca="1">MIN(100,MAX(0,MCDA_Prioritisation!$G$4+(RAND()-0.5)*2*$B$7))</f>
        <v>87.67480201833817</v>
      </c>
      <c r="T870" s="54">
        <f ca="1">MIN(100,MAX(0,MCDA_Prioritisation!$G$5+(RAND()-0.5)*2*$B$7))</f>
        <v>74.606315699975426</v>
      </c>
      <c r="U870" s="54">
        <f ca="1">MIN(100,MAX(0,MCDA_Prioritisation!$H$2+(RAND()-0.5)*2*$B$7))</f>
        <v>55.95027630801809</v>
      </c>
      <c r="V870" s="54">
        <f ca="1">MIN(100,MAX(0,MCDA_Prioritisation!$H$3+(RAND()-0.5)*2*$B$7))</f>
        <v>63.51158387808664</v>
      </c>
      <c r="W870" s="54">
        <f ca="1">MIN(100,MAX(0,MCDA_Prioritisation!$H$4+(RAND()-0.5)*2*$B$7))</f>
        <v>76.638551106875539</v>
      </c>
      <c r="X870" s="54">
        <f ca="1">MIN(100,MAX(0,MCDA_Prioritisation!$H$5+(RAND()-0.5)*2*$B$7))</f>
        <v>82.770969286372548</v>
      </c>
      <c r="Y870" s="54">
        <f ca="1">H870*MCDA_Prioritisation!$D$2+I870*MCDA_Prioritisation!$E$2+J870*M870+K870*Q870+L870*U870</f>
        <v>82.416639438493078</v>
      </c>
      <c r="Z870" s="54">
        <f ca="1">H870*MCDA_Prioritisation!$D$3+I870*MCDA_Prioritisation!$E$3+J870*N870+K870*R870+L870*V870</f>
        <v>81.193070090230833</v>
      </c>
      <c r="AA870" s="54">
        <f ca="1">H870*MCDA_Prioritisation!$D$4+I870*MCDA_Prioritisation!$E$4+J870*O870+K870*S870+L870*W870</f>
        <v>72.474629077216804</v>
      </c>
      <c r="AB870" s="54">
        <f ca="1">H870*MCDA_Prioritisation!$D$5+I870*MCDA_Prioritisation!$E$5+J870*P870+K870*T870+L870*X870</f>
        <v>76.383210308172011</v>
      </c>
      <c r="AC870" s="54">
        <f t="shared" ca="1" si="188"/>
        <v>1</v>
      </c>
      <c r="AD870" s="54">
        <f t="shared" ca="1" si="189"/>
        <v>2</v>
      </c>
      <c r="AE870" s="54">
        <f t="shared" ca="1" si="190"/>
        <v>4</v>
      </c>
      <c r="AF870" s="54">
        <f t="shared" ca="1" si="191"/>
        <v>3</v>
      </c>
      <c r="AG870" s="54">
        <f t="shared" ca="1" si="192"/>
        <v>1</v>
      </c>
      <c r="AH870" s="54">
        <f t="shared" ca="1" si="193"/>
        <v>1</v>
      </c>
      <c r="AI870" s="54">
        <f t="shared" ca="1" si="194"/>
        <v>0</v>
      </c>
      <c r="AJ870" s="54">
        <f t="shared" ca="1" si="195"/>
        <v>1</v>
      </c>
    </row>
    <row r="871" spans="1:36" x14ac:dyDescent="0.2">
      <c r="A871" s="54">
        <v>848</v>
      </c>
      <c r="B871" s="54">
        <f ca="1">MAX(0.02,MCDA_Prioritisation!$B$9+(RAND()-0.5)*2*$B$6)</f>
        <v>0.1840808973447621</v>
      </c>
      <c r="C871" s="54">
        <f ca="1">MAX(0.02,MCDA_Prioritisation!$B$10+(RAND()-0.5)*2*$B$6)</f>
        <v>0.18481006750164408</v>
      </c>
      <c r="D871" s="54">
        <f ca="1">MAX(0.02,MCDA_Prioritisation!$B$11+(RAND()-0.5)*2*$B$6)</f>
        <v>0.22767603173839979</v>
      </c>
      <c r="E871" s="54">
        <f ca="1">MAX(0.02,MCDA_Prioritisation!$B$12+(RAND()-0.5)*2*$B$6)</f>
        <v>0.21593264188724504</v>
      </c>
      <c r="F871" s="54">
        <f ca="1">MAX(0.02,MCDA_Prioritisation!$B$13+(RAND()-0.5)*2*$B$6)</f>
        <v>9.9090584620562167E-2</v>
      </c>
      <c r="G871" s="54">
        <f t="shared" ca="1" si="182"/>
        <v>0.91159022309261317</v>
      </c>
      <c r="H871" s="54">
        <f t="shared" ca="1" si="183"/>
        <v>0.20193382144913632</v>
      </c>
      <c r="I871" s="54">
        <f t="shared" ca="1" si="184"/>
        <v>0.20273370953306974</v>
      </c>
      <c r="J871" s="54">
        <f t="shared" ca="1" si="185"/>
        <v>0.24975699165135626</v>
      </c>
      <c r="K871" s="54">
        <f t="shared" ca="1" si="186"/>
        <v>0.2368746794526638</v>
      </c>
      <c r="L871" s="54">
        <f t="shared" ca="1" si="187"/>
        <v>0.10870079791377385</v>
      </c>
      <c r="M871" s="54">
        <f ca="1">MIN(100,MAX(0,MCDA_Prioritisation!$F$2+(RAND()-0.5)*2*$B$7))</f>
        <v>80.070136593298542</v>
      </c>
      <c r="N871" s="54">
        <f ca="1">MIN(100,MAX(0,MCDA_Prioritisation!$F$3+(RAND()-0.5)*2*$B$7))</f>
        <v>96.935003125046762</v>
      </c>
      <c r="O871" s="54">
        <f ca="1">MIN(100,MAX(0,MCDA_Prioritisation!$F$4+(RAND()-0.5)*2*$B$7))</f>
        <v>83.35979926728011</v>
      </c>
      <c r="P871" s="54">
        <f ca="1">MIN(100,MAX(0,MCDA_Prioritisation!$F$5+(RAND()-0.5)*2*$B$7))</f>
        <v>71.613371240352279</v>
      </c>
      <c r="Q871" s="54">
        <f ca="1">MIN(100,MAX(0,MCDA_Prioritisation!$G$2+(RAND()-0.5)*2*$B$7))</f>
        <v>88.018541551246273</v>
      </c>
      <c r="R871" s="54">
        <f ca="1">MIN(100,MAX(0,MCDA_Prioritisation!$G$3+(RAND()-0.5)*2*$B$7))</f>
        <v>92.508664892126376</v>
      </c>
      <c r="S871" s="54">
        <f ca="1">MIN(100,MAX(0,MCDA_Prioritisation!$G$4+(RAND()-0.5)*2*$B$7))</f>
        <v>78.073367122152476</v>
      </c>
      <c r="T871" s="54">
        <f ca="1">MIN(100,MAX(0,MCDA_Prioritisation!$G$5+(RAND()-0.5)*2*$B$7))</f>
        <v>77.469635002048093</v>
      </c>
      <c r="U871" s="54">
        <f ca="1">MIN(100,MAX(0,MCDA_Prioritisation!$H$2+(RAND()-0.5)*2*$B$7))</f>
        <v>73.77628126676592</v>
      </c>
      <c r="V871" s="54">
        <f ca="1">MIN(100,MAX(0,MCDA_Prioritisation!$H$3+(RAND()-0.5)*2*$B$7))</f>
        <v>58.374861735556678</v>
      </c>
      <c r="W871" s="54">
        <f ca="1">MIN(100,MAX(0,MCDA_Prioritisation!$H$4+(RAND()-0.5)*2*$B$7))</f>
        <v>81.004870672704826</v>
      </c>
      <c r="X871" s="54">
        <f ca="1">MIN(100,MAX(0,MCDA_Prioritisation!$H$5+(RAND()-0.5)*2*$B$7))</f>
        <v>75.644149239545229</v>
      </c>
      <c r="Y871" s="54">
        <f ca="1">H871*MCDA_Prioritisation!$D$2+I871*MCDA_Prioritisation!$E$2+J871*M871+K871*Q871+L871*U871</f>
        <v>89.333733991526913</v>
      </c>
      <c r="Z871" s="54">
        <f ca="1">H871*MCDA_Prioritisation!$D$3+I871*MCDA_Prioritisation!$E$3+J871*N871+K871*R871+L871*V871</f>
        <v>84.861196676465184</v>
      </c>
      <c r="AA871" s="54">
        <f ca="1">H871*MCDA_Prioritisation!$D$4+I871*MCDA_Prioritisation!$E$4+J871*O871+K871*S871+L871*W871</f>
        <v>73.238277153131847</v>
      </c>
      <c r="AB871" s="54">
        <f ca="1">H871*MCDA_Prioritisation!$D$5+I871*MCDA_Prioritisation!$E$5+J871*P871+K871*T871+L871*X871</f>
        <v>72.224993697820352</v>
      </c>
      <c r="AC871" s="54">
        <f t="shared" ca="1" si="188"/>
        <v>1</v>
      </c>
      <c r="AD871" s="54">
        <f t="shared" ca="1" si="189"/>
        <v>2</v>
      </c>
      <c r="AE871" s="54">
        <f t="shared" ca="1" si="190"/>
        <v>3</v>
      </c>
      <c r="AF871" s="54">
        <f t="shared" ca="1" si="191"/>
        <v>4</v>
      </c>
      <c r="AG871" s="54">
        <f t="shared" ca="1" si="192"/>
        <v>1</v>
      </c>
      <c r="AH871" s="54">
        <f t="shared" ca="1" si="193"/>
        <v>1</v>
      </c>
      <c r="AI871" s="54">
        <f t="shared" ca="1" si="194"/>
        <v>1</v>
      </c>
      <c r="AJ871" s="54">
        <f t="shared" ca="1" si="195"/>
        <v>1</v>
      </c>
    </row>
    <row r="872" spans="1:36" x14ac:dyDescent="0.2">
      <c r="A872" s="54">
        <v>849</v>
      </c>
      <c r="B872" s="54">
        <f ca="1">MAX(0.02,MCDA_Prioritisation!$B$9+(RAND()-0.5)*2*$B$6)</f>
        <v>0.2325517102083911</v>
      </c>
      <c r="C872" s="54">
        <f ca="1">MAX(0.02,MCDA_Prioritisation!$B$10+(RAND()-0.5)*2*$B$6)</f>
        <v>0.2032229121431938</v>
      </c>
      <c r="D872" s="54">
        <f ca="1">MAX(0.02,MCDA_Prioritisation!$B$11+(RAND()-0.5)*2*$B$6)</f>
        <v>0.22932837117407504</v>
      </c>
      <c r="E872" s="54">
        <f ca="1">MAX(0.02,MCDA_Prioritisation!$B$12+(RAND()-0.5)*2*$B$6)</f>
        <v>7.7523213200917485E-2</v>
      </c>
      <c r="F872" s="54">
        <f ca="1">MAX(0.02,MCDA_Prioritisation!$B$13+(RAND()-0.5)*2*$B$6)</f>
        <v>0.10042409868149972</v>
      </c>
      <c r="G872" s="54">
        <f t="shared" ca="1" si="182"/>
        <v>0.84305030540807713</v>
      </c>
      <c r="H872" s="54">
        <f t="shared" ca="1" si="183"/>
        <v>0.27584559155793775</v>
      </c>
      <c r="I872" s="54">
        <f t="shared" ca="1" si="184"/>
        <v>0.24105668527671559</v>
      </c>
      <c r="J872" s="54">
        <f t="shared" ca="1" si="185"/>
        <v>0.27202216724548722</v>
      </c>
      <c r="K872" s="54">
        <f t="shared" ca="1" si="186"/>
        <v>9.1955619615596368E-2</v>
      </c>
      <c r="L872" s="54">
        <f t="shared" ca="1" si="187"/>
        <v>0.11911993630426312</v>
      </c>
      <c r="M872" s="54">
        <f ca="1">MIN(100,MAX(0,MCDA_Prioritisation!$F$2+(RAND()-0.5)*2*$B$7))</f>
        <v>86.322083599647229</v>
      </c>
      <c r="N872" s="54">
        <f ca="1">MIN(100,MAX(0,MCDA_Prioritisation!$F$3+(RAND()-0.5)*2*$B$7))</f>
        <v>89.519760698784822</v>
      </c>
      <c r="O872" s="54">
        <f ca="1">MIN(100,MAX(0,MCDA_Prioritisation!$F$4+(RAND()-0.5)*2*$B$7))</f>
        <v>80.905683218565528</v>
      </c>
      <c r="P872" s="54">
        <f ca="1">MIN(100,MAX(0,MCDA_Prioritisation!$F$5+(RAND()-0.5)*2*$B$7))</f>
        <v>65.598335685324002</v>
      </c>
      <c r="Q872" s="54">
        <f ca="1">MIN(100,MAX(0,MCDA_Prioritisation!$G$2+(RAND()-0.5)*2*$B$7))</f>
        <v>70.917233322121589</v>
      </c>
      <c r="R872" s="54">
        <f ca="1">MIN(100,MAX(0,MCDA_Prioritisation!$G$3+(RAND()-0.5)*2*$B$7))</f>
        <v>91.345054905171494</v>
      </c>
      <c r="S872" s="54">
        <f ca="1">MIN(100,MAX(0,MCDA_Prioritisation!$G$4+(RAND()-0.5)*2*$B$7))</f>
        <v>77.934341146196189</v>
      </c>
      <c r="T872" s="54">
        <f ca="1">MIN(100,MAX(0,MCDA_Prioritisation!$G$5+(RAND()-0.5)*2*$B$7))</f>
        <v>76.706820243318788</v>
      </c>
      <c r="U872" s="54">
        <f ca="1">MIN(100,MAX(0,MCDA_Prioritisation!$H$2+(RAND()-0.5)*2*$B$7))</f>
        <v>72.903841676790776</v>
      </c>
      <c r="V872" s="54">
        <f ca="1">MIN(100,MAX(0,MCDA_Prioritisation!$H$3+(RAND()-0.5)*2*$B$7))</f>
        <v>53.118278773842221</v>
      </c>
      <c r="W872" s="54">
        <f ca="1">MIN(100,MAX(0,MCDA_Prioritisation!$H$4+(RAND()-0.5)*2*$B$7))</f>
        <v>70.628131296310514</v>
      </c>
      <c r="X872" s="54">
        <f ca="1">MIN(100,MAX(0,MCDA_Prioritisation!$H$5+(RAND()-0.5)*2*$B$7))</f>
        <v>81.657233829970579</v>
      </c>
      <c r="Y872" s="54">
        <f ca="1">H872*MCDA_Prioritisation!$D$2+I872*MCDA_Prioritisation!$E$2+J872*M872+K872*Q872+L872*U872</f>
        <v>90.377287053822428</v>
      </c>
      <c r="Z872" s="54">
        <f ca="1">H872*MCDA_Prioritisation!$D$3+I872*MCDA_Prioritisation!$E$3+J872*N872+K872*R872+L872*V872</f>
        <v>80.717924542146022</v>
      </c>
      <c r="AA872" s="54">
        <f ca="1">H872*MCDA_Prioritisation!$D$4+I872*MCDA_Prioritisation!$E$4+J872*O872+K872*S872+L872*W872</f>
        <v>69.944670302000276</v>
      </c>
      <c r="AB872" s="54">
        <f ca="1">H872*MCDA_Prioritisation!$D$5+I872*MCDA_Prioritisation!$E$5+J872*P872+K872*T872+L872*X872</f>
        <v>69.536255150373933</v>
      </c>
      <c r="AC872" s="54">
        <f t="shared" ca="1" si="188"/>
        <v>1</v>
      </c>
      <c r="AD872" s="54">
        <f t="shared" ca="1" si="189"/>
        <v>2</v>
      </c>
      <c r="AE872" s="54">
        <f t="shared" ca="1" si="190"/>
        <v>3</v>
      </c>
      <c r="AF872" s="54">
        <f t="shared" ca="1" si="191"/>
        <v>4</v>
      </c>
      <c r="AG872" s="54">
        <f t="shared" ca="1" si="192"/>
        <v>1</v>
      </c>
      <c r="AH872" s="54">
        <f t="shared" ca="1" si="193"/>
        <v>1</v>
      </c>
      <c r="AI872" s="54">
        <f t="shared" ca="1" si="194"/>
        <v>1</v>
      </c>
      <c r="AJ872" s="54">
        <f t="shared" ca="1" si="195"/>
        <v>1</v>
      </c>
    </row>
    <row r="873" spans="1:36" x14ac:dyDescent="0.2">
      <c r="A873" s="54">
        <v>850</v>
      </c>
      <c r="B873" s="54">
        <f ca="1">MAX(0.02,MCDA_Prioritisation!$B$9+(RAND()-0.5)*2*$B$6)</f>
        <v>0.27808845150563444</v>
      </c>
      <c r="C873" s="54">
        <f ca="1">MAX(0.02,MCDA_Prioritisation!$B$10+(RAND()-0.5)*2*$B$6)</f>
        <v>0.29845537162424113</v>
      </c>
      <c r="D873" s="54">
        <f ca="1">MAX(0.02,MCDA_Prioritisation!$B$11+(RAND()-0.5)*2*$B$6)</f>
        <v>0.21467895470668105</v>
      </c>
      <c r="E873" s="54">
        <f ca="1">MAX(0.02,MCDA_Prioritisation!$B$12+(RAND()-0.5)*2*$B$6)</f>
        <v>0.2170709042319259</v>
      </c>
      <c r="F873" s="54">
        <f ca="1">MAX(0.02,MCDA_Prioritisation!$B$13+(RAND()-0.5)*2*$B$6)</f>
        <v>0.22024836974259693</v>
      </c>
      <c r="G873" s="54">
        <f t="shared" ca="1" si="182"/>
        <v>1.2285420518110797</v>
      </c>
      <c r="H873" s="54">
        <f t="shared" ca="1" si="183"/>
        <v>0.22635647766039821</v>
      </c>
      <c r="I873" s="54">
        <f t="shared" ca="1" si="184"/>
        <v>0.24293459974305903</v>
      </c>
      <c r="J873" s="54">
        <f t="shared" ca="1" si="185"/>
        <v>0.17474286239547748</v>
      </c>
      <c r="K873" s="54">
        <f t="shared" ca="1" si="186"/>
        <v>0.17668984461046858</v>
      </c>
      <c r="L873" s="54">
        <f t="shared" ca="1" si="187"/>
        <v>0.17927621559059653</v>
      </c>
      <c r="M873" s="54">
        <f ca="1">MIN(100,MAX(0,MCDA_Prioritisation!$F$2+(RAND()-0.5)*2*$B$7))</f>
        <v>75.507321874457446</v>
      </c>
      <c r="N873" s="54">
        <f ca="1">MIN(100,MAX(0,MCDA_Prioritisation!$F$3+(RAND()-0.5)*2*$B$7))</f>
        <v>89.568818819492762</v>
      </c>
      <c r="O873" s="54">
        <f ca="1">MIN(100,MAX(0,MCDA_Prioritisation!$F$4+(RAND()-0.5)*2*$B$7))</f>
        <v>93.067743713136224</v>
      </c>
      <c r="P873" s="54">
        <f ca="1">MIN(100,MAX(0,MCDA_Prioritisation!$F$5+(RAND()-0.5)*2*$B$7))</f>
        <v>65.282144039086219</v>
      </c>
      <c r="Q873" s="54">
        <f ca="1">MIN(100,MAX(0,MCDA_Prioritisation!$G$2+(RAND()-0.5)*2*$B$7))</f>
        <v>88.509814899274531</v>
      </c>
      <c r="R873" s="54">
        <f ca="1">MIN(100,MAX(0,MCDA_Prioritisation!$G$3+(RAND()-0.5)*2*$B$7))</f>
        <v>99.788655229929432</v>
      </c>
      <c r="S873" s="54">
        <f ca="1">MIN(100,MAX(0,MCDA_Prioritisation!$G$4+(RAND()-0.5)*2*$B$7))</f>
        <v>91.029496883401976</v>
      </c>
      <c r="T873" s="54">
        <f ca="1">MIN(100,MAX(0,MCDA_Prioritisation!$G$5+(RAND()-0.5)*2*$B$7))</f>
        <v>77.192915167857947</v>
      </c>
      <c r="U873" s="54">
        <f ca="1">MIN(100,MAX(0,MCDA_Prioritisation!$H$2+(RAND()-0.5)*2*$B$7))</f>
        <v>71.976039960186327</v>
      </c>
      <c r="V873" s="54">
        <f ca="1">MIN(100,MAX(0,MCDA_Prioritisation!$H$3+(RAND()-0.5)*2*$B$7))</f>
        <v>67.846971106077788</v>
      </c>
      <c r="W873" s="54">
        <f ca="1">MIN(100,MAX(0,MCDA_Prioritisation!$H$4+(RAND()-0.5)*2*$B$7))</f>
        <v>77.410997677989371</v>
      </c>
      <c r="X873" s="54">
        <f ca="1">MIN(100,MAX(0,MCDA_Prioritisation!$H$5+(RAND()-0.5)*2*$B$7))</f>
        <v>73.143726527465361</v>
      </c>
      <c r="Y873" s="54">
        <f ca="1">H873*MCDA_Prioritisation!$D$2+I873*MCDA_Prioritisation!$E$2+J873*M873+K873*Q873+L873*U873</f>
        <v>88.665850794818979</v>
      </c>
      <c r="Z873" s="54">
        <f ca="1">H873*MCDA_Prioritisation!$D$3+I873*MCDA_Prioritisation!$E$3+J873*N873+K873*R873+L873*V873</f>
        <v>82.897313571484972</v>
      </c>
      <c r="AA873" s="54">
        <f ca="1">H873*MCDA_Prioritisation!$D$4+I873*MCDA_Prioritisation!$E$4+J873*O873+K873*S873+L873*W873</f>
        <v>75.237974913968344</v>
      </c>
      <c r="AB873" s="54">
        <f ca="1">H873*MCDA_Prioritisation!$D$5+I873*MCDA_Prioritisation!$E$5+J873*P873+K873*T873+L873*X873</f>
        <v>70.602386195572734</v>
      </c>
      <c r="AC873" s="54">
        <f t="shared" ca="1" si="188"/>
        <v>1</v>
      </c>
      <c r="AD873" s="54">
        <f t="shared" ca="1" si="189"/>
        <v>2</v>
      </c>
      <c r="AE873" s="54">
        <f t="shared" ca="1" si="190"/>
        <v>3</v>
      </c>
      <c r="AF873" s="54">
        <f t="shared" ca="1" si="191"/>
        <v>4</v>
      </c>
      <c r="AG873" s="54">
        <f t="shared" ca="1" si="192"/>
        <v>1</v>
      </c>
      <c r="AH873" s="54">
        <f t="shared" ca="1" si="193"/>
        <v>1</v>
      </c>
      <c r="AI873" s="54">
        <f t="shared" ca="1" si="194"/>
        <v>1</v>
      </c>
      <c r="AJ873" s="54">
        <f t="shared" ca="1" si="195"/>
        <v>1</v>
      </c>
    </row>
    <row r="874" spans="1:36" x14ac:dyDescent="0.2">
      <c r="A874" s="54">
        <v>851</v>
      </c>
      <c r="B874" s="54">
        <f ca="1">MAX(0.02,MCDA_Prioritisation!$B$9+(RAND()-0.5)*2*$B$6)</f>
        <v>0.24079525267169757</v>
      </c>
      <c r="C874" s="54">
        <f ca="1">MAX(0.02,MCDA_Prioritisation!$B$10+(RAND()-0.5)*2*$B$6)</f>
        <v>0.19321015166336183</v>
      </c>
      <c r="D874" s="54">
        <f ca="1">MAX(0.02,MCDA_Prioritisation!$B$11+(RAND()-0.5)*2*$B$6)</f>
        <v>0.20749421283994601</v>
      </c>
      <c r="E874" s="54">
        <f ca="1">MAX(0.02,MCDA_Prioritisation!$B$12+(RAND()-0.5)*2*$B$6)</f>
        <v>0.11903368848111737</v>
      </c>
      <c r="F874" s="54">
        <f ca="1">MAX(0.02,MCDA_Prioritisation!$B$13+(RAND()-0.5)*2*$B$6)</f>
        <v>0.18945084008021093</v>
      </c>
      <c r="G874" s="54">
        <f t="shared" ca="1" si="182"/>
        <v>0.94998414573633372</v>
      </c>
      <c r="H874" s="54">
        <f t="shared" ca="1" si="183"/>
        <v>0.25347291715595621</v>
      </c>
      <c r="I874" s="54">
        <f t="shared" ca="1" si="184"/>
        <v>0.20338250120332738</v>
      </c>
      <c r="J874" s="54">
        <f t="shared" ca="1" si="185"/>
        <v>0.21841860600643712</v>
      </c>
      <c r="K874" s="54">
        <f t="shared" ca="1" si="186"/>
        <v>0.12530071055960015</v>
      </c>
      <c r="L874" s="54">
        <f t="shared" ca="1" si="187"/>
        <v>0.19942526507467909</v>
      </c>
      <c r="M874" s="54">
        <f ca="1">MIN(100,MAX(0,MCDA_Prioritisation!$F$2+(RAND()-0.5)*2*$B$7))</f>
        <v>80.54098178598062</v>
      </c>
      <c r="N874" s="54">
        <f ca="1">MIN(100,MAX(0,MCDA_Prioritisation!$F$3+(RAND()-0.5)*2*$B$7))</f>
        <v>90.337665659489062</v>
      </c>
      <c r="O874" s="54">
        <f ca="1">MIN(100,MAX(0,MCDA_Prioritisation!$F$4+(RAND()-0.5)*2*$B$7))</f>
        <v>81.412951326224473</v>
      </c>
      <c r="P874" s="54">
        <f ca="1">MIN(100,MAX(0,MCDA_Prioritisation!$F$5+(RAND()-0.5)*2*$B$7))</f>
        <v>80.313533480929607</v>
      </c>
      <c r="Q874" s="54">
        <f ca="1">MIN(100,MAX(0,MCDA_Prioritisation!$G$2+(RAND()-0.5)*2*$B$7))</f>
        <v>83.084869089251143</v>
      </c>
      <c r="R874" s="54">
        <f ca="1">MIN(100,MAX(0,MCDA_Prioritisation!$G$3+(RAND()-0.5)*2*$B$7))</f>
        <v>94.819715886434381</v>
      </c>
      <c r="S874" s="54">
        <f ca="1">MIN(100,MAX(0,MCDA_Prioritisation!$G$4+(RAND()-0.5)*2*$B$7))</f>
        <v>78.73443640634423</v>
      </c>
      <c r="T874" s="54">
        <f ca="1">MIN(100,MAX(0,MCDA_Prioritisation!$G$5+(RAND()-0.5)*2*$B$7))</f>
        <v>78.4737081996727</v>
      </c>
      <c r="U874" s="54">
        <f ca="1">MIN(100,MAX(0,MCDA_Prioritisation!$H$2+(RAND()-0.5)*2*$B$7))</f>
        <v>57.137056804640054</v>
      </c>
      <c r="V874" s="54">
        <f ca="1">MIN(100,MAX(0,MCDA_Prioritisation!$H$3+(RAND()-0.5)*2*$B$7))</f>
        <v>53.342550926030789</v>
      </c>
      <c r="W874" s="54">
        <f ca="1">MIN(100,MAX(0,MCDA_Prioritisation!$H$4+(RAND()-0.5)*2*$B$7))</f>
        <v>82.195533383540649</v>
      </c>
      <c r="X874" s="54">
        <f ca="1">MIN(100,MAX(0,MCDA_Prioritisation!$H$5+(RAND()-0.5)*2*$B$7))</f>
        <v>78.147122836295296</v>
      </c>
      <c r="Y874" s="54">
        <f ca="1">H874*MCDA_Prioritisation!$D$2+I874*MCDA_Prioritisation!$E$2+J874*M874+K874*Q874+L874*U874</f>
        <v>85.082356636498972</v>
      </c>
      <c r="Z874" s="54">
        <f ca="1">H874*MCDA_Prioritisation!$D$3+I874*MCDA_Prioritisation!$E$3+J874*N874+K874*R874+L874*V874</f>
        <v>79.194443567433382</v>
      </c>
      <c r="AA874" s="54">
        <f ca="1">H874*MCDA_Prioritisation!$D$4+I874*MCDA_Prioritisation!$E$4+J874*O874+K874*S874+L874*W874</f>
        <v>72.783405059158781</v>
      </c>
      <c r="AB874" s="54">
        <f ca="1">H874*MCDA_Prioritisation!$D$5+I874*MCDA_Prioritisation!$E$5+J874*P874+K874*T874+L874*X874</f>
        <v>73.515212153634536</v>
      </c>
      <c r="AC874" s="54">
        <f t="shared" ca="1" si="188"/>
        <v>1</v>
      </c>
      <c r="AD874" s="54">
        <f t="shared" ca="1" si="189"/>
        <v>2</v>
      </c>
      <c r="AE874" s="54">
        <f t="shared" ca="1" si="190"/>
        <v>4</v>
      </c>
      <c r="AF874" s="54">
        <f t="shared" ca="1" si="191"/>
        <v>3</v>
      </c>
      <c r="AG874" s="54">
        <f t="shared" ca="1" si="192"/>
        <v>1</v>
      </c>
      <c r="AH874" s="54">
        <f t="shared" ca="1" si="193"/>
        <v>1</v>
      </c>
      <c r="AI874" s="54">
        <f t="shared" ca="1" si="194"/>
        <v>0</v>
      </c>
      <c r="AJ874" s="54">
        <f t="shared" ca="1" si="195"/>
        <v>1</v>
      </c>
    </row>
    <row r="875" spans="1:36" x14ac:dyDescent="0.2">
      <c r="A875" s="54">
        <v>852</v>
      </c>
      <c r="B875" s="54">
        <f ca="1">MAX(0.02,MCDA_Prioritisation!$B$9+(RAND()-0.5)*2*$B$6)</f>
        <v>0.15114648101800943</v>
      </c>
      <c r="C875" s="54">
        <f ca="1">MAX(0.02,MCDA_Prioritisation!$B$10+(RAND()-0.5)*2*$B$6)</f>
        <v>0.28060441805690384</v>
      </c>
      <c r="D875" s="54">
        <f ca="1">MAX(0.02,MCDA_Prioritisation!$B$11+(RAND()-0.5)*2*$B$6)</f>
        <v>0.19934271359569383</v>
      </c>
      <c r="E875" s="54">
        <f ca="1">MAX(0.02,MCDA_Prioritisation!$B$12+(RAND()-0.5)*2*$B$6)</f>
        <v>9.1055139723470166E-2</v>
      </c>
      <c r="F875" s="54">
        <f ca="1">MAX(0.02,MCDA_Prioritisation!$B$13+(RAND()-0.5)*2*$B$6)</f>
        <v>0.17172699668445784</v>
      </c>
      <c r="G875" s="54">
        <f t="shared" ca="1" si="182"/>
        <v>0.89387574907853495</v>
      </c>
      <c r="H875" s="54">
        <f t="shared" ca="1" si="183"/>
        <v>0.16909115296373239</v>
      </c>
      <c r="I875" s="54">
        <f t="shared" ca="1" si="184"/>
        <v>0.31391881740406208</v>
      </c>
      <c r="J875" s="54">
        <f t="shared" ca="1" si="185"/>
        <v>0.22300942138903446</v>
      </c>
      <c r="K875" s="54">
        <f t="shared" ca="1" si="186"/>
        <v>0.10186554430784782</v>
      </c>
      <c r="L875" s="54">
        <f t="shared" ca="1" si="187"/>
        <v>0.1921150639353234</v>
      </c>
      <c r="M875" s="54">
        <f ca="1">MIN(100,MAX(0,MCDA_Prioritisation!$F$2+(RAND()-0.5)*2*$B$7))</f>
        <v>94.962632856790947</v>
      </c>
      <c r="N875" s="54">
        <f ca="1">MIN(100,MAX(0,MCDA_Prioritisation!$F$3+(RAND()-0.5)*2*$B$7))</f>
        <v>97.791453712559246</v>
      </c>
      <c r="O875" s="54">
        <f ca="1">MIN(100,MAX(0,MCDA_Prioritisation!$F$4+(RAND()-0.5)*2*$B$7))</f>
        <v>97.513682936573503</v>
      </c>
      <c r="P875" s="54">
        <f ca="1">MIN(100,MAX(0,MCDA_Prioritisation!$F$5+(RAND()-0.5)*2*$B$7))</f>
        <v>75.208593385133796</v>
      </c>
      <c r="Q875" s="54">
        <f ca="1">MIN(100,MAX(0,MCDA_Prioritisation!$G$2+(RAND()-0.5)*2*$B$7))</f>
        <v>83.971191096136806</v>
      </c>
      <c r="R875" s="54">
        <f ca="1">MIN(100,MAX(0,MCDA_Prioritisation!$G$3+(RAND()-0.5)*2*$B$7))</f>
        <v>85.254696249947031</v>
      </c>
      <c r="S875" s="54">
        <f ca="1">MIN(100,MAX(0,MCDA_Prioritisation!$G$4+(RAND()-0.5)*2*$B$7))</f>
        <v>93.959375140929183</v>
      </c>
      <c r="T875" s="54">
        <f ca="1">MIN(100,MAX(0,MCDA_Prioritisation!$G$5+(RAND()-0.5)*2*$B$7))</f>
        <v>63.031160487973153</v>
      </c>
      <c r="U875" s="54">
        <f ca="1">MIN(100,MAX(0,MCDA_Prioritisation!$H$2+(RAND()-0.5)*2*$B$7))</f>
        <v>63.339269127690265</v>
      </c>
      <c r="V875" s="54">
        <f ca="1">MIN(100,MAX(0,MCDA_Prioritisation!$H$3+(RAND()-0.5)*2*$B$7))</f>
        <v>56.823055740410659</v>
      </c>
      <c r="W875" s="54">
        <f ca="1">MIN(100,MAX(0,MCDA_Prioritisation!$H$4+(RAND()-0.5)*2*$B$7))</f>
        <v>76.603727910909214</v>
      </c>
      <c r="X875" s="54">
        <f ca="1">MIN(100,MAX(0,MCDA_Prioritisation!$H$5+(RAND()-0.5)*2*$B$7))</f>
        <v>76.035679108733518</v>
      </c>
      <c r="Y875" s="54">
        <f ca="1">H875*MCDA_Prioritisation!$D$2+I875*MCDA_Prioritisation!$E$2+J875*M875+K875*Q875+L875*U875</f>
        <v>90.200757669020859</v>
      </c>
      <c r="Z875" s="54">
        <f ca="1">H875*MCDA_Prioritisation!$D$3+I875*MCDA_Prioritisation!$E$3+J875*N875+K875*R875+L875*V875</f>
        <v>79.017988297520205</v>
      </c>
      <c r="AA875" s="54">
        <f ca="1">H875*MCDA_Prioritisation!$D$4+I875*MCDA_Prioritisation!$E$4+J875*O875+K875*S875+L875*W875</f>
        <v>74.93178144475948</v>
      </c>
      <c r="AB875" s="54">
        <f ca="1">H875*MCDA_Prioritisation!$D$5+I875*MCDA_Prioritisation!$E$5+J875*P875+K875*T875+L875*X875</f>
        <v>73.172909859906611</v>
      </c>
      <c r="AC875" s="54">
        <f t="shared" ca="1" si="188"/>
        <v>1</v>
      </c>
      <c r="AD875" s="54">
        <f t="shared" ca="1" si="189"/>
        <v>2</v>
      </c>
      <c r="AE875" s="54">
        <f t="shared" ca="1" si="190"/>
        <v>3</v>
      </c>
      <c r="AF875" s="54">
        <f t="shared" ca="1" si="191"/>
        <v>4</v>
      </c>
      <c r="AG875" s="54">
        <f t="shared" ca="1" si="192"/>
        <v>1</v>
      </c>
      <c r="AH875" s="54">
        <f t="shared" ca="1" si="193"/>
        <v>1</v>
      </c>
      <c r="AI875" s="54">
        <f t="shared" ca="1" si="194"/>
        <v>1</v>
      </c>
      <c r="AJ875" s="54">
        <f t="shared" ca="1" si="195"/>
        <v>1</v>
      </c>
    </row>
    <row r="876" spans="1:36" x14ac:dyDescent="0.2">
      <c r="A876" s="54">
        <v>853</v>
      </c>
      <c r="B876" s="54">
        <f ca="1">MAX(0.02,MCDA_Prioritisation!$B$9+(RAND()-0.5)*2*$B$6)</f>
        <v>0.12216098890867849</v>
      </c>
      <c r="C876" s="54">
        <f ca="1">MAX(0.02,MCDA_Prioritisation!$B$10+(RAND()-0.5)*2*$B$6)</f>
        <v>0.32326113098580411</v>
      </c>
      <c r="D876" s="54">
        <f ca="1">MAX(0.02,MCDA_Prioritisation!$B$11+(RAND()-0.5)*2*$B$6)</f>
        <v>0.17505752476470018</v>
      </c>
      <c r="E876" s="54">
        <f ca="1">MAX(0.02,MCDA_Prioritisation!$B$12+(RAND()-0.5)*2*$B$6)</f>
        <v>0.18460965274618701</v>
      </c>
      <c r="F876" s="54">
        <f ca="1">MAX(0.02,MCDA_Prioritisation!$B$13+(RAND()-0.5)*2*$B$6)</f>
        <v>7.7711913666158636E-2</v>
      </c>
      <c r="G876" s="54">
        <f t="shared" ca="1" si="182"/>
        <v>0.88280121107152842</v>
      </c>
      <c r="H876" s="54">
        <f t="shared" ca="1" si="183"/>
        <v>0.13837881889672721</v>
      </c>
      <c r="I876" s="54">
        <f t="shared" ca="1" si="184"/>
        <v>0.3661765830536588</v>
      </c>
      <c r="J876" s="54">
        <f t="shared" ca="1" si="185"/>
        <v>0.19829778501574377</v>
      </c>
      <c r="K876" s="54">
        <f t="shared" ca="1" si="186"/>
        <v>0.20911803295116813</v>
      </c>
      <c r="L876" s="54">
        <f t="shared" ca="1" si="187"/>
        <v>8.8028780082702082E-2</v>
      </c>
      <c r="M876" s="54">
        <f ca="1">MIN(100,MAX(0,MCDA_Prioritisation!$F$2+(RAND()-0.5)*2*$B$7))</f>
        <v>82.608537971174727</v>
      </c>
      <c r="N876" s="54">
        <f ca="1">MIN(100,MAX(0,MCDA_Prioritisation!$F$3+(RAND()-0.5)*2*$B$7))</f>
        <v>92.705893368496618</v>
      </c>
      <c r="O876" s="54">
        <f ca="1">MIN(100,MAX(0,MCDA_Prioritisation!$F$4+(RAND()-0.5)*2*$B$7))</f>
        <v>99.751785894986142</v>
      </c>
      <c r="P876" s="54">
        <f ca="1">MIN(100,MAX(0,MCDA_Prioritisation!$F$5+(RAND()-0.5)*2*$B$7))</f>
        <v>66.463892942031521</v>
      </c>
      <c r="Q876" s="54">
        <f ca="1">MIN(100,MAX(0,MCDA_Prioritisation!$G$2+(RAND()-0.5)*2*$B$7))</f>
        <v>76.179480428849971</v>
      </c>
      <c r="R876" s="54">
        <f ca="1">MIN(100,MAX(0,MCDA_Prioritisation!$G$3+(RAND()-0.5)*2*$B$7))</f>
        <v>85.409189996556137</v>
      </c>
      <c r="S876" s="54">
        <f ca="1">MIN(100,MAX(0,MCDA_Prioritisation!$G$4+(RAND()-0.5)*2*$B$7))</f>
        <v>90.375148277228945</v>
      </c>
      <c r="T876" s="54">
        <f ca="1">MIN(100,MAX(0,MCDA_Prioritisation!$G$5+(RAND()-0.5)*2*$B$7))</f>
        <v>63.069463816082617</v>
      </c>
      <c r="U876" s="54">
        <f ca="1">MIN(100,MAX(0,MCDA_Prioritisation!$H$2+(RAND()-0.5)*2*$B$7))</f>
        <v>73.382051894364309</v>
      </c>
      <c r="V876" s="54">
        <f ca="1">MIN(100,MAX(0,MCDA_Prioritisation!$H$3+(RAND()-0.5)*2*$B$7))</f>
        <v>60.00513406933274</v>
      </c>
      <c r="W876" s="54">
        <f ca="1">MIN(100,MAX(0,MCDA_Prioritisation!$H$4+(RAND()-0.5)*2*$B$7))</f>
        <v>70.982145221404835</v>
      </c>
      <c r="X876" s="54">
        <f ca="1">MIN(100,MAX(0,MCDA_Prioritisation!$H$5+(RAND()-0.5)*2*$B$7))</f>
        <v>75.396121337291987</v>
      </c>
      <c r="Y876" s="54">
        <f ca="1">H876*MCDA_Prioritisation!$D$2+I876*MCDA_Prioritisation!$E$2+J876*M876+K876*Q876+L876*U876</f>
        <v>89.226865904861057</v>
      </c>
      <c r="Z876" s="54">
        <f ca="1">H876*MCDA_Prioritisation!$D$3+I876*MCDA_Prioritisation!$E$3+J876*N876+K876*R876+L876*V876</f>
        <v>80.251049485916809</v>
      </c>
      <c r="AA876" s="54">
        <f ca="1">H876*MCDA_Prioritisation!$D$4+I876*MCDA_Prioritisation!$E$4+J876*O876+K876*S876+L876*W876</f>
        <v>74.53725872196074</v>
      </c>
      <c r="AB876" s="54">
        <f ca="1">H876*MCDA_Prioritisation!$D$5+I876*MCDA_Prioritisation!$E$5+J876*P876+K876*T876+L876*X876</f>
        <v>71.142334252945929</v>
      </c>
      <c r="AC876" s="54">
        <f t="shared" ca="1" si="188"/>
        <v>1</v>
      </c>
      <c r="AD876" s="54">
        <f t="shared" ca="1" si="189"/>
        <v>2</v>
      </c>
      <c r="AE876" s="54">
        <f t="shared" ca="1" si="190"/>
        <v>3</v>
      </c>
      <c r="AF876" s="54">
        <f t="shared" ca="1" si="191"/>
        <v>4</v>
      </c>
      <c r="AG876" s="54">
        <f t="shared" ca="1" si="192"/>
        <v>1</v>
      </c>
      <c r="AH876" s="54">
        <f t="shared" ca="1" si="193"/>
        <v>1</v>
      </c>
      <c r="AI876" s="54">
        <f t="shared" ca="1" si="194"/>
        <v>1</v>
      </c>
      <c r="AJ876" s="54">
        <f t="shared" ca="1" si="195"/>
        <v>1</v>
      </c>
    </row>
    <row r="877" spans="1:36" x14ac:dyDescent="0.2">
      <c r="A877" s="54">
        <v>854</v>
      </c>
      <c r="B877" s="54">
        <f ca="1">MAX(0.02,MCDA_Prioritisation!$B$9+(RAND()-0.5)*2*$B$6)</f>
        <v>0.13513257757410677</v>
      </c>
      <c r="C877" s="54">
        <f ca="1">MAX(0.02,MCDA_Prioritisation!$B$10+(RAND()-0.5)*2*$B$6)</f>
        <v>0.28694248484410873</v>
      </c>
      <c r="D877" s="54">
        <f ca="1">MAX(0.02,MCDA_Prioritisation!$B$11+(RAND()-0.5)*2*$B$6)</f>
        <v>0.27968418800050432</v>
      </c>
      <c r="E877" s="54">
        <f ca="1">MAX(0.02,MCDA_Prioritisation!$B$12+(RAND()-0.5)*2*$B$6)</f>
        <v>0.15003961052637174</v>
      </c>
      <c r="F877" s="54">
        <f ca="1">MAX(0.02,MCDA_Prioritisation!$B$13+(RAND()-0.5)*2*$B$6)</f>
        <v>0.17075391368525727</v>
      </c>
      <c r="G877" s="54">
        <f t="shared" ca="1" si="182"/>
        <v>1.0225527746303489</v>
      </c>
      <c r="H877" s="54">
        <f t="shared" ca="1" si="183"/>
        <v>0.13215217925838299</v>
      </c>
      <c r="I877" s="54">
        <f t="shared" ca="1" si="184"/>
        <v>0.28061386361974122</v>
      </c>
      <c r="J877" s="54">
        <f t="shared" ca="1" si="185"/>
        <v>0.27351565116197518</v>
      </c>
      <c r="K877" s="54">
        <f t="shared" ca="1" si="186"/>
        <v>0.14673043215848766</v>
      </c>
      <c r="L877" s="54">
        <f t="shared" ca="1" si="187"/>
        <v>0.16698787380141286</v>
      </c>
      <c r="M877" s="54">
        <f ca="1">MIN(100,MAX(0,MCDA_Prioritisation!$F$2+(RAND()-0.5)*2*$B$7))</f>
        <v>91.209041349408324</v>
      </c>
      <c r="N877" s="54">
        <f ca="1">MIN(100,MAX(0,MCDA_Prioritisation!$F$3+(RAND()-0.5)*2*$B$7))</f>
        <v>86.669043533544396</v>
      </c>
      <c r="O877" s="54">
        <f ca="1">MIN(100,MAX(0,MCDA_Prioritisation!$F$4+(RAND()-0.5)*2*$B$7))</f>
        <v>91.369325133428475</v>
      </c>
      <c r="P877" s="54">
        <f ca="1">MIN(100,MAX(0,MCDA_Prioritisation!$F$5+(RAND()-0.5)*2*$B$7))</f>
        <v>76.952650555354367</v>
      </c>
      <c r="Q877" s="54">
        <f ca="1">MIN(100,MAX(0,MCDA_Prioritisation!$G$2+(RAND()-0.5)*2*$B$7))</f>
        <v>83.910298938031232</v>
      </c>
      <c r="R877" s="54">
        <f ca="1">MIN(100,MAX(0,MCDA_Prioritisation!$G$3+(RAND()-0.5)*2*$B$7))</f>
        <v>91.98274272383135</v>
      </c>
      <c r="S877" s="54">
        <f ca="1">MIN(100,MAX(0,MCDA_Prioritisation!$G$4+(RAND()-0.5)*2*$B$7))</f>
        <v>93.103284198680612</v>
      </c>
      <c r="T877" s="54">
        <f ca="1">MIN(100,MAX(0,MCDA_Prioritisation!$G$5+(RAND()-0.5)*2*$B$7))</f>
        <v>67.1351953627575</v>
      </c>
      <c r="U877" s="54">
        <f ca="1">MIN(100,MAX(0,MCDA_Prioritisation!$H$2+(RAND()-0.5)*2*$B$7))</f>
        <v>60.126749826522378</v>
      </c>
      <c r="V877" s="54">
        <f ca="1">MIN(100,MAX(0,MCDA_Prioritisation!$H$3+(RAND()-0.5)*2*$B$7))</f>
        <v>65.920862723179525</v>
      </c>
      <c r="W877" s="54">
        <f ca="1">MIN(100,MAX(0,MCDA_Prioritisation!$H$4+(RAND()-0.5)*2*$B$7))</f>
        <v>84.241485626358696</v>
      </c>
      <c r="X877" s="54">
        <f ca="1">MIN(100,MAX(0,MCDA_Prioritisation!$H$5+(RAND()-0.5)*2*$B$7))</f>
        <v>84.574464968401415</v>
      </c>
      <c r="Y877" s="54">
        <f ca="1">H877*MCDA_Prioritisation!$D$2+I877*MCDA_Prioritisation!$E$2+J877*M877+K877*Q877+L877*U877</f>
        <v>88.576337162201</v>
      </c>
      <c r="Z877" s="54">
        <f ca="1">H877*MCDA_Prioritisation!$D$3+I877*MCDA_Prioritisation!$E$3+J877*N877+K877*R877+L877*V877</f>
        <v>80.167955932976085</v>
      </c>
      <c r="AA877" s="54">
        <f ca="1">H877*MCDA_Prioritisation!$D$4+I877*MCDA_Prioritisation!$E$4+J877*O877+K877*S877+L877*W877</f>
        <v>77.227843793132308</v>
      </c>
      <c r="AB877" s="54">
        <f ca="1">H877*MCDA_Prioritisation!$D$5+I877*MCDA_Prioritisation!$E$5+J877*P877+K877*T877+L877*X877</f>
        <v>75.632610038205698</v>
      </c>
      <c r="AC877" s="54">
        <f t="shared" ca="1" si="188"/>
        <v>1</v>
      </c>
      <c r="AD877" s="54">
        <f t="shared" ca="1" si="189"/>
        <v>2</v>
      </c>
      <c r="AE877" s="54">
        <f t="shared" ca="1" si="190"/>
        <v>3</v>
      </c>
      <c r="AF877" s="54">
        <f t="shared" ca="1" si="191"/>
        <v>4</v>
      </c>
      <c r="AG877" s="54">
        <f t="shared" ca="1" si="192"/>
        <v>1</v>
      </c>
      <c r="AH877" s="54">
        <f t="shared" ca="1" si="193"/>
        <v>1</v>
      </c>
      <c r="AI877" s="54">
        <f t="shared" ca="1" si="194"/>
        <v>1</v>
      </c>
      <c r="AJ877" s="54">
        <f t="shared" ca="1" si="195"/>
        <v>1</v>
      </c>
    </row>
    <row r="878" spans="1:36" x14ac:dyDescent="0.2">
      <c r="A878" s="54">
        <v>855</v>
      </c>
      <c r="B878" s="54">
        <f ca="1">MAX(0.02,MCDA_Prioritisation!$B$9+(RAND()-0.5)*2*$B$6)</f>
        <v>0.25614590567287626</v>
      </c>
      <c r="C878" s="54">
        <f ca="1">MAX(0.02,MCDA_Prioritisation!$B$10+(RAND()-0.5)*2*$B$6)</f>
        <v>0.25292305089651096</v>
      </c>
      <c r="D878" s="54">
        <f ca="1">MAX(0.02,MCDA_Prioritisation!$B$11+(RAND()-0.5)*2*$B$6)</f>
        <v>0.32240397463898673</v>
      </c>
      <c r="E878" s="54">
        <f ca="1">MAX(0.02,MCDA_Prioritisation!$B$12+(RAND()-0.5)*2*$B$6)</f>
        <v>0.17662179947426707</v>
      </c>
      <c r="F878" s="54">
        <f ca="1">MAX(0.02,MCDA_Prioritisation!$B$13+(RAND()-0.5)*2*$B$6)</f>
        <v>0.11899825227610453</v>
      </c>
      <c r="G878" s="54">
        <f t="shared" ca="1" si="182"/>
        <v>1.1270929829587457</v>
      </c>
      <c r="H878" s="54">
        <f t="shared" ca="1" si="183"/>
        <v>0.22726244377856428</v>
      </c>
      <c r="I878" s="54">
        <f t="shared" ca="1" si="184"/>
        <v>0.22440300376332709</v>
      </c>
      <c r="J878" s="54">
        <f t="shared" ca="1" si="185"/>
        <v>0.28604913659620174</v>
      </c>
      <c r="K878" s="54">
        <f t="shared" ca="1" si="186"/>
        <v>0.15670561537045063</v>
      </c>
      <c r="L878" s="54">
        <f t="shared" ca="1" si="187"/>
        <v>0.10557980049145613</v>
      </c>
      <c r="M878" s="54">
        <f ca="1">MIN(100,MAX(0,MCDA_Prioritisation!$F$2+(RAND()-0.5)*2*$B$7))</f>
        <v>75.487018040137457</v>
      </c>
      <c r="N878" s="54">
        <f ca="1">MIN(100,MAX(0,MCDA_Prioritisation!$F$3+(RAND()-0.5)*2*$B$7))</f>
        <v>99.767013560474169</v>
      </c>
      <c r="O878" s="54">
        <f ca="1">MIN(100,MAX(0,MCDA_Prioritisation!$F$4+(RAND()-0.5)*2*$B$7))</f>
        <v>92.780645726336374</v>
      </c>
      <c r="P878" s="54">
        <f ca="1">MIN(100,MAX(0,MCDA_Prioritisation!$F$5+(RAND()-0.5)*2*$B$7))</f>
        <v>77.231434288693322</v>
      </c>
      <c r="Q878" s="54">
        <f ca="1">MIN(100,MAX(0,MCDA_Prioritisation!$G$2+(RAND()-0.5)*2*$B$7))</f>
        <v>76.612427807372072</v>
      </c>
      <c r="R878" s="54">
        <f ca="1">MIN(100,MAX(0,MCDA_Prioritisation!$G$3+(RAND()-0.5)*2*$B$7))</f>
        <v>96.886864258307895</v>
      </c>
      <c r="S878" s="54">
        <f ca="1">MIN(100,MAX(0,MCDA_Prioritisation!$G$4+(RAND()-0.5)*2*$B$7))</f>
        <v>88.875140795987974</v>
      </c>
      <c r="T878" s="54">
        <f ca="1">MIN(100,MAX(0,MCDA_Prioritisation!$G$5+(RAND()-0.5)*2*$B$7))</f>
        <v>64.834560514352177</v>
      </c>
      <c r="U878" s="54">
        <f ca="1">MIN(100,MAX(0,MCDA_Prioritisation!$H$2+(RAND()-0.5)*2*$B$7))</f>
        <v>73.514153339941302</v>
      </c>
      <c r="V878" s="54">
        <f ca="1">MIN(100,MAX(0,MCDA_Prioritisation!$H$3+(RAND()-0.5)*2*$B$7))</f>
        <v>69.42898243182367</v>
      </c>
      <c r="W878" s="54">
        <f ca="1">MIN(100,MAX(0,MCDA_Prioritisation!$H$4+(RAND()-0.5)*2*$B$7))</f>
        <v>71.835936983954042</v>
      </c>
      <c r="X878" s="54">
        <f ca="1">MIN(100,MAX(0,MCDA_Prioritisation!$H$5+(RAND()-0.5)*2*$B$7))</f>
        <v>76.170884516816344</v>
      </c>
      <c r="Y878" s="54">
        <f ca="1">H878*MCDA_Prioritisation!$D$2+I878*MCDA_Prioritisation!$E$2+J878*M878+K878*Q878+L878*U878</f>
        <v>86.526748376300148</v>
      </c>
      <c r="Z878" s="54">
        <f ca="1">H878*MCDA_Prioritisation!$D$3+I878*MCDA_Prioritisation!$E$3+J878*N878+K878*R878+L878*V878</f>
        <v>87.233519612396975</v>
      </c>
      <c r="AA878" s="54">
        <f ca="1">H878*MCDA_Prioritisation!$D$4+I878*MCDA_Prioritisation!$E$4+J878*O878+K878*S878+L878*W878</f>
        <v>76.116865568545307</v>
      </c>
      <c r="AB878" s="54">
        <f ca="1">H878*MCDA_Prioritisation!$D$5+I878*MCDA_Prioritisation!$E$5+J878*P878+K878*T878+L878*X878</f>
        <v>71.226440605407049</v>
      </c>
      <c r="AC878" s="54">
        <f t="shared" ca="1" si="188"/>
        <v>2</v>
      </c>
      <c r="AD878" s="54">
        <f t="shared" ca="1" si="189"/>
        <v>1</v>
      </c>
      <c r="AE878" s="54">
        <f t="shared" ca="1" si="190"/>
        <v>3</v>
      </c>
      <c r="AF878" s="54">
        <f t="shared" ca="1" si="191"/>
        <v>4</v>
      </c>
      <c r="AG878" s="54">
        <f t="shared" ca="1" si="192"/>
        <v>0</v>
      </c>
      <c r="AH878" s="54">
        <f t="shared" ca="1" si="193"/>
        <v>0</v>
      </c>
      <c r="AI878" s="54">
        <f t="shared" ca="1" si="194"/>
        <v>0</v>
      </c>
      <c r="AJ878" s="54">
        <f t="shared" ca="1" si="195"/>
        <v>1</v>
      </c>
    </row>
    <row r="879" spans="1:36" x14ac:dyDescent="0.2">
      <c r="A879" s="54">
        <v>856</v>
      </c>
      <c r="B879" s="54">
        <f ca="1">MAX(0.02,MCDA_Prioritisation!$B$9+(RAND()-0.5)*2*$B$6)</f>
        <v>0.23355868489722051</v>
      </c>
      <c r="C879" s="54">
        <f ca="1">MAX(0.02,MCDA_Prioritisation!$B$10+(RAND()-0.5)*2*$B$6)</f>
        <v>0.31992725208087353</v>
      </c>
      <c r="D879" s="54">
        <f ca="1">MAX(0.02,MCDA_Prioritisation!$B$11+(RAND()-0.5)*2*$B$6)</f>
        <v>0.18309073772836393</v>
      </c>
      <c r="E879" s="54">
        <f ca="1">MAX(0.02,MCDA_Prioritisation!$B$12+(RAND()-0.5)*2*$B$6)</f>
        <v>0.16652021512260401</v>
      </c>
      <c r="F879" s="54">
        <f ca="1">MAX(0.02,MCDA_Prioritisation!$B$13+(RAND()-0.5)*2*$B$6)</f>
        <v>0.12599825648099328</v>
      </c>
      <c r="G879" s="54">
        <f t="shared" ca="1" si="182"/>
        <v>1.0290951463100551</v>
      </c>
      <c r="H879" s="54">
        <f t="shared" ca="1" si="183"/>
        <v>0.22695538477144062</v>
      </c>
      <c r="I879" s="54">
        <f t="shared" ca="1" si="184"/>
        <v>0.31088209212531159</v>
      </c>
      <c r="J879" s="54">
        <f t="shared" ca="1" si="185"/>
        <v>0.17791429527663977</v>
      </c>
      <c r="K879" s="54">
        <f t="shared" ca="1" si="186"/>
        <v>0.16181226363731513</v>
      </c>
      <c r="L879" s="54">
        <f t="shared" ca="1" si="187"/>
        <v>0.12243596418929313</v>
      </c>
      <c r="M879" s="54">
        <f ca="1">MIN(100,MAX(0,MCDA_Prioritisation!$F$2+(RAND()-0.5)*2*$B$7))</f>
        <v>75.012495385503343</v>
      </c>
      <c r="N879" s="54">
        <f ca="1">MIN(100,MAX(0,MCDA_Prioritisation!$F$3+(RAND()-0.5)*2*$B$7))</f>
        <v>88.361688771238406</v>
      </c>
      <c r="O879" s="54">
        <f ca="1">MIN(100,MAX(0,MCDA_Prioritisation!$F$4+(RAND()-0.5)*2*$B$7))</f>
        <v>92.888601096242567</v>
      </c>
      <c r="P879" s="54">
        <f ca="1">MIN(100,MAX(0,MCDA_Prioritisation!$F$5+(RAND()-0.5)*2*$B$7))</f>
        <v>77.061427986204365</v>
      </c>
      <c r="Q879" s="54">
        <f ca="1">MIN(100,MAX(0,MCDA_Prioritisation!$G$2+(RAND()-0.5)*2*$B$7))</f>
        <v>86.977776595687814</v>
      </c>
      <c r="R879" s="54">
        <f ca="1">MIN(100,MAX(0,MCDA_Prioritisation!$G$3+(RAND()-0.5)*2*$B$7))</f>
        <v>96.619355893137367</v>
      </c>
      <c r="S879" s="54">
        <f ca="1">MIN(100,MAX(0,MCDA_Prioritisation!$G$4+(RAND()-0.5)*2*$B$7))</f>
        <v>80.724399805222049</v>
      </c>
      <c r="T879" s="54">
        <f ca="1">MIN(100,MAX(0,MCDA_Prioritisation!$G$5+(RAND()-0.5)*2*$B$7))</f>
        <v>69.29518876656806</v>
      </c>
      <c r="U879" s="54">
        <f ca="1">MIN(100,MAX(0,MCDA_Prioritisation!$H$2+(RAND()-0.5)*2*$B$7))</f>
        <v>59.815192816073299</v>
      </c>
      <c r="V879" s="54">
        <f ca="1">MIN(100,MAX(0,MCDA_Prioritisation!$H$3+(RAND()-0.5)*2*$B$7))</f>
        <v>67.991345079427674</v>
      </c>
      <c r="W879" s="54">
        <f ca="1">MIN(100,MAX(0,MCDA_Prioritisation!$H$4+(RAND()-0.5)*2*$B$7))</f>
        <v>72.766714896182251</v>
      </c>
      <c r="X879" s="54">
        <f ca="1">MIN(100,MAX(0,MCDA_Prioritisation!$H$5+(RAND()-0.5)*2*$B$7))</f>
        <v>74.858258920570805</v>
      </c>
      <c r="Y879" s="54">
        <f ca="1">H879*MCDA_Prioritisation!$D$2+I879*MCDA_Prioritisation!$E$2+J879*M879+K879*Q879+L879*U879</f>
        <v>88.52714466582259</v>
      </c>
      <c r="Z879" s="54">
        <f ca="1">H879*MCDA_Prioritisation!$D$3+I879*MCDA_Prioritisation!$E$3+J879*N879+K879*R879+L879*V879</f>
        <v>82.124380148835897</v>
      </c>
      <c r="AA879" s="54">
        <f ca="1">H879*MCDA_Prioritisation!$D$4+I879*MCDA_Prioritisation!$E$4+J879*O879+K879*S879+L879*W879</f>
        <v>71.258714606156445</v>
      </c>
      <c r="AB879" s="54">
        <f ca="1">H879*MCDA_Prioritisation!$D$5+I879*MCDA_Prioritisation!$E$5+J879*P879+K879*T879+L879*X879</f>
        <v>72.276700858646322</v>
      </c>
      <c r="AC879" s="54">
        <f t="shared" ca="1" si="188"/>
        <v>1</v>
      </c>
      <c r="AD879" s="54">
        <f t="shared" ca="1" si="189"/>
        <v>2</v>
      </c>
      <c r="AE879" s="54">
        <f t="shared" ca="1" si="190"/>
        <v>4</v>
      </c>
      <c r="AF879" s="54">
        <f t="shared" ca="1" si="191"/>
        <v>3</v>
      </c>
      <c r="AG879" s="54">
        <f t="shared" ca="1" si="192"/>
        <v>1</v>
      </c>
      <c r="AH879" s="54">
        <f t="shared" ca="1" si="193"/>
        <v>1</v>
      </c>
      <c r="AI879" s="54">
        <f t="shared" ca="1" si="194"/>
        <v>0</v>
      </c>
      <c r="AJ879" s="54">
        <f t="shared" ca="1" si="195"/>
        <v>1</v>
      </c>
    </row>
    <row r="880" spans="1:36" x14ac:dyDescent="0.2">
      <c r="A880" s="54">
        <v>857</v>
      </c>
      <c r="B880" s="54">
        <f ca="1">MAX(0.02,MCDA_Prioritisation!$B$9+(RAND()-0.5)*2*$B$6)</f>
        <v>0.23213894955502407</v>
      </c>
      <c r="C880" s="54">
        <f ca="1">MAX(0.02,MCDA_Prioritisation!$B$10+(RAND()-0.5)*2*$B$6)</f>
        <v>0.21141542191538742</v>
      </c>
      <c r="D880" s="54">
        <f ca="1">MAX(0.02,MCDA_Prioritisation!$B$11+(RAND()-0.5)*2*$B$6)</f>
        <v>0.31506192122658111</v>
      </c>
      <c r="E880" s="54">
        <f ca="1">MAX(0.02,MCDA_Prioritisation!$B$12+(RAND()-0.5)*2*$B$6)</f>
        <v>0.14739829833192333</v>
      </c>
      <c r="F880" s="54">
        <f ca="1">MAX(0.02,MCDA_Prioritisation!$B$13+(RAND()-0.5)*2*$B$6)</f>
        <v>0.14475474643121167</v>
      </c>
      <c r="G880" s="54">
        <f t="shared" ca="1" si="182"/>
        <v>1.0507693374601277</v>
      </c>
      <c r="H880" s="54">
        <f t="shared" ca="1" si="183"/>
        <v>0.22092284317711428</v>
      </c>
      <c r="I880" s="54">
        <f t="shared" ca="1" si="184"/>
        <v>0.2012006007202411</v>
      </c>
      <c r="J880" s="54">
        <f t="shared" ca="1" si="185"/>
        <v>0.29983927965402435</v>
      </c>
      <c r="K880" s="54">
        <f t="shared" ca="1" si="186"/>
        <v>0.14027655078726209</v>
      </c>
      <c r="L880" s="54">
        <f t="shared" ca="1" si="187"/>
        <v>0.13776072566135811</v>
      </c>
      <c r="M880" s="54">
        <f ca="1">MIN(100,MAX(0,MCDA_Prioritisation!$F$2+(RAND()-0.5)*2*$B$7))</f>
        <v>80.914936087642999</v>
      </c>
      <c r="N880" s="54">
        <f ca="1">MIN(100,MAX(0,MCDA_Prioritisation!$F$3+(RAND()-0.5)*2*$B$7))</f>
        <v>85.878084241957552</v>
      </c>
      <c r="O880" s="54">
        <f ca="1">MIN(100,MAX(0,MCDA_Prioritisation!$F$4+(RAND()-0.5)*2*$B$7))</f>
        <v>83.531407914348648</v>
      </c>
      <c r="P880" s="54">
        <f ca="1">MIN(100,MAX(0,MCDA_Prioritisation!$F$5+(RAND()-0.5)*2*$B$7))</f>
        <v>79.068852465759093</v>
      </c>
      <c r="Q880" s="54">
        <f ca="1">MIN(100,MAX(0,MCDA_Prioritisation!$G$2+(RAND()-0.5)*2*$B$7))</f>
        <v>76.542100761243248</v>
      </c>
      <c r="R880" s="54">
        <f ca="1">MIN(100,MAX(0,MCDA_Prioritisation!$G$3+(RAND()-0.5)*2*$B$7))</f>
        <v>86.675701997435311</v>
      </c>
      <c r="S880" s="54">
        <f ca="1">MIN(100,MAX(0,MCDA_Prioritisation!$G$4+(RAND()-0.5)*2*$B$7))</f>
        <v>84.367017866983204</v>
      </c>
      <c r="T880" s="54">
        <f ca="1">MIN(100,MAX(0,MCDA_Prioritisation!$G$5+(RAND()-0.5)*2*$B$7))</f>
        <v>78.643472670996701</v>
      </c>
      <c r="U880" s="54">
        <f ca="1">MIN(100,MAX(0,MCDA_Prioritisation!$H$2+(RAND()-0.5)*2*$B$7))</f>
        <v>68.630900273703105</v>
      </c>
      <c r="V880" s="54">
        <f ca="1">MIN(100,MAX(0,MCDA_Prioritisation!$H$3+(RAND()-0.5)*2*$B$7))</f>
        <v>59.254728360828857</v>
      </c>
      <c r="W880" s="54">
        <f ca="1">MIN(100,MAX(0,MCDA_Prioritisation!$H$4+(RAND()-0.5)*2*$B$7))</f>
        <v>77.263622665518696</v>
      </c>
      <c r="X880" s="54">
        <f ca="1">MIN(100,MAX(0,MCDA_Prioritisation!$H$5+(RAND()-0.5)*2*$B$7))</f>
        <v>79.430813098439572</v>
      </c>
      <c r="Y880" s="54">
        <f ca="1">H880*MCDA_Prioritisation!$D$2+I880*MCDA_Prioritisation!$E$2+J880*M880+K880*Q880+L880*U880</f>
        <v>86.665525048801726</v>
      </c>
      <c r="Z880" s="54">
        <f ca="1">H880*MCDA_Prioritisation!$D$3+I880*MCDA_Prioritisation!$E$3+J880*N880+K880*R880+L880*V880</f>
        <v>80.011894983769196</v>
      </c>
      <c r="AA880" s="54">
        <f ca="1">H880*MCDA_Prioritisation!$D$4+I880*MCDA_Prioritisation!$E$4+J880*O880+K880*S880+L880*W880</f>
        <v>73.882950472537999</v>
      </c>
      <c r="AB880" s="54">
        <f ca="1">H880*MCDA_Prioritisation!$D$5+I880*MCDA_Prioritisation!$E$5+J880*P880+K880*T880+L880*X880</f>
        <v>74.327047214734733</v>
      </c>
      <c r="AC880" s="54">
        <f t="shared" ca="1" si="188"/>
        <v>1</v>
      </c>
      <c r="AD880" s="54">
        <f t="shared" ca="1" si="189"/>
        <v>2</v>
      </c>
      <c r="AE880" s="54">
        <f t="shared" ca="1" si="190"/>
        <v>4</v>
      </c>
      <c r="AF880" s="54">
        <f t="shared" ca="1" si="191"/>
        <v>3</v>
      </c>
      <c r="AG880" s="54">
        <f t="shared" ca="1" si="192"/>
        <v>1</v>
      </c>
      <c r="AH880" s="54">
        <f t="shared" ca="1" si="193"/>
        <v>1</v>
      </c>
      <c r="AI880" s="54">
        <f t="shared" ca="1" si="194"/>
        <v>0</v>
      </c>
      <c r="AJ880" s="54">
        <f t="shared" ca="1" si="195"/>
        <v>1</v>
      </c>
    </row>
    <row r="881" spans="1:36" x14ac:dyDescent="0.2">
      <c r="A881" s="54">
        <v>858</v>
      </c>
      <c r="B881" s="54">
        <f ca="1">MAX(0.02,MCDA_Prioritisation!$B$9+(RAND()-0.5)*2*$B$6)</f>
        <v>0.22009818905777401</v>
      </c>
      <c r="C881" s="54">
        <f ca="1">MAX(0.02,MCDA_Prioritisation!$B$10+(RAND()-0.5)*2*$B$6)</f>
        <v>0.19215020835057187</v>
      </c>
      <c r="D881" s="54">
        <f ca="1">MAX(0.02,MCDA_Prioritisation!$B$11+(RAND()-0.5)*2*$B$6)</f>
        <v>0.23153638670769328</v>
      </c>
      <c r="E881" s="54">
        <f ca="1">MAX(0.02,MCDA_Prioritisation!$B$12+(RAND()-0.5)*2*$B$6)</f>
        <v>0.13849128264253585</v>
      </c>
      <c r="F881" s="54">
        <f ca="1">MAX(0.02,MCDA_Prioritisation!$B$13+(RAND()-0.5)*2*$B$6)</f>
        <v>0.13648903296026912</v>
      </c>
      <c r="G881" s="54">
        <f t="shared" ca="1" si="182"/>
        <v>0.91876509971884412</v>
      </c>
      <c r="H881" s="54">
        <f t="shared" ca="1" si="183"/>
        <v>0.23955871759291614</v>
      </c>
      <c r="I881" s="54">
        <f t="shared" ca="1" si="184"/>
        <v>0.20913964669464774</v>
      </c>
      <c r="J881" s="54">
        <f t="shared" ca="1" si="185"/>
        <v>0.25200825192265885</v>
      </c>
      <c r="K881" s="54">
        <f t="shared" ca="1" si="186"/>
        <v>0.15073633367758119</v>
      </c>
      <c r="L881" s="54">
        <f t="shared" ca="1" si="187"/>
        <v>0.14855705011219605</v>
      </c>
      <c r="M881" s="54">
        <f ca="1">MIN(100,MAX(0,MCDA_Prioritisation!$F$2+(RAND()-0.5)*2*$B$7))</f>
        <v>84.634547917181536</v>
      </c>
      <c r="N881" s="54">
        <f ca="1">MIN(100,MAX(0,MCDA_Prioritisation!$F$3+(RAND()-0.5)*2*$B$7))</f>
        <v>85.737667660304254</v>
      </c>
      <c r="O881" s="54">
        <f ca="1">MIN(100,MAX(0,MCDA_Prioritisation!$F$4+(RAND()-0.5)*2*$B$7))</f>
        <v>88.387932484440512</v>
      </c>
      <c r="P881" s="54">
        <f ca="1">MIN(100,MAX(0,MCDA_Prioritisation!$F$5+(RAND()-0.5)*2*$B$7))</f>
        <v>71.587317151923983</v>
      </c>
      <c r="Q881" s="54">
        <f ca="1">MIN(100,MAX(0,MCDA_Prioritisation!$G$2+(RAND()-0.5)*2*$B$7))</f>
        <v>80.943522022888871</v>
      </c>
      <c r="R881" s="54">
        <f ca="1">MIN(100,MAX(0,MCDA_Prioritisation!$G$3+(RAND()-0.5)*2*$B$7))</f>
        <v>100</v>
      </c>
      <c r="S881" s="54">
        <f ca="1">MIN(100,MAX(0,MCDA_Prioritisation!$G$4+(RAND()-0.5)*2*$B$7))</f>
        <v>83.171878441102166</v>
      </c>
      <c r="T881" s="54">
        <f ca="1">MIN(100,MAX(0,MCDA_Prioritisation!$G$5+(RAND()-0.5)*2*$B$7))</f>
        <v>79.746632827275704</v>
      </c>
      <c r="U881" s="54">
        <f ca="1">MIN(100,MAX(0,MCDA_Prioritisation!$H$2+(RAND()-0.5)*2*$B$7))</f>
        <v>68.04999045029156</v>
      </c>
      <c r="V881" s="54">
        <f ca="1">MIN(100,MAX(0,MCDA_Prioritisation!$H$3+(RAND()-0.5)*2*$B$7))</f>
        <v>53.465739130932484</v>
      </c>
      <c r="W881" s="54">
        <f ca="1">MIN(100,MAX(0,MCDA_Prioritisation!$H$4+(RAND()-0.5)*2*$B$7))</f>
        <v>88.845787514067723</v>
      </c>
      <c r="X881" s="54">
        <f ca="1">MIN(100,MAX(0,MCDA_Prioritisation!$H$5+(RAND()-0.5)*2*$B$7))</f>
        <v>65.711001888671177</v>
      </c>
      <c r="Y881" s="54">
        <f ca="1">H881*MCDA_Prioritisation!$D$2+I881*MCDA_Prioritisation!$E$2+J881*M881+K881*Q881+L881*U881</f>
        <v>88.508876487769044</v>
      </c>
      <c r="Z881" s="54">
        <f ca="1">H881*MCDA_Prioritisation!$D$3+I881*MCDA_Prioritisation!$E$3+J881*N881+K881*R881+L881*V881</f>
        <v>80.769776464152073</v>
      </c>
      <c r="AA881" s="54">
        <f ca="1">H881*MCDA_Prioritisation!$D$4+I881*MCDA_Prioritisation!$E$4+J881*O881+K881*S881+L881*W881</f>
        <v>76.099258401319304</v>
      </c>
      <c r="AB881" s="54">
        <f ca="1">H881*MCDA_Prioritisation!$D$5+I881*MCDA_Prioritisation!$E$5+J881*P881+K881*T881+L881*X881</f>
        <v>70.12467742963095</v>
      </c>
      <c r="AC881" s="54">
        <f t="shared" ca="1" si="188"/>
        <v>1</v>
      </c>
      <c r="AD881" s="54">
        <f t="shared" ca="1" si="189"/>
        <v>2</v>
      </c>
      <c r="AE881" s="54">
        <f t="shared" ca="1" si="190"/>
        <v>3</v>
      </c>
      <c r="AF881" s="54">
        <f t="shared" ca="1" si="191"/>
        <v>4</v>
      </c>
      <c r="AG881" s="54">
        <f t="shared" ca="1" si="192"/>
        <v>1</v>
      </c>
      <c r="AH881" s="54">
        <f t="shared" ca="1" si="193"/>
        <v>1</v>
      </c>
      <c r="AI881" s="54">
        <f t="shared" ca="1" si="194"/>
        <v>1</v>
      </c>
      <c r="AJ881" s="54">
        <f t="shared" ca="1" si="195"/>
        <v>1</v>
      </c>
    </row>
    <row r="882" spans="1:36" x14ac:dyDescent="0.2">
      <c r="A882" s="54">
        <v>859</v>
      </c>
      <c r="B882" s="54">
        <f ca="1">MAX(0.02,MCDA_Prioritisation!$B$9+(RAND()-0.5)*2*$B$6)</f>
        <v>0.17530736321661711</v>
      </c>
      <c r="C882" s="54">
        <f ca="1">MAX(0.02,MCDA_Prioritisation!$B$10+(RAND()-0.5)*2*$B$6)</f>
        <v>0.27773950541938519</v>
      </c>
      <c r="D882" s="54">
        <f ca="1">MAX(0.02,MCDA_Prioritisation!$B$11+(RAND()-0.5)*2*$B$6)</f>
        <v>0.26939517494177689</v>
      </c>
      <c r="E882" s="54">
        <f ca="1">MAX(0.02,MCDA_Prioritisation!$B$12+(RAND()-0.5)*2*$B$6)</f>
        <v>0.17075013116337837</v>
      </c>
      <c r="F882" s="54">
        <f ca="1">MAX(0.02,MCDA_Prioritisation!$B$13+(RAND()-0.5)*2*$B$6)</f>
        <v>0.16247811264866271</v>
      </c>
      <c r="G882" s="54">
        <f t="shared" ca="1" si="182"/>
        <v>1.0556702873898203</v>
      </c>
      <c r="H882" s="54">
        <f t="shared" ca="1" si="183"/>
        <v>0.16606260999357134</v>
      </c>
      <c r="I882" s="54">
        <f t="shared" ca="1" si="184"/>
        <v>0.26309304025796282</v>
      </c>
      <c r="J882" s="54">
        <f t="shared" ca="1" si="185"/>
        <v>0.2551887442128028</v>
      </c>
      <c r="K882" s="54">
        <f t="shared" ca="1" si="186"/>
        <v>0.16174570147802844</v>
      </c>
      <c r="L882" s="54">
        <f t="shared" ca="1" si="187"/>
        <v>0.15390990405763452</v>
      </c>
      <c r="M882" s="54">
        <f ca="1">MIN(100,MAX(0,MCDA_Prioritisation!$F$2+(RAND()-0.5)*2*$B$7))</f>
        <v>79.493103943993617</v>
      </c>
      <c r="N882" s="54">
        <f ca="1">MIN(100,MAX(0,MCDA_Prioritisation!$F$3+(RAND()-0.5)*2*$B$7))</f>
        <v>100</v>
      </c>
      <c r="O882" s="54">
        <f ca="1">MIN(100,MAX(0,MCDA_Prioritisation!$F$4+(RAND()-0.5)*2*$B$7))</f>
        <v>89.666681336037414</v>
      </c>
      <c r="P882" s="54">
        <f ca="1">MIN(100,MAX(0,MCDA_Prioritisation!$F$5+(RAND()-0.5)*2*$B$7))</f>
        <v>65.642194854172274</v>
      </c>
      <c r="Q882" s="54">
        <f ca="1">MIN(100,MAX(0,MCDA_Prioritisation!$G$2+(RAND()-0.5)*2*$B$7))</f>
        <v>75.369190124551992</v>
      </c>
      <c r="R882" s="54">
        <f ca="1">MIN(100,MAX(0,MCDA_Prioritisation!$G$3+(RAND()-0.5)*2*$B$7))</f>
        <v>98.173684328269331</v>
      </c>
      <c r="S882" s="54">
        <f ca="1">MIN(100,MAX(0,MCDA_Prioritisation!$G$4+(RAND()-0.5)*2*$B$7))</f>
        <v>79.703944445150142</v>
      </c>
      <c r="T882" s="54">
        <f ca="1">MIN(100,MAX(0,MCDA_Prioritisation!$G$5+(RAND()-0.5)*2*$B$7))</f>
        <v>62.806809509174251</v>
      </c>
      <c r="U882" s="54">
        <f ca="1">MIN(100,MAX(0,MCDA_Prioritisation!$H$2+(RAND()-0.5)*2*$B$7))</f>
        <v>58.084421656641624</v>
      </c>
      <c r="V882" s="54">
        <f ca="1">MIN(100,MAX(0,MCDA_Prioritisation!$H$3+(RAND()-0.5)*2*$B$7))</f>
        <v>58.839469431040456</v>
      </c>
      <c r="W882" s="54">
        <f ca="1">MIN(100,MAX(0,MCDA_Prioritisation!$H$4+(RAND()-0.5)*2*$B$7))</f>
        <v>78.06546847988453</v>
      </c>
      <c r="X882" s="54">
        <f ca="1">MIN(100,MAX(0,MCDA_Prioritisation!$H$5+(RAND()-0.5)*2*$B$7))</f>
        <v>81.181328062219464</v>
      </c>
      <c r="Y882" s="54">
        <f ca="1">H882*MCDA_Prioritisation!$D$2+I882*MCDA_Prioritisation!$E$2+J882*M882+K882*Q882+L882*U882</f>
        <v>84.3317206851424</v>
      </c>
      <c r="Z882" s="54">
        <f ca="1">H882*MCDA_Prioritisation!$D$3+I882*MCDA_Prioritisation!$E$3+J882*N882+K882*R882+L882*V882</f>
        <v>84.101409478756622</v>
      </c>
      <c r="AA882" s="54">
        <f ca="1">H882*MCDA_Prioritisation!$D$4+I882*MCDA_Prioritisation!$E$4+J882*O882+K882*S882+L882*W882</f>
        <v>73.702900389481457</v>
      </c>
      <c r="AB882" s="54">
        <f ca="1">H882*MCDA_Prioritisation!$D$5+I882*MCDA_Prioritisation!$E$5+J882*P882+K882*T882+L882*X882</f>
        <v>70.34214486952375</v>
      </c>
      <c r="AC882" s="54">
        <f t="shared" ca="1" si="188"/>
        <v>1</v>
      </c>
      <c r="AD882" s="54">
        <f t="shared" ca="1" si="189"/>
        <v>2</v>
      </c>
      <c r="AE882" s="54">
        <f t="shared" ca="1" si="190"/>
        <v>3</v>
      </c>
      <c r="AF882" s="54">
        <f t="shared" ca="1" si="191"/>
        <v>4</v>
      </c>
      <c r="AG882" s="54">
        <f t="shared" ca="1" si="192"/>
        <v>1</v>
      </c>
      <c r="AH882" s="54">
        <f t="shared" ca="1" si="193"/>
        <v>1</v>
      </c>
      <c r="AI882" s="54">
        <f t="shared" ca="1" si="194"/>
        <v>1</v>
      </c>
      <c r="AJ882" s="54">
        <f t="shared" ca="1" si="195"/>
        <v>1</v>
      </c>
    </row>
    <row r="883" spans="1:36" x14ac:dyDescent="0.2">
      <c r="A883" s="54">
        <v>860</v>
      </c>
      <c r="B883" s="54">
        <f ca="1">MAX(0.02,MCDA_Prioritisation!$B$9+(RAND()-0.5)*2*$B$6)</f>
        <v>0.1350363012479987</v>
      </c>
      <c r="C883" s="54">
        <f ca="1">MAX(0.02,MCDA_Prioritisation!$B$10+(RAND()-0.5)*2*$B$6)</f>
        <v>0.23324338058674915</v>
      </c>
      <c r="D883" s="54">
        <f ca="1">MAX(0.02,MCDA_Prioritisation!$B$11+(RAND()-0.5)*2*$B$6)</f>
        <v>0.25408670654756393</v>
      </c>
      <c r="E883" s="54">
        <f ca="1">MAX(0.02,MCDA_Prioritisation!$B$12+(RAND()-0.5)*2*$B$6)</f>
        <v>0.10412582846873331</v>
      </c>
      <c r="F883" s="54">
        <f ca="1">MAX(0.02,MCDA_Prioritisation!$B$13+(RAND()-0.5)*2*$B$6)</f>
        <v>0.16901660192588547</v>
      </c>
      <c r="G883" s="54">
        <f t="shared" ca="1" si="182"/>
        <v>0.89550881877693067</v>
      </c>
      <c r="H883" s="54">
        <f t="shared" ca="1" si="183"/>
        <v>0.15079282126158039</v>
      </c>
      <c r="I883" s="54">
        <f t="shared" ca="1" si="184"/>
        <v>0.2604590548927353</v>
      </c>
      <c r="J883" s="54">
        <f t="shared" ca="1" si="185"/>
        <v>0.28373445489301918</v>
      </c>
      <c r="K883" s="54">
        <f t="shared" ca="1" si="186"/>
        <v>0.11627560364056094</v>
      </c>
      <c r="L883" s="54">
        <f t="shared" ca="1" si="187"/>
        <v>0.18873806531210402</v>
      </c>
      <c r="M883" s="54">
        <f ca="1">MIN(100,MAX(0,MCDA_Prioritisation!$F$2+(RAND()-0.5)*2*$B$7))</f>
        <v>76.96446684160955</v>
      </c>
      <c r="N883" s="54">
        <f ca="1">MIN(100,MAX(0,MCDA_Prioritisation!$F$3+(RAND()-0.5)*2*$B$7))</f>
        <v>100</v>
      </c>
      <c r="O883" s="54">
        <f ca="1">MIN(100,MAX(0,MCDA_Prioritisation!$F$4+(RAND()-0.5)*2*$B$7))</f>
        <v>96.151475599554217</v>
      </c>
      <c r="P883" s="54">
        <f ca="1">MIN(100,MAX(0,MCDA_Prioritisation!$F$5+(RAND()-0.5)*2*$B$7))</f>
        <v>79.915798802628558</v>
      </c>
      <c r="Q883" s="54">
        <f ca="1">MIN(100,MAX(0,MCDA_Prioritisation!$G$2+(RAND()-0.5)*2*$B$7))</f>
        <v>80.580423749281394</v>
      </c>
      <c r="R883" s="54">
        <f ca="1">MIN(100,MAX(0,MCDA_Prioritisation!$G$3+(RAND()-0.5)*2*$B$7))</f>
        <v>100</v>
      </c>
      <c r="S883" s="54">
        <f ca="1">MIN(100,MAX(0,MCDA_Prioritisation!$G$4+(RAND()-0.5)*2*$B$7))</f>
        <v>76.769623941189039</v>
      </c>
      <c r="T883" s="54">
        <f ca="1">MIN(100,MAX(0,MCDA_Prioritisation!$G$5+(RAND()-0.5)*2*$B$7))</f>
        <v>76.774891106395458</v>
      </c>
      <c r="U883" s="54">
        <f ca="1">MIN(100,MAX(0,MCDA_Prioritisation!$H$2+(RAND()-0.5)*2*$B$7))</f>
        <v>74.792969005673015</v>
      </c>
      <c r="V883" s="54">
        <f ca="1">MIN(100,MAX(0,MCDA_Prioritisation!$H$3+(RAND()-0.5)*2*$B$7))</f>
        <v>59.361819904740344</v>
      </c>
      <c r="W883" s="54">
        <f ca="1">MIN(100,MAX(0,MCDA_Prioritisation!$H$4+(RAND()-0.5)*2*$B$7))</f>
        <v>80.089391520362781</v>
      </c>
      <c r="X883" s="54">
        <f ca="1">MIN(100,MAX(0,MCDA_Prioritisation!$H$5+(RAND()-0.5)*2*$B$7))</f>
        <v>71.94954489140548</v>
      </c>
      <c r="Y883" s="54">
        <f ca="1">H883*MCDA_Prioritisation!$D$2+I883*MCDA_Prioritisation!$E$2+J883*M883+K883*Q883+L883*U883</f>
        <v>86.448476343006277</v>
      </c>
      <c r="Z883" s="54">
        <f ca="1">H883*MCDA_Prioritisation!$D$3+I883*MCDA_Prioritisation!$E$3+J883*N883+K883*R883+L883*V883</f>
        <v>83.326133576408822</v>
      </c>
      <c r="AA883" s="54">
        <f ca="1">H883*MCDA_Prioritisation!$D$4+I883*MCDA_Prioritisation!$E$4+J883*O883+K883*S883+L883*W883</f>
        <v>76.031020850486073</v>
      </c>
      <c r="AB883" s="54">
        <f ca="1">H883*MCDA_Prioritisation!$D$5+I883*MCDA_Prioritisation!$E$5+J883*P883+K883*T883+L883*X883</f>
        <v>75.087232195422203</v>
      </c>
      <c r="AC883" s="54">
        <f t="shared" ca="1" si="188"/>
        <v>1</v>
      </c>
      <c r="AD883" s="54">
        <f t="shared" ca="1" si="189"/>
        <v>2</v>
      </c>
      <c r="AE883" s="54">
        <f t="shared" ca="1" si="190"/>
        <v>3</v>
      </c>
      <c r="AF883" s="54">
        <f t="shared" ca="1" si="191"/>
        <v>4</v>
      </c>
      <c r="AG883" s="54">
        <f t="shared" ca="1" si="192"/>
        <v>1</v>
      </c>
      <c r="AH883" s="54">
        <f t="shared" ca="1" si="193"/>
        <v>1</v>
      </c>
      <c r="AI883" s="54">
        <f t="shared" ca="1" si="194"/>
        <v>1</v>
      </c>
      <c r="AJ883" s="54">
        <f t="shared" ca="1" si="195"/>
        <v>1</v>
      </c>
    </row>
    <row r="884" spans="1:36" x14ac:dyDescent="0.2">
      <c r="A884" s="54">
        <v>861</v>
      </c>
      <c r="B884" s="54">
        <f ca="1">MAX(0.02,MCDA_Prioritisation!$B$9+(RAND()-0.5)*2*$B$6)</f>
        <v>0.1874933544618313</v>
      </c>
      <c r="C884" s="54">
        <f ca="1">MAX(0.02,MCDA_Prioritisation!$B$10+(RAND()-0.5)*2*$B$6)</f>
        <v>0.25226570081227168</v>
      </c>
      <c r="D884" s="54">
        <f ca="1">MAX(0.02,MCDA_Prioritisation!$B$11+(RAND()-0.5)*2*$B$6)</f>
        <v>0.32777505818363406</v>
      </c>
      <c r="E884" s="54">
        <f ca="1">MAX(0.02,MCDA_Prioritisation!$B$12+(RAND()-0.5)*2*$B$6)</f>
        <v>8.7661645120939852E-2</v>
      </c>
      <c r="F884" s="54">
        <f ca="1">MAX(0.02,MCDA_Prioritisation!$B$13+(RAND()-0.5)*2*$B$6)</f>
        <v>0.20720724129223936</v>
      </c>
      <c r="G884" s="54">
        <f t="shared" ca="1" si="182"/>
        <v>1.0624029998709164</v>
      </c>
      <c r="H884" s="54">
        <f t="shared" ca="1" si="183"/>
        <v>0.17648044525910792</v>
      </c>
      <c r="I884" s="54">
        <f t="shared" ca="1" si="184"/>
        <v>0.23744821959550411</v>
      </c>
      <c r="J884" s="54">
        <f t="shared" ca="1" si="185"/>
        <v>0.30852233872029661</v>
      </c>
      <c r="K884" s="54">
        <f t="shared" ca="1" si="186"/>
        <v>8.2512610686896484E-2</v>
      </c>
      <c r="L884" s="54">
        <f t="shared" ca="1" si="187"/>
        <v>0.19503638573819479</v>
      </c>
      <c r="M884" s="54">
        <f ca="1">MIN(100,MAX(0,MCDA_Prioritisation!$F$2+(RAND()-0.5)*2*$B$7))</f>
        <v>79.312305791746354</v>
      </c>
      <c r="N884" s="54">
        <f ca="1">MIN(100,MAX(0,MCDA_Prioritisation!$F$3+(RAND()-0.5)*2*$B$7))</f>
        <v>94.610537706577531</v>
      </c>
      <c r="O884" s="54">
        <f ca="1">MIN(100,MAX(0,MCDA_Prioritisation!$F$4+(RAND()-0.5)*2*$B$7))</f>
        <v>90.617513255945838</v>
      </c>
      <c r="P884" s="54">
        <f ca="1">MIN(100,MAX(0,MCDA_Prioritisation!$F$5+(RAND()-0.5)*2*$B$7))</f>
        <v>66.997843596141891</v>
      </c>
      <c r="Q884" s="54">
        <f ca="1">MIN(100,MAX(0,MCDA_Prioritisation!$G$2+(RAND()-0.5)*2*$B$7))</f>
        <v>83.810510683838288</v>
      </c>
      <c r="R884" s="54">
        <f ca="1">MIN(100,MAX(0,MCDA_Prioritisation!$G$3+(RAND()-0.5)*2*$B$7))</f>
        <v>85.60174938851803</v>
      </c>
      <c r="S884" s="54">
        <f ca="1">MIN(100,MAX(0,MCDA_Prioritisation!$G$4+(RAND()-0.5)*2*$B$7))</f>
        <v>78.647008942255482</v>
      </c>
      <c r="T884" s="54">
        <f ca="1">MIN(100,MAX(0,MCDA_Prioritisation!$G$5+(RAND()-0.5)*2*$B$7))</f>
        <v>71.639856604016799</v>
      </c>
      <c r="U884" s="54">
        <f ca="1">MIN(100,MAX(0,MCDA_Prioritisation!$H$2+(RAND()-0.5)*2*$B$7))</f>
        <v>74.277025183341522</v>
      </c>
      <c r="V884" s="54">
        <f ca="1">MIN(100,MAX(0,MCDA_Prioritisation!$H$3+(RAND()-0.5)*2*$B$7))</f>
        <v>60.415263773276067</v>
      </c>
      <c r="W884" s="54">
        <f ca="1">MIN(100,MAX(0,MCDA_Prioritisation!$H$4+(RAND()-0.5)*2*$B$7))</f>
        <v>75.740463924781125</v>
      </c>
      <c r="X884" s="54">
        <f ca="1">MIN(100,MAX(0,MCDA_Prioritisation!$H$5+(RAND()-0.5)*2*$B$7))</f>
        <v>84.587432168665188</v>
      </c>
      <c r="Y884" s="54">
        <f ca="1">H884*MCDA_Prioritisation!$D$2+I884*MCDA_Prioritisation!$E$2+J884*M884+K884*Q884+L884*U884</f>
        <v>87.264631132299456</v>
      </c>
      <c r="Z884" s="54">
        <f ca="1">H884*MCDA_Prioritisation!$D$3+I884*MCDA_Prioritisation!$E$3+J884*N884+K884*R884+L884*V884</f>
        <v>80.728657403952084</v>
      </c>
      <c r="AA884" s="54">
        <f ca="1">H884*MCDA_Prioritisation!$D$4+I884*MCDA_Prioritisation!$E$4+J884*O884+K884*S884+L884*W884</f>
        <v>74.459825305943852</v>
      </c>
      <c r="AB884" s="54">
        <f ca="1">H884*MCDA_Prioritisation!$D$5+I884*MCDA_Prioritisation!$E$5+J884*P884+K884*T884+L884*X884</f>
        <v>72.413243358267664</v>
      </c>
      <c r="AC884" s="54">
        <f t="shared" ca="1" si="188"/>
        <v>1</v>
      </c>
      <c r="AD884" s="54">
        <f t="shared" ca="1" si="189"/>
        <v>2</v>
      </c>
      <c r="AE884" s="54">
        <f t="shared" ca="1" si="190"/>
        <v>3</v>
      </c>
      <c r="AF884" s="54">
        <f t="shared" ca="1" si="191"/>
        <v>4</v>
      </c>
      <c r="AG884" s="54">
        <f t="shared" ca="1" si="192"/>
        <v>1</v>
      </c>
      <c r="AH884" s="54">
        <f t="shared" ca="1" si="193"/>
        <v>1</v>
      </c>
      <c r="AI884" s="54">
        <f t="shared" ca="1" si="194"/>
        <v>1</v>
      </c>
      <c r="AJ884" s="54">
        <f t="shared" ca="1" si="195"/>
        <v>1</v>
      </c>
    </row>
    <row r="885" spans="1:36" x14ac:dyDescent="0.2">
      <c r="A885" s="54">
        <v>862</v>
      </c>
      <c r="B885" s="54">
        <f ca="1">MAX(0.02,MCDA_Prioritisation!$B$9+(RAND()-0.5)*2*$B$6)</f>
        <v>0.26744877223259106</v>
      </c>
      <c r="C885" s="54">
        <f ca="1">MAX(0.02,MCDA_Prioritisation!$B$10+(RAND()-0.5)*2*$B$6)</f>
        <v>0.22704246264683228</v>
      </c>
      <c r="D885" s="54">
        <f ca="1">MAX(0.02,MCDA_Prioritisation!$B$11+(RAND()-0.5)*2*$B$6)</f>
        <v>0.28829231020964347</v>
      </c>
      <c r="E885" s="54">
        <f ca="1">MAX(0.02,MCDA_Prioritisation!$B$12+(RAND()-0.5)*2*$B$6)</f>
        <v>0.10587785103373144</v>
      </c>
      <c r="F885" s="54">
        <f ca="1">MAX(0.02,MCDA_Prioritisation!$B$13+(RAND()-0.5)*2*$B$6)</f>
        <v>0.2126429351396209</v>
      </c>
      <c r="G885" s="54">
        <f t="shared" ca="1" si="182"/>
        <v>1.1013043312624191</v>
      </c>
      <c r="H885" s="54">
        <f t="shared" ca="1" si="183"/>
        <v>0.24284728992758614</v>
      </c>
      <c r="I885" s="54">
        <f t="shared" ca="1" si="184"/>
        <v>0.20615778600141774</v>
      </c>
      <c r="J885" s="54">
        <f t="shared" ca="1" si="185"/>
        <v>0.2617735189320245</v>
      </c>
      <c r="K885" s="54">
        <f t="shared" ca="1" si="186"/>
        <v>9.6138594962542498E-2</v>
      </c>
      <c r="L885" s="54">
        <f t="shared" ca="1" si="187"/>
        <v>0.19308281017642914</v>
      </c>
      <c r="M885" s="54">
        <f ca="1">MIN(100,MAX(0,MCDA_Prioritisation!$F$2+(RAND()-0.5)*2*$B$7))</f>
        <v>78.054530268088726</v>
      </c>
      <c r="N885" s="54">
        <f ca="1">MIN(100,MAX(0,MCDA_Prioritisation!$F$3+(RAND()-0.5)*2*$B$7))</f>
        <v>96.853841765523342</v>
      </c>
      <c r="O885" s="54">
        <f ca="1">MIN(100,MAX(0,MCDA_Prioritisation!$F$4+(RAND()-0.5)*2*$B$7))</f>
        <v>99.648137936700593</v>
      </c>
      <c r="P885" s="54">
        <f ca="1">MIN(100,MAX(0,MCDA_Prioritisation!$F$5+(RAND()-0.5)*2*$B$7))</f>
        <v>69.610815424287637</v>
      </c>
      <c r="Q885" s="54">
        <f ca="1">MIN(100,MAX(0,MCDA_Prioritisation!$G$2+(RAND()-0.5)*2*$B$7))</f>
        <v>87.798572300844825</v>
      </c>
      <c r="R885" s="54">
        <f ca="1">MIN(100,MAX(0,MCDA_Prioritisation!$G$3+(RAND()-0.5)*2*$B$7))</f>
        <v>87.921389539622169</v>
      </c>
      <c r="S885" s="54">
        <f ca="1">MIN(100,MAX(0,MCDA_Prioritisation!$G$4+(RAND()-0.5)*2*$B$7))</f>
        <v>92.732319643773891</v>
      </c>
      <c r="T885" s="54">
        <f ca="1">MIN(100,MAX(0,MCDA_Prioritisation!$G$5+(RAND()-0.5)*2*$B$7))</f>
        <v>60.284433477348138</v>
      </c>
      <c r="U885" s="54">
        <f ca="1">MIN(100,MAX(0,MCDA_Prioritisation!$H$2+(RAND()-0.5)*2*$B$7))</f>
        <v>65.725972013873019</v>
      </c>
      <c r="V885" s="54">
        <f ca="1">MIN(100,MAX(0,MCDA_Prioritisation!$H$3+(RAND()-0.5)*2*$B$7))</f>
        <v>59.026903920676801</v>
      </c>
      <c r="W885" s="54">
        <f ca="1">MIN(100,MAX(0,MCDA_Prioritisation!$H$4+(RAND()-0.5)*2*$B$7))</f>
        <v>75.890767814368147</v>
      </c>
      <c r="X885" s="54">
        <f ca="1">MIN(100,MAX(0,MCDA_Prioritisation!$H$5+(RAND()-0.5)*2*$B$7))</f>
        <v>78.230789697552353</v>
      </c>
      <c r="Y885" s="54">
        <f ca="1">H885*MCDA_Prioritisation!$D$2+I885*MCDA_Prioritisation!$E$2+J885*M885+K885*Q885+L885*U885</f>
        <v>86.464503408500548</v>
      </c>
      <c r="Z885" s="54">
        <f ca="1">H885*MCDA_Prioritisation!$D$3+I885*MCDA_Prioritisation!$E$3+J885*N885+K885*R885+L885*V885</f>
        <v>81.420869413450404</v>
      </c>
      <c r="AA885" s="54">
        <f ca="1">H885*MCDA_Prioritisation!$D$4+I885*MCDA_Prioritisation!$E$4+J885*O885+K885*S885+L885*W885</f>
        <v>77.809029170791788</v>
      </c>
      <c r="AB885" s="54">
        <f ca="1">H885*MCDA_Prioritisation!$D$5+I885*MCDA_Prioritisation!$E$5+J885*P885+K885*T885+L885*X885</f>
        <v>69.348281203851016</v>
      </c>
      <c r="AC885" s="54">
        <f t="shared" ca="1" si="188"/>
        <v>1</v>
      </c>
      <c r="AD885" s="54">
        <f t="shared" ca="1" si="189"/>
        <v>2</v>
      </c>
      <c r="AE885" s="54">
        <f t="shared" ca="1" si="190"/>
        <v>3</v>
      </c>
      <c r="AF885" s="54">
        <f t="shared" ca="1" si="191"/>
        <v>4</v>
      </c>
      <c r="AG885" s="54">
        <f t="shared" ca="1" si="192"/>
        <v>1</v>
      </c>
      <c r="AH885" s="54">
        <f t="shared" ca="1" si="193"/>
        <v>1</v>
      </c>
      <c r="AI885" s="54">
        <f t="shared" ca="1" si="194"/>
        <v>1</v>
      </c>
      <c r="AJ885" s="54">
        <f t="shared" ca="1" si="195"/>
        <v>1</v>
      </c>
    </row>
    <row r="886" spans="1:36" x14ac:dyDescent="0.2">
      <c r="A886" s="54">
        <v>863</v>
      </c>
      <c r="B886" s="54">
        <f ca="1">MAX(0.02,MCDA_Prioritisation!$B$9+(RAND()-0.5)*2*$B$6)</f>
        <v>0.17993493304526303</v>
      </c>
      <c r="C886" s="54">
        <f ca="1">MAX(0.02,MCDA_Prioritisation!$B$10+(RAND()-0.5)*2*$B$6)</f>
        <v>0.2592064646677662</v>
      </c>
      <c r="D886" s="54">
        <f ca="1">MAX(0.02,MCDA_Prioritisation!$B$11+(RAND()-0.5)*2*$B$6)</f>
        <v>0.28900647539177926</v>
      </c>
      <c r="E886" s="54">
        <f ca="1">MAX(0.02,MCDA_Prioritisation!$B$12+(RAND()-0.5)*2*$B$6)</f>
        <v>0.20838706351787314</v>
      </c>
      <c r="F886" s="54">
        <f ca="1">MAX(0.02,MCDA_Prioritisation!$B$13+(RAND()-0.5)*2*$B$6)</f>
        <v>7.8993355314109295E-2</v>
      </c>
      <c r="G886" s="54">
        <f t="shared" ca="1" si="182"/>
        <v>1.0155282919367909</v>
      </c>
      <c r="H886" s="54">
        <f t="shared" ca="1" si="183"/>
        <v>0.17718357476983285</v>
      </c>
      <c r="I886" s="54">
        <f t="shared" ca="1" si="184"/>
        <v>0.2552429772029432</v>
      </c>
      <c r="J886" s="54">
        <f t="shared" ca="1" si="185"/>
        <v>0.28458732039911278</v>
      </c>
      <c r="K886" s="54">
        <f t="shared" ca="1" si="186"/>
        <v>0.20520064795087331</v>
      </c>
      <c r="L886" s="54">
        <f t="shared" ca="1" si="187"/>
        <v>7.7785479677237826E-2</v>
      </c>
      <c r="M886" s="54">
        <f ca="1">MIN(100,MAX(0,MCDA_Prioritisation!$F$2+(RAND()-0.5)*2*$B$7))</f>
        <v>78.708303664255737</v>
      </c>
      <c r="N886" s="54">
        <f ca="1">MIN(100,MAX(0,MCDA_Prioritisation!$F$3+(RAND()-0.5)*2*$B$7))</f>
        <v>91.602004807877279</v>
      </c>
      <c r="O886" s="54">
        <f ca="1">MIN(100,MAX(0,MCDA_Prioritisation!$F$4+(RAND()-0.5)*2*$B$7))</f>
        <v>80.311653168436834</v>
      </c>
      <c r="P886" s="54">
        <f ca="1">MIN(100,MAX(0,MCDA_Prioritisation!$F$5+(RAND()-0.5)*2*$B$7))</f>
        <v>65.015237635161412</v>
      </c>
      <c r="Q886" s="54">
        <f ca="1">MIN(100,MAX(0,MCDA_Prioritisation!$G$2+(RAND()-0.5)*2*$B$7))</f>
        <v>73.851209308905737</v>
      </c>
      <c r="R886" s="54">
        <f ca="1">MIN(100,MAX(0,MCDA_Prioritisation!$G$3+(RAND()-0.5)*2*$B$7))</f>
        <v>95.132762646371276</v>
      </c>
      <c r="S886" s="54">
        <f ca="1">MIN(100,MAX(0,MCDA_Prioritisation!$G$4+(RAND()-0.5)*2*$B$7))</f>
        <v>77.773759114683855</v>
      </c>
      <c r="T886" s="54">
        <f ca="1">MIN(100,MAX(0,MCDA_Prioritisation!$G$5+(RAND()-0.5)*2*$B$7))</f>
        <v>72.695820369194607</v>
      </c>
      <c r="U886" s="54">
        <f ca="1">MIN(100,MAX(0,MCDA_Prioritisation!$H$2+(RAND()-0.5)*2*$B$7))</f>
        <v>57.311221589122113</v>
      </c>
      <c r="V886" s="54">
        <f ca="1">MIN(100,MAX(0,MCDA_Prioritisation!$H$3+(RAND()-0.5)*2*$B$7))</f>
        <v>65.555145846231923</v>
      </c>
      <c r="W886" s="54">
        <f ca="1">MIN(100,MAX(0,MCDA_Prioritisation!$H$4+(RAND()-0.5)*2*$B$7))</f>
        <v>74.59126838183046</v>
      </c>
      <c r="X886" s="54">
        <f ca="1">MIN(100,MAX(0,MCDA_Prioritisation!$H$5+(RAND()-0.5)*2*$B$7))</f>
        <v>69.519803544337393</v>
      </c>
      <c r="Y886" s="54">
        <f ca="1">H886*MCDA_Prioritisation!$D$2+I886*MCDA_Prioritisation!$E$2+J886*M886+K886*Q886+L886*U886</f>
        <v>85.254337294589163</v>
      </c>
      <c r="Z886" s="54">
        <f ca="1">H886*MCDA_Prioritisation!$D$3+I886*MCDA_Prioritisation!$E$3+J886*N886+K886*R886+L886*V886</f>
        <v>84.737722111235044</v>
      </c>
      <c r="AA886" s="54">
        <f ca="1">H886*MCDA_Prioritisation!$D$4+I886*MCDA_Prioritisation!$E$4+J886*O886+K886*S886+L886*W886</f>
        <v>70.877388293321488</v>
      </c>
      <c r="AB886" s="54">
        <f ca="1">H886*MCDA_Prioritisation!$D$5+I886*MCDA_Prioritisation!$E$5+J886*P886+K886*T886+L886*X886</f>
        <v>69.695162857334253</v>
      </c>
      <c r="AC886" s="54">
        <f t="shared" ca="1" si="188"/>
        <v>1</v>
      </c>
      <c r="AD886" s="54">
        <f t="shared" ca="1" si="189"/>
        <v>2</v>
      </c>
      <c r="AE886" s="54">
        <f t="shared" ca="1" si="190"/>
        <v>3</v>
      </c>
      <c r="AF886" s="54">
        <f t="shared" ca="1" si="191"/>
        <v>4</v>
      </c>
      <c r="AG886" s="54">
        <f t="shared" ca="1" si="192"/>
        <v>1</v>
      </c>
      <c r="AH886" s="54">
        <f t="shared" ca="1" si="193"/>
        <v>1</v>
      </c>
      <c r="AI886" s="54">
        <f t="shared" ca="1" si="194"/>
        <v>1</v>
      </c>
      <c r="AJ886" s="54">
        <f t="shared" ca="1" si="195"/>
        <v>1</v>
      </c>
    </row>
    <row r="887" spans="1:36" x14ac:dyDescent="0.2">
      <c r="A887" s="54">
        <v>864</v>
      </c>
      <c r="B887" s="54">
        <f ca="1">MAX(0.02,MCDA_Prioritisation!$B$9+(RAND()-0.5)*2*$B$6)</f>
        <v>0.15650494540379251</v>
      </c>
      <c r="C887" s="54">
        <f ca="1">MAX(0.02,MCDA_Prioritisation!$B$10+(RAND()-0.5)*2*$B$6)</f>
        <v>0.31042852798643883</v>
      </c>
      <c r="D887" s="54">
        <f ca="1">MAX(0.02,MCDA_Prioritisation!$B$11+(RAND()-0.5)*2*$B$6)</f>
        <v>0.19417207493061989</v>
      </c>
      <c r="E887" s="54">
        <f ca="1">MAX(0.02,MCDA_Prioritisation!$B$12+(RAND()-0.5)*2*$B$6)</f>
        <v>7.9897544075290872E-2</v>
      </c>
      <c r="F887" s="54">
        <f ca="1">MAX(0.02,MCDA_Prioritisation!$B$13+(RAND()-0.5)*2*$B$6)</f>
        <v>0.1546541765135544</v>
      </c>
      <c r="G887" s="54">
        <f t="shared" ca="1" si="182"/>
        <v>0.89565726890969655</v>
      </c>
      <c r="H887" s="54">
        <f t="shared" ca="1" si="183"/>
        <v>0.17473753726613467</v>
      </c>
      <c r="I887" s="54">
        <f t="shared" ca="1" si="184"/>
        <v>0.34659298680658324</v>
      </c>
      <c r="J887" s="54">
        <f t="shared" ca="1" si="185"/>
        <v>0.21679283099772065</v>
      </c>
      <c r="K887" s="54">
        <f t="shared" ca="1" si="186"/>
        <v>8.9205488358903087E-2</v>
      </c>
      <c r="L887" s="54">
        <f t="shared" ca="1" si="187"/>
        <v>0.17267115657065829</v>
      </c>
      <c r="M887" s="54">
        <f ca="1">MIN(100,MAX(0,MCDA_Prioritisation!$F$2+(RAND()-0.5)*2*$B$7))</f>
        <v>82.230152667800269</v>
      </c>
      <c r="N887" s="54">
        <f ca="1">MIN(100,MAX(0,MCDA_Prioritisation!$F$3+(RAND()-0.5)*2*$B$7))</f>
        <v>100</v>
      </c>
      <c r="O887" s="54">
        <f ca="1">MIN(100,MAX(0,MCDA_Prioritisation!$F$4+(RAND()-0.5)*2*$B$7))</f>
        <v>96.947024370339562</v>
      </c>
      <c r="P887" s="54">
        <f ca="1">MIN(100,MAX(0,MCDA_Prioritisation!$F$5+(RAND()-0.5)*2*$B$7))</f>
        <v>70.193257559342399</v>
      </c>
      <c r="Q887" s="54">
        <f ca="1">MIN(100,MAX(0,MCDA_Prioritisation!$G$2+(RAND()-0.5)*2*$B$7))</f>
        <v>80.363488258525408</v>
      </c>
      <c r="R887" s="54">
        <f ca="1">MIN(100,MAX(0,MCDA_Prioritisation!$G$3+(RAND()-0.5)*2*$B$7))</f>
        <v>98.130981759079503</v>
      </c>
      <c r="S887" s="54">
        <f ca="1">MIN(100,MAX(0,MCDA_Prioritisation!$G$4+(RAND()-0.5)*2*$B$7))</f>
        <v>76.905448982519815</v>
      </c>
      <c r="T887" s="54">
        <f ca="1">MIN(100,MAX(0,MCDA_Prioritisation!$G$5+(RAND()-0.5)*2*$B$7))</f>
        <v>70.970509466879022</v>
      </c>
      <c r="U887" s="54">
        <f ca="1">MIN(100,MAX(0,MCDA_Prioritisation!$H$2+(RAND()-0.5)*2*$B$7))</f>
        <v>59.226766819342302</v>
      </c>
      <c r="V887" s="54">
        <f ca="1">MIN(100,MAX(0,MCDA_Prioritisation!$H$3+(RAND()-0.5)*2*$B$7))</f>
        <v>66.754113506318049</v>
      </c>
      <c r="W887" s="54">
        <f ca="1">MIN(100,MAX(0,MCDA_Prioritisation!$H$4+(RAND()-0.5)*2*$B$7))</f>
        <v>74.77275954911066</v>
      </c>
      <c r="X887" s="54">
        <f ca="1">MIN(100,MAX(0,MCDA_Prioritisation!$H$5+(RAND()-0.5)*2*$B$7))</f>
        <v>81.936174729865471</v>
      </c>
      <c r="Y887" s="54">
        <f ca="1">H887*MCDA_Prioritisation!$D$2+I887*MCDA_Prioritisation!$E$2+J887*M887+K887*Q887+L887*U887</f>
        <v>87.355578540462247</v>
      </c>
      <c r="Z887" s="54">
        <f ca="1">H887*MCDA_Prioritisation!$D$3+I887*MCDA_Prioritisation!$E$3+J887*N887+K887*R887+L887*V887</f>
        <v>82.437886369684833</v>
      </c>
      <c r="AA887" s="54">
        <f ca="1">H887*MCDA_Prioritisation!$D$4+I887*MCDA_Prioritisation!$E$4+J887*O887+K887*S887+L887*W887</f>
        <v>71.861673765974786</v>
      </c>
      <c r="AB887" s="54">
        <f ca="1">H887*MCDA_Prioritisation!$D$5+I887*MCDA_Prioritisation!$E$5+J887*P887+K887*T887+L887*X887</f>
        <v>74.116037655672955</v>
      </c>
      <c r="AC887" s="54">
        <f t="shared" ca="1" si="188"/>
        <v>1</v>
      </c>
      <c r="AD887" s="54">
        <f t="shared" ca="1" si="189"/>
        <v>2</v>
      </c>
      <c r="AE887" s="54">
        <f t="shared" ca="1" si="190"/>
        <v>4</v>
      </c>
      <c r="AF887" s="54">
        <f t="shared" ca="1" si="191"/>
        <v>3</v>
      </c>
      <c r="AG887" s="54">
        <f t="shared" ca="1" si="192"/>
        <v>1</v>
      </c>
      <c r="AH887" s="54">
        <f t="shared" ca="1" si="193"/>
        <v>1</v>
      </c>
      <c r="AI887" s="54">
        <f t="shared" ca="1" si="194"/>
        <v>0</v>
      </c>
      <c r="AJ887" s="54">
        <f t="shared" ca="1" si="195"/>
        <v>1</v>
      </c>
    </row>
    <row r="888" spans="1:36" x14ac:dyDescent="0.2">
      <c r="A888" s="54">
        <v>865</v>
      </c>
      <c r="B888" s="54">
        <f ca="1">MAX(0.02,MCDA_Prioritisation!$B$9+(RAND()-0.5)*2*$B$6)</f>
        <v>0.24818710741481315</v>
      </c>
      <c r="C888" s="54">
        <f ca="1">MAX(0.02,MCDA_Prioritisation!$B$10+(RAND()-0.5)*2*$B$6)</f>
        <v>0.28478182702015647</v>
      </c>
      <c r="D888" s="54">
        <f ca="1">MAX(0.02,MCDA_Prioritisation!$B$11+(RAND()-0.5)*2*$B$6)</f>
        <v>0.21544706035774383</v>
      </c>
      <c r="E888" s="54">
        <f ca="1">MAX(0.02,MCDA_Prioritisation!$B$12+(RAND()-0.5)*2*$B$6)</f>
        <v>0.15928964283540681</v>
      </c>
      <c r="F888" s="54">
        <f ca="1">MAX(0.02,MCDA_Prioritisation!$B$13+(RAND()-0.5)*2*$B$6)</f>
        <v>0.15549561498332587</v>
      </c>
      <c r="G888" s="54">
        <f t="shared" ca="1" si="182"/>
        <v>1.0632012526114463</v>
      </c>
      <c r="H888" s="54">
        <f t="shared" ca="1" si="183"/>
        <v>0.2334337989211481</v>
      </c>
      <c r="I888" s="54">
        <f t="shared" ca="1" si="184"/>
        <v>0.26785317109124196</v>
      </c>
      <c r="J888" s="54">
        <f t="shared" ca="1" si="185"/>
        <v>0.20263996099380099</v>
      </c>
      <c r="K888" s="54">
        <f t="shared" ca="1" si="186"/>
        <v>0.14982078176089228</v>
      </c>
      <c r="L888" s="54">
        <f t="shared" ca="1" si="187"/>
        <v>0.14625228723291653</v>
      </c>
      <c r="M888" s="54">
        <f ca="1">MIN(100,MAX(0,MCDA_Prioritisation!$F$2+(RAND()-0.5)*2*$B$7))</f>
        <v>91.895969204634369</v>
      </c>
      <c r="N888" s="54">
        <f ca="1">MIN(100,MAX(0,MCDA_Prioritisation!$F$3+(RAND()-0.5)*2*$B$7))</f>
        <v>93.32142304890094</v>
      </c>
      <c r="O888" s="54">
        <f ca="1">MIN(100,MAX(0,MCDA_Prioritisation!$F$4+(RAND()-0.5)*2*$B$7))</f>
        <v>81.625016383900643</v>
      </c>
      <c r="P888" s="54">
        <f ca="1">MIN(100,MAX(0,MCDA_Prioritisation!$F$5+(RAND()-0.5)*2*$B$7))</f>
        <v>72.626776909863224</v>
      </c>
      <c r="Q888" s="54">
        <f ca="1">MIN(100,MAX(0,MCDA_Prioritisation!$G$2+(RAND()-0.5)*2*$B$7))</f>
        <v>83.973072153980638</v>
      </c>
      <c r="R888" s="54">
        <f ca="1">MIN(100,MAX(0,MCDA_Prioritisation!$G$3+(RAND()-0.5)*2*$B$7))</f>
        <v>85.89132952513468</v>
      </c>
      <c r="S888" s="54">
        <f ca="1">MIN(100,MAX(0,MCDA_Prioritisation!$G$4+(RAND()-0.5)*2*$B$7))</f>
        <v>83.243590264951948</v>
      </c>
      <c r="T888" s="54">
        <f ca="1">MIN(100,MAX(0,MCDA_Prioritisation!$G$5+(RAND()-0.5)*2*$B$7))</f>
        <v>70.332275118321135</v>
      </c>
      <c r="U888" s="54">
        <f ca="1">MIN(100,MAX(0,MCDA_Prioritisation!$H$2+(RAND()-0.5)*2*$B$7))</f>
        <v>58.390677932544236</v>
      </c>
      <c r="V888" s="54">
        <f ca="1">MIN(100,MAX(0,MCDA_Prioritisation!$H$3+(RAND()-0.5)*2*$B$7))</f>
        <v>53.292372891852423</v>
      </c>
      <c r="W888" s="54">
        <f ca="1">MIN(100,MAX(0,MCDA_Prioritisation!$H$4+(RAND()-0.5)*2*$B$7))</f>
        <v>83.935103159639951</v>
      </c>
      <c r="X888" s="54">
        <f ca="1">MIN(100,MAX(0,MCDA_Prioritisation!$H$5+(RAND()-0.5)*2*$B$7))</f>
        <v>72.969491475296394</v>
      </c>
      <c r="Y888" s="54">
        <f ca="1">H888*MCDA_Prioritisation!$D$2+I888*MCDA_Prioritisation!$E$2+J888*M888+K888*Q888+L888*U888</f>
        <v>89.871174134042022</v>
      </c>
      <c r="Z888" s="54">
        <f ca="1">H888*MCDA_Prioritisation!$D$3+I888*MCDA_Prioritisation!$E$3+J888*N888+K888*R888+L888*V888</f>
        <v>79.454693916925223</v>
      </c>
      <c r="AA888" s="54">
        <f ca="1">H888*MCDA_Prioritisation!$D$4+I888*MCDA_Prioritisation!$E$4+J888*O888+K888*S888+L888*W888</f>
        <v>72.152941183868563</v>
      </c>
      <c r="AB888" s="54">
        <f ca="1">H888*MCDA_Prioritisation!$D$5+I888*MCDA_Prioritisation!$E$5+J888*P888+K888*T888+L888*X888</f>
        <v>70.840001960032367</v>
      </c>
      <c r="AC888" s="54">
        <f t="shared" ca="1" si="188"/>
        <v>1</v>
      </c>
      <c r="AD888" s="54">
        <f t="shared" ca="1" si="189"/>
        <v>2</v>
      </c>
      <c r="AE888" s="54">
        <f t="shared" ca="1" si="190"/>
        <v>3</v>
      </c>
      <c r="AF888" s="54">
        <f t="shared" ca="1" si="191"/>
        <v>4</v>
      </c>
      <c r="AG888" s="54">
        <f t="shared" ca="1" si="192"/>
        <v>1</v>
      </c>
      <c r="AH888" s="54">
        <f t="shared" ca="1" si="193"/>
        <v>1</v>
      </c>
      <c r="AI888" s="54">
        <f t="shared" ca="1" si="194"/>
        <v>1</v>
      </c>
      <c r="AJ888" s="54">
        <f t="shared" ca="1" si="195"/>
        <v>1</v>
      </c>
    </row>
    <row r="889" spans="1:36" x14ac:dyDescent="0.2">
      <c r="A889" s="54">
        <v>866</v>
      </c>
      <c r="B889" s="54">
        <f ca="1">MAX(0.02,MCDA_Prioritisation!$B$9+(RAND()-0.5)*2*$B$6)</f>
        <v>0.14914349478089117</v>
      </c>
      <c r="C889" s="54">
        <f ca="1">MAX(0.02,MCDA_Prioritisation!$B$10+(RAND()-0.5)*2*$B$6)</f>
        <v>0.25189417759198973</v>
      </c>
      <c r="D889" s="54">
        <f ca="1">MAX(0.02,MCDA_Prioritisation!$B$11+(RAND()-0.5)*2*$B$6)</f>
        <v>0.23948437563858405</v>
      </c>
      <c r="E889" s="54">
        <f ca="1">MAX(0.02,MCDA_Prioritisation!$B$12+(RAND()-0.5)*2*$B$6)</f>
        <v>0.16599160536295282</v>
      </c>
      <c r="F889" s="54">
        <f ca="1">MAX(0.02,MCDA_Prioritisation!$B$13+(RAND()-0.5)*2*$B$6)</f>
        <v>0.13387383734240804</v>
      </c>
      <c r="G889" s="54">
        <f t="shared" ca="1" si="182"/>
        <v>0.9403874907168257</v>
      </c>
      <c r="H889" s="54">
        <f t="shared" ca="1" si="183"/>
        <v>0.15859791442696045</v>
      </c>
      <c r="I889" s="54">
        <f t="shared" ca="1" si="184"/>
        <v>0.26786211011801025</v>
      </c>
      <c r="J889" s="54">
        <f t="shared" ca="1" si="185"/>
        <v>0.25466563305306539</v>
      </c>
      <c r="K889" s="54">
        <f t="shared" ca="1" si="186"/>
        <v>0.17651405085835734</v>
      </c>
      <c r="L889" s="54">
        <f t="shared" ca="1" si="187"/>
        <v>0.14236029154360669</v>
      </c>
      <c r="M889" s="54">
        <f ca="1">MIN(100,MAX(0,MCDA_Prioritisation!$F$2+(RAND()-0.5)*2*$B$7))</f>
        <v>86.72898987495671</v>
      </c>
      <c r="N889" s="54">
        <f ca="1">MIN(100,MAX(0,MCDA_Prioritisation!$F$3+(RAND()-0.5)*2*$B$7))</f>
        <v>92.932846009774423</v>
      </c>
      <c r="O889" s="54">
        <f ca="1">MIN(100,MAX(0,MCDA_Prioritisation!$F$4+(RAND()-0.5)*2*$B$7))</f>
        <v>99.384965747934729</v>
      </c>
      <c r="P889" s="54">
        <f ca="1">MIN(100,MAX(0,MCDA_Prioritisation!$F$5+(RAND()-0.5)*2*$B$7))</f>
        <v>68.153241872254924</v>
      </c>
      <c r="Q889" s="54">
        <f ca="1">MIN(100,MAX(0,MCDA_Prioritisation!$G$2+(RAND()-0.5)*2*$B$7))</f>
        <v>74.726669105660093</v>
      </c>
      <c r="R889" s="54">
        <f ca="1">MIN(100,MAX(0,MCDA_Prioritisation!$G$3+(RAND()-0.5)*2*$B$7))</f>
        <v>96.507991649323188</v>
      </c>
      <c r="S889" s="54">
        <f ca="1">MIN(100,MAX(0,MCDA_Prioritisation!$G$4+(RAND()-0.5)*2*$B$7))</f>
        <v>75.034124679451565</v>
      </c>
      <c r="T889" s="54">
        <f ca="1">MIN(100,MAX(0,MCDA_Prioritisation!$G$5+(RAND()-0.5)*2*$B$7))</f>
        <v>67.727726723715733</v>
      </c>
      <c r="U889" s="54">
        <f ca="1">MIN(100,MAX(0,MCDA_Prioritisation!$H$2+(RAND()-0.5)*2*$B$7))</f>
        <v>59.998368988526089</v>
      </c>
      <c r="V889" s="54">
        <f ca="1">MIN(100,MAX(0,MCDA_Prioritisation!$H$3+(RAND()-0.5)*2*$B$7))</f>
        <v>61.793722661709566</v>
      </c>
      <c r="W889" s="54">
        <f ca="1">MIN(100,MAX(0,MCDA_Prioritisation!$H$4+(RAND()-0.5)*2*$B$7))</f>
        <v>73.088193528263346</v>
      </c>
      <c r="X889" s="54">
        <f ca="1">MIN(100,MAX(0,MCDA_Prioritisation!$H$5+(RAND()-0.5)*2*$B$7))</f>
        <v>76.622349230001589</v>
      </c>
      <c r="Y889" s="54">
        <f ca="1">H889*MCDA_Prioritisation!$D$2+I889*MCDA_Prioritisation!$E$2+J889*M889+K889*Q889+L889*U889</f>
        <v>86.464587937395407</v>
      </c>
      <c r="Z889" s="54">
        <f ca="1">H889*MCDA_Prioritisation!$D$3+I889*MCDA_Prioritisation!$E$3+J889*N889+K889*R889+L889*V889</f>
        <v>82.840628150406403</v>
      </c>
      <c r="AA889" s="54">
        <f ca="1">H889*MCDA_Prioritisation!$D$4+I889*MCDA_Prioritisation!$E$4+J889*O889+K889*S889+L889*W889</f>
        <v>74.613856035804162</v>
      </c>
      <c r="AB889" s="54">
        <f ca="1">H889*MCDA_Prioritisation!$D$5+I889*MCDA_Prioritisation!$E$5+J889*P889+K889*T889+L889*X889</f>
        <v>71.161657643518424</v>
      </c>
      <c r="AC889" s="54">
        <f t="shared" ca="1" si="188"/>
        <v>1</v>
      </c>
      <c r="AD889" s="54">
        <f t="shared" ca="1" si="189"/>
        <v>2</v>
      </c>
      <c r="AE889" s="54">
        <f t="shared" ca="1" si="190"/>
        <v>3</v>
      </c>
      <c r="AF889" s="54">
        <f t="shared" ca="1" si="191"/>
        <v>4</v>
      </c>
      <c r="AG889" s="54">
        <f t="shared" ca="1" si="192"/>
        <v>1</v>
      </c>
      <c r="AH889" s="54">
        <f t="shared" ca="1" si="193"/>
        <v>1</v>
      </c>
      <c r="AI889" s="54">
        <f t="shared" ca="1" si="194"/>
        <v>1</v>
      </c>
      <c r="AJ889" s="54">
        <f t="shared" ca="1" si="195"/>
        <v>1</v>
      </c>
    </row>
    <row r="890" spans="1:36" x14ac:dyDescent="0.2">
      <c r="A890" s="54">
        <v>867</v>
      </c>
      <c r="B890" s="54">
        <f ca="1">MAX(0.02,MCDA_Prioritisation!$B$9+(RAND()-0.5)*2*$B$6)</f>
        <v>0.12449139790615008</v>
      </c>
      <c r="C890" s="54">
        <f ca="1">MAX(0.02,MCDA_Prioritisation!$B$10+(RAND()-0.5)*2*$B$6)</f>
        <v>0.32715298803145021</v>
      </c>
      <c r="D890" s="54">
        <f ca="1">MAX(0.02,MCDA_Prioritisation!$B$11+(RAND()-0.5)*2*$B$6)</f>
        <v>0.2914911579410453</v>
      </c>
      <c r="E890" s="54">
        <f ca="1">MAX(0.02,MCDA_Prioritisation!$B$12+(RAND()-0.5)*2*$B$6)</f>
        <v>0.11813180234943543</v>
      </c>
      <c r="F890" s="54">
        <f ca="1">MAX(0.02,MCDA_Prioritisation!$B$13+(RAND()-0.5)*2*$B$6)</f>
        <v>0.16660874526782354</v>
      </c>
      <c r="G890" s="54">
        <f t="shared" ca="1" si="182"/>
        <v>1.0278760914959046</v>
      </c>
      <c r="H890" s="54">
        <f t="shared" ca="1" si="183"/>
        <v>0.12111518006511204</v>
      </c>
      <c r="I890" s="54">
        <f t="shared" ca="1" si="184"/>
        <v>0.31828056974779212</v>
      </c>
      <c r="J890" s="54">
        <f t="shared" ca="1" si="185"/>
        <v>0.28358589167769033</v>
      </c>
      <c r="K890" s="54">
        <f t="shared" ca="1" si="186"/>
        <v>0.11492805730845827</v>
      </c>
      <c r="L890" s="54">
        <f t="shared" ca="1" si="187"/>
        <v>0.1620903012009472</v>
      </c>
      <c r="M890" s="54">
        <f ca="1">MIN(100,MAX(0,MCDA_Prioritisation!$F$2+(RAND()-0.5)*2*$B$7))</f>
        <v>84.550679009329187</v>
      </c>
      <c r="N890" s="54">
        <f ca="1">MIN(100,MAX(0,MCDA_Prioritisation!$F$3+(RAND()-0.5)*2*$B$7))</f>
        <v>87.647327790341123</v>
      </c>
      <c r="O890" s="54">
        <f ca="1">MIN(100,MAX(0,MCDA_Prioritisation!$F$4+(RAND()-0.5)*2*$B$7))</f>
        <v>89.771783165355416</v>
      </c>
      <c r="P890" s="54">
        <f ca="1">MIN(100,MAX(0,MCDA_Prioritisation!$F$5+(RAND()-0.5)*2*$B$7))</f>
        <v>67.728793515469022</v>
      </c>
      <c r="Q890" s="54">
        <f ca="1">MIN(100,MAX(0,MCDA_Prioritisation!$G$2+(RAND()-0.5)*2*$B$7))</f>
        <v>78.96952049801078</v>
      </c>
      <c r="R890" s="54">
        <f ca="1">MIN(100,MAX(0,MCDA_Prioritisation!$G$3+(RAND()-0.5)*2*$B$7))</f>
        <v>92.68306994505248</v>
      </c>
      <c r="S890" s="54">
        <f ca="1">MIN(100,MAX(0,MCDA_Prioritisation!$G$4+(RAND()-0.5)*2*$B$7))</f>
        <v>86.310949163045436</v>
      </c>
      <c r="T890" s="54">
        <f ca="1">MIN(100,MAX(0,MCDA_Prioritisation!$G$5+(RAND()-0.5)*2*$B$7))</f>
        <v>60.728308483066883</v>
      </c>
      <c r="U890" s="54">
        <f ca="1">MIN(100,MAX(0,MCDA_Prioritisation!$H$2+(RAND()-0.5)*2*$B$7))</f>
        <v>57.090922616365091</v>
      </c>
      <c r="V890" s="54">
        <f ca="1">MIN(100,MAX(0,MCDA_Prioritisation!$H$3+(RAND()-0.5)*2*$B$7))</f>
        <v>58.938150199202511</v>
      </c>
      <c r="W890" s="54">
        <f ca="1">MIN(100,MAX(0,MCDA_Prioritisation!$H$4+(RAND()-0.5)*2*$B$7))</f>
        <v>84.269196775461154</v>
      </c>
      <c r="X890" s="54">
        <f ca="1">MIN(100,MAX(0,MCDA_Prioritisation!$H$5+(RAND()-0.5)*2*$B$7))</f>
        <v>72.669245414141699</v>
      </c>
      <c r="Y890" s="54">
        <f ca="1">H890*MCDA_Prioritisation!$D$2+I890*MCDA_Prioritisation!$E$2+J890*M890+K890*Q890+L890*U890</f>
        <v>86.246653100248665</v>
      </c>
      <c r="Z890" s="54">
        <f ca="1">H890*MCDA_Prioritisation!$D$3+I890*MCDA_Prioritisation!$E$3+J890*N890+K890*R890+L890*V890</f>
        <v>78.793495020705009</v>
      </c>
      <c r="AA890" s="54">
        <f ca="1">H890*MCDA_Prioritisation!$D$4+I890*MCDA_Prioritisation!$E$4+J890*O890+K890*S890+L890*W890</f>
        <v>74.831287877340813</v>
      </c>
      <c r="AB890" s="54">
        <f ca="1">H890*MCDA_Prioritisation!$D$5+I890*MCDA_Prioritisation!$E$5+J890*P890+K890*T890+L890*X890</f>
        <v>71.158095105102674</v>
      </c>
      <c r="AC890" s="54">
        <f t="shared" ca="1" si="188"/>
        <v>1</v>
      </c>
      <c r="AD890" s="54">
        <f t="shared" ca="1" si="189"/>
        <v>2</v>
      </c>
      <c r="AE890" s="54">
        <f t="shared" ca="1" si="190"/>
        <v>3</v>
      </c>
      <c r="AF890" s="54">
        <f t="shared" ca="1" si="191"/>
        <v>4</v>
      </c>
      <c r="AG890" s="54">
        <f t="shared" ca="1" si="192"/>
        <v>1</v>
      </c>
      <c r="AH890" s="54">
        <f t="shared" ca="1" si="193"/>
        <v>1</v>
      </c>
      <c r="AI890" s="54">
        <f t="shared" ca="1" si="194"/>
        <v>1</v>
      </c>
      <c r="AJ890" s="54">
        <f t="shared" ca="1" si="195"/>
        <v>1</v>
      </c>
    </row>
    <row r="891" spans="1:36" x14ac:dyDescent="0.2">
      <c r="A891" s="54">
        <v>868</v>
      </c>
      <c r="B891" s="54">
        <f ca="1">MAX(0.02,MCDA_Prioritisation!$B$9+(RAND()-0.5)*2*$B$6)</f>
        <v>0.24829396521512387</v>
      </c>
      <c r="C891" s="54">
        <f ca="1">MAX(0.02,MCDA_Prioritisation!$B$10+(RAND()-0.5)*2*$B$6)</f>
        <v>0.29945098490661287</v>
      </c>
      <c r="D891" s="54">
        <f ca="1">MAX(0.02,MCDA_Prioritisation!$B$11+(RAND()-0.5)*2*$B$6)</f>
        <v>0.19539196209660437</v>
      </c>
      <c r="E891" s="54">
        <f ca="1">MAX(0.02,MCDA_Prioritisation!$B$12+(RAND()-0.5)*2*$B$6)</f>
        <v>0.10731004076674097</v>
      </c>
      <c r="F891" s="54">
        <f ca="1">MAX(0.02,MCDA_Prioritisation!$B$13+(RAND()-0.5)*2*$B$6)</f>
        <v>0.1180400983856995</v>
      </c>
      <c r="G891" s="54">
        <f t="shared" ca="1" si="182"/>
        <v>0.96848705137078162</v>
      </c>
      <c r="H891" s="54">
        <f t="shared" ca="1" si="183"/>
        <v>0.25637303551316709</v>
      </c>
      <c r="I891" s="54">
        <f t="shared" ca="1" si="184"/>
        <v>0.30919461905326928</v>
      </c>
      <c r="J891" s="54">
        <f t="shared" ca="1" si="185"/>
        <v>0.201749689704214</v>
      </c>
      <c r="K891" s="54">
        <f t="shared" ca="1" si="186"/>
        <v>0.11080172999200763</v>
      </c>
      <c r="L891" s="54">
        <f t="shared" ca="1" si="187"/>
        <v>0.12188092573734194</v>
      </c>
      <c r="M891" s="54">
        <f ca="1">MIN(100,MAX(0,MCDA_Prioritisation!$F$2+(RAND()-0.5)*2*$B$7))</f>
        <v>91.503888115349824</v>
      </c>
      <c r="N891" s="54">
        <f ca="1">MIN(100,MAX(0,MCDA_Prioritisation!$F$3+(RAND()-0.5)*2*$B$7))</f>
        <v>88.526078268452196</v>
      </c>
      <c r="O891" s="54">
        <f ca="1">MIN(100,MAX(0,MCDA_Prioritisation!$F$4+(RAND()-0.5)*2*$B$7))</f>
        <v>81.709476826825181</v>
      </c>
      <c r="P891" s="54">
        <f ca="1">MIN(100,MAX(0,MCDA_Prioritisation!$F$5+(RAND()-0.5)*2*$B$7))</f>
        <v>84.582950754912844</v>
      </c>
      <c r="Q891" s="54">
        <f ca="1">MIN(100,MAX(0,MCDA_Prioritisation!$G$2+(RAND()-0.5)*2*$B$7))</f>
        <v>72.412345876736268</v>
      </c>
      <c r="R891" s="54">
        <f ca="1">MIN(100,MAX(0,MCDA_Prioritisation!$G$3+(RAND()-0.5)*2*$B$7))</f>
        <v>86.957646601055274</v>
      </c>
      <c r="S891" s="54">
        <f ca="1">MIN(100,MAX(0,MCDA_Prioritisation!$G$4+(RAND()-0.5)*2*$B$7))</f>
        <v>92.143347868746503</v>
      </c>
      <c r="T891" s="54">
        <f ca="1">MIN(100,MAX(0,MCDA_Prioritisation!$G$5+(RAND()-0.5)*2*$B$7))</f>
        <v>77.642229705885484</v>
      </c>
      <c r="U891" s="54">
        <f ca="1">MIN(100,MAX(0,MCDA_Prioritisation!$H$2+(RAND()-0.5)*2*$B$7))</f>
        <v>64.463581384471354</v>
      </c>
      <c r="V891" s="54">
        <f ca="1">MIN(100,MAX(0,MCDA_Prioritisation!$H$3+(RAND()-0.5)*2*$B$7))</f>
        <v>65.269297304612834</v>
      </c>
      <c r="W891" s="54">
        <f ca="1">MIN(100,MAX(0,MCDA_Prioritisation!$H$4+(RAND()-0.5)*2*$B$7))</f>
        <v>74.619106769811239</v>
      </c>
      <c r="X891" s="54">
        <f ca="1">MIN(100,MAX(0,MCDA_Prioritisation!$H$5+(RAND()-0.5)*2*$B$7))</f>
        <v>79.66096133667503</v>
      </c>
      <c r="Y891" s="54">
        <f ca="1">H891*MCDA_Prioritisation!$D$2+I891*MCDA_Prioritisation!$E$2+J891*M891+K891*Q891+L891*U891</f>
        <v>90.897940662050431</v>
      </c>
      <c r="Z891" s="54">
        <f ca="1">H891*MCDA_Prioritisation!$D$3+I891*MCDA_Prioritisation!$E$3+J891*N891+K891*R891+L891*V891</f>
        <v>80.343323239556085</v>
      </c>
      <c r="AA891" s="54">
        <f ca="1">H891*MCDA_Prioritisation!$D$4+I891*MCDA_Prioritisation!$E$4+J891*O891+K891*S891+L891*W891</f>
        <v>70.506621875340301</v>
      </c>
      <c r="AB891" s="54">
        <f ca="1">H891*MCDA_Prioritisation!$D$5+I891*MCDA_Prioritisation!$E$5+J891*P891+K891*T891+L891*X891</f>
        <v>74.984312742154813</v>
      </c>
      <c r="AC891" s="54">
        <f t="shared" ca="1" si="188"/>
        <v>1</v>
      </c>
      <c r="AD891" s="54">
        <f t="shared" ca="1" si="189"/>
        <v>2</v>
      </c>
      <c r="AE891" s="54">
        <f t="shared" ca="1" si="190"/>
        <v>4</v>
      </c>
      <c r="AF891" s="54">
        <f t="shared" ca="1" si="191"/>
        <v>3</v>
      </c>
      <c r="AG891" s="54">
        <f t="shared" ca="1" si="192"/>
        <v>1</v>
      </c>
      <c r="AH891" s="54">
        <f t="shared" ca="1" si="193"/>
        <v>1</v>
      </c>
      <c r="AI891" s="54">
        <f t="shared" ca="1" si="194"/>
        <v>0</v>
      </c>
      <c r="AJ891" s="54">
        <f t="shared" ca="1" si="195"/>
        <v>1</v>
      </c>
    </row>
    <row r="892" spans="1:36" x14ac:dyDescent="0.2">
      <c r="A892" s="54">
        <v>869</v>
      </c>
      <c r="B892" s="54">
        <f ca="1">MAX(0.02,MCDA_Prioritisation!$B$9+(RAND()-0.5)*2*$B$6)</f>
        <v>0.16890551664861497</v>
      </c>
      <c r="C892" s="54">
        <f ca="1">MAX(0.02,MCDA_Prioritisation!$B$10+(RAND()-0.5)*2*$B$6)</f>
        <v>0.31325974759394387</v>
      </c>
      <c r="D892" s="54">
        <f ca="1">MAX(0.02,MCDA_Prioritisation!$B$11+(RAND()-0.5)*2*$B$6)</f>
        <v>0.28185443574248054</v>
      </c>
      <c r="E892" s="54">
        <f ca="1">MAX(0.02,MCDA_Prioritisation!$B$12+(RAND()-0.5)*2*$B$6)</f>
        <v>0.22738140125962086</v>
      </c>
      <c r="F892" s="54">
        <f ca="1">MAX(0.02,MCDA_Prioritisation!$B$13+(RAND()-0.5)*2*$B$6)</f>
        <v>0.13506711485418965</v>
      </c>
      <c r="G892" s="54">
        <f t="shared" ca="1" si="182"/>
        <v>1.12646821609885</v>
      </c>
      <c r="H892" s="54">
        <f t="shared" ca="1" si="183"/>
        <v>0.14994254985157357</v>
      </c>
      <c r="I892" s="54">
        <f t="shared" ca="1" si="184"/>
        <v>0.27809017877025893</v>
      </c>
      <c r="J892" s="54">
        <f t="shared" ca="1" si="185"/>
        <v>0.25021073095039481</v>
      </c>
      <c r="K892" s="54">
        <f t="shared" ca="1" si="186"/>
        <v>0.20185336613143079</v>
      </c>
      <c r="L892" s="54">
        <f t="shared" ca="1" si="187"/>
        <v>0.11990317429634183</v>
      </c>
      <c r="M892" s="54">
        <f ca="1">MIN(100,MAX(0,MCDA_Prioritisation!$F$2+(RAND()-0.5)*2*$B$7))</f>
        <v>75.863775030640937</v>
      </c>
      <c r="N892" s="54">
        <f ca="1">MIN(100,MAX(0,MCDA_Prioritisation!$F$3+(RAND()-0.5)*2*$B$7))</f>
        <v>85.615148623390795</v>
      </c>
      <c r="O892" s="54">
        <f ca="1">MIN(100,MAX(0,MCDA_Prioritisation!$F$4+(RAND()-0.5)*2*$B$7))</f>
        <v>94.229332998243493</v>
      </c>
      <c r="P892" s="54">
        <f ca="1">MIN(100,MAX(0,MCDA_Prioritisation!$F$5+(RAND()-0.5)*2*$B$7))</f>
        <v>74.321069950281654</v>
      </c>
      <c r="Q892" s="54">
        <f ca="1">MIN(100,MAX(0,MCDA_Prioritisation!$G$2+(RAND()-0.5)*2*$B$7))</f>
        <v>79.545805789940445</v>
      </c>
      <c r="R892" s="54">
        <f ca="1">MIN(100,MAX(0,MCDA_Prioritisation!$G$3+(RAND()-0.5)*2*$B$7))</f>
        <v>93.44798628838744</v>
      </c>
      <c r="S892" s="54">
        <f ca="1">MIN(100,MAX(0,MCDA_Prioritisation!$G$4+(RAND()-0.5)*2*$B$7))</f>
        <v>81.499420063073472</v>
      </c>
      <c r="T892" s="54">
        <f ca="1">MIN(100,MAX(0,MCDA_Prioritisation!$G$5+(RAND()-0.5)*2*$B$7))</f>
        <v>79.565603349290669</v>
      </c>
      <c r="U892" s="54">
        <f ca="1">MIN(100,MAX(0,MCDA_Prioritisation!$H$2+(RAND()-0.5)*2*$B$7))</f>
        <v>57.256416675943392</v>
      </c>
      <c r="V892" s="54">
        <f ca="1">MIN(100,MAX(0,MCDA_Prioritisation!$H$3+(RAND()-0.5)*2*$B$7))</f>
        <v>68.676630637305877</v>
      </c>
      <c r="W892" s="54">
        <f ca="1">MIN(100,MAX(0,MCDA_Prioritisation!$H$4+(RAND()-0.5)*2*$B$7))</f>
        <v>84.414335515578969</v>
      </c>
      <c r="X892" s="54">
        <f ca="1">MIN(100,MAX(0,MCDA_Prioritisation!$H$5+(RAND()-0.5)*2*$B$7))</f>
        <v>80.707153669284111</v>
      </c>
      <c r="Y892" s="54">
        <f ca="1">H892*MCDA_Prioritisation!$D$2+I892*MCDA_Prioritisation!$E$2+J892*M892+K892*Q892+L892*U892</f>
        <v>84.70701823387239</v>
      </c>
      <c r="Z892" s="54">
        <f ca="1">H892*MCDA_Prioritisation!$D$3+I892*MCDA_Prioritisation!$E$3+J892*N892+K892*R892+L892*V892</f>
        <v>81.848410723196324</v>
      </c>
      <c r="AA892" s="54">
        <f ca="1">H892*MCDA_Prioritisation!$D$4+I892*MCDA_Prioritisation!$E$4+J892*O892+K892*S892+L892*W892</f>
        <v>75.75934227333336</v>
      </c>
      <c r="AB892" s="54">
        <f ca="1">H892*MCDA_Prioritisation!$D$5+I892*MCDA_Prioritisation!$E$5+J892*P892+K892*T892+L892*X892</f>
        <v>75.676748212550478</v>
      </c>
      <c r="AC892" s="54">
        <f t="shared" ca="1" si="188"/>
        <v>1</v>
      </c>
      <c r="AD892" s="54">
        <f t="shared" ca="1" si="189"/>
        <v>2</v>
      </c>
      <c r="AE892" s="54">
        <f t="shared" ca="1" si="190"/>
        <v>3</v>
      </c>
      <c r="AF892" s="54">
        <f t="shared" ca="1" si="191"/>
        <v>4</v>
      </c>
      <c r="AG892" s="54">
        <f t="shared" ca="1" si="192"/>
        <v>1</v>
      </c>
      <c r="AH892" s="54">
        <f t="shared" ca="1" si="193"/>
        <v>1</v>
      </c>
      <c r="AI892" s="54">
        <f t="shared" ca="1" si="194"/>
        <v>1</v>
      </c>
      <c r="AJ892" s="54">
        <f t="shared" ca="1" si="195"/>
        <v>1</v>
      </c>
    </row>
    <row r="893" spans="1:36" x14ac:dyDescent="0.2">
      <c r="A893" s="54">
        <v>870</v>
      </c>
      <c r="B893" s="54">
        <f ca="1">MAX(0.02,MCDA_Prioritisation!$B$9+(RAND()-0.5)*2*$B$6)</f>
        <v>0.17828485237398956</v>
      </c>
      <c r="C893" s="54">
        <f ca="1">MAX(0.02,MCDA_Prioritisation!$B$10+(RAND()-0.5)*2*$B$6)</f>
        <v>0.23031414289212432</v>
      </c>
      <c r="D893" s="54">
        <f ca="1">MAX(0.02,MCDA_Prioritisation!$B$11+(RAND()-0.5)*2*$B$6)</f>
        <v>0.25157454720785211</v>
      </c>
      <c r="E893" s="54">
        <f ca="1">MAX(0.02,MCDA_Prioritisation!$B$12+(RAND()-0.5)*2*$B$6)</f>
        <v>0.12454457008553514</v>
      </c>
      <c r="F893" s="54">
        <f ca="1">MAX(0.02,MCDA_Prioritisation!$B$13+(RAND()-0.5)*2*$B$6)</f>
        <v>0.14264452894016691</v>
      </c>
      <c r="G893" s="54">
        <f t="shared" ca="1" si="182"/>
        <v>0.92736264149966796</v>
      </c>
      <c r="H893" s="54">
        <f t="shared" ca="1" si="183"/>
        <v>0.19224933633910396</v>
      </c>
      <c r="I893" s="54">
        <f t="shared" ca="1" si="184"/>
        <v>0.24835391527059567</v>
      </c>
      <c r="J893" s="54">
        <f t="shared" ca="1" si="185"/>
        <v>0.27127957926040974</v>
      </c>
      <c r="K893" s="54">
        <f t="shared" ca="1" si="186"/>
        <v>0.13429974910799738</v>
      </c>
      <c r="L893" s="54">
        <f t="shared" ca="1" si="187"/>
        <v>0.15381742002189333</v>
      </c>
      <c r="M893" s="54">
        <f ca="1">MIN(100,MAX(0,MCDA_Prioritisation!$F$2+(RAND()-0.5)*2*$B$7))</f>
        <v>87.984106781646062</v>
      </c>
      <c r="N893" s="54">
        <f ca="1">MIN(100,MAX(0,MCDA_Prioritisation!$F$3+(RAND()-0.5)*2*$B$7))</f>
        <v>100</v>
      </c>
      <c r="O893" s="54">
        <f ca="1">MIN(100,MAX(0,MCDA_Prioritisation!$F$4+(RAND()-0.5)*2*$B$7))</f>
        <v>86.027577381976684</v>
      </c>
      <c r="P893" s="54">
        <f ca="1">MIN(100,MAX(0,MCDA_Prioritisation!$F$5+(RAND()-0.5)*2*$B$7))</f>
        <v>70.241523577810739</v>
      </c>
      <c r="Q893" s="54">
        <f ca="1">MIN(100,MAX(0,MCDA_Prioritisation!$G$2+(RAND()-0.5)*2*$B$7))</f>
        <v>75.981802854284126</v>
      </c>
      <c r="R893" s="54">
        <f ca="1">MIN(100,MAX(0,MCDA_Prioritisation!$G$3+(RAND()-0.5)*2*$B$7))</f>
        <v>89.029936247256501</v>
      </c>
      <c r="S893" s="54">
        <f ca="1">MIN(100,MAX(0,MCDA_Prioritisation!$G$4+(RAND()-0.5)*2*$B$7))</f>
        <v>76.188027740829881</v>
      </c>
      <c r="T893" s="54">
        <f ca="1">MIN(100,MAX(0,MCDA_Prioritisation!$G$5+(RAND()-0.5)*2*$B$7))</f>
        <v>66.944211810228097</v>
      </c>
      <c r="U893" s="54">
        <f ca="1">MIN(100,MAX(0,MCDA_Prioritisation!$H$2+(RAND()-0.5)*2*$B$7))</f>
        <v>65.005021342067295</v>
      </c>
      <c r="V893" s="54">
        <f ca="1">MIN(100,MAX(0,MCDA_Prioritisation!$H$3+(RAND()-0.5)*2*$B$7))</f>
        <v>62.308598483738685</v>
      </c>
      <c r="W893" s="54">
        <f ca="1">MIN(100,MAX(0,MCDA_Prioritisation!$H$4+(RAND()-0.5)*2*$B$7))</f>
        <v>71.719125299377509</v>
      </c>
      <c r="X893" s="54">
        <f ca="1">MIN(100,MAX(0,MCDA_Prioritisation!$H$5+(RAND()-0.5)*2*$B$7))</f>
        <v>67.912425482542034</v>
      </c>
      <c r="Y893" s="54">
        <f ca="1">H893*MCDA_Prioritisation!$D$2+I893*MCDA_Prioritisation!$E$2+J893*M893+K893*Q893+L893*U893</f>
        <v>88.131858361706463</v>
      </c>
      <c r="Z893" s="54">
        <f ca="1">H893*MCDA_Prioritisation!$D$3+I893*MCDA_Prioritisation!$E$3+J893*N893+K893*R893+L893*V893</f>
        <v>83.532891165728827</v>
      </c>
      <c r="AA893" s="54">
        <f ca="1">H893*MCDA_Prioritisation!$D$4+I893*MCDA_Prioritisation!$E$4+J893*O893+K893*S893+L893*W893</f>
        <v>71.534899649546574</v>
      </c>
      <c r="AB893" s="54">
        <f ca="1">H893*MCDA_Prioritisation!$D$5+I893*MCDA_Prioritisation!$E$5+J893*P893+K893*T893+L893*X893</f>
        <v>69.579906993546174</v>
      </c>
      <c r="AC893" s="54">
        <f t="shared" ca="1" si="188"/>
        <v>1</v>
      </c>
      <c r="AD893" s="54">
        <f t="shared" ca="1" si="189"/>
        <v>2</v>
      </c>
      <c r="AE893" s="54">
        <f t="shared" ca="1" si="190"/>
        <v>3</v>
      </c>
      <c r="AF893" s="54">
        <f t="shared" ca="1" si="191"/>
        <v>4</v>
      </c>
      <c r="AG893" s="54">
        <f t="shared" ca="1" si="192"/>
        <v>1</v>
      </c>
      <c r="AH893" s="54">
        <f t="shared" ca="1" si="193"/>
        <v>1</v>
      </c>
      <c r="AI893" s="54">
        <f t="shared" ca="1" si="194"/>
        <v>1</v>
      </c>
      <c r="AJ893" s="54">
        <f t="shared" ca="1" si="195"/>
        <v>1</v>
      </c>
    </row>
    <row r="894" spans="1:36" x14ac:dyDescent="0.2">
      <c r="A894" s="54">
        <v>871</v>
      </c>
      <c r="B894" s="54">
        <f ca="1">MAX(0.02,MCDA_Prioritisation!$B$9+(RAND()-0.5)*2*$B$6)</f>
        <v>0.14362157566591882</v>
      </c>
      <c r="C894" s="54">
        <f ca="1">MAX(0.02,MCDA_Prioritisation!$B$10+(RAND()-0.5)*2*$B$6)</f>
        <v>0.21111986602667948</v>
      </c>
      <c r="D894" s="54">
        <f ca="1">MAX(0.02,MCDA_Prioritisation!$B$11+(RAND()-0.5)*2*$B$6)</f>
        <v>0.1771358646073819</v>
      </c>
      <c r="E894" s="54">
        <f ca="1">MAX(0.02,MCDA_Prioritisation!$B$12+(RAND()-0.5)*2*$B$6)</f>
        <v>0.1219072197581931</v>
      </c>
      <c r="F894" s="54">
        <f ca="1">MAX(0.02,MCDA_Prioritisation!$B$13+(RAND()-0.5)*2*$B$6)</f>
        <v>0.16832785784092164</v>
      </c>
      <c r="G894" s="54">
        <f t="shared" ca="1" si="182"/>
        <v>0.82211238389909491</v>
      </c>
      <c r="H894" s="54">
        <f t="shared" ca="1" si="183"/>
        <v>0.17469822676159413</v>
      </c>
      <c r="I894" s="54">
        <f t="shared" ca="1" si="184"/>
        <v>0.25680171003553703</v>
      </c>
      <c r="J894" s="54">
        <f t="shared" ca="1" si="185"/>
        <v>0.21546429426992228</v>
      </c>
      <c r="K894" s="54">
        <f t="shared" ca="1" si="186"/>
        <v>0.14828534656054501</v>
      </c>
      <c r="L894" s="54">
        <f t="shared" ca="1" si="187"/>
        <v>0.20475042237240157</v>
      </c>
      <c r="M894" s="54">
        <f ca="1">MIN(100,MAX(0,MCDA_Prioritisation!$F$2+(RAND()-0.5)*2*$B$7))</f>
        <v>81.930534089552665</v>
      </c>
      <c r="N894" s="54">
        <f ca="1">MIN(100,MAX(0,MCDA_Prioritisation!$F$3+(RAND()-0.5)*2*$B$7))</f>
        <v>100</v>
      </c>
      <c r="O894" s="54">
        <f ca="1">MIN(100,MAX(0,MCDA_Prioritisation!$F$4+(RAND()-0.5)*2*$B$7))</f>
        <v>82.366933892127236</v>
      </c>
      <c r="P894" s="54">
        <f ca="1">MIN(100,MAX(0,MCDA_Prioritisation!$F$5+(RAND()-0.5)*2*$B$7))</f>
        <v>83.363389201486569</v>
      </c>
      <c r="Q894" s="54">
        <f ca="1">MIN(100,MAX(0,MCDA_Prioritisation!$G$2+(RAND()-0.5)*2*$B$7))</f>
        <v>82.651815756508753</v>
      </c>
      <c r="R894" s="54">
        <f ca="1">MIN(100,MAX(0,MCDA_Prioritisation!$G$3+(RAND()-0.5)*2*$B$7))</f>
        <v>88.932728556463204</v>
      </c>
      <c r="S894" s="54">
        <f ca="1">MIN(100,MAX(0,MCDA_Prioritisation!$G$4+(RAND()-0.5)*2*$B$7))</f>
        <v>89.978104245051938</v>
      </c>
      <c r="T894" s="54">
        <f ca="1">MIN(100,MAX(0,MCDA_Prioritisation!$G$5+(RAND()-0.5)*2*$B$7))</f>
        <v>75.462322737251569</v>
      </c>
      <c r="U894" s="54">
        <f ca="1">MIN(100,MAX(0,MCDA_Prioritisation!$H$2+(RAND()-0.5)*2*$B$7))</f>
        <v>58.700773396862942</v>
      </c>
      <c r="V894" s="54">
        <f ca="1">MIN(100,MAX(0,MCDA_Prioritisation!$H$3+(RAND()-0.5)*2*$B$7))</f>
        <v>57.542316639146257</v>
      </c>
      <c r="W894" s="54">
        <f ca="1">MIN(100,MAX(0,MCDA_Prioritisation!$H$4+(RAND()-0.5)*2*$B$7))</f>
        <v>72.779590121041608</v>
      </c>
      <c r="X894" s="54">
        <f ca="1">MIN(100,MAX(0,MCDA_Prioritisation!$H$5+(RAND()-0.5)*2*$B$7))</f>
        <v>70.678006958518367</v>
      </c>
      <c r="Y894" s="54">
        <f ca="1">H894*MCDA_Prioritisation!$D$2+I894*MCDA_Prioritisation!$E$2+J894*M894+K894*Q894+L894*U894</f>
        <v>85.078159676382924</v>
      </c>
      <c r="Z894" s="54">
        <f ca="1">H894*MCDA_Prioritisation!$D$3+I894*MCDA_Prioritisation!$E$3+J894*N894+K894*R894+L894*V894</f>
        <v>80.460224383579984</v>
      </c>
      <c r="AA894" s="54">
        <f ca="1">H894*MCDA_Prioritisation!$D$4+I894*MCDA_Prioritisation!$E$4+J894*O894+K894*S894+L894*W894</f>
        <v>72.163543002970371</v>
      </c>
      <c r="AB894" s="54">
        <f ca="1">H894*MCDA_Prioritisation!$D$5+I894*MCDA_Prioritisation!$E$5+J894*P894+K894*T894+L894*X894</f>
        <v>74.490095367458295</v>
      </c>
      <c r="AC894" s="54">
        <f t="shared" ca="1" si="188"/>
        <v>1</v>
      </c>
      <c r="AD894" s="54">
        <f t="shared" ca="1" si="189"/>
        <v>2</v>
      </c>
      <c r="AE894" s="54">
        <f t="shared" ca="1" si="190"/>
        <v>4</v>
      </c>
      <c r="AF894" s="54">
        <f t="shared" ca="1" si="191"/>
        <v>3</v>
      </c>
      <c r="AG894" s="54">
        <f t="shared" ca="1" si="192"/>
        <v>1</v>
      </c>
      <c r="AH894" s="54">
        <f t="shared" ca="1" si="193"/>
        <v>1</v>
      </c>
      <c r="AI894" s="54">
        <f t="shared" ca="1" si="194"/>
        <v>0</v>
      </c>
      <c r="AJ894" s="54">
        <f t="shared" ca="1" si="195"/>
        <v>1</v>
      </c>
    </row>
    <row r="895" spans="1:36" x14ac:dyDescent="0.2">
      <c r="A895" s="54">
        <v>872</v>
      </c>
      <c r="B895" s="54">
        <f ca="1">MAX(0.02,MCDA_Prioritisation!$B$9+(RAND()-0.5)*2*$B$6)</f>
        <v>0.23892351883953061</v>
      </c>
      <c r="C895" s="54">
        <f ca="1">MAX(0.02,MCDA_Prioritisation!$B$10+(RAND()-0.5)*2*$B$6)</f>
        <v>0.18816133485021166</v>
      </c>
      <c r="D895" s="54">
        <f ca="1">MAX(0.02,MCDA_Prioritisation!$B$11+(RAND()-0.5)*2*$B$6)</f>
        <v>0.17415234525650453</v>
      </c>
      <c r="E895" s="54">
        <f ca="1">MAX(0.02,MCDA_Prioritisation!$B$12+(RAND()-0.5)*2*$B$6)</f>
        <v>0.13721879854749208</v>
      </c>
      <c r="F895" s="54">
        <f ca="1">MAX(0.02,MCDA_Prioritisation!$B$13+(RAND()-0.5)*2*$B$6)</f>
        <v>0.16164160229482599</v>
      </c>
      <c r="G895" s="54">
        <f t="shared" ca="1" si="182"/>
        <v>0.90009759978856496</v>
      </c>
      <c r="H895" s="54">
        <f t="shared" ca="1" si="183"/>
        <v>0.26544179086318453</v>
      </c>
      <c r="I895" s="54">
        <f t="shared" ca="1" si="184"/>
        <v>0.20904548006173021</v>
      </c>
      <c r="J895" s="54">
        <f t="shared" ca="1" si="185"/>
        <v>0.19348162387880305</v>
      </c>
      <c r="K895" s="54">
        <f t="shared" ca="1" si="186"/>
        <v>0.15244879952987886</v>
      </c>
      <c r="L895" s="54">
        <f t="shared" ca="1" si="187"/>
        <v>0.17958230566640326</v>
      </c>
      <c r="M895" s="54">
        <f ca="1">MIN(100,MAX(0,MCDA_Prioritisation!$F$2+(RAND()-0.5)*2*$B$7))</f>
        <v>91.357643059987268</v>
      </c>
      <c r="N895" s="54">
        <f ca="1">MIN(100,MAX(0,MCDA_Prioritisation!$F$3+(RAND()-0.5)*2*$B$7))</f>
        <v>85.116745981021637</v>
      </c>
      <c r="O895" s="54">
        <f ca="1">MIN(100,MAX(0,MCDA_Prioritisation!$F$4+(RAND()-0.5)*2*$B$7))</f>
        <v>80.779703003024423</v>
      </c>
      <c r="P895" s="54">
        <f ca="1">MIN(100,MAX(0,MCDA_Prioritisation!$F$5+(RAND()-0.5)*2*$B$7))</f>
        <v>84.209872325927449</v>
      </c>
      <c r="Q895" s="54">
        <f ca="1">MIN(100,MAX(0,MCDA_Prioritisation!$G$2+(RAND()-0.5)*2*$B$7))</f>
        <v>89.239562258442518</v>
      </c>
      <c r="R895" s="54">
        <f ca="1">MIN(100,MAX(0,MCDA_Prioritisation!$G$3+(RAND()-0.5)*2*$B$7))</f>
        <v>100</v>
      </c>
      <c r="S895" s="54">
        <f ca="1">MIN(100,MAX(0,MCDA_Prioritisation!$G$4+(RAND()-0.5)*2*$B$7))</f>
        <v>93.580902504048268</v>
      </c>
      <c r="T895" s="54">
        <f ca="1">MIN(100,MAX(0,MCDA_Prioritisation!$G$5+(RAND()-0.5)*2*$B$7))</f>
        <v>66.845649251641419</v>
      </c>
      <c r="U895" s="54">
        <f ca="1">MIN(100,MAX(0,MCDA_Prioritisation!$H$2+(RAND()-0.5)*2*$B$7))</f>
        <v>67.717614164874874</v>
      </c>
      <c r="V895" s="54">
        <f ca="1">MIN(100,MAX(0,MCDA_Prioritisation!$H$3+(RAND()-0.5)*2*$B$7))</f>
        <v>51.545504345657562</v>
      </c>
      <c r="W895" s="54">
        <f ca="1">MIN(100,MAX(0,MCDA_Prioritisation!$H$4+(RAND()-0.5)*2*$B$7))</f>
        <v>85.877537363403221</v>
      </c>
      <c r="X895" s="54">
        <f ca="1">MIN(100,MAX(0,MCDA_Prioritisation!$H$5+(RAND()-0.5)*2*$B$7))</f>
        <v>76.005211949306727</v>
      </c>
      <c r="Y895" s="54">
        <f ca="1">H895*MCDA_Prioritisation!$D$2+I895*MCDA_Prioritisation!$E$2+J895*M895+K895*Q895+L895*U895</f>
        <v>90.890101648305432</v>
      </c>
      <c r="Z895" s="54">
        <f ca="1">H895*MCDA_Prioritisation!$D$3+I895*MCDA_Prioritisation!$E$3+J895*N895+K895*R895+L895*V895</f>
        <v>79.372147871602778</v>
      </c>
      <c r="AA895" s="54">
        <f ca="1">H895*MCDA_Prioritisation!$D$4+I895*MCDA_Prioritisation!$E$4+J895*O895+K895*S895+L895*W895</f>
        <v>75.204057143889145</v>
      </c>
      <c r="AB895" s="54">
        <f ca="1">H895*MCDA_Prioritisation!$D$5+I895*MCDA_Prioritisation!$E$5+J895*P895+K895*T895+L895*X895</f>
        <v>71.800176736678623</v>
      </c>
      <c r="AC895" s="54">
        <f t="shared" ca="1" si="188"/>
        <v>1</v>
      </c>
      <c r="AD895" s="54">
        <f t="shared" ca="1" si="189"/>
        <v>2</v>
      </c>
      <c r="AE895" s="54">
        <f t="shared" ca="1" si="190"/>
        <v>3</v>
      </c>
      <c r="AF895" s="54">
        <f t="shared" ca="1" si="191"/>
        <v>4</v>
      </c>
      <c r="AG895" s="54">
        <f t="shared" ca="1" si="192"/>
        <v>1</v>
      </c>
      <c r="AH895" s="54">
        <f t="shared" ca="1" si="193"/>
        <v>1</v>
      </c>
      <c r="AI895" s="54">
        <f t="shared" ca="1" si="194"/>
        <v>1</v>
      </c>
      <c r="AJ895" s="54">
        <f t="shared" ca="1" si="195"/>
        <v>1</v>
      </c>
    </row>
    <row r="896" spans="1:36" x14ac:dyDescent="0.2">
      <c r="A896" s="54">
        <v>873</v>
      </c>
      <c r="B896" s="54">
        <f ca="1">MAX(0.02,MCDA_Prioritisation!$B$9+(RAND()-0.5)*2*$B$6)</f>
        <v>0.16514940618100787</v>
      </c>
      <c r="C896" s="54">
        <f ca="1">MAX(0.02,MCDA_Prioritisation!$B$10+(RAND()-0.5)*2*$B$6)</f>
        <v>0.30019483276829384</v>
      </c>
      <c r="D896" s="54">
        <f ca="1">MAX(0.02,MCDA_Prioritisation!$B$11+(RAND()-0.5)*2*$B$6)</f>
        <v>0.30826886007665999</v>
      </c>
      <c r="E896" s="54">
        <f ca="1">MAX(0.02,MCDA_Prioritisation!$B$12+(RAND()-0.5)*2*$B$6)</f>
        <v>9.6956269317351629E-2</v>
      </c>
      <c r="F896" s="54">
        <f ca="1">MAX(0.02,MCDA_Prioritisation!$B$13+(RAND()-0.5)*2*$B$6)</f>
        <v>0.16862441035397063</v>
      </c>
      <c r="G896" s="54">
        <f t="shared" ca="1" si="182"/>
        <v>1.039193778697284</v>
      </c>
      <c r="H896" s="54">
        <f t="shared" ca="1" si="183"/>
        <v>0.15892070330524535</v>
      </c>
      <c r="I896" s="54">
        <f t="shared" ca="1" si="184"/>
        <v>0.28887281556343908</v>
      </c>
      <c r="J896" s="54">
        <f t="shared" ca="1" si="185"/>
        <v>0.29664232638411353</v>
      </c>
      <c r="K896" s="54">
        <f t="shared" ca="1" si="186"/>
        <v>9.3299509008699405E-2</v>
      </c>
      <c r="L896" s="54">
        <f t="shared" ca="1" si="187"/>
        <v>0.16226464573850258</v>
      </c>
      <c r="M896" s="54">
        <f ca="1">MIN(100,MAX(0,MCDA_Prioritisation!$F$2+(RAND()-0.5)*2*$B$7))</f>
        <v>88.322957537897878</v>
      </c>
      <c r="N896" s="54">
        <f ca="1">MIN(100,MAX(0,MCDA_Prioritisation!$F$3+(RAND()-0.5)*2*$B$7))</f>
        <v>100</v>
      </c>
      <c r="O896" s="54">
        <f ca="1">MIN(100,MAX(0,MCDA_Prioritisation!$F$4+(RAND()-0.5)*2*$B$7))</f>
        <v>82.189650524800967</v>
      </c>
      <c r="P896" s="54">
        <f ca="1">MIN(100,MAX(0,MCDA_Prioritisation!$F$5+(RAND()-0.5)*2*$B$7))</f>
        <v>73.184723141798585</v>
      </c>
      <c r="Q896" s="54">
        <f ca="1">MIN(100,MAX(0,MCDA_Prioritisation!$G$2+(RAND()-0.5)*2*$B$7))</f>
        <v>83.345083480201907</v>
      </c>
      <c r="R896" s="54">
        <f ca="1">MIN(100,MAX(0,MCDA_Prioritisation!$G$3+(RAND()-0.5)*2*$B$7))</f>
        <v>96.630873968770544</v>
      </c>
      <c r="S896" s="54">
        <f ca="1">MIN(100,MAX(0,MCDA_Prioritisation!$G$4+(RAND()-0.5)*2*$B$7))</f>
        <v>94.67364205449249</v>
      </c>
      <c r="T896" s="54">
        <f ca="1">MIN(100,MAX(0,MCDA_Prioritisation!$G$5+(RAND()-0.5)*2*$B$7))</f>
        <v>66.485596747500807</v>
      </c>
      <c r="U896" s="54">
        <f ca="1">MIN(100,MAX(0,MCDA_Prioritisation!$H$2+(RAND()-0.5)*2*$B$7))</f>
        <v>66.740191242093459</v>
      </c>
      <c r="V896" s="54">
        <f ca="1">MIN(100,MAX(0,MCDA_Prioritisation!$H$3+(RAND()-0.5)*2*$B$7))</f>
        <v>60.788547303930599</v>
      </c>
      <c r="W896" s="54">
        <f ca="1">MIN(100,MAX(0,MCDA_Prioritisation!$H$4+(RAND()-0.5)*2*$B$7))</f>
        <v>84.834521857053929</v>
      </c>
      <c r="X896" s="54">
        <f ca="1">MIN(100,MAX(0,MCDA_Prioritisation!$H$5+(RAND()-0.5)*2*$B$7))</f>
        <v>82.727174627674216</v>
      </c>
      <c r="Y896" s="54">
        <f ca="1">H896*MCDA_Prioritisation!$D$2+I896*MCDA_Prioritisation!$E$2+J896*M896+K896*Q896+L896*U896</f>
        <v>89.585308339445845</v>
      </c>
      <c r="Z896" s="54">
        <f ca="1">H896*MCDA_Prioritisation!$D$3+I896*MCDA_Prioritisation!$E$3+J896*N896+K896*R896+L896*V896</f>
        <v>83.441777030833975</v>
      </c>
      <c r="AA896" s="54">
        <f ca="1">H896*MCDA_Prioritisation!$D$4+I896*MCDA_Prioritisation!$E$4+J896*O896+K896*S896+L896*W896</f>
        <v>73.802579669221274</v>
      </c>
      <c r="AB896" s="54">
        <f ca="1">H896*MCDA_Prioritisation!$D$5+I896*MCDA_Prioritisation!$E$5+J896*P896+K896*T896+L896*X896</f>
        <v>74.062891156578388</v>
      </c>
      <c r="AC896" s="54">
        <f t="shared" ca="1" si="188"/>
        <v>1</v>
      </c>
      <c r="AD896" s="54">
        <f t="shared" ca="1" si="189"/>
        <v>2</v>
      </c>
      <c r="AE896" s="54">
        <f t="shared" ca="1" si="190"/>
        <v>4</v>
      </c>
      <c r="AF896" s="54">
        <f t="shared" ca="1" si="191"/>
        <v>3</v>
      </c>
      <c r="AG896" s="54">
        <f t="shared" ca="1" si="192"/>
        <v>1</v>
      </c>
      <c r="AH896" s="54">
        <f t="shared" ca="1" si="193"/>
        <v>1</v>
      </c>
      <c r="AI896" s="54">
        <f t="shared" ca="1" si="194"/>
        <v>0</v>
      </c>
      <c r="AJ896" s="54">
        <f t="shared" ca="1" si="195"/>
        <v>1</v>
      </c>
    </row>
    <row r="897" spans="1:36" x14ac:dyDescent="0.2">
      <c r="A897" s="54">
        <v>874</v>
      </c>
      <c r="B897" s="54">
        <f ca="1">MAX(0.02,MCDA_Prioritisation!$B$9+(RAND()-0.5)*2*$B$6)</f>
        <v>0.25103634087018939</v>
      </c>
      <c r="C897" s="54">
        <f ca="1">MAX(0.02,MCDA_Prioritisation!$B$10+(RAND()-0.5)*2*$B$6)</f>
        <v>0.17978076905437285</v>
      </c>
      <c r="D897" s="54">
        <f ca="1">MAX(0.02,MCDA_Prioritisation!$B$11+(RAND()-0.5)*2*$B$6)</f>
        <v>0.32689653631440563</v>
      </c>
      <c r="E897" s="54">
        <f ca="1">MAX(0.02,MCDA_Prioritisation!$B$12+(RAND()-0.5)*2*$B$6)</f>
        <v>0.20349319876442876</v>
      </c>
      <c r="F897" s="54">
        <f ca="1">MAX(0.02,MCDA_Prioritisation!$B$13+(RAND()-0.5)*2*$B$6)</f>
        <v>0.10679825225014336</v>
      </c>
      <c r="G897" s="54">
        <f t="shared" ca="1" si="182"/>
        <v>1.06800509725354</v>
      </c>
      <c r="H897" s="54">
        <f t="shared" ca="1" si="183"/>
        <v>0.23505163179066213</v>
      </c>
      <c r="I897" s="54">
        <f t="shared" ca="1" si="184"/>
        <v>0.16833325001602836</v>
      </c>
      <c r="J897" s="54">
        <f t="shared" ca="1" si="185"/>
        <v>0.30608143833306234</v>
      </c>
      <c r="K897" s="54">
        <f t="shared" ca="1" si="186"/>
        <v>0.19053579359099287</v>
      </c>
      <c r="L897" s="54">
        <f t="shared" ca="1" si="187"/>
        <v>9.9997886269254294E-2</v>
      </c>
      <c r="M897" s="54">
        <f ca="1">MIN(100,MAX(0,MCDA_Prioritisation!$F$2+(RAND()-0.5)*2*$B$7))</f>
        <v>93.367072357324687</v>
      </c>
      <c r="N897" s="54">
        <f ca="1">MIN(100,MAX(0,MCDA_Prioritisation!$F$3+(RAND()-0.5)*2*$B$7))</f>
        <v>88.855607887957547</v>
      </c>
      <c r="O897" s="54">
        <f ca="1">MIN(100,MAX(0,MCDA_Prioritisation!$F$4+(RAND()-0.5)*2*$B$7))</f>
        <v>82.43619264407333</v>
      </c>
      <c r="P897" s="54">
        <f ca="1">MIN(100,MAX(0,MCDA_Prioritisation!$F$5+(RAND()-0.5)*2*$B$7))</f>
        <v>65.446792031806638</v>
      </c>
      <c r="Q897" s="54">
        <f ca="1">MIN(100,MAX(0,MCDA_Prioritisation!$G$2+(RAND()-0.5)*2*$B$7))</f>
        <v>79.597274609868222</v>
      </c>
      <c r="R897" s="54">
        <f ca="1">MIN(100,MAX(0,MCDA_Prioritisation!$G$3+(RAND()-0.5)*2*$B$7))</f>
        <v>94.788437533598881</v>
      </c>
      <c r="S897" s="54">
        <f ca="1">MIN(100,MAX(0,MCDA_Prioritisation!$G$4+(RAND()-0.5)*2*$B$7))</f>
        <v>80.709120858227678</v>
      </c>
      <c r="T897" s="54">
        <f ca="1">MIN(100,MAX(0,MCDA_Prioritisation!$G$5+(RAND()-0.5)*2*$B$7))</f>
        <v>79.689385018725801</v>
      </c>
      <c r="U897" s="54">
        <f ca="1">MIN(100,MAX(0,MCDA_Prioritisation!$H$2+(RAND()-0.5)*2*$B$7))</f>
        <v>68.44837993654366</v>
      </c>
      <c r="V897" s="54">
        <f ca="1">MIN(100,MAX(0,MCDA_Prioritisation!$H$3+(RAND()-0.5)*2*$B$7))</f>
        <v>52.073654542219572</v>
      </c>
      <c r="W897" s="54">
        <f ca="1">MIN(100,MAX(0,MCDA_Prioritisation!$H$4+(RAND()-0.5)*2*$B$7))</f>
        <v>71.635749929878827</v>
      </c>
      <c r="X897" s="54">
        <f ca="1">MIN(100,MAX(0,MCDA_Prioritisation!$H$5+(RAND()-0.5)*2*$B$7))</f>
        <v>74.00046858730714</v>
      </c>
      <c r="Y897" s="54">
        <f ca="1">H897*MCDA_Prioritisation!$D$2+I897*MCDA_Prioritisation!$E$2+J897*M897+K897*Q897+L897*U897</f>
        <v>90.927239178426731</v>
      </c>
      <c r="Z897" s="54">
        <f ca="1">H897*MCDA_Prioritisation!$D$3+I897*MCDA_Prioritisation!$E$3+J897*N897+K897*R897+L897*V897</f>
        <v>83.250085683938096</v>
      </c>
      <c r="AA897" s="54">
        <f ca="1">H897*MCDA_Prioritisation!$D$4+I897*MCDA_Prioritisation!$E$4+J897*O897+K897*S897+L897*W897</f>
        <v>73.323015882728228</v>
      </c>
      <c r="AB897" s="54">
        <f ca="1">H897*MCDA_Prioritisation!$D$5+I897*MCDA_Prioritisation!$E$5+J897*P897+K897*T897+L897*X897</f>
        <v>69.24648943180685</v>
      </c>
      <c r="AC897" s="54">
        <f t="shared" ca="1" si="188"/>
        <v>1</v>
      </c>
      <c r="AD897" s="54">
        <f t="shared" ca="1" si="189"/>
        <v>2</v>
      </c>
      <c r="AE897" s="54">
        <f t="shared" ca="1" si="190"/>
        <v>3</v>
      </c>
      <c r="AF897" s="54">
        <f t="shared" ca="1" si="191"/>
        <v>4</v>
      </c>
      <c r="AG897" s="54">
        <f t="shared" ca="1" si="192"/>
        <v>1</v>
      </c>
      <c r="AH897" s="54">
        <f t="shared" ca="1" si="193"/>
        <v>1</v>
      </c>
      <c r="AI897" s="54">
        <f t="shared" ca="1" si="194"/>
        <v>1</v>
      </c>
      <c r="AJ897" s="54">
        <f t="shared" ca="1" si="195"/>
        <v>1</v>
      </c>
    </row>
    <row r="898" spans="1:36" x14ac:dyDescent="0.2">
      <c r="A898" s="54">
        <v>875</v>
      </c>
      <c r="B898" s="54">
        <f ca="1">MAX(0.02,MCDA_Prioritisation!$B$9+(RAND()-0.5)*2*$B$6)</f>
        <v>0.2682451432842734</v>
      </c>
      <c r="C898" s="54">
        <f ca="1">MAX(0.02,MCDA_Prioritisation!$B$10+(RAND()-0.5)*2*$B$6)</f>
        <v>0.22301519312681461</v>
      </c>
      <c r="D898" s="54">
        <f ca="1">MAX(0.02,MCDA_Prioritisation!$B$11+(RAND()-0.5)*2*$B$6)</f>
        <v>0.27263473603918448</v>
      </c>
      <c r="E898" s="54">
        <f ca="1">MAX(0.02,MCDA_Prioritisation!$B$12+(RAND()-0.5)*2*$B$6)</f>
        <v>0.16417238957939351</v>
      </c>
      <c r="F898" s="54">
        <f ca="1">MAX(0.02,MCDA_Prioritisation!$B$13+(RAND()-0.5)*2*$B$6)</f>
        <v>0.12758559913103343</v>
      </c>
      <c r="G898" s="54">
        <f t="shared" ca="1" si="182"/>
        <v>1.0556530611606993</v>
      </c>
      <c r="H898" s="54">
        <f t="shared" ca="1" si="183"/>
        <v>0.25410350535936083</v>
      </c>
      <c r="I898" s="54">
        <f t="shared" ca="1" si="184"/>
        <v>0.21125803669020535</v>
      </c>
      <c r="J898" s="54">
        <f t="shared" ca="1" si="185"/>
        <v>0.25826168281027889</v>
      </c>
      <c r="K898" s="54">
        <f t="shared" ca="1" si="186"/>
        <v>0.15551737177637187</v>
      </c>
      <c r="L898" s="54">
        <f t="shared" ca="1" si="187"/>
        <v>0.12085940336378317</v>
      </c>
      <c r="M898" s="54">
        <f ca="1">MIN(100,MAX(0,MCDA_Prioritisation!$F$2+(RAND()-0.5)*2*$B$7))</f>
        <v>77.445173641283077</v>
      </c>
      <c r="N898" s="54">
        <f ca="1">MIN(100,MAX(0,MCDA_Prioritisation!$F$3+(RAND()-0.5)*2*$B$7))</f>
        <v>90.820734799251625</v>
      </c>
      <c r="O898" s="54">
        <f ca="1">MIN(100,MAX(0,MCDA_Prioritisation!$F$4+(RAND()-0.5)*2*$B$7))</f>
        <v>88.090799065013741</v>
      </c>
      <c r="P898" s="54">
        <f ca="1">MIN(100,MAX(0,MCDA_Prioritisation!$F$5+(RAND()-0.5)*2*$B$7))</f>
        <v>68.123953367103454</v>
      </c>
      <c r="Q898" s="54">
        <f ca="1">MIN(100,MAX(0,MCDA_Prioritisation!$G$2+(RAND()-0.5)*2*$B$7))</f>
        <v>76.656886484632864</v>
      </c>
      <c r="R898" s="54">
        <f ca="1">MIN(100,MAX(0,MCDA_Prioritisation!$G$3+(RAND()-0.5)*2*$B$7))</f>
        <v>98.951343628381778</v>
      </c>
      <c r="S898" s="54">
        <f ca="1">MIN(100,MAX(0,MCDA_Prioritisation!$G$4+(RAND()-0.5)*2*$B$7))</f>
        <v>79.644424481777861</v>
      </c>
      <c r="T898" s="54">
        <f ca="1">MIN(100,MAX(0,MCDA_Prioritisation!$G$5+(RAND()-0.5)*2*$B$7))</f>
        <v>78.986033969770617</v>
      </c>
      <c r="U898" s="54">
        <f ca="1">MIN(100,MAX(0,MCDA_Prioritisation!$H$2+(RAND()-0.5)*2*$B$7))</f>
        <v>74.232594580768435</v>
      </c>
      <c r="V898" s="54">
        <f ca="1">MIN(100,MAX(0,MCDA_Prioritisation!$H$3+(RAND()-0.5)*2*$B$7))</f>
        <v>52.940099620826672</v>
      </c>
      <c r="W898" s="54">
        <f ca="1">MIN(100,MAX(0,MCDA_Prioritisation!$H$4+(RAND()-0.5)*2*$B$7))</f>
        <v>85.59011700885695</v>
      </c>
      <c r="X898" s="54">
        <f ca="1">MIN(100,MAX(0,MCDA_Prioritisation!$H$5+(RAND()-0.5)*2*$B$7))</f>
        <v>70.257967382205493</v>
      </c>
      <c r="Y898" s="54">
        <f ca="1">H898*MCDA_Prioritisation!$D$2+I898*MCDA_Prioritisation!$E$2+J898*M898+K898*Q898+L898*U898</f>
        <v>87.430459680915703</v>
      </c>
      <c r="Z898" s="54">
        <f ca="1">H898*MCDA_Prioritisation!$D$3+I898*MCDA_Prioritisation!$E$3+J898*N898+K898*R898+L898*V898</f>
        <v>82.814541615818683</v>
      </c>
      <c r="AA898" s="54">
        <f ca="1">H898*MCDA_Prioritisation!$D$4+I898*MCDA_Prioritisation!$E$4+J898*O898+K898*S898+L898*W898</f>
        <v>74.698380032059873</v>
      </c>
      <c r="AB898" s="54">
        <f ca="1">H898*MCDA_Prioritisation!$D$5+I898*MCDA_Prioritisation!$E$5+J898*P898+K898*T898+L898*X898</f>
        <v>69.620493277497857</v>
      </c>
      <c r="AC898" s="54">
        <f t="shared" ca="1" si="188"/>
        <v>1</v>
      </c>
      <c r="AD898" s="54">
        <f t="shared" ca="1" si="189"/>
        <v>2</v>
      </c>
      <c r="AE898" s="54">
        <f t="shared" ca="1" si="190"/>
        <v>3</v>
      </c>
      <c r="AF898" s="54">
        <f t="shared" ca="1" si="191"/>
        <v>4</v>
      </c>
      <c r="AG898" s="54">
        <f t="shared" ca="1" si="192"/>
        <v>1</v>
      </c>
      <c r="AH898" s="54">
        <f t="shared" ca="1" si="193"/>
        <v>1</v>
      </c>
      <c r="AI898" s="54">
        <f t="shared" ca="1" si="194"/>
        <v>1</v>
      </c>
      <c r="AJ898" s="54">
        <f t="shared" ca="1" si="195"/>
        <v>1</v>
      </c>
    </row>
    <row r="899" spans="1:36" x14ac:dyDescent="0.2">
      <c r="A899" s="54">
        <v>876</v>
      </c>
      <c r="B899" s="54">
        <f ca="1">MAX(0.02,MCDA_Prioritisation!$B$9+(RAND()-0.5)*2*$B$6)</f>
        <v>0.19396117269494964</v>
      </c>
      <c r="C899" s="54">
        <f ca="1">MAX(0.02,MCDA_Prioritisation!$B$10+(RAND()-0.5)*2*$B$6)</f>
        <v>0.29820672616036092</v>
      </c>
      <c r="D899" s="54">
        <f ca="1">MAX(0.02,MCDA_Prioritisation!$B$11+(RAND()-0.5)*2*$B$6)</f>
        <v>0.22441415446643601</v>
      </c>
      <c r="E899" s="54">
        <f ca="1">MAX(0.02,MCDA_Prioritisation!$B$12+(RAND()-0.5)*2*$B$6)</f>
        <v>0.12719316641196085</v>
      </c>
      <c r="F899" s="54">
        <f ca="1">MAX(0.02,MCDA_Prioritisation!$B$13+(RAND()-0.5)*2*$B$6)</f>
        <v>0.21832985771572749</v>
      </c>
      <c r="G899" s="54">
        <f t="shared" ca="1" si="182"/>
        <v>1.0621050774494349</v>
      </c>
      <c r="H899" s="54">
        <f t="shared" ca="1" si="183"/>
        <v>0.18261957014717672</v>
      </c>
      <c r="I899" s="54">
        <f t="shared" ca="1" si="184"/>
        <v>0.28076951376268894</v>
      </c>
      <c r="J899" s="54">
        <f t="shared" ca="1" si="185"/>
        <v>0.21129185730412817</v>
      </c>
      <c r="K899" s="54">
        <f t="shared" ca="1" si="186"/>
        <v>0.11975572767000194</v>
      </c>
      <c r="L899" s="54">
        <f t="shared" ca="1" si="187"/>
        <v>0.20556333111600422</v>
      </c>
      <c r="M899" s="54">
        <f ca="1">MIN(100,MAX(0,MCDA_Prioritisation!$F$2+(RAND()-0.5)*2*$B$7))</f>
        <v>90.624262579734221</v>
      </c>
      <c r="N899" s="54">
        <f ca="1">MIN(100,MAX(0,MCDA_Prioritisation!$F$3+(RAND()-0.5)*2*$B$7))</f>
        <v>90.013665670646418</v>
      </c>
      <c r="O899" s="54">
        <f ca="1">MIN(100,MAX(0,MCDA_Prioritisation!$F$4+(RAND()-0.5)*2*$B$7))</f>
        <v>81.214086912389163</v>
      </c>
      <c r="P899" s="54">
        <f ca="1">MIN(100,MAX(0,MCDA_Prioritisation!$F$5+(RAND()-0.5)*2*$B$7))</f>
        <v>71.112458270720268</v>
      </c>
      <c r="Q899" s="54">
        <f ca="1">MIN(100,MAX(0,MCDA_Prioritisation!$G$2+(RAND()-0.5)*2*$B$7))</f>
        <v>77.063813050203294</v>
      </c>
      <c r="R899" s="54">
        <f ca="1">MIN(100,MAX(0,MCDA_Prioritisation!$G$3+(RAND()-0.5)*2*$B$7))</f>
        <v>87.007410782498084</v>
      </c>
      <c r="S899" s="54">
        <f ca="1">MIN(100,MAX(0,MCDA_Prioritisation!$G$4+(RAND()-0.5)*2*$B$7))</f>
        <v>83.488310106462436</v>
      </c>
      <c r="T899" s="54">
        <f ca="1">MIN(100,MAX(0,MCDA_Prioritisation!$G$5+(RAND()-0.5)*2*$B$7))</f>
        <v>66.969933878957093</v>
      </c>
      <c r="U899" s="54">
        <f ca="1">MIN(100,MAX(0,MCDA_Prioritisation!$H$2+(RAND()-0.5)*2*$B$7))</f>
        <v>66.744123827304932</v>
      </c>
      <c r="V899" s="54">
        <f ca="1">MIN(100,MAX(0,MCDA_Prioritisation!$H$3+(RAND()-0.5)*2*$B$7))</f>
        <v>63.335218449493141</v>
      </c>
      <c r="W899" s="54">
        <f ca="1">MIN(100,MAX(0,MCDA_Prioritisation!$H$4+(RAND()-0.5)*2*$B$7))</f>
        <v>75.527685829721008</v>
      </c>
      <c r="X899" s="54">
        <f ca="1">MIN(100,MAX(0,MCDA_Prioritisation!$H$5+(RAND()-0.5)*2*$B$7))</f>
        <v>79.1274196125256</v>
      </c>
      <c r="Y899" s="54">
        <f ca="1">H899*MCDA_Prioritisation!$D$2+I899*MCDA_Prioritisation!$E$2+J899*M899+K899*Q899+L899*U899</f>
        <v>88.436054583487575</v>
      </c>
      <c r="Z899" s="54">
        <f ca="1">H899*MCDA_Prioritisation!$D$3+I899*MCDA_Prioritisation!$E$3+J899*N899+K899*R899+L899*V899</f>
        <v>78.838163093479196</v>
      </c>
      <c r="AA899" s="54">
        <f ca="1">H899*MCDA_Prioritisation!$D$4+I899*MCDA_Prioritisation!$E$4+J899*O899+K899*S899+L899*W899</f>
        <v>70.715055350581864</v>
      </c>
      <c r="AB899" s="54">
        <f ca="1">H899*MCDA_Prioritisation!$D$5+I899*MCDA_Prioritisation!$E$5+J899*P899+K899*T899+L899*X899</f>
        <v>72.61407234909457</v>
      </c>
      <c r="AC899" s="54">
        <f t="shared" ca="1" si="188"/>
        <v>1</v>
      </c>
      <c r="AD899" s="54">
        <f t="shared" ca="1" si="189"/>
        <v>2</v>
      </c>
      <c r="AE899" s="54">
        <f t="shared" ca="1" si="190"/>
        <v>4</v>
      </c>
      <c r="AF899" s="54">
        <f t="shared" ca="1" si="191"/>
        <v>3</v>
      </c>
      <c r="AG899" s="54">
        <f t="shared" ca="1" si="192"/>
        <v>1</v>
      </c>
      <c r="AH899" s="54">
        <f t="shared" ca="1" si="193"/>
        <v>1</v>
      </c>
      <c r="AI899" s="54">
        <f t="shared" ca="1" si="194"/>
        <v>0</v>
      </c>
      <c r="AJ899" s="54">
        <f t="shared" ca="1" si="195"/>
        <v>1</v>
      </c>
    </row>
    <row r="900" spans="1:36" x14ac:dyDescent="0.2">
      <c r="A900" s="54">
        <v>877</v>
      </c>
      <c r="B900" s="54">
        <f ca="1">MAX(0.02,MCDA_Prioritisation!$B$9+(RAND()-0.5)*2*$B$6)</f>
        <v>0.23743396550608992</v>
      </c>
      <c r="C900" s="54">
        <f ca="1">MAX(0.02,MCDA_Prioritisation!$B$10+(RAND()-0.5)*2*$B$6)</f>
        <v>0.181044538350565</v>
      </c>
      <c r="D900" s="54">
        <f ca="1">MAX(0.02,MCDA_Prioritisation!$B$11+(RAND()-0.5)*2*$B$6)</f>
        <v>0.27427028666259118</v>
      </c>
      <c r="E900" s="54">
        <f ca="1">MAX(0.02,MCDA_Prioritisation!$B$12+(RAND()-0.5)*2*$B$6)</f>
        <v>9.7853960001501747E-2</v>
      </c>
      <c r="F900" s="54">
        <f ca="1">MAX(0.02,MCDA_Prioritisation!$B$13+(RAND()-0.5)*2*$B$6)</f>
        <v>0.22548808458705538</v>
      </c>
      <c r="G900" s="54">
        <f t="shared" ca="1" si="182"/>
        <v>1.0160908351078031</v>
      </c>
      <c r="H900" s="54">
        <f t="shared" ca="1" si="183"/>
        <v>0.2336739564045956</v>
      </c>
      <c r="I900" s="54">
        <f t="shared" ca="1" si="184"/>
        <v>0.17817751336312065</v>
      </c>
      <c r="J900" s="54">
        <f t="shared" ca="1" si="185"/>
        <v>0.26992693683089092</v>
      </c>
      <c r="K900" s="54">
        <f t="shared" ca="1" si="186"/>
        <v>9.6304342702903958E-2</v>
      </c>
      <c r="L900" s="54">
        <f t="shared" ca="1" si="187"/>
        <v>0.221917250698489</v>
      </c>
      <c r="M900" s="54">
        <f ca="1">MIN(100,MAX(0,MCDA_Prioritisation!$F$2+(RAND()-0.5)*2*$B$7))</f>
        <v>88.422265426204646</v>
      </c>
      <c r="N900" s="54">
        <f ca="1">MIN(100,MAX(0,MCDA_Prioritisation!$F$3+(RAND()-0.5)*2*$B$7))</f>
        <v>91.516418830229853</v>
      </c>
      <c r="O900" s="54">
        <f ca="1">MIN(100,MAX(0,MCDA_Prioritisation!$F$4+(RAND()-0.5)*2*$B$7))</f>
        <v>92.579042760997311</v>
      </c>
      <c r="P900" s="54">
        <f ca="1">MIN(100,MAX(0,MCDA_Prioritisation!$F$5+(RAND()-0.5)*2*$B$7))</f>
        <v>66.764650959379026</v>
      </c>
      <c r="Q900" s="54">
        <f ca="1">MIN(100,MAX(0,MCDA_Prioritisation!$G$2+(RAND()-0.5)*2*$B$7))</f>
        <v>79.729215155189394</v>
      </c>
      <c r="R900" s="54">
        <f ca="1">MIN(100,MAX(0,MCDA_Prioritisation!$G$3+(RAND()-0.5)*2*$B$7))</f>
        <v>86.295709721600318</v>
      </c>
      <c r="S900" s="54">
        <f ca="1">MIN(100,MAX(0,MCDA_Prioritisation!$G$4+(RAND()-0.5)*2*$B$7))</f>
        <v>87.836049809648912</v>
      </c>
      <c r="T900" s="54">
        <f ca="1">MIN(100,MAX(0,MCDA_Prioritisation!$G$5+(RAND()-0.5)*2*$B$7))</f>
        <v>75.53930737918563</v>
      </c>
      <c r="U900" s="54">
        <f ca="1">MIN(100,MAX(0,MCDA_Prioritisation!$H$2+(RAND()-0.5)*2*$B$7))</f>
        <v>61.09837078719621</v>
      </c>
      <c r="V900" s="54">
        <f ca="1">MIN(100,MAX(0,MCDA_Prioritisation!$H$3+(RAND()-0.5)*2*$B$7))</f>
        <v>50.61540203433573</v>
      </c>
      <c r="W900" s="54">
        <f ca="1">MIN(100,MAX(0,MCDA_Prioritisation!$H$4+(RAND()-0.5)*2*$B$7))</f>
        <v>73.396225500770811</v>
      </c>
      <c r="X900" s="54">
        <f ca="1">MIN(100,MAX(0,MCDA_Prioritisation!$H$5+(RAND()-0.5)*2*$B$7))</f>
        <v>77.416190938868468</v>
      </c>
      <c r="Y900" s="54">
        <f ca="1">H900*MCDA_Prioritisation!$D$2+I900*MCDA_Prioritisation!$E$2+J900*M900+K900*Q900+L900*U900</f>
        <v>86.289750357905405</v>
      </c>
      <c r="Z900" s="54">
        <f ca="1">H900*MCDA_Prioritisation!$D$3+I900*MCDA_Prioritisation!$E$3+J900*N900+K900*R900+L900*V900</f>
        <v>77.626558885210869</v>
      </c>
      <c r="AA900" s="54">
        <f ca="1">H900*MCDA_Prioritisation!$D$4+I900*MCDA_Prioritisation!$E$4+J900*O900+K900*S900+L900*W900</f>
        <v>75.726913148851537</v>
      </c>
      <c r="AB900" s="54">
        <f ca="1">H900*MCDA_Prioritisation!$D$5+I900*MCDA_Prioritisation!$E$5+J900*P900+K900*T900+L900*X900</f>
        <v>69.861891562763532</v>
      </c>
      <c r="AC900" s="54">
        <f t="shared" ca="1" si="188"/>
        <v>1</v>
      </c>
      <c r="AD900" s="54">
        <f t="shared" ca="1" si="189"/>
        <v>2</v>
      </c>
      <c r="AE900" s="54">
        <f t="shared" ca="1" si="190"/>
        <v>3</v>
      </c>
      <c r="AF900" s="54">
        <f t="shared" ca="1" si="191"/>
        <v>4</v>
      </c>
      <c r="AG900" s="54">
        <f t="shared" ca="1" si="192"/>
        <v>1</v>
      </c>
      <c r="AH900" s="54">
        <f t="shared" ca="1" si="193"/>
        <v>1</v>
      </c>
      <c r="AI900" s="54">
        <f t="shared" ca="1" si="194"/>
        <v>1</v>
      </c>
      <c r="AJ900" s="54">
        <f t="shared" ca="1" si="195"/>
        <v>1</v>
      </c>
    </row>
    <row r="901" spans="1:36" x14ac:dyDescent="0.2">
      <c r="A901" s="54">
        <v>878</v>
      </c>
      <c r="B901" s="54">
        <f ca="1">MAX(0.02,MCDA_Prioritisation!$B$9+(RAND()-0.5)*2*$B$6)</f>
        <v>0.24193071804766111</v>
      </c>
      <c r="C901" s="54">
        <f ca="1">MAX(0.02,MCDA_Prioritisation!$B$10+(RAND()-0.5)*2*$B$6)</f>
        <v>0.28776182424184216</v>
      </c>
      <c r="D901" s="54">
        <f ca="1">MAX(0.02,MCDA_Prioritisation!$B$11+(RAND()-0.5)*2*$B$6)</f>
        <v>0.29672517015376232</v>
      </c>
      <c r="E901" s="54">
        <f ca="1">MAX(0.02,MCDA_Prioritisation!$B$12+(RAND()-0.5)*2*$B$6)</f>
        <v>0.20639511955375364</v>
      </c>
      <c r="F901" s="54">
        <f ca="1">MAX(0.02,MCDA_Prioritisation!$B$13+(RAND()-0.5)*2*$B$6)</f>
        <v>0.17559914317737946</v>
      </c>
      <c r="G901" s="54">
        <f t="shared" ca="1" si="182"/>
        <v>1.2084119751743985</v>
      </c>
      <c r="H901" s="54">
        <f t="shared" ca="1" si="183"/>
        <v>0.20020549532600054</v>
      </c>
      <c r="I901" s="54">
        <f t="shared" ca="1" si="184"/>
        <v>0.23813221827788678</v>
      </c>
      <c r="J901" s="54">
        <f t="shared" ca="1" si="185"/>
        <v>0.24554967697249014</v>
      </c>
      <c r="K901" s="54">
        <f t="shared" ca="1" si="186"/>
        <v>0.17079863804226753</v>
      </c>
      <c r="L901" s="54">
        <f t="shared" ca="1" si="187"/>
        <v>0.14531397138135521</v>
      </c>
      <c r="M901" s="54">
        <f ca="1">MIN(100,MAX(0,MCDA_Prioritisation!$F$2+(RAND()-0.5)*2*$B$7))</f>
        <v>82.94404690646887</v>
      </c>
      <c r="N901" s="54">
        <f ca="1">MIN(100,MAX(0,MCDA_Prioritisation!$F$3+(RAND()-0.5)*2*$B$7))</f>
        <v>92.957053463278783</v>
      </c>
      <c r="O901" s="54">
        <f ca="1">MIN(100,MAX(0,MCDA_Prioritisation!$F$4+(RAND()-0.5)*2*$B$7))</f>
        <v>93.53808221606829</v>
      </c>
      <c r="P901" s="54">
        <f ca="1">MIN(100,MAX(0,MCDA_Prioritisation!$F$5+(RAND()-0.5)*2*$B$7))</f>
        <v>65.341527191389815</v>
      </c>
      <c r="Q901" s="54">
        <f ca="1">MIN(100,MAX(0,MCDA_Prioritisation!$G$2+(RAND()-0.5)*2*$B$7))</f>
        <v>73.485681019408403</v>
      </c>
      <c r="R901" s="54">
        <f ca="1">MIN(100,MAX(0,MCDA_Prioritisation!$G$3+(RAND()-0.5)*2*$B$7))</f>
        <v>92.520478275603836</v>
      </c>
      <c r="S901" s="54">
        <f ca="1">MIN(100,MAX(0,MCDA_Prioritisation!$G$4+(RAND()-0.5)*2*$B$7))</f>
        <v>91.787527231213517</v>
      </c>
      <c r="T901" s="54">
        <f ca="1">MIN(100,MAX(0,MCDA_Prioritisation!$G$5+(RAND()-0.5)*2*$B$7))</f>
        <v>64.149039044513898</v>
      </c>
      <c r="U901" s="54">
        <f ca="1">MIN(100,MAX(0,MCDA_Prioritisation!$H$2+(RAND()-0.5)*2*$B$7))</f>
        <v>72.120756966868782</v>
      </c>
      <c r="V901" s="54">
        <f ca="1">MIN(100,MAX(0,MCDA_Prioritisation!$H$3+(RAND()-0.5)*2*$B$7))</f>
        <v>58.590021325059006</v>
      </c>
      <c r="W901" s="54">
        <f ca="1">MIN(100,MAX(0,MCDA_Prioritisation!$H$4+(RAND()-0.5)*2*$B$7))</f>
        <v>76.434618755440169</v>
      </c>
      <c r="X901" s="54">
        <f ca="1">MIN(100,MAX(0,MCDA_Prioritisation!$H$5+(RAND()-0.5)*2*$B$7))</f>
        <v>72.14598987186406</v>
      </c>
      <c r="Y901" s="54">
        <f ca="1">H901*MCDA_Prioritisation!$D$2+I901*MCDA_Prioritisation!$E$2+J901*M901+K901*Q901+L901*U901</f>
        <v>87.232063132671954</v>
      </c>
      <c r="Z901" s="54">
        <f ca="1">H901*MCDA_Prioritisation!$D$3+I901*MCDA_Prioritisation!$E$3+J901*N901+K901*R901+L901*V901</f>
        <v>81.957929090589261</v>
      </c>
      <c r="AA901" s="54">
        <f ca="1">H901*MCDA_Prioritisation!$D$4+I901*MCDA_Prioritisation!$E$4+J901*O901+K901*S901+L901*W901</f>
        <v>76.682612369754509</v>
      </c>
      <c r="AB901" s="54">
        <f ca="1">H901*MCDA_Prioritisation!$D$5+I901*MCDA_Prioritisation!$E$5+J901*P901+K901*T901+L901*X901</f>
        <v>68.135819233250203</v>
      </c>
      <c r="AC901" s="54">
        <f t="shared" ca="1" si="188"/>
        <v>1</v>
      </c>
      <c r="AD901" s="54">
        <f t="shared" ca="1" si="189"/>
        <v>2</v>
      </c>
      <c r="AE901" s="54">
        <f t="shared" ca="1" si="190"/>
        <v>3</v>
      </c>
      <c r="AF901" s="54">
        <f t="shared" ca="1" si="191"/>
        <v>4</v>
      </c>
      <c r="AG901" s="54">
        <f t="shared" ca="1" si="192"/>
        <v>1</v>
      </c>
      <c r="AH901" s="54">
        <f t="shared" ca="1" si="193"/>
        <v>1</v>
      </c>
      <c r="AI901" s="54">
        <f t="shared" ca="1" si="194"/>
        <v>1</v>
      </c>
      <c r="AJ901" s="54">
        <f t="shared" ca="1" si="195"/>
        <v>1</v>
      </c>
    </row>
    <row r="902" spans="1:36" x14ac:dyDescent="0.2">
      <c r="A902" s="54">
        <v>879</v>
      </c>
      <c r="B902" s="54">
        <f ca="1">MAX(0.02,MCDA_Prioritisation!$B$9+(RAND()-0.5)*2*$B$6)</f>
        <v>0.14297311687865491</v>
      </c>
      <c r="C902" s="54">
        <f ca="1">MAX(0.02,MCDA_Prioritisation!$B$10+(RAND()-0.5)*2*$B$6)</f>
        <v>0.26671443267292289</v>
      </c>
      <c r="D902" s="54">
        <f ca="1">MAX(0.02,MCDA_Prioritisation!$B$11+(RAND()-0.5)*2*$B$6)</f>
        <v>0.24161984303900022</v>
      </c>
      <c r="E902" s="54">
        <f ca="1">MAX(0.02,MCDA_Prioritisation!$B$12+(RAND()-0.5)*2*$B$6)</f>
        <v>0.11489909426158004</v>
      </c>
      <c r="F902" s="54">
        <f ca="1">MAX(0.02,MCDA_Prioritisation!$B$13+(RAND()-0.5)*2*$B$6)</f>
        <v>0.18346850649986085</v>
      </c>
      <c r="G902" s="54">
        <f t="shared" ca="1" si="182"/>
        <v>0.94967499335201899</v>
      </c>
      <c r="H902" s="54">
        <f t="shared" ca="1" si="183"/>
        <v>0.15054952260458079</v>
      </c>
      <c r="I902" s="54">
        <f t="shared" ca="1" si="184"/>
        <v>0.28084811597651388</v>
      </c>
      <c r="J902" s="54">
        <f t="shared" ca="1" si="185"/>
        <v>0.25442371835670546</v>
      </c>
      <c r="K902" s="54">
        <f t="shared" ca="1" si="186"/>
        <v>0.12098780642420268</v>
      </c>
      <c r="L902" s="54">
        <f t="shared" ca="1" si="187"/>
        <v>0.19319083663799708</v>
      </c>
      <c r="M902" s="54">
        <f ca="1">MIN(100,MAX(0,MCDA_Prioritisation!$F$2+(RAND()-0.5)*2*$B$7))</f>
        <v>76.75743844200548</v>
      </c>
      <c r="N902" s="54">
        <f ca="1">MIN(100,MAX(0,MCDA_Prioritisation!$F$3+(RAND()-0.5)*2*$B$7))</f>
        <v>86.044632739589659</v>
      </c>
      <c r="O902" s="54">
        <f ca="1">MIN(100,MAX(0,MCDA_Prioritisation!$F$4+(RAND()-0.5)*2*$B$7))</f>
        <v>99.835428823256478</v>
      </c>
      <c r="P902" s="54">
        <f ca="1">MIN(100,MAX(0,MCDA_Prioritisation!$F$5+(RAND()-0.5)*2*$B$7))</f>
        <v>69.380351856662628</v>
      </c>
      <c r="Q902" s="54">
        <f ca="1">MIN(100,MAX(0,MCDA_Prioritisation!$G$2+(RAND()-0.5)*2*$B$7))</f>
        <v>81.169633784571715</v>
      </c>
      <c r="R902" s="54">
        <f ca="1">MIN(100,MAX(0,MCDA_Prioritisation!$G$3+(RAND()-0.5)*2*$B$7))</f>
        <v>93.863734855572034</v>
      </c>
      <c r="S902" s="54">
        <f ca="1">MIN(100,MAX(0,MCDA_Prioritisation!$G$4+(RAND()-0.5)*2*$B$7))</f>
        <v>92.910074098701202</v>
      </c>
      <c r="T902" s="54">
        <f ca="1">MIN(100,MAX(0,MCDA_Prioritisation!$G$5+(RAND()-0.5)*2*$B$7))</f>
        <v>72.568215051498598</v>
      </c>
      <c r="U902" s="54">
        <f ca="1">MIN(100,MAX(0,MCDA_Prioritisation!$H$2+(RAND()-0.5)*2*$B$7))</f>
        <v>68.536210270368628</v>
      </c>
      <c r="V902" s="54">
        <f ca="1">MIN(100,MAX(0,MCDA_Prioritisation!$H$3+(RAND()-0.5)*2*$B$7))</f>
        <v>68.98674972034064</v>
      </c>
      <c r="W902" s="54">
        <f ca="1">MIN(100,MAX(0,MCDA_Prioritisation!$H$4+(RAND()-0.5)*2*$B$7))</f>
        <v>74.537415996325294</v>
      </c>
      <c r="X902" s="54">
        <f ca="1">MIN(100,MAX(0,MCDA_Prioritisation!$H$5+(RAND()-0.5)*2*$B$7))</f>
        <v>81.316832781608298</v>
      </c>
      <c r="Y902" s="54">
        <f ca="1">H902*MCDA_Prioritisation!$D$2+I902*MCDA_Prioritisation!$E$2+J902*M902+K902*Q902+L902*U902</f>
        <v>85.729780500041812</v>
      </c>
      <c r="Z902" s="54">
        <f ca="1">H902*MCDA_Prioritisation!$D$3+I902*MCDA_Prioritisation!$E$3+J902*N902+K902*R902+L902*V902</f>
        <v>80.158640637910466</v>
      </c>
      <c r="AA902" s="54">
        <f ca="1">H902*MCDA_Prioritisation!$D$4+I902*MCDA_Prioritisation!$E$4+J902*O902+K902*S902+L902*W902</f>
        <v>76.843804719867151</v>
      </c>
      <c r="AB902" s="54">
        <f ca="1">H902*MCDA_Prioritisation!$D$5+I902*MCDA_Prioritisation!$E$5+J902*P902+K902*T902+L902*X902</f>
        <v>73.748866476726079</v>
      </c>
      <c r="AC902" s="54">
        <f t="shared" ca="1" si="188"/>
        <v>1</v>
      </c>
      <c r="AD902" s="54">
        <f t="shared" ca="1" si="189"/>
        <v>2</v>
      </c>
      <c r="AE902" s="54">
        <f t="shared" ca="1" si="190"/>
        <v>3</v>
      </c>
      <c r="AF902" s="54">
        <f t="shared" ca="1" si="191"/>
        <v>4</v>
      </c>
      <c r="AG902" s="54">
        <f t="shared" ca="1" si="192"/>
        <v>1</v>
      </c>
      <c r="AH902" s="54">
        <f t="shared" ca="1" si="193"/>
        <v>1</v>
      </c>
      <c r="AI902" s="54">
        <f t="shared" ca="1" si="194"/>
        <v>1</v>
      </c>
      <c r="AJ902" s="54">
        <f t="shared" ca="1" si="195"/>
        <v>1</v>
      </c>
    </row>
    <row r="903" spans="1:36" x14ac:dyDescent="0.2">
      <c r="A903" s="54">
        <v>880</v>
      </c>
      <c r="B903" s="54">
        <f ca="1">MAX(0.02,MCDA_Prioritisation!$B$9+(RAND()-0.5)*2*$B$6)</f>
        <v>0.20866215576781275</v>
      </c>
      <c r="C903" s="54">
        <f ca="1">MAX(0.02,MCDA_Prioritisation!$B$10+(RAND()-0.5)*2*$B$6)</f>
        <v>0.22474262314484203</v>
      </c>
      <c r="D903" s="54">
        <f ca="1">MAX(0.02,MCDA_Prioritisation!$B$11+(RAND()-0.5)*2*$B$6)</f>
        <v>0.31577371869146442</v>
      </c>
      <c r="E903" s="54">
        <f ca="1">MAX(0.02,MCDA_Prioritisation!$B$12+(RAND()-0.5)*2*$B$6)</f>
        <v>0.13231857748035619</v>
      </c>
      <c r="F903" s="54">
        <f ca="1">MAX(0.02,MCDA_Prioritisation!$B$13+(RAND()-0.5)*2*$B$6)</f>
        <v>0.18246528617879731</v>
      </c>
      <c r="G903" s="54">
        <f t="shared" ca="1" si="182"/>
        <v>1.0639623612632727</v>
      </c>
      <c r="H903" s="54">
        <f t="shared" ca="1" si="183"/>
        <v>0.19611798627919719</v>
      </c>
      <c r="I903" s="54">
        <f t="shared" ca="1" si="184"/>
        <v>0.21123174214358367</v>
      </c>
      <c r="J903" s="54">
        <f t="shared" ca="1" si="185"/>
        <v>0.29679030968401676</v>
      </c>
      <c r="K903" s="54">
        <f t="shared" ca="1" si="186"/>
        <v>0.12436396464556376</v>
      </c>
      <c r="L903" s="54">
        <f t="shared" ca="1" si="187"/>
        <v>0.17149599724763864</v>
      </c>
      <c r="M903" s="54">
        <f ca="1">MIN(100,MAX(0,MCDA_Prioritisation!$F$2+(RAND()-0.5)*2*$B$7))</f>
        <v>75.260962975380352</v>
      </c>
      <c r="N903" s="54">
        <f ca="1">MIN(100,MAX(0,MCDA_Prioritisation!$F$3+(RAND()-0.5)*2*$B$7))</f>
        <v>93.260887725035559</v>
      </c>
      <c r="O903" s="54">
        <f ca="1">MIN(100,MAX(0,MCDA_Prioritisation!$F$4+(RAND()-0.5)*2*$B$7))</f>
        <v>95.982439607925969</v>
      </c>
      <c r="P903" s="54">
        <f ca="1">MIN(100,MAX(0,MCDA_Prioritisation!$F$5+(RAND()-0.5)*2*$B$7))</f>
        <v>76.387844996399863</v>
      </c>
      <c r="Q903" s="54">
        <f ca="1">MIN(100,MAX(0,MCDA_Prioritisation!$G$2+(RAND()-0.5)*2*$B$7))</f>
        <v>84.390128144502384</v>
      </c>
      <c r="R903" s="54">
        <f ca="1">MIN(100,MAX(0,MCDA_Prioritisation!$G$3+(RAND()-0.5)*2*$B$7))</f>
        <v>88.235414153874757</v>
      </c>
      <c r="S903" s="54">
        <f ca="1">MIN(100,MAX(0,MCDA_Prioritisation!$G$4+(RAND()-0.5)*2*$B$7))</f>
        <v>86.812628980070286</v>
      </c>
      <c r="T903" s="54">
        <f ca="1">MIN(100,MAX(0,MCDA_Prioritisation!$G$5+(RAND()-0.5)*2*$B$7))</f>
        <v>63.148715134257245</v>
      </c>
      <c r="U903" s="54">
        <f ca="1">MIN(100,MAX(0,MCDA_Prioritisation!$H$2+(RAND()-0.5)*2*$B$7))</f>
        <v>72.34491625976959</v>
      </c>
      <c r="V903" s="54">
        <f ca="1">MIN(100,MAX(0,MCDA_Prioritisation!$H$3+(RAND()-0.5)*2*$B$7))</f>
        <v>53.514031055277385</v>
      </c>
      <c r="W903" s="54">
        <f ca="1">MIN(100,MAX(0,MCDA_Prioritisation!$H$4+(RAND()-0.5)*2*$B$7))</f>
        <v>79.634248751667286</v>
      </c>
      <c r="X903" s="54">
        <f ca="1">MIN(100,MAX(0,MCDA_Prioritisation!$H$5+(RAND()-0.5)*2*$B$7))</f>
        <v>65.72747097149778</v>
      </c>
      <c r="Y903" s="54">
        <f ca="1">H903*MCDA_Prioritisation!$D$2+I903*MCDA_Prioritisation!$E$2+J903*M903+K903*Q903+L903*U903</f>
        <v>85.97365182362212</v>
      </c>
      <c r="Z903" s="54">
        <f ca="1">H903*MCDA_Prioritisation!$D$3+I903*MCDA_Prioritisation!$E$3+J903*N903+K903*R903+L903*V903</f>
        <v>80.332076440566368</v>
      </c>
      <c r="AA903" s="54">
        <f ca="1">H903*MCDA_Prioritisation!$D$4+I903*MCDA_Prioritisation!$E$4+J903*O903+K903*S903+L903*W903</f>
        <v>78.118210656283537</v>
      </c>
      <c r="AB903" s="54">
        <f ca="1">H903*MCDA_Prioritisation!$D$5+I903*MCDA_Prioritisation!$E$5+J903*P903+K903*T903+L903*X903</f>
        <v>69.968400787314636</v>
      </c>
      <c r="AC903" s="54">
        <f t="shared" ca="1" si="188"/>
        <v>1</v>
      </c>
      <c r="AD903" s="54">
        <f t="shared" ca="1" si="189"/>
        <v>2</v>
      </c>
      <c r="AE903" s="54">
        <f t="shared" ca="1" si="190"/>
        <v>3</v>
      </c>
      <c r="AF903" s="54">
        <f t="shared" ca="1" si="191"/>
        <v>4</v>
      </c>
      <c r="AG903" s="54">
        <f t="shared" ca="1" si="192"/>
        <v>1</v>
      </c>
      <c r="AH903" s="54">
        <f t="shared" ca="1" si="193"/>
        <v>1</v>
      </c>
      <c r="AI903" s="54">
        <f t="shared" ca="1" si="194"/>
        <v>1</v>
      </c>
      <c r="AJ903" s="54">
        <f t="shared" ca="1" si="195"/>
        <v>1</v>
      </c>
    </row>
    <row r="904" spans="1:36" x14ac:dyDescent="0.2">
      <c r="A904" s="54">
        <v>881</v>
      </c>
      <c r="B904" s="54">
        <f ca="1">MAX(0.02,MCDA_Prioritisation!$B$9+(RAND()-0.5)*2*$B$6)</f>
        <v>0.16362228584674587</v>
      </c>
      <c r="C904" s="54">
        <f ca="1">MAX(0.02,MCDA_Prioritisation!$B$10+(RAND()-0.5)*2*$B$6)</f>
        <v>0.30335140095377378</v>
      </c>
      <c r="D904" s="54">
        <f ca="1">MAX(0.02,MCDA_Prioritisation!$B$11+(RAND()-0.5)*2*$B$6)</f>
        <v>0.27762312512093545</v>
      </c>
      <c r="E904" s="54">
        <f ca="1">MAX(0.02,MCDA_Prioritisation!$B$12+(RAND()-0.5)*2*$B$6)</f>
        <v>0.16581489879768485</v>
      </c>
      <c r="F904" s="54">
        <f ca="1">MAX(0.02,MCDA_Prioritisation!$B$13+(RAND()-0.5)*2*$B$6)</f>
        <v>0.13055692006599964</v>
      </c>
      <c r="G904" s="54">
        <f t="shared" ca="1" si="182"/>
        <v>1.0409686307851396</v>
      </c>
      <c r="H904" s="54">
        <f t="shared" ca="1" si="183"/>
        <v>0.15718272482748638</v>
      </c>
      <c r="I904" s="54">
        <f t="shared" ca="1" si="184"/>
        <v>0.29141262472527552</v>
      </c>
      <c r="J904" s="54">
        <f t="shared" ca="1" si="185"/>
        <v>0.26669691757333852</v>
      </c>
      <c r="K904" s="54">
        <f t="shared" ca="1" si="186"/>
        <v>0.15928904473578681</v>
      </c>
      <c r="L904" s="54">
        <f t="shared" ca="1" si="187"/>
        <v>0.12541868813811274</v>
      </c>
      <c r="M904" s="54">
        <f ca="1">MIN(100,MAX(0,MCDA_Prioritisation!$F$2+(RAND()-0.5)*2*$B$7))</f>
        <v>81.367511353985449</v>
      </c>
      <c r="N904" s="54">
        <f ca="1">MIN(100,MAX(0,MCDA_Prioritisation!$F$3+(RAND()-0.5)*2*$B$7))</f>
        <v>87.753845721669862</v>
      </c>
      <c r="O904" s="54">
        <f ca="1">MIN(100,MAX(0,MCDA_Prioritisation!$F$4+(RAND()-0.5)*2*$B$7))</f>
        <v>86.485779275923363</v>
      </c>
      <c r="P904" s="54">
        <f ca="1">MIN(100,MAX(0,MCDA_Prioritisation!$F$5+(RAND()-0.5)*2*$B$7))</f>
        <v>82.235015098117984</v>
      </c>
      <c r="Q904" s="54">
        <f ca="1">MIN(100,MAX(0,MCDA_Prioritisation!$G$2+(RAND()-0.5)*2*$B$7))</f>
        <v>75.161419797755613</v>
      </c>
      <c r="R904" s="54">
        <f ca="1">MIN(100,MAX(0,MCDA_Prioritisation!$G$3+(RAND()-0.5)*2*$B$7))</f>
        <v>100</v>
      </c>
      <c r="S904" s="54">
        <f ca="1">MIN(100,MAX(0,MCDA_Prioritisation!$G$4+(RAND()-0.5)*2*$B$7))</f>
        <v>85.866783434047548</v>
      </c>
      <c r="T904" s="54">
        <f ca="1">MIN(100,MAX(0,MCDA_Prioritisation!$G$5+(RAND()-0.5)*2*$B$7))</f>
        <v>68.826141335941344</v>
      </c>
      <c r="U904" s="54">
        <f ca="1">MIN(100,MAX(0,MCDA_Prioritisation!$H$2+(RAND()-0.5)*2*$B$7))</f>
        <v>68.650320339418073</v>
      </c>
      <c r="V904" s="54">
        <f ca="1">MIN(100,MAX(0,MCDA_Prioritisation!$H$3+(RAND()-0.5)*2*$B$7))</f>
        <v>63.287226333238479</v>
      </c>
      <c r="W904" s="54">
        <f ca="1">MIN(100,MAX(0,MCDA_Prioritisation!$H$4+(RAND()-0.5)*2*$B$7))</f>
        <v>70.716111495232937</v>
      </c>
      <c r="X904" s="54">
        <f ca="1">MIN(100,MAX(0,MCDA_Prioritisation!$H$5+(RAND()-0.5)*2*$B$7))</f>
        <v>79.4345324223669</v>
      </c>
      <c r="Y904" s="54">
        <f ca="1">H904*MCDA_Prioritisation!$D$2+I904*MCDA_Prioritisation!$E$2+J904*M904+K904*Q904+L904*U904</f>
        <v>87.142423301798701</v>
      </c>
      <c r="Z904" s="54">
        <f ca="1">H904*MCDA_Prioritisation!$D$3+I904*MCDA_Prioritisation!$E$3+J904*N904+K904*R904+L904*V904</f>
        <v>82.200904306123405</v>
      </c>
      <c r="AA904" s="54">
        <f ca="1">H904*MCDA_Prioritisation!$D$4+I904*MCDA_Prioritisation!$E$4+J904*O904+K904*S904+L904*W904</f>
        <v>72.452765606970317</v>
      </c>
      <c r="AB904" s="54">
        <f ca="1">H904*MCDA_Prioritisation!$D$5+I904*MCDA_Prioritisation!$E$5+J904*P904+K904*T904+L904*X904</f>
        <v>75.705415717351968</v>
      </c>
      <c r="AC904" s="54">
        <f t="shared" ca="1" si="188"/>
        <v>1</v>
      </c>
      <c r="AD904" s="54">
        <f t="shared" ca="1" si="189"/>
        <v>2</v>
      </c>
      <c r="AE904" s="54">
        <f t="shared" ca="1" si="190"/>
        <v>4</v>
      </c>
      <c r="AF904" s="54">
        <f t="shared" ca="1" si="191"/>
        <v>3</v>
      </c>
      <c r="AG904" s="54">
        <f t="shared" ca="1" si="192"/>
        <v>1</v>
      </c>
      <c r="AH904" s="54">
        <f t="shared" ca="1" si="193"/>
        <v>1</v>
      </c>
      <c r="AI904" s="54">
        <f t="shared" ca="1" si="194"/>
        <v>0</v>
      </c>
      <c r="AJ904" s="54">
        <f t="shared" ca="1" si="195"/>
        <v>1</v>
      </c>
    </row>
    <row r="905" spans="1:36" x14ac:dyDescent="0.2">
      <c r="A905" s="54">
        <v>882</v>
      </c>
      <c r="B905" s="54">
        <f ca="1">MAX(0.02,MCDA_Prioritisation!$B$9+(RAND()-0.5)*2*$B$6)</f>
        <v>0.20403955386646139</v>
      </c>
      <c r="C905" s="54">
        <f ca="1">MAX(0.02,MCDA_Prioritisation!$B$10+(RAND()-0.5)*2*$B$6)</f>
        <v>0.24904711097090734</v>
      </c>
      <c r="D905" s="54">
        <f ca="1">MAX(0.02,MCDA_Prioritisation!$B$11+(RAND()-0.5)*2*$B$6)</f>
        <v>0.24162233946204686</v>
      </c>
      <c r="E905" s="54">
        <f ca="1">MAX(0.02,MCDA_Prioritisation!$B$12+(RAND()-0.5)*2*$B$6)</f>
        <v>9.2236101090619096E-2</v>
      </c>
      <c r="F905" s="54">
        <f ca="1">MAX(0.02,MCDA_Prioritisation!$B$13+(RAND()-0.5)*2*$B$6)</f>
        <v>0.14044803331209693</v>
      </c>
      <c r="G905" s="54">
        <f t="shared" ca="1" si="182"/>
        <v>0.92739313870213147</v>
      </c>
      <c r="H905" s="54">
        <f t="shared" ca="1" si="183"/>
        <v>0.22001408609946235</v>
      </c>
      <c r="I905" s="54">
        <f t="shared" ca="1" si="184"/>
        <v>0.26854534563350757</v>
      </c>
      <c r="J905" s="54">
        <f t="shared" ca="1" si="185"/>
        <v>0.2605392787358688</v>
      </c>
      <c r="K905" s="54">
        <f t="shared" ca="1" si="186"/>
        <v>9.9457390012289412E-2</v>
      </c>
      <c r="L905" s="54">
        <f t="shared" ca="1" si="187"/>
        <v>0.15144389951887202</v>
      </c>
      <c r="M905" s="54">
        <f ca="1">MIN(100,MAX(0,MCDA_Prioritisation!$F$2+(RAND()-0.5)*2*$B$7))</f>
        <v>94.990233691909154</v>
      </c>
      <c r="N905" s="54">
        <f ca="1">MIN(100,MAX(0,MCDA_Prioritisation!$F$3+(RAND()-0.5)*2*$B$7))</f>
        <v>97.201808020851416</v>
      </c>
      <c r="O905" s="54">
        <f ca="1">MIN(100,MAX(0,MCDA_Prioritisation!$F$4+(RAND()-0.5)*2*$B$7))</f>
        <v>96.9018913444269</v>
      </c>
      <c r="P905" s="54">
        <f ca="1">MIN(100,MAX(0,MCDA_Prioritisation!$F$5+(RAND()-0.5)*2*$B$7))</f>
        <v>79.494561577116983</v>
      </c>
      <c r="Q905" s="54">
        <f ca="1">MIN(100,MAX(0,MCDA_Prioritisation!$G$2+(RAND()-0.5)*2*$B$7))</f>
        <v>70.995675166222412</v>
      </c>
      <c r="R905" s="54">
        <f ca="1">MIN(100,MAX(0,MCDA_Prioritisation!$G$3+(RAND()-0.5)*2*$B$7))</f>
        <v>90.575437612424821</v>
      </c>
      <c r="S905" s="54">
        <f ca="1">MIN(100,MAX(0,MCDA_Prioritisation!$G$4+(RAND()-0.5)*2*$B$7))</f>
        <v>81.94907124208585</v>
      </c>
      <c r="T905" s="54">
        <f ca="1">MIN(100,MAX(0,MCDA_Prioritisation!$G$5+(RAND()-0.5)*2*$B$7))</f>
        <v>60.823673821464034</v>
      </c>
      <c r="U905" s="54">
        <f ca="1">MIN(100,MAX(0,MCDA_Prioritisation!$H$2+(RAND()-0.5)*2*$B$7))</f>
        <v>68.291386779578929</v>
      </c>
      <c r="V905" s="54">
        <f ca="1">MIN(100,MAX(0,MCDA_Prioritisation!$H$3+(RAND()-0.5)*2*$B$7))</f>
        <v>60.527433984263389</v>
      </c>
      <c r="W905" s="54">
        <f ca="1">MIN(100,MAX(0,MCDA_Prioritisation!$H$4+(RAND()-0.5)*2*$B$7))</f>
        <v>71.232548482619237</v>
      </c>
      <c r="X905" s="54">
        <f ca="1">MIN(100,MAX(0,MCDA_Prioritisation!$H$5+(RAND()-0.5)*2*$B$7))</f>
        <v>65.845166195957006</v>
      </c>
      <c r="Y905" s="54">
        <f ca="1">H905*MCDA_Prioritisation!$D$2+I905*MCDA_Prioritisation!$E$2+J905*M905+K905*Q905+L905*U905</f>
        <v>91.007988617982392</v>
      </c>
      <c r="Z905" s="54">
        <f ca="1">H905*MCDA_Prioritisation!$D$3+I905*MCDA_Prioritisation!$E$3+J905*N905+K905*R905+L905*V905</f>
        <v>82.258902517463298</v>
      </c>
      <c r="AA905" s="54">
        <f ca="1">H905*MCDA_Prioritisation!$D$4+I905*MCDA_Prioritisation!$E$4+J905*O905+K905*S905+L905*W905</f>
        <v>74.153340058234846</v>
      </c>
      <c r="AB905" s="54">
        <f ca="1">H905*MCDA_Prioritisation!$D$5+I905*MCDA_Prioritisation!$E$5+J905*P905+K905*T905+L905*X905</f>
        <v>70.992333958674152</v>
      </c>
      <c r="AC905" s="54">
        <f t="shared" ca="1" si="188"/>
        <v>1</v>
      </c>
      <c r="AD905" s="54">
        <f t="shared" ca="1" si="189"/>
        <v>2</v>
      </c>
      <c r="AE905" s="54">
        <f t="shared" ca="1" si="190"/>
        <v>3</v>
      </c>
      <c r="AF905" s="54">
        <f t="shared" ca="1" si="191"/>
        <v>4</v>
      </c>
      <c r="AG905" s="54">
        <f t="shared" ca="1" si="192"/>
        <v>1</v>
      </c>
      <c r="AH905" s="54">
        <f t="shared" ca="1" si="193"/>
        <v>1</v>
      </c>
      <c r="AI905" s="54">
        <f t="shared" ca="1" si="194"/>
        <v>1</v>
      </c>
      <c r="AJ905" s="54">
        <f t="shared" ca="1" si="195"/>
        <v>1</v>
      </c>
    </row>
    <row r="906" spans="1:36" x14ac:dyDescent="0.2">
      <c r="A906" s="54">
        <v>883</v>
      </c>
      <c r="B906" s="54">
        <f ca="1">MAX(0.02,MCDA_Prioritisation!$B$9+(RAND()-0.5)*2*$B$6)</f>
        <v>0.16638562679149538</v>
      </c>
      <c r="C906" s="54">
        <f ca="1">MAX(0.02,MCDA_Prioritisation!$B$10+(RAND()-0.5)*2*$B$6)</f>
        <v>0.20918619479709941</v>
      </c>
      <c r="D906" s="54">
        <f ca="1">MAX(0.02,MCDA_Prioritisation!$B$11+(RAND()-0.5)*2*$B$6)</f>
        <v>0.21404746243762143</v>
      </c>
      <c r="E906" s="54">
        <f ca="1">MAX(0.02,MCDA_Prioritisation!$B$12+(RAND()-0.5)*2*$B$6)</f>
        <v>0.21031071583996955</v>
      </c>
      <c r="F906" s="54">
        <f ca="1">MAX(0.02,MCDA_Prioritisation!$B$13+(RAND()-0.5)*2*$B$6)</f>
        <v>0.1738025060991692</v>
      </c>
      <c r="G906" s="54">
        <f t="shared" ca="1" si="182"/>
        <v>0.97373250596535499</v>
      </c>
      <c r="H906" s="54">
        <f t="shared" ca="1" si="183"/>
        <v>0.17087406014708451</v>
      </c>
      <c r="I906" s="54">
        <f t="shared" ca="1" si="184"/>
        <v>0.21482922005331737</v>
      </c>
      <c r="J906" s="54">
        <f t="shared" ca="1" si="185"/>
        <v>0.21982162567882596</v>
      </c>
      <c r="K906" s="54">
        <f t="shared" ca="1" si="186"/>
        <v>0.21598407627510416</v>
      </c>
      <c r="L906" s="54">
        <f t="shared" ca="1" si="187"/>
        <v>0.17849101784566801</v>
      </c>
      <c r="M906" s="54">
        <f ca="1">MIN(100,MAX(0,MCDA_Prioritisation!$F$2+(RAND()-0.5)*2*$B$7))</f>
        <v>86.224415896727166</v>
      </c>
      <c r="N906" s="54">
        <f ca="1">MIN(100,MAX(0,MCDA_Prioritisation!$F$3+(RAND()-0.5)*2*$B$7))</f>
        <v>89.13805368148823</v>
      </c>
      <c r="O906" s="54">
        <f ca="1">MIN(100,MAX(0,MCDA_Prioritisation!$F$4+(RAND()-0.5)*2*$B$7))</f>
        <v>88.237151353798637</v>
      </c>
      <c r="P906" s="54">
        <f ca="1">MIN(100,MAX(0,MCDA_Prioritisation!$F$5+(RAND()-0.5)*2*$B$7))</f>
        <v>80.791715016030494</v>
      </c>
      <c r="Q906" s="54">
        <f ca="1">MIN(100,MAX(0,MCDA_Prioritisation!$G$2+(RAND()-0.5)*2*$B$7))</f>
        <v>84.136160565886073</v>
      </c>
      <c r="R906" s="54">
        <f ca="1">MIN(100,MAX(0,MCDA_Prioritisation!$G$3+(RAND()-0.5)*2*$B$7))</f>
        <v>87.197618630021239</v>
      </c>
      <c r="S906" s="54">
        <f ca="1">MIN(100,MAX(0,MCDA_Prioritisation!$G$4+(RAND()-0.5)*2*$B$7))</f>
        <v>78.976887531086845</v>
      </c>
      <c r="T906" s="54">
        <f ca="1">MIN(100,MAX(0,MCDA_Prioritisation!$G$5+(RAND()-0.5)*2*$B$7))</f>
        <v>63.642521117525156</v>
      </c>
      <c r="U906" s="54">
        <f ca="1">MIN(100,MAX(0,MCDA_Prioritisation!$H$2+(RAND()-0.5)*2*$B$7))</f>
        <v>70.216774229770749</v>
      </c>
      <c r="V906" s="54">
        <f ca="1">MIN(100,MAX(0,MCDA_Prioritisation!$H$3+(RAND()-0.5)*2*$B$7))</f>
        <v>65.688047870819986</v>
      </c>
      <c r="W906" s="54">
        <f ca="1">MIN(100,MAX(0,MCDA_Prioritisation!$H$4+(RAND()-0.5)*2*$B$7))</f>
        <v>83.989577833143727</v>
      </c>
      <c r="X906" s="54">
        <f ca="1">MIN(100,MAX(0,MCDA_Prioritisation!$H$5+(RAND()-0.5)*2*$B$7))</f>
        <v>70.434564763384785</v>
      </c>
      <c r="Y906" s="54">
        <f ca="1">H906*MCDA_Prioritisation!$D$2+I906*MCDA_Prioritisation!$E$2+J906*M906+K906*Q906+L906*U906</f>
        <v>88.229453718933954</v>
      </c>
      <c r="Z906" s="54">
        <f ca="1">H906*MCDA_Prioritisation!$D$3+I906*MCDA_Prioritisation!$E$3+J906*N906+K906*R906+L906*V906</f>
        <v>80.710291553037663</v>
      </c>
      <c r="AA906" s="54">
        <f ca="1">H906*MCDA_Prioritisation!$D$4+I906*MCDA_Prioritisation!$E$4+J906*O906+K906*S906+L906*W906</f>
        <v>75.062191897953937</v>
      </c>
      <c r="AB906" s="54">
        <f ca="1">H906*MCDA_Prioritisation!$D$5+I906*MCDA_Prioritisation!$E$5+J906*P906+K906*T906+L906*X906</f>
        <v>71.211951631076786</v>
      </c>
      <c r="AC906" s="54">
        <f t="shared" ca="1" si="188"/>
        <v>1</v>
      </c>
      <c r="AD906" s="54">
        <f t="shared" ca="1" si="189"/>
        <v>2</v>
      </c>
      <c r="AE906" s="54">
        <f t="shared" ca="1" si="190"/>
        <v>3</v>
      </c>
      <c r="AF906" s="54">
        <f t="shared" ca="1" si="191"/>
        <v>4</v>
      </c>
      <c r="AG906" s="54">
        <f t="shared" ca="1" si="192"/>
        <v>1</v>
      </c>
      <c r="AH906" s="54">
        <f t="shared" ca="1" si="193"/>
        <v>1</v>
      </c>
      <c r="AI906" s="54">
        <f t="shared" ca="1" si="194"/>
        <v>1</v>
      </c>
      <c r="AJ906" s="54">
        <f t="shared" ca="1" si="195"/>
        <v>1</v>
      </c>
    </row>
    <row r="907" spans="1:36" x14ac:dyDescent="0.2">
      <c r="A907" s="54">
        <v>884</v>
      </c>
      <c r="B907" s="54">
        <f ca="1">MAX(0.02,MCDA_Prioritisation!$B$9+(RAND()-0.5)*2*$B$6)</f>
        <v>0.15221902836457957</v>
      </c>
      <c r="C907" s="54">
        <f ca="1">MAX(0.02,MCDA_Prioritisation!$B$10+(RAND()-0.5)*2*$B$6)</f>
        <v>0.24346150983954773</v>
      </c>
      <c r="D907" s="54">
        <f ca="1">MAX(0.02,MCDA_Prioritisation!$B$11+(RAND()-0.5)*2*$B$6)</f>
        <v>0.23472213182381807</v>
      </c>
      <c r="E907" s="54">
        <f ca="1">MAX(0.02,MCDA_Prioritisation!$B$12+(RAND()-0.5)*2*$B$6)</f>
        <v>0.10483683719852868</v>
      </c>
      <c r="F907" s="54">
        <f ca="1">MAX(0.02,MCDA_Prioritisation!$B$13+(RAND()-0.5)*2*$B$6)</f>
        <v>0.15196888993332819</v>
      </c>
      <c r="G907" s="54">
        <f t="shared" ca="1" si="182"/>
        <v>0.88720839715980215</v>
      </c>
      <c r="H907" s="54">
        <f t="shared" ca="1" si="183"/>
        <v>0.17157077057867634</v>
      </c>
      <c r="I907" s="54">
        <f t="shared" ca="1" si="184"/>
        <v>0.27441299092629751</v>
      </c>
      <c r="J907" s="54">
        <f t="shared" ca="1" si="185"/>
        <v>0.26456256790989369</v>
      </c>
      <c r="K907" s="54">
        <f t="shared" ca="1" si="186"/>
        <v>0.1181648387618289</v>
      </c>
      <c r="L907" s="54">
        <f t="shared" ca="1" si="187"/>
        <v>0.17128883182330371</v>
      </c>
      <c r="M907" s="54">
        <f ca="1">MIN(100,MAX(0,MCDA_Prioritisation!$F$2+(RAND()-0.5)*2*$B$7))</f>
        <v>93.202437730665508</v>
      </c>
      <c r="N907" s="54">
        <f ca="1">MIN(100,MAX(0,MCDA_Prioritisation!$F$3+(RAND()-0.5)*2*$B$7))</f>
        <v>100</v>
      </c>
      <c r="O907" s="54">
        <f ca="1">MIN(100,MAX(0,MCDA_Prioritisation!$F$4+(RAND()-0.5)*2*$B$7))</f>
        <v>86.075802210375272</v>
      </c>
      <c r="P907" s="54">
        <f ca="1">MIN(100,MAX(0,MCDA_Prioritisation!$F$5+(RAND()-0.5)*2*$B$7))</f>
        <v>72.943553036162484</v>
      </c>
      <c r="Q907" s="54">
        <f ca="1">MIN(100,MAX(0,MCDA_Prioritisation!$G$2+(RAND()-0.5)*2*$B$7))</f>
        <v>87.539487336868518</v>
      </c>
      <c r="R907" s="54">
        <f ca="1">MIN(100,MAX(0,MCDA_Prioritisation!$G$3+(RAND()-0.5)*2*$B$7))</f>
        <v>95.826238238690806</v>
      </c>
      <c r="S907" s="54">
        <f ca="1">MIN(100,MAX(0,MCDA_Prioritisation!$G$4+(RAND()-0.5)*2*$B$7))</f>
        <v>93.052459767481238</v>
      </c>
      <c r="T907" s="54">
        <f ca="1">MIN(100,MAX(0,MCDA_Prioritisation!$G$5+(RAND()-0.5)*2*$B$7))</f>
        <v>67.066187980920205</v>
      </c>
      <c r="U907" s="54">
        <f ca="1">MIN(100,MAX(0,MCDA_Prioritisation!$H$2+(RAND()-0.5)*2*$B$7))</f>
        <v>63.51306978285556</v>
      </c>
      <c r="V907" s="54">
        <f ca="1">MIN(100,MAX(0,MCDA_Prioritisation!$H$3+(RAND()-0.5)*2*$B$7))</f>
        <v>65.116536995669904</v>
      </c>
      <c r="W907" s="54">
        <f ca="1">MIN(100,MAX(0,MCDA_Prioritisation!$H$4+(RAND()-0.5)*2*$B$7))</f>
        <v>85.274069555457217</v>
      </c>
      <c r="X907" s="54">
        <f ca="1">MIN(100,MAX(0,MCDA_Prioritisation!$H$5+(RAND()-0.5)*2*$B$7))</f>
        <v>79.591140705803014</v>
      </c>
      <c r="Y907" s="54">
        <f ca="1">H907*MCDA_Prioritisation!$D$2+I907*MCDA_Prioritisation!$E$2+J907*M907+K907*Q907+L907*U907</f>
        <v>90.479421347055748</v>
      </c>
      <c r="Z907" s="54">
        <f ca="1">H907*MCDA_Prioritisation!$D$3+I907*MCDA_Prioritisation!$E$3+J907*N907+K907*R907+L907*V907</f>
        <v>83.885335824958119</v>
      </c>
      <c r="AA907" s="54">
        <f ca="1">H907*MCDA_Prioritisation!$D$4+I907*MCDA_Prioritisation!$E$4+J907*O907+K907*S907+L907*W907</f>
        <v>75.289621121785942</v>
      </c>
      <c r="AB907" s="54">
        <f ca="1">H907*MCDA_Prioritisation!$D$5+I907*MCDA_Prioritisation!$E$5+J907*P907+K907*T907+L907*X907</f>
        <v>73.037981697065931</v>
      </c>
      <c r="AC907" s="54">
        <f t="shared" ca="1" si="188"/>
        <v>1</v>
      </c>
      <c r="AD907" s="54">
        <f t="shared" ca="1" si="189"/>
        <v>2</v>
      </c>
      <c r="AE907" s="54">
        <f t="shared" ca="1" si="190"/>
        <v>3</v>
      </c>
      <c r="AF907" s="54">
        <f t="shared" ca="1" si="191"/>
        <v>4</v>
      </c>
      <c r="AG907" s="54">
        <f t="shared" ca="1" si="192"/>
        <v>1</v>
      </c>
      <c r="AH907" s="54">
        <f t="shared" ca="1" si="193"/>
        <v>1</v>
      </c>
      <c r="AI907" s="54">
        <f t="shared" ca="1" si="194"/>
        <v>1</v>
      </c>
      <c r="AJ907" s="54">
        <f t="shared" ca="1" si="195"/>
        <v>1</v>
      </c>
    </row>
    <row r="908" spans="1:36" x14ac:dyDescent="0.2">
      <c r="A908" s="54">
        <v>885</v>
      </c>
      <c r="B908" s="54">
        <f ca="1">MAX(0.02,MCDA_Prioritisation!$B$9+(RAND()-0.5)*2*$B$6)</f>
        <v>0.18086799465339715</v>
      </c>
      <c r="C908" s="54">
        <f ca="1">MAX(0.02,MCDA_Prioritisation!$B$10+(RAND()-0.5)*2*$B$6)</f>
        <v>0.26041291014297141</v>
      </c>
      <c r="D908" s="54">
        <f ca="1">MAX(0.02,MCDA_Prioritisation!$B$11+(RAND()-0.5)*2*$B$6)</f>
        <v>0.29895571786896669</v>
      </c>
      <c r="E908" s="54">
        <f ca="1">MAX(0.02,MCDA_Prioritisation!$B$12+(RAND()-0.5)*2*$B$6)</f>
        <v>9.5013021388376001E-2</v>
      </c>
      <c r="F908" s="54">
        <f ca="1">MAX(0.02,MCDA_Prioritisation!$B$13+(RAND()-0.5)*2*$B$6)</f>
        <v>0.15077353019769013</v>
      </c>
      <c r="G908" s="54">
        <f t="shared" ca="1" si="182"/>
        <v>0.98602317425140129</v>
      </c>
      <c r="H908" s="54">
        <f t="shared" ca="1" si="183"/>
        <v>0.18343178880223981</v>
      </c>
      <c r="I908" s="54">
        <f t="shared" ca="1" si="184"/>
        <v>0.26410424921369574</v>
      </c>
      <c r="J908" s="54">
        <f t="shared" ca="1" si="185"/>
        <v>0.30319339917739446</v>
      </c>
      <c r="K908" s="54">
        <f t="shared" ca="1" si="186"/>
        <v>9.6359825883920877E-2</v>
      </c>
      <c r="L908" s="54">
        <f t="shared" ca="1" si="187"/>
        <v>0.1529107369227492</v>
      </c>
      <c r="M908" s="54">
        <f ca="1">MIN(100,MAX(0,MCDA_Prioritisation!$F$2+(RAND()-0.5)*2*$B$7))</f>
        <v>93.645577341794421</v>
      </c>
      <c r="N908" s="54">
        <f ca="1">MIN(100,MAX(0,MCDA_Prioritisation!$F$3+(RAND()-0.5)*2*$B$7))</f>
        <v>100</v>
      </c>
      <c r="O908" s="54">
        <f ca="1">MIN(100,MAX(0,MCDA_Prioritisation!$F$4+(RAND()-0.5)*2*$B$7))</f>
        <v>91.915715032577296</v>
      </c>
      <c r="P908" s="54">
        <f ca="1">MIN(100,MAX(0,MCDA_Prioritisation!$F$5+(RAND()-0.5)*2*$B$7))</f>
        <v>68.935456220601921</v>
      </c>
      <c r="Q908" s="54">
        <f ca="1">MIN(100,MAX(0,MCDA_Prioritisation!$G$2+(RAND()-0.5)*2*$B$7))</f>
        <v>86.142614367756437</v>
      </c>
      <c r="R908" s="54">
        <f ca="1">MIN(100,MAX(0,MCDA_Prioritisation!$G$3+(RAND()-0.5)*2*$B$7))</f>
        <v>91.783869915286445</v>
      </c>
      <c r="S908" s="54">
        <f ca="1">MIN(100,MAX(0,MCDA_Prioritisation!$G$4+(RAND()-0.5)*2*$B$7))</f>
        <v>78.387363096636932</v>
      </c>
      <c r="T908" s="54">
        <f ca="1">MIN(100,MAX(0,MCDA_Prioritisation!$G$5+(RAND()-0.5)*2*$B$7))</f>
        <v>75.297372931485683</v>
      </c>
      <c r="U908" s="54">
        <f ca="1">MIN(100,MAX(0,MCDA_Prioritisation!$H$2+(RAND()-0.5)*2*$B$7))</f>
        <v>61.300652373981599</v>
      </c>
      <c r="V908" s="54">
        <f ca="1">MIN(100,MAX(0,MCDA_Prioritisation!$H$3+(RAND()-0.5)*2*$B$7))</f>
        <v>63.964193150144517</v>
      </c>
      <c r="W908" s="54">
        <f ca="1">MIN(100,MAX(0,MCDA_Prioritisation!$H$4+(RAND()-0.5)*2*$B$7))</f>
        <v>72.379797951364267</v>
      </c>
      <c r="X908" s="54">
        <f ca="1">MIN(100,MAX(0,MCDA_Prioritisation!$H$5+(RAND()-0.5)*2*$B$7))</f>
        <v>71.219456012839274</v>
      </c>
      <c r="Y908" s="54">
        <f ca="1">H908*MCDA_Prioritisation!$D$2+I908*MCDA_Prioritisation!$E$2+J908*M908+K908*Q908+L908*U908</f>
        <v>90.820539963795341</v>
      </c>
      <c r="Z908" s="54">
        <f ca="1">H908*MCDA_Prioritisation!$D$3+I908*MCDA_Prioritisation!$E$3+J908*N908+K908*R908+L908*V908</f>
        <v>84.183369875097299</v>
      </c>
      <c r="AA908" s="54">
        <f ca="1">H908*MCDA_Prioritisation!$D$4+I908*MCDA_Prioritisation!$E$4+J908*O908+K908*S908+L908*W908</f>
        <v>73.668076751812308</v>
      </c>
      <c r="AB908" s="54">
        <f ca="1">H908*MCDA_Prioritisation!$D$5+I908*MCDA_Prioritisation!$E$5+J908*P908+K908*T908+L908*X908</f>
        <v>70.991208366166745</v>
      </c>
      <c r="AC908" s="54">
        <f t="shared" ca="1" si="188"/>
        <v>1</v>
      </c>
      <c r="AD908" s="54">
        <f t="shared" ca="1" si="189"/>
        <v>2</v>
      </c>
      <c r="AE908" s="54">
        <f t="shared" ca="1" si="190"/>
        <v>3</v>
      </c>
      <c r="AF908" s="54">
        <f t="shared" ca="1" si="191"/>
        <v>4</v>
      </c>
      <c r="AG908" s="54">
        <f t="shared" ca="1" si="192"/>
        <v>1</v>
      </c>
      <c r="AH908" s="54">
        <f t="shared" ca="1" si="193"/>
        <v>1</v>
      </c>
      <c r="AI908" s="54">
        <f t="shared" ca="1" si="194"/>
        <v>1</v>
      </c>
      <c r="AJ908" s="54">
        <f t="shared" ca="1" si="195"/>
        <v>1</v>
      </c>
    </row>
    <row r="909" spans="1:36" x14ac:dyDescent="0.2">
      <c r="A909" s="54">
        <v>886</v>
      </c>
      <c r="B909" s="54">
        <f ca="1">MAX(0.02,MCDA_Prioritisation!$B$9+(RAND()-0.5)*2*$B$6)</f>
        <v>0.21040043445399462</v>
      </c>
      <c r="C909" s="54">
        <f ca="1">MAX(0.02,MCDA_Prioritisation!$B$10+(RAND()-0.5)*2*$B$6)</f>
        <v>0.21717895530858289</v>
      </c>
      <c r="D909" s="54">
        <f ca="1">MAX(0.02,MCDA_Prioritisation!$B$11+(RAND()-0.5)*2*$B$6)</f>
        <v>0.23503728539770005</v>
      </c>
      <c r="E909" s="54">
        <f ca="1">MAX(0.02,MCDA_Prioritisation!$B$12+(RAND()-0.5)*2*$B$6)</f>
        <v>0.16499957746900482</v>
      </c>
      <c r="F909" s="54">
        <f ca="1">MAX(0.02,MCDA_Prioritisation!$B$13+(RAND()-0.5)*2*$B$6)</f>
        <v>0.18364387941321414</v>
      </c>
      <c r="G909" s="54">
        <f t="shared" ca="1" si="182"/>
        <v>1.0112601320424965</v>
      </c>
      <c r="H909" s="54">
        <f t="shared" ca="1" si="183"/>
        <v>0.20805767753252324</v>
      </c>
      <c r="I909" s="54">
        <f t="shared" ca="1" si="184"/>
        <v>0.2147607212299914</v>
      </c>
      <c r="J909" s="54">
        <f t="shared" ca="1" si="185"/>
        <v>0.23242020322009788</v>
      </c>
      <c r="K909" s="54">
        <f t="shared" ca="1" si="186"/>
        <v>0.16316234788742862</v>
      </c>
      <c r="L909" s="54">
        <f t="shared" ca="1" si="187"/>
        <v>0.18159905012995886</v>
      </c>
      <c r="M909" s="54">
        <f ca="1">MIN(100,MAX(0,MCDA_Prioritisation!$F$2+(RAND()-0.5)*2*$B$7))</f>
        <v>89.000831828500907</v>
      </c>
      <c r="N909" s="54">
        <f ca="1">MIN(100,MAX(0,MCDA_Prioritisation!$F$3+(RAND()-0.5)*2*$B$7))</f>
        <v>90.484946293104073</v>
      </c>
      <c r="O909" s="54">
        <f ca="1">MIN(100,MAX(0,MCDA_Prioritisation!$F$4+(RAND()-0.5)*2*$B$7))</f>
        <v>89.55663029283356</v>
      </c>
      <c r="P909" s="54">
        <f ca="1">MIN(100,MAX(0,MCDA_Prioritisation!$F$5+(RAND()-0.5)*2*$B$7))</f>
        <v>66.205186277007954</v>
      </c>
      <c r="Q909" s="54">
        <f ca="1">MIN(100,MAX(0,MCDA_Prioritisation!$G$2+(RAND()-0.5)*2*$B$7))</f>
        <v>84.865319894473032</v>
      </c>
      <c r="R909" s="54">
        <f ca="1">MIN(100,MAX(0,MCDA_Prioritisation!$G$3+(RAND()-0.5)*2*$B$7))</f>
        <v>99.090680616393868</v>
      </c>
      <c r="S909" s="54">
        <f ca="1">MIN(100,MAX(0,MCDA_Prioritisation!$G$4+(RAND()-0.5)*2*$B$7))</f>
        <v>90.369297470672578</v>
      </c>
      <c r="T909" s="54">
        <f ca="1">MIN(100,MAX(0,MCDA_Prioritisation!$G$5+(RAND()-0.5)*2*$B$7))</f>
        <v>64.925962039519078</v>
      </c>
      <c r="U909" s="54">
        <f ca="1">MIN(100,MAX(0,MCDA_Prioritisation!$H$2+(RAND()-0.5)*2*$B$7))</f>
        <v>59.875834613957856</v>
      </c>
      <c r="V909" s="54">
        <f ca="1">MIN(100,MAX(0,MCDA_Prioritisation!$H$3+(RAND()-0.5)*2*$B$7))</f>
        <v>62.463198726824956</v>
      </c>
      <c r="W909" s="54">
        <f ca="1">MIN(100,MAX(0,MCDA_Prioritisation!$H$4+(RAND()-0.5)*2*$B$7))</f>
        <v>85.44414527280631</v>
      </c>
      <c r="X909" s="54">
        <f ca="1">MIN(100,MAX(0,MCDA_Prioritisation!$H$5+(RAND()-0.5)*2*$B$7))</f>
        <v>83.462136923619909</v>
      </c>
      <c r="Y909" s="54">
        <f ca="1">H909*MCDA_Prioritisation!$D$2+I909*MCDA_Prioritisation!$E$2+J909*M909+K909*Q909+L909*U909</f>
        <v>87.687650836422591</v>
      </c>
      <c r="Z909" s="54">
        <f ca="1">H909*MCDA_Prioritisation!$D$3+I909*MCDA_Prioritisation!$E$3+J909*N909+K909*R909+L909*V909</f>
        <v>82.344200209915371</v>
      </c>
      <c r="AA909" s="54">
        <f ca="1">H909*MCDA_Prioritisation!$D$4+I909*MCDA_Prioritisation!$E$4+J909*O909+K909*S909+L909*W909</f>
        <v>77.278347318702814</v>
      </c>
      <c r="AB909" s="54">
        <f ca="1">H909*MCDA_Prioritisation!$D$5+I909*MCDA_Prioritisation!$E$5+J909*P909+K909*T909+L909*X909</f>
        <v>70.239810695644408</v>
      </c>
      <c r="AC909" s="54">
        <f t="shared" ca="1" si="188"/>
        <v>1</v>
      </c>
      <c r="AD909" s="54">
        <f t="shared" ca="1" si="189"/>
        <v>2</v>
      </c>
      <c r="AE909" s="54">
        <f t="shared" ca="1" si="190"/>
        <v>3</v>
      </c>
      <c r="AF909" s="54">
        <f t="shared" ca="1" si="191"/>
        <v>4</v>
      </c>
      <c r="AG909" s="54">
        <f t="shared" ca="1" si="192"/>
        <v>1</v>
      </c>
      <c r="AH909" s="54">
        <f t="shared" ca="1" si="193"/>
        <v>1</v>
      </c>
      <c r="AI909" s="54">
        <f t="shared" ca="1" si="194"/>
        <v>1</v>
      </c>
      <c r="AJ909" s="54">
        <f t="shared" ca="1" si="195"/>
        <v>1</v>
      </c>
    </row>
    <row r="910" spans="1:36" x14ac:dyDescent="0.2">
      <c r="A910" s="54">
        <v>887</v>
      </c>
      <c r="B910" s="54">
        <f ca="1">MAX(0.02,MCDA_Prioritisation!$B$9+(RAND()-0.5)*2*$B$6)</f>
        <v>0.27262997313282344</v>
      </c>
      <c r="C910" s="54">
        <f ca="1">MAX(0.02,MCDA_Prioritisation!$B$10+(RAND()-0.5)*2*$B$6)</f>
        <v>0.32886390177964009</v>
      </c>
      <c r="D910" s="54">
        <f ca="1">MAX(0.02,MCDA_Prioritisation!$B$11+(RAND()-0.5)*2*$B$6)</f>
        <v>0.19608186384345527</v>
      </c>
      <c r="E910" s="54">
        <f ca="1">MAX(0.02,MCDA_Prioritisation!$B$12+(RAND()-0.5)*2*$B$6)</f>
        <v>0.15380126819464354</v>
      </c>
      <c r="F910" s="54">
        <f ca="1">MAX(0.02,MCDA_Prioritisation!$B$13+(RAND()-0.5)*2*$B$6)</f>
        <v>8.0739382808730747E-2</v>
      </c>
      <c r="G910" s="54">
        <f t="shared" ca="1" si="182"/>
        <v>1.0321163897592931</v>
      </c>
      <c r="H910" s="54">
        <f t="shared" ca="1" si="183"/>
        <v>0.26414653990370729</v>
      </c>
      <c r="I910" s="54">
        <f t="shared" ca="1" si="184"/>
        <v>0.31863063608197972</v>
      </c>
      <c r="J910" s="54">
        <f t="shared" ca="1" si="185"/>
        <v>0.18998037991547143</v>
      </c>
      <c r="K910" s="54">
        <f t="shared" ca="1" si="186"/>
        <v>0.14901543054704575</v>
      </c>
      <c r="L910" s="54">
        <f t="shared" ca="1" si="187"/>
        <v>7.8227013551795774E-2</v>
      </c>
      <c r="M910" s="54">
        <f ca="1">MIN(100,MAX(0,MCDA_Prioritisation!$F$2+(RAND()-0.5)*2*$B$7))</f>
        <v>76.666006645582655</v>
      </c>
      <c r="N910" s="54">
        <f ca="1">MIN(100,MAX(0,MCDA_Prioritisation!$F$3+(RAND()-0.5)*2*$B$7))</f>
        <v>94.111437185306585</v>
      </c>
      <c r="O910" s="54">
        <f ca="1">MIN(100,MAX(0,MCDA_Prioritisation!$F$4+(RAND()-0.5)*2*$B$7))</f>
        <v>95.104094796567978</v>
      </c>
      <c r="P910" s="54">
        <f ca="1">MIN(100,MAX(0,MCDA_Prioritisation!$F$5+(RAND()-0.5)*2*$B$7))</f>
        <v>65.755924578140764</v>
      </c>
      <c r="Q910" s="54">
        <f ca="1">MIN(100,MAX(0,MCDA_Prioritisation!$G$2+(RAND()-0.5)*2*$B$7))</f>
        <v>74.622959492126014</v>
      </c>
      <c r="R910" s="54">
        <f ca="1">MIN(100,MAX(0,MCDA_Prioritisation!$G$3+(RAND()-0.5)*2*$B$7))</f>
        <v>100</v>
      </c>
      <c r="S910" s="54">
        <f ca="1">MIN(100,MAX(0,MCDA_Prioritisation!$G$4+(RAND()-0.5)*2*$B$7))</f>
        <v>84.249097010725251</v>
      </c>
      <c r="T910" s="54">
        <f ca="1">MIN(100,MAX(0,MCDA_Prioritisation!$G$5+(RAND()-0.5)*2*$B$7))</f>
        <v>70.637629533119593</v>
      </c>
      <c r="U910" s="54">
        <f ca="1">MIN(100,MAX(0,MCDA_Prioritisation!$H$2+(RAND()-0.5)*2*$B$7))</f>
        <v>66.391617642698705</v>
      </c>
      <c r="V910" s="54">
        <f ca="1">MIN(100,MAX(0,MCDA_Prioritisation!$H$3+(RAND()-0.5)*2*$B$7))</f>
        <v>59.645406701126127</v>
      </c>
      <c r="W910" s="54">
        <f ca="1">MIN(100,MAX(0,MCDA_Prioritisation!$H$4+(RAND()-0.5)*2*$B$7))</f>
        <v>73.502644642504265</v>
      </c>
      <c r="X910" s="54">
        <f ca="1">MIN(100,MAX(0,MCDA_Prioritisation!$H$5+(RAND()-0.5)*2*$B$7))</f>
        <v>66.038466735732413</v>
      </c>
      <c r="Y910" s="54">
        <f ca="1">H910*MCDA_Prioritisation!$D$2+I910*MCDA_Prioritisation!$E$2+J910*M910+K910*Q910+L910*U910</f>
        <v>89.156345078173501</v>
      </c>
      <c r="Z910" s="54">
        <f ca="1">H910*MCDA_Prioritisation!$D$3+I910*MCDA_Prioritisation!$E$3+J910*N910+K910*R910+L910*V910</f>
        <v>83.70546154250664</v>
      </c>
      <c r="AA910" s="54">
        <f ca="1">H910*MCDA_Prioritisation!$D$4+I910*MCDA_Prioritisation!$E$4+J910*O910+K910*S910+L910*W910</f>
        <v>72.14568500784732</v>
      </c>
      <c r="AB910" s="54">
        <f ca="1">H910*MCDA_Prioritisation!$D$5+I910*MCDA_Prioritisation!$E$5+J910*P910+K910*T910+L910*X910</f>
        <v>68.998176844123051</v>
      </c>
      <c r="AC910" s="54">
        <f t="shared" ca="1" si="188"/>
        <v>1</v>
      </c>
      <c r="AD910" s="54">
        <f t="shared" ca="1" si="189"/>
        <v>2</v>
      </c>
      <c r="AE910" s="54">
        <f t="shared" ca="1" si="190"/>
        <v>3</v>
      </c>
      <c r="AF910" s="54">
        <f t="shared" ca="1" si="191"/>
        <v>4</v>
      </c>
      <c r="AG910" s="54">
        <f t="shared" ca="1" si="192"/>
        <v>1</v>
      </c>
      <c r="AH910" s="54">
        <f t="shared" ca="1" si="193"/>
        <v>1</v>
      </c>
      <c r="AI910" s="54">
        <f t="shared" ca="1" si="194"/>
        <v>1</v>
      </c>
      <c r="AJ910" s="54">
        <f t="shared" ca="1" si="195"/>
        <v>1</v>
      </c>
    </row>
    <row r="911" spans="1:36" x14ac:dyDescent="0.2">
      <c r="A911" s="54">
        <v>888</v>
      </c>
      <c r="B911" s="54">
        <f ca="1">MAX(0.02,MCDA_Prioritisation!$B$9+(RAND()-0.5)*2*$B$6)</f>
        <v>0.2030374709999892</v>
      </c>
      <c r="C911" s="54">
        <f ca="1">MAX(0.02,MCDA_Prioritisation!$B$10+(RAND()-0.5)*2*$B$6)</f>
        <v>0.23593364569597214</v>
      </c>
      <c r="D911" s="54">
        <f ca="1">MAX(0.02,MCDA_Prioritisation!$B$11+(RAND()-0.5)*2*$B$6)</f>
        <v>0.31537168652847525</v>
      </c>
      <c r="E911" s="54">
        <f ca="1">MAX(0.02,MCDA_Prioritisation!$B$12+(RAND()-0.5)*2*$B$6)</f>
        <v>0.19136475920242779</v>
      </c>
      <c r="F911" s="54">
        <f ca="1">MAX(0.02,MCDA_Prioritisation!$B$13+(RAND()-0.5)*2*$B$6)</f>
        <v>0.1684230255866585</v>
      </c>
      <c r="G911" s="54">
        <f t="shared" ca="1" si="182"/>
        <v>1.1141305880135228</v>
      </c>
      <c r="H911" s="54">
        <f t="shared" ca="1" si="183"/>
        <v>0.18223848549208382</v>
      </c>
      <c r="I911" s="54">
        <f t="shared" ca="1" si="184"/>
        <v>0.21176480408516393</v>
      </c>
      <c r="J911" s="54">
        <f t="shared" ca="1" si="185"/>
        <v>0.28306527970906709</v>
      </c>
      <c r="K911" s="54">
        <f t="shared" ca="1" si="186"/>
        <v>0.1717615163439935</v>
      </c>
      <c r="L911" s="54">
        <f t="shared" ca="1" si="187"/>
        <v>0.15116991436969168</v>
      </c>
      <c r="M911" s="54">
        <f ca="1">MIN(100,MAX(0,MCDA_Prioritisation!$F$2+(RAND()-0.5)*2*$B$7))</f>
        <v>88.718759270423462</v>
      </c>
      <c r="N911" s="54">
        <f ca="1">MIN(100,MAX(0,MCDA_Prioritisation!$F$3+(RAND()-0.5)*2*$B$7))</f>
        <v>100</v>
      </c>
      <c r="O911" s="54">
        <f ca="1">MIN(100,MAX(0,MCDA_Prioritisation!$F$4+(RAND()-0.5)*2*$B$7))</f>
        <v>97.594092940429491</v>
      </c>
      <c r="P911" s="54">
        <f ca="1">MIN(100,MAX(0,MCDA_Prioritisation!$F$5+(RAND()-0.5)*2*$B$7))</f>
        <v>66.149327703730961</v>
      </c>
      <c r="Q911" s="54">
        <f ca="1">MIN(100,MAX(0,MCDA_Prioritisation!$G$2+(RAND()-0.5)*2*$B$7))</f>
        <v>75.527052314333361</v>
      </c>
      <c r="R911" s="54">
        <f ca="1">MIN(100,MAX(0,MCDA_Prioritisation!$G$3+(RAND()-0.5)*2*$B$7))</f>
        <v>97.625792159781639</v>
      </c>
      <c r="S911" s="54">
        <f ca="1">MIN(100,MAX(0,MCDA_Prioritisation!$G$4+(RAND()-0.5)*2*$B$7))</f>
        <v>78.871710442995521</v>
      </c>
      <c r="T911" s="54">
        <f ca="1">MIN(100,MAX(0,MCDA_Prioritisation!$G$5+(RAND()-0.5)*2*$B$7))</f>
        <v>79.424896499474357</v>
      </c>
      <c r="U911" s="54">
        <f ca="1">MIN(100,MAX(0,MCDA_Prioritisation!$H$2+(RAND()-0.5)*2*$B$7))</f>
        <v>68.752008360168333</v>
      </c>
      <c r="V911" s="54">
        <f ca="1">MIN(100,MAX(0,MCDA_Prioritisation!$H$3+(RAND()-0.5)*2*$B$7))</f>
        <v>66.799312714462346</v>
      </c>
      <c r="W911" s="54">
        <f ca="1">MIN(100,MAX(0,MCDA_Prioritisation!$H$4+(RAND()-0.5)*2*$B$7))</f>
        <v>80.683597713571501</v>
      </c>
      <c r="X911" s="54">
        <f ca="1">MIN(100,MAX(0,MCDA_Prioritisation!$H$5+(RAND()-0.5)*2*$B$7))</f>
        <v>75.098889230592121</v>
      </c>
      <c r="Y911" s="54">
        <f ca="1">H911*MCDA_Prioritisation!$D$2+I911*MCDA_Prioritisation!$E$2+J911*M911+K911*Q911+L911*U911</f>
        <v>87.879405613101582</v>
      </c>
      <c r="Z911" s="54">
        <f ca="1">H911*MCDA_Prioritisation!$D$3+I911*MCDA_Prioritisation!$E$3+J911*N911+K911*R911+L911*V911</f>
        <v>86.501072733821687</v>
      </c>
      <c r="AA911" s="54">
        <f ca="1">H911*MCDA_Prioritisation!$D$4+I911*MCDA_Prioritisation!$E$4+J911*O911+K911*S911+L911*W911</f>
        <v>77.610380673819606</v>
      </c>
      <c r="AB911" s="54">
        <f ca="1">H911*MCDA_Prioritisation!$D$5+I911*MCDA_Prioritisation!$E$5+J911*P911+K911*T911+L911*X911</f>
        <v>71.199375927742295</v>
      </c>
      <c r="AC911" s="54">
        <f t="shared" ca="1" si="188"/>
        <v>1</v>
      </c>
      <c r="AD911" s="54">
        <f t="shared" ca="1" si="189"/>
        <v>2</v>
      </c>
      <c r="AE911" s="54">
        <f t="shared" ca="1" si="190"/>
        <v>3</v>
      </c>
      <c r="AF911" s="54">
        <f t="shared" ca="1" si="191"/>
        <v>4</v>
      </c>
      <c r="AG911" s="54">
        <f t="shared" ca="1" si="192"/>
        <v>1</v>
      </c>
      <c r="AH911" s="54">
        <f t="shared" ca="1" si="193"/>
        <v>1</v>
      </c>
      <c r="AI911" s="54">
        <f t="shared" ca="1" si="194"/>
        <v>1</v>
      </c>
      <c r="AJ911" s="54">
        <f t="shared" ca="1" si="195"/>
        <v>1</v>
      </c>
    </row>
    <row r="912" spans="1:36" x14ac:dyDescent="0.2">
      <c r="A912" s="54">
        <v>889</v>
      </c>
      <c r="B912" s="54">
        <f ca="1">MAX(0.02,MCDA_Prioritisation!$B$9+(RAND()-0.5)*2*$B$6)</f>
        <v>0.15687260701113978</v>
      </c>
      <c r="C912" s="54">
        <f ca="1">MAX(0.02,MCDA_Prioritisation!$B$10+(RAND()-0.5)*2*$B$6)</f>
        <v>0.17130586032240944</v>
      </c>
      <c r="D912" s="54">
        <f ca="1">MAX(0.02,MCDA_Prioritisation!$B$11+(RAND()-0.5)*2*$B$6)</f>
        <v>0.22112497466946024</v>
      </c>
      <c r="E912" s="54">
        <f ca="1">MAX(0.02,MCDA_Prioritisation!$B$12+(RAND()-0.5)*2*$B$6)</f>
        <v>0.10294345341808445</v>
      </c>
      <c r="F912" s="54">
        <f ca="1">MAX(0.02,MCDA_Prioritisation!$B$13+(RAND()-0.5)*2*$B$6)</f>
        <v>0.19253839932735783</v>
      </c>
      <c r="G912" s="54">
        <f t="shared" ca="1" si="182"/>
        <v>0.84478529474845165</v>
      </c>
      <c r="H912" s="54">
        <f t="shared" ca="1" si="183"/>
        <v>0.18569523876223618</v>
      </c>
      <c r="I912" s="54">
        <f t="shared" ca="1" si="184"/>
        <v>0.2027803530522137</v>
      </c>
      <c r="J912" s="54">
        <f t="shared" ca="1" si="185"/>
        <v>0.26175286909474876</v>
      </c>
      <c r="K912" s="54">
        <f t="shared" ca="1" si="186"/>
        <v>0.12185753475826956</v>
      </c>
      <c r="L912" s="54">
        <f t="shared" ca="1" si="187"/>
        <v>0.22791400433253189</v>
      </c>
      <c r="M912" s="54">
        <f ca="1">MIN(100,MAX(0,MCDA_Prioritisation!$F$2+(RAND()-0.5)*2*$B$7))</f>
        <v>83.659691692987082</v>
      </c>
      <c r="N912" s="54">
        <f ca="1">MIN(100,MAX(0,MCDA_Prioritisation!$F$3+(RAND()-0.5)*2*$B$7))</f>
        <v>96.518741685395057</v>
      </c>
      <c r="O912" s="54">
        <f ca="1">MIN(100,MAX(0,MCDA_Prioritisation!$F$4+(RAND()-0.5)*2*$B$7))</f>
        <v>89.974853313702582</v>
      </c>
      <c r="P912" s="54">
        <f ca="1">MIN(100,MAX(0,MCDA_Prioritisation!$F$5+(RAND()-0.5)*2*$B$7))</f>
        <v>67.760679929325292</v>
      </c>
      <c r="Q912" s="54">
        <f ca="1">MIN(100,MAX(0,MCDA_Prioritisation!$G$2+(RAND()-0.5)*2*$B$7))</f>
        <v>81.783177546452578</v>
      </c>
      <c r="R912" s="54">
        <f ca="1">MIN(100,MAX(0,MCDA_Prioritisation!$G$3+(RAND()-0.5)*2*$B$7))</f>
        <v>89.436772441786587</v>
      </c>
      <c r="S912" s="54">
        <f ca="1">MIN(100,MAX(0,MCDA_Prioritisation!$G$4+(RAND()-0.5)*2*$B$7))</f>
        <v>93.324127651754438</v>
      </c>
      <c r="T912" s="54">
        <f ca="1">MIN(100,MAX(0,MCDA_Prioritisation!$G$5+(RAND()-0.5)*2*$B$7))</f>
        <v>76.091327177523084</v>
      </c>
      <c r="U912" s="54">
        <f ca="1">MIN(100,MAX(0,MCDA_Prioritisation!$H$2+(RAND()-0.5)*2*$B$7))</f>
        <v>63.986837439437139</v>
      </c>
      <c r="V912" s="54">
        <f ca="1">MIN(100,MAX(0,MCDA_Prioritisation!$H$3+(RAND()-0.5)*2*$B$7))</f>
        <v>58.272193799583249</v>
      </c>
      <c r="W912" s="54">
        <f ca="1">MIN(100,MAX(0,MCDA_Prioritisation!$H$4+(RAND()-0.5)*2*$B$7))</f>
        <v>82.671175246683802</v>
      </c>
      <c r="X912" s="54">
        <f ca="1">MIN(100,MAX(0,MCDA_Prioritisation!$H$5+(RAND()-0.5)*2*$B$7))</f>
        <v>68.941708424923661</v>
      </c>
      <c r="Y912" s="54">
        <f ca="1">H912*MCDA_Prioritisation!$D$2+I912*MCDA_Prioritisation!$E$2+J912*M912+K912*Q912+L912*U912</f>
        <v>85.295116255571941</v>
      </c>
      <c r="Z912" s="54">
        <f ca="1">H912*MCDA_Prioritisation!$D$3+I912*MCDA_Prioritisation!$E$3+J912*N912+K912*R912+L912*V912</f>
        <v>80.420490167766303</v>
      </c>
      <c r="AA912" s="54">
        <f ca="1">H912*MCDA_Prioritisation!$D$4+I912*MCDA_Prioritisation!$E$4+J912*O912+K912*S912+L912*W912</f>
        <v>77.756814053077449</v>
      </c>
      <c r="AB912" s="54">
        <f ca="1">H912*MCDA_Prioritisation!$D$5+I912*MCDA_Prioritisation!$E$5+J912*P912+K912*T912+L912*X912</f>
        <v>69.629559029221213</v>
      </c>
      <c r="AC912" s="54">
        <f t="shared" ca="1" si="188"/>
        <v>1</v>
      </c>
      <c r="AD912" s="54">
        <f t="shared" ca="1" si="189"/>
        <v>2</v>
      </c>
      <c r="AE912" s="54">
        <f t="shared" ca="1" si="190"/>
        <v>3</v>
      </c>
      <c r="AF912" s="54">
        <f t="shared" ca="1" si="191"/>
        <v>4</v>
      </c>
      <c r="AG912" s="54">
        <f t="shared" ca="1" si="192"/>
        <v>1</v>
      </c>
      <c r="AH912" s="54">
        <f t="shared" ca="1" si="193"/>
        <v>1</v>
      </c>
      <c r="AI912" s="54">
        <f t="shared" ca="1" si="194"/>
        <v>1</v>
      </c>
      <c r="AJ912" s="54">
        <f t="shared" ca="1" si="195"/>
        <v>1</v>
      </c>
    </row>
    <row r="913" spans="1:36" x14ac:dyDescent="0.2">
      <c r="A913" s="54">
        <v>890</v>
      </c>
      <c r="B913" s="54">
        <f ca="1">MAX(0.02,MCDA_Prioritisation!$B$9+(RAND()-0.5)*2*$B$6)</f>
        <v>0.20134441072812623</v>
      </c>
      <c r="C913" s="54">
        <f ca="1">MAX(0.02,MCDA_Prioritisation!$B$10+(RAND()-0.5)*2*$B$6)</f>
        <v>0.26528179692969778</v>
      </c>
      <c r="D913" s="54">
        <f ca="1">MAX(0.02,MCDA_Prioritisation!$B$11+(RAND()-0.5)*2*$B$6)</f>
        <v>0.28892862994474416</v>
      </c>
      <c r="E913" s="54">
        <f ca="1">MAX(0.02,MCDA_Prioritisation!$B$12+(RAND()-0.5)*2*$B$6)</f>
        <v>0.10446752519317838</v>
      </c>
      <c r="F913" s="54">
        <f ca="1">MAX(0.02,MCDA_Prioritisation!$B$13+(RAND()-0.5)*2*$B$6)</f>
        <v>0.20435815581583708</v>
      </c>
      <c r="G913" s="54">
        <f t="shared" ca="1" si="182"/>
        <v>1.0643805186115838</v>
      </c>
      <c r="H913" s="54">
        <f t="shared" ca="1" si="183"/>
        <v>0.18916581730635873</v>
      </c>
      <c r="I913" s="54">
        <f t="shared" ca="1" si="184"/>
        <v>0.24923586282445387</v>
      </c>
      <c r="J913" s="54">
        <f t="shared" ca="1" si="185"/>
        <v>0.27145238464307209</v>
      </c>
      <c r="K913" s="54">
        <f t="shared" ca="1" si="186"/>
        <v>9.8148663345933446E-2</v>
      </c>
      <c r="L913" s="54">
        <f t="shared" ca="1" si="187"/>
        <v>0.19199727188018173</v>
      </c>
      <c r="M913" s="54">
        <f ca="1">MIN(100,MAX(0,MCDA_Prioritisation!$F$2+(RAND()-0.5)*2*$B$7))</f>
        <v>80.081707022821789</v>
      </c>
      <c r="N913" s="54">
        <f ca="1">MIN(100,MAX(0,MCDA_Prioritisation!$F$3+(RAND()-0.5)*2*$B$7))</f>
        <v>89.023671406330237</v>
      </c>
      <c r="O913" s="54">
        <f ca="1">MIN(100,MAX(0,MCDA_Prioritisation!$F$4+(RAND()-0.5)*2*$B$7))</f>
        <v>97.665169995196067</v>
      </c>
      <c r="P913" s="54">
        <f ca="1">MIN(100,MAX(0,MCDA_Prioritisation!$F$5+(RAND()-0.5)*2*$B$7))</f>
        <v>78.855450881344311</v>
      </c>
      <c r="Q913" s="54">
        <f ca="1">MIN(100,MAX(0,MCDA_Prioritisation!$G$2+(RAND()-0.5)*2*$B$7))</f>
        <v>72.593591060377619</v>
      </c>
      <c r="R913" s="54">
        <f ca="1">MIN(100,MAX(0,MCDA_Prioritisation!$G$3+(RAND()-0.5)*2*$B$7))</f>
        <v>93.416296806436691</v>
      </c>
      <c r="S913" s="54">
        <f ca="1">MIN(100,MAX(0,MCDA_Prioritisation!$G$4+(RAND()-0.5)*2*$B$7))</f>
        <v>94.665245124569026</v>
      </c>
      <c r="T913" s="54">
        <f ca="1">MIN(100,MAX(0,MCDA_Prioritisation!$G$5+(RAND()-0.5)*2*$B$7))</f>
        <v>65.853093187914325</v>
      </c>
      <c r="U913" s="54">
        <f ca="1">MIN(100,MAX(0,MCDA_Prioritisation!$H$2+(RAND()-0.5)*2*$B$7))</f>
        <v>61.96771516516489</v>
      </c>
      <c r="V913" s="54">
        <f ca="1">MIN(100,MAX(0,MCDA_Prioritisation!$H$3+(RAND()-0.5)*2*$B$7))</f>
        <v>64.286052042859922</v>
      </c>
      <c r="W913" s="54">
        <f ca="1">MIN(100,MAX(0,MCDA_Prioritisation!$H$4+(RAND()-0.5)*2*$B$7))</f>
        <v>73.904510548940152</v>
      </c>
      <c r="X913" s="54">
        <f ca="1">MIN(100,MAX(0,MCDA_Prioritisation!$H$5+(RAND()-0.5)*2*$B$7))</f>
        <v>80.685624591175483</v>
      </c>
      <c r="Y913" s="54">
        <f ca="1">H913*MCDA_Prioritisation!$D$2+I913*MCDA_Prioritisation!$E$2+J913*M913+K913*Q913+L913*U913</f>
        <v>84.601134537131273</v>
      </c>
      <c r="Z913" s="54">
        <f ca="1">H913*MCDA_Prioritisation!$D$3+I913*MCDA_Prioritisation!$E$3+J913*N913+K913*R913+L913*V913</f>
        <v>80.335858269037175</v>
      </c>
      <c r="AA913" s="54">
        <f ca="1">H913*MCDA_Prioritisation!$D$4+I913*MCDA_Prioritisation!$E$4+J913*O913+K913*S913+L913*W913</f>
        <v>76.759253884809979</v>
      </c>
      <c r="AB913" s="54">
        <f ca="1">H913*MCDA_Prioritisation!$D$5+I913*MCDA_Prioritisation!$E$5+J913*P913+K913*T913+L913*X913</f>
        <v>74.3589274192652</v>
      </c>
      <c r="AC913" s="54">
        <f t="shared" ca="1" si="188"/>
        <v>1</v>
      </c>
      <c r="AD913" s="54">
        <f t="shared" ca="1" si="189"/>
        <v>2</v>
      </c>
      <c r="AE913" s="54">
        <f t="shared" ca="1" si="190"/>
        <v>3</v>
      </c>
      <c r="AF913" s="54">
        <f t="shared" ca="1" si="191"/>
        <v>4</v>
      </c>
      <c r="AG913" s="54">
        <f t="shared" ca="1" si="192"/>
        <v>1</v>
      </c>
      <c r="AH913" s="54">
        <f t="shared" ca="1" si="193"/>
        <v>1</v>
      </c>
      <c r="AI913" s="54">
        <f t="shared" ca="1" si="194"/>
        <v>1</v>
      </c>
      <c r="AJ913" s="54">
        <f t="shared" ca="1" si="195"/>
        <v>1</v>
      </c>
    </row>
    <row r="914" spans="1:36" x14ac:dyDescent="0.2">
      <c r="A914" s="54">
        <v>891</v>
      </c>
      <c r="B914" s="54">
        <f ca="1">MAX(0.02,MCDA_Prioritisation!$B$9+(RAND()-0.5)*2*$B$6)</f>
        <v>0.16924694268844664</v>
      </c>
      <c r="C914" s="54">
        <f ca="1">MAX(0.02,MCDA_Prioritisation!$B$10+(RAND()-0.5)*2*$B$6)</f>
        <v>0.21940651403875358</v>
      </c>
      <c r="D914" s="54">
        <f ca="1">MAX(0.02,MCDA_Prioritisation!$B$11+(RAND()-0.5)*2*$B$6)</f>
        <v>0.31800203642735714</v>
      </c>
      <c r="E914" s="54">
        <f ca="1">MAX(0.02,MCDA_Prioritisation!$B$12+(RAND()-0.5)*2*$B$6)</f>
        <v>0.16233055344535682</v>
      </c>
      <c r="F914" s="54">
        <f ca="1">MAX(0.02,MCDA_Prioritisation!$B$13+(RAND()-0.5)*2*$B$6)</f>
        <v>0.21637132105393481</v>
      </c>
      <c r="G914" s="54">
        <f t="shared" ca="1" si="182"/>
        <v>1.085357367653849</v>
      </c>
      <c r="H914" s="54">
        <f t="shared" ca="1" si="183"/>
        <v>0.15593660459899716</v>
      </c>
      <c r="I914" s="54">
        <f t="shared" ca="1" si="184"/>
        <v>0.20215140245745167</v>
      </c>
      <c r="J914" s="54">
        <f t="shared" ca="1" si="185"/>
        <v>0.29299293108846053</v>
      </c>
      <c r="K914" s="54">
        <f t="shared" ca="1" si="186"/>
        <v>0.14956415120326394</v>
      </c>
      <c r="L914" s="54">
        <f t="shared" ca="1" si="187"/>
        <v>0.19935491065182662</v>
      </c>
      <c r="M914" s="54">
        <f ca="1">MIN(100,MAX(0,MCDA_Prioritisation!$F$2+(RAND()-0.5)*2*$B$7))</f>
        <v>88.613188843634717</v>
      </c>
      <c r="N914" s="54">
        <f ca="1">MIN(100,MAX(0,MCDA_Prioritisation!$F$3+(RAND()-0.5)*2*$B$7))</f>
        <v>91.753412854335878</v>
      </c>
      <c r="O914" s="54">
        <f ca="1">MIN(100,MAX(0,MCDA_Prioritisation!$F$4+(RAND()-0.5)*2*$B$7))</f>
        <v>96.198259171216435</v>
      </c>
      <c r="P914" s="54">
        <f ca="1">MIN(100,MAX(0,MCDA_Prioritisation!$F$5+(RAND()-0.5)*2*$B$7))</f>
        <v>72.535145311696724</v>
      </c>
      <c r="Q914" s="54">
        <f ca="1">MIN(100,MAX(0,MCDA_Prioritisation!$G$2+(RAND()-0.5)*2*$B$7))</f>
        <v>82.276158422168436</v>
      </c>
      <c r="R914" s="54">
        <f ca="1">MIN(100,MAX(0,MCDA_Prioritisation!$G$3+(RAND()-0.5)*2*$B$7))</f>
        <v>98.669946437688566</v>
      </c>
      <c r="S914" s="54">
        <f ca="1">MIN(100,MAX(0,MCDA_Prioritisation!$G$4+(RAND()-0.5)*2*$B$7))</f>
        <v>83.965040578063963</v>
      </c>
      <c r="T914" s="54">
        <f ca="1">MIN(100,MAX(0,MCDA_Prioritisation!$G$5+(RAND()-0.5)*2*$B$7))</f>
        <v>63.702943051923455</v>
      </c>
      <c r="U914" s="54">
        <f ca="1">MIN(100,MAX(0,MCDA_Prioritisation!$H$2+(RAND()-0.5)*2*$B$7))</f>
        <v>70.3120344912208</v>
      </c>
      <c r="V914" s="54">
        <f ca="1">MIN(100,MAX(0,MCDA_Prioritisation!$H$3+(RAND()-0.5)*2*$B$7))</f>
        <v>58.296482653424953</v>
      </c>
      <c r="W914" s="54">
        <f ca="1">MIN(100,MAX(0,MCDA_Prioritisation!$H$4+(RAND()-0.5)*2*$B$7))</f>
        <v>75.145752494742993</v>
      </c>
      <c r="X914" s="54">
        <f ca="1">MIN(100,MAX(0,MCDA_Prioritisation!$H$5+(RAND()-0.5)*2*$B$7))</f>
        <v>77.270118856546773</v>
      </c>
      <c r="Y914" s="54">
        <f ca="1">H914*MCDA_Prioritisation!$D$2+I914*MCDA_Prioritisation!$E$2+J914*M914+K914*Q914+L914*U914</f>
        <v>88.094451790459061</v>
      </c>
      <c r="Z914" s="54">
        <f ca="1">H914*MCDA_Prioritisation!$D$3+I914*MCDA_Prioritisation!$E$3+J914*N914+K914*R914+L914*V914</f>
        <v>81.59256479408009</v>
      </c>
      <c r="AA914" s="54">
        <f ca="1">H914*MCDA_Prioritisation!$D$4+I914*MCDA_Prioritisation!$E$4+J914*O914+K914*S914+L914*W914</f>
        <v>77.609193308740132</v>
      </c>
      <c r="AB914" s="54">
        <f ca="1">H914*MCDA_Prioritisation!$D$5+I914*MCDA_Prioritisation!$E$5+J914*P914+K914*T914+L914*X914</f>
        <v>71.459708330753017</v>
      </c>
      <c r="AC914" s="54">
        <f t="shared" ca="1" si="188"/>
        <v>1</v>
      </c>
      <c r="AD914" s="54">
        <f t="shared" ca="1" si="189"/>
        <v>2</v>
      </c>
      <c r="AE914" s="54">
        <f t="shared" ca="1" si="190"/>
        <v>3</v>
      </c>
      <c r="AF914" s="54">
        <f t="shared" ca="1" si="191"/>
        <v>4</v>
      </c>
      <c r="AG914" s="54">
        <f t="shared" ca="1" si="192"/>
        <v>1</v>
      </c>
      <c r="AH914" s="54">
        <f t="shared" ca="1" si="193"/>
        <v>1</v>
      </c>
      <c r="AI914" s="54">
        <f t="shared" ca="1" si="194"/>
        <v>1</v>
      </c>
      <c r="AJ914" s="54">
        <f t="shared" ca="1" si="195"/>
        <v>1</v>
      </c>
    </row>
    <row r="915" spans="1:36" x14ac:dyDescent="0.2">
      <c r="A915" s="54">
        <v>892</v>
      </c>
      <c r="B915" s="54">
        <f ca="1">MAX(0.02,MCDA_Prioritisation!$B$9+(RAND()-0.5)*2*$B$6)</f>
        <v>0.27395874789280744</v>
      </c>
      <c r="C915" s="54">
        <f ca="1">MAX(0.02,MCDA_Prioritisation!$B$10+(RAND()-0.5)*2*$B$6)</f>
        <v>0.24431789864525283</v>
      </c>
      <c r="D915" s="54">
        <f ca="1">MAX(0.02,MCDA_Prioritisation!$B$11+(RAND()-0.5)*2*$B$6)</f>
        <v>0.20207034179732594</v>
      </c>
      <c r="E915" s="54">
        <f ca="1">MAX(0.02,MCDA_Prioritisation!$B$12+(RAND()-0.5)*2*$B$6)</f>
        <v>0.10244703721310804</v>
      </c>
      <c r="F915" s="54">
        <f ca="1">MAX(0.02,MCDA_Prioritisation!$B$13+(RAND()-0.5)*2*$B$6)</f>
        <v>0.12947492800398358</v>
      </c>
      <c r="G915" s="54">
        <f t="shared" ca="1" si="182"/>
        <v>0.95226895355247776</v>
      </c>
      <c r="H915" s="54">
        <f t="shared" ca="1" si="183"/>
        <v>0.28769051733839823</v>
      </c>
      <c r="I915" s="54">
        <f t="shared" ca="1" si="184"/>
        <v>0.25656396518422137</v>
      </c>
      <c r="J915" s="54">
        <f t="shared" ca="1" si="185"/>
        <v>0.21219881320659922</v>
      </c>
      <c r="K915" s="54">
        <f t="shared" ca="1" si="186"/>
        <v>0.10758204058939991</v>
      </c>
      <c r="L915" s="54">
        <f t="shared" ca="1" si="187"/>
        <v>0.13596466368138133</v>
      </c>
      <c r="M915" s="54">
        <f ca="1">MIN(100,MAX(0,MCDA_Prioritisation!$F$2+(RAND()-0.5)*2*$B$7))</f>
        <v>89.557160474860794</v>
      </c>
      <c r="N915" s="54">
        <f ca="1">MIN(100,MAX(0,MCDA_Prioritisation!$F$3+(RAND()-0.5)*2*$B$7))</f>
        <v>91.111567350376049</v>
      </c>
      <c r="O915" s="54">
        <f ca="1">MIN(100,MAX(0,MCDA_Prioritisation!$F$4+(RAND()-0.5)*2*$B$7))</f>
        <v>81.49372424089465</v>
      </c>
      <c r="P915" s="54">
        <f ca="1">MIN(100,MAX(0,MCDA_Prioritisation!$F$5+(RAND()-0.5)*2*$B$7))</f>
        <v>67.072479254055594</v>
      </c>
      <c r="Q915" s="54">
        <f ca="1">MIN(100,MAX(0,MCDA_Prioritisation!$G$2+(RAND()-0.5)*2*$B$7))</f>
        <v>87.708835603790078</v>
      </c>
      <c r="R915" s="54">
        <f ca="1">MIN(100,MAX(0,MCDA_Prioritisation!$G$3+(RAND()-0.5)*2*$B$7))</f>
        <v>100</v>
      </c>
      <c r="S915" s="54">
        <f ca="1">MIN(100,MAX(0,MCDA_Prioritisation!$G$4+(RAND()-0.5)*2*$B$7))</f>
        <v>80.814482674371888</v>
      </c>
      <c r="T915" s="54">
        <f ca="1">MIN(100,MAX(0,MCDA_Prioritisation!$G$5+(RAND()-0.5)*2*$B$7))</f>
        <v>72.453747973953426</v>
      </c>
      <c r="U915" s="54">
        <f ca="1">MIN(100,MAX(0,MCDA_Prioritisation!$H$2+(RAND()-0.5)*2*$B$7))</f>
        <v>72.300415984228749</v>
      </c>
      <c r="V915" s="54">
        <f ca="1">MIN(100,MAX(0,MCDA_Prioritisation!$H$3+(RAND()-0.5)*2*$B$7))</f>
        <v>52.046182853653349</v>
      </c>
      <c r="W915" s="54">
        <f ca="1">MIN(100,MAX(0,MCDA_Prioritisation!$H$4+(RAND()-0.5)*2*$B$7))</f>
        <v>72.695177422042406</v>
      </c>
      <c r="X915" s="54">
        <f ca="1">MIN(100,MAX(0,MCDA_Prioritisation!$H$5+(RAND()-0.5)*2*$B$7))</f>
        <v>84.766765054135348</v>
      </c>
      <c r="Y915" s="54">
        <f ca="1">H915*MCDA_Prioritisation!$D$2+I915*MCDA_Prioritisation!$E$2+J915*M915+K915*Q915+L915*U915</f>
        <v>92.695568674475936</v>
      </c>
      <c r="Z915" s="54">
        <f ca="1">H915*MCDA_Prioritisation!$D$3+I915*MCDA_Prioritisation!$E$3+J915*N915+K915*R915+L915*V915</f>
        <v>80.970851636059152</v>
      </c>
      <c r="AA915" s="54">
        <f ca="1">H915*MCDA_Prioritisation!$D$4+I915*MCDA_Prioritisation!$E$4+J915*O915+K915*S915+L915*W915</f>
        <v>69.898508383189423</v>
      </c>
      <c r="AB915" s="54">
        <f ca="1">H915*MCDA_Prioritisation!$D$5+I915*MCDA_Prioritisation!$E$5+J915*P915+K915*T915+L915*X915</f>
        <v>70.396834527218147</v>
      </c>
      <c r="AC915" s="54">
        <f t="shared" ca="1" si="188"/>
        <v>1</v>
      </c>
      <c r="AD915" s="54">
        <f t="shared" ca="1" si="189"/>
        <v>2</v>
      </c>
      <c r="AE915" s="54">
        <f t="shared" ca="1" si="190"/>
        <v>4</v>
      </c>
      <c r="AF915" s="54">
        <f t="shared" ca="1" si="191"/>
        <v>3</v>
      </c>
      <c r="AG915" s="54">
        <f t="shared" ca="1" si="192"/>
        <v>1</v>
      </c>
      <c r="AH915" s="54">
        <f t="shared" ca="1" si="193"/>
        <v>1</v>
      </c>
      <c r="AI915" s="54">
        <f t="shared" ca="1" si="194"/>
        <v>0</v>
      </c>
      <c r="AJ915" s="54">
        <f t="shared" ca="1" si="195"/>
        <v>1</v>
      </c>
    </row>
    <row r="916" spans="1:36" x14ac:dyDescent="0.2">
      <c r="A916" s="54">
        <v>893</v>
      </c>
      <c r="B916" s="54">
        <f ca="1">MAX(0.02,MCDA_Prioritisation!$B$9+(RAND()-0.5)*2*$B$6)</f>
        <v>0.13320393425040486</v>
      </c>
      <c r="C916" s="54">
        <f ca="1">MAX(0.02,MCDA_Prioritisation!$B$10+(RAND()-0.5)*2*$B$6)</f>
        <v>0.25723415871617394</v>
      </c>
      <c r="D916" s="54">
        <f ca="1">MAX(0.02,MCDA_Prioritisation!$B$11+(RAND()-0.5)*2*$B$6)</f>
        <v>0.32489878559731544</v>
      </c>
      <c r="E916" s="54">
        <f ca="1">MAX(0.02,MCDA_Prioritisation!$B$12+(RAND()-0.5)*2*$B$6)</f>
        <v>0.1382700990736386</v>
      </c>
      <c r="F916" s="54">
        <f ca="1">MAX(0.02,MCDA_Prioritisation!$B$13+(RAND()-0.5)*2*$B$6)</f>
        <v>0.17532844258294095</v>
      </c>
      <c r="G916" s="54">
        <f t="shared" ca="1" si="182"/>
        <v>1.0289354202204739</v>
      </c>
      <c r="H916" s="54">
        <f t="shared" ca="1" si="183"/>
        <v>0.12945801226462078</v>
      </c>
      <c r="I916" s="54">
        <f t="shared" ca="1" si="184"/>
        <v>0.25000029512158828</v>
      </c>
      <c r="J916" s="54">
        <f t="shared" ca="1" si="185"/>
        <v>0.31576207720373561</v>
      </c>
      <c r="K916" s="54">
        <f t="shared" ca="1" si="186"/>
        <v>0.13438170788601186</v>
      </c>
      <c r="L916" s="54">
        <f t="shared" ca="1" si="187"/>
        <v>0.1703979075240433</v>
      </c>
      <c r="M916" s="54">
        <f ca="1">MIN(100,MAX(0,MCDA_Prioritisation!$F$2+(RAND()-0.5)*2*$B$7))</f>
        <v>91.74864026985324</v>
      </c>
      <c r="N916" s="54">
        <f ca="1">MIN(100,MAX(0,MCDA_Prioritisation!$F$3+(RAND()-0.5)*2*$B$7))</f>
        <v>100</v>
      </c>
      <c r="O916" s="54">
        <f ca="1">MIN(100,MAX(0,MCDA_Prioritisation!$F$4+(RAND()-0.5)*2*$B$7))</f>
        <v>85.02521489599269</v>
      </c>
      <c r="P916" s="54">
        <f ca="1">MIN(100,MAX(0,MCDA_Prioritisation!$F$5+(RAND()-0.5)*2*$B$7))</f>
        <v>72.044195862925108</v>
      </c>
      <c r="Q916" s="54">
        <f ca="1">MIN(100,MAX(0,MCDA_Prioritisation!$G$2+(RAND()-0.5)*2*$B$7))</f>
        <v>72.784118846168539</v>
      </c>
      <c r="R916" s="54">
        <f ca="1">MIN(100,MAX(0,MCDA_Prioritisation!$G$3+(RAND()-0.5)*2*$B$7))</f>
        <v>87.844245266262732</v>
      </c>
      <c r="S916" s="54">
        <f ca="1">MIN(100,MAX(0,MCDA_Prioritisation!$G$4+(RAND()-0.5)*2*$B$7))</f>
        <v>87.734261355647661</v>
      </c>
      <c r="T916" s="54">
        <f ca="1">MIN(100,MAX(0,MCDA_Prioritisation!$G$5+(RAND()-0.5)*2*$B$7))</f>
        <v>74.027429440159423</v>
      </c>
      <c r="U916" s="54">
        <f ca="1">MIN(100,MAX(0,MCDA_Prioritisation!$H$2+(RAND()-0.5)*2*$B$7))</f>
        <v>61.098992849297709</v>
      </c>
      <c r="V916" s="54">
        <f ca="1">MIN(100,MAX(0,MCDA_Prioritisation!$H$3+(RAND()-0.5)*2*$B$7))</f>
        <v>59.314334173007914</v>
      </c>
      <c r="W916" s="54">
        <f ca="1">MIN(100,MAX(0,MCDA_Prioritisation!$H$4+(RAND()-0.5)*2*$B$7))</f>
        <v>87.604134460419189</v>
      </c>
      <c r="X916" s="54">
        <f ca="1">MIN(100,MAX(0,MCDA_Prioritisation!$H$5+(RAND()-0.5)*2*$B$7))</f>
        <v>81.85949804923186</v>
      </c>
      <c r="Y916" s="54">
        <f ca="1">H916*MCDA_Prioritisation!$D$2+I916*MCDA_Prioritisation!$E$2+J916*M916+K916*Q916+L916*U916</f>
        <v>87.108566701721472</v>
      </c>
      <c r="Z916" s="54">
        <f ca="1">H916*MCDA_Prioritisation!$D$3+I916*MCDA_Prioritisation!$E$3+J916*N916+K916*R916+L916*V916</f>
        <v>82.983966590484343</v>
      </c>
      <c r="AA916" s="54">
        <f ca="1">H916*MCDA_Prioritisation!$D$4+I916*MCDA_Prioritisation!$E$4+J916*O916+K916*S916+L916*W916</f>
        <v>76.216254229916203</v>
      </c>
      <c r="AB916" s="54">
        <f ca="1">H916*MCDA_Prioritisation!$D$5+I916*MCDA_Prioritisation!$E$5+J916*P916+K916*T916+L916*X916</f>
        <v>74.5392957985691</v>
      </c>
      <c r="AC916" s="54">
        <f t="shared" ca="1" si="188"/>
        <v>1</v>
      </c>
      <c r="AD916" s="54">
        <f t="shared" ca="1" si="189"/>
        <v>2</v>
      </c>
      <c r="AE916" s="54">
        <f t="shared" ca="1" si="190"/>
        <v>3</v>
      </c>
      <c r="AF916" s="54">
        <f t="shared" ca="1" si="191"/>
        <v>4</v>
      </c>
      <c r="AG916" s="54">
        <f t="shared" ca="1" si="192"/>
        <v>1</v>
      </c>
      <c r="AH916" s="54">
        <f t="shared" ca="1" si="193"/>
        <v>1</v>
      </c>
      <c r="AI916" s="54">
        <f t="shared" ca="1" si="194"/>
        <v>1</v>
      </c>
      <c r="AJ916" s="54">
        <f t="shared" ca="1" si="195"/>
        <v>1</v>
      </c>
    </row>
    <row r="917" spans="1:36" x14ac:dyDescent="0.2">
      <c r="A917" s="54">
        <v>894</v>
      </c>
      <c r="B917" s="54">
        <f ca="1">MAX(0.02,MCDA_Prioritisation!$B$9+(RAND()-0.5)*2*$B$6)</f>
        <v>0.2008864980248701</v>
      </c>
      <c r="C917" s="54">
        <f ca="1">MAX(0.02,MCDA_Prioritisation!$B$10+(RAND()-0.5)*2*$B$6)</f>
        <v>0.18342342406065373</v>
      </c>
      <c r="D917" s="54">
        <f ca="1">MAX(0.02,MCDA_Prioritisation!$B$11+(RAND()-0.5)*2*$B$6)</f>
        <v>0.27911098138334328</v>
      </c>
      <c r="E917" s="54">
        <f ca="1">MAX(0.02,MCDA_Prioritisation!$B$12+(RAND()-0.5)*2*$B$6)</f>
        <v>0.17172394759046403</v>
      </c>
      <c r="F917" s="54">
        <f ca="1">MAX(0.02,MCDA_Prioritisation!$B$13+(RAND()-0.5)*2*$B$6)</f>
        <v>0.20461831895992136</v>
      </c>
      <c r="G917" s="54">
        <f t="shared" ca="1" si="182"/>
        <v>1.0397631700192527</v>
      </c>
      <c r="H917" s="54">
        <f t="shared" ca="1" si="183"/>
        <v>0.19320409090961591</v>
      </c>
      <c r="I917" s="54">
        <f t="shared" ca="1" si="184"/>
        <v>0.17640884900477616</v>
      </c>
      <c r="J917" s="54">
        <f t="shared" ca="1" si="185"/>
        <v>0.26843707243273018</v>
      </c>
      <c r="K917" s="54">
        <f t="shared" ca="1" si="186"/>
        <v>0.16515679006718839</v>
      </c>
      <c r="L917" s="54">
        <f t="shared" ca="1" si="187"/>
        <v>0.19679319758568922</v>
      </c>
      <c r="M917" s="54">
        <f ca="1">MIN(100,MAX(0,MCDA_Prioritisation!$F$2+(RAND()-0.5)*2*$B$7))</f>
        <v>93.951990740335518</v>
      </c>
      <c r="N917" s="54">
        <f ca="1">MIN(100,MAX(0,MCDA_Prioritisation!$F$3+(RAND()-0.5)*2*$B$7))</f>
        <v>100</v>
      </c>
      <c r="O917" s="54">
        <f ca="1">MIN(100,MAX(0,MCDA_Prioritisation!$F$4+(RAND()-0.5)*2*$B$7))</f>
        <v>92.886789705180462</v>
      </c>
      <c r="P917" s="54">
        <f ca="1">MIN(100,MAX(0,MCDA_Prioritisation!$F$5+(RAND()-0.5)*2*$B$7))</f>
        <v>78.20024705464678</v>
      </c>
      <c r="Q917" s="54">
        <f ca="1">MIN(100,MAX(0,MCDA_Prioritisation!$G$2+(RAND()-0.5)*2*$B$7))</f>
        <v>83.752923226004242</v>
      </c>
      <c r="R917" s="54">
        <f ca="1">MIN(100,MAX(0,MCDA_Prioritisation!$G$3+(RAND()-0.5)*2*$B$7))</f>
        <v>95.503041297947959</v>
      </c>
      <c r="S917" s="54">
        <f ca="1">MIN(100,MAX(0,MCDA_Prioritisation!$G$4+(RAND()-0.5)*2*$B$7))</f>
        <v>75.446127363903642</v>
      </c>
      <c r="T917" s="54">
        <f ca="1">MIN(100,MAX(0,MCDA_Prioritisation!$G$5+(RAND()-0.5)*2*$B$7))</f>
        <v>64.947259315050786</v>
      </c>
      <c r="U917" s="54">
        <f ca="1">MIN(100,MAX(0,MCDA_Prioritisation!$H$2+(RAND()-0.5)*2*$B$7))</f>
        <v>62.251931157131331</v>
      </c>
      <c r="V917" s="54">
        <f ca="1">MIN(100,MAX(0,MCDA_Prioritisation!$H$3+(RAND()-0.5)*2*$B$7))</f>
        <v>52.550723041549396</v>
      </c>
      <c r="W917" s="54">
        <f ca="1">MIN(100,MAX(0,MCDA_Prioritisation!$H$4+(RAND()-0.5)*2*$B$7))</f>
        <v>84.169421453930767</v>
      </c>
      <c r="X917" s="54">
        <f ca="1">MIN(100,MAX(0,MCDA_Prioritisation!$H$5+(RAND()-0.5)*2*$B$7))</f>
        <v>73.465409225460121</v>
      </c>
      <c r="Y917" s="54">
        <f ca="1">H917*MCDA_Prioritisation!$D$2+I917*MCDA_Prioritisation!$E$2+J917*M917+K917*Q917+L917*U917</f>
        <v>88.264611882048456</v>
      </c>
      <c r="Z917" s="54">
        <f ca="1">H917*MCDA_Prioritisation!$D$3+I917*MCDA_Prioritisation!$E$3+J917*N917+K917*R917+L917*V917</f>
        <v>82.673469159150031</v>
      </c>
      <c r="AA917" s="54">
        <f ca="1">H917*MCDA_Prioritisation!$D$4+I917*MCDA_Prioritisation!$E$4+J917*O917+K917*S917+L917*W917</f>
        <v>77.034565677477971</v>
      </c>
      <c r="AB917" s="54">
        <f ca="1">H917*MCDA_Prioritisation!$D$5+I917*MCDA_Prioritisation!$E$5+J917*P917+K917*T917+L917*X917</f>
        <v>71.264678575160687</v>
      </c>
      <c r="AC917" s="54">
        <f t="shared" ca="1" si="188"/>
        <v>1</v>
      </c>
      <c r="AD917" s="54">
        <f t="shared" ca="1" si="189"/>
        <v>2</v>
      </c>
      <c r="AE917" s="54">
        <f t="shared" ca="1" si="190"/>
        <v>3</v>
      </c>
      <c r="AF917" s="54">
        <f t="shared" ca="1" si="191"/>
        <v>4</v>
      </c>
      <c r="AG917" s="54">
        <f t="shared" ca="1" si="192"/>
        <v>1</v>
      </c>
      <c r="AH917" s="54">
        <f t="shared" ca="1" si="193"/>
        <v>1</v>
      </c>
      <c r="AI917" s="54">
        <f t="shared" ca="1" si="194"/>
        <v>1</v>
      </c>
      <c r="AJ917" s="54">
        <f t="shared" ca="1" si="195"/>
        <v>1</v>
      </c>
    </row>
    <row r="918" spans="1:36" x14ac:dyDescent="0.2">
      <c r="A918" s="54">
        <v>895</v>
      </c>
      <c r="B918" s="54">
        <f ca="1">MAX(0.02,MCDA_Prioritisation!$B$9+(RAND()-0.5)*2*$B$6)</f>
        <v>0.13378488976339253</v>
      </c>
      <c r="C918" s="54">
        <f ca="1">MAX(0.02,MCDA_Prioritisation!$B$10+(RAND()-0.5)*2*$B$6)</f>
        <v>0.25412381585858196</v>
      </c>
      <c r="D918" s="54">
        <f ca="1">MAX(0.02,MCDA_Prioritisation!$B$11+(RAND()-0.5)*2*$B$6)</f>
        <v>0.18310210643962316</v>
      </c>
      <c r="E918" s="54">
        <f ca="1">MAX(0.02,MCDA_Prioritisation!$B$12+(RAND()-0.5)*2*$B$6)</f>
        <v>0.20982458764562911</v>
      </c>
      <c r="F918" s="54">
        <f ca="1">MAX(0.02,MCDA_Prioritisation!$B$13+(RAND()-0.5)*2*$B$6)</f>
        <v>0.16630357181560676</v>
      </c>
      <c r="G918" s="54">
        <f t="shared" ca="1" si="182"/>
        <v>0.94713897152283355</v>
      </c>
      <c r="H918" s="54">
        <f t="shared" ca="1" si="183"/>
        <v>0.14125159431280698</v>
      </c>
      <c r="I918" s="54">
        <f t="shared" ca="1" si="184"/>
        <v>0.26830678865425145</v>
      </c>
      <c r="J918" s="54">
        <f t="shared" ca="1" si="185"/>
        <v>0.19332126746429518</v>
      </c>
      <c r="K918" s="54">
        <f t="shared" ca="1" si="186"/>
        <v>0.22153516427295555</v>
      </c>
      <c r="L918" s="54">
        <f t="shared" ca="1" si="187"/>
        <v>0.17558518529569081</v>
      </c>
      <c r="M918" s="54">
        <f ca="1">MIN(100,MAX(0,MCDA_Prioritisation!$F$2+(RAND()-0.5)*2*$B$7))</f>
        <v>82.424799175820141</v>
      </c>
      <c r="N918" s="54">
        <f ca="1">MIN(100,MAX(0,MCDA_Prioritisation!$F$3+(RAND()-0.5)*2*$B$7))</f>
        <v>96.726087273081134</v>
      </c>
      <c r="O918" s="54">
        <f ca="1">MIN(100,MAX(0,MCDA_Prioritisation!$F$4+(RAND()-0.5)*2*$B$7))</f>
        <v>98.34492119762929</v>
      </c>
      <c r="P918" s="54">
        <f ca="1">MIN(100,MAX(0,MCDA_Prioritisation!$F$5+(RAND()-0.5)*2*$B$7))</f>
        <v>75.930181762727557</v>
      </c>
      <c r="Q918" s="54">
        <f ca="1">MIN(100,MAX(0,MCDA_Prioritisation!$G$2+(RAND()-0.5)*2*$B$7))</f>
        <v>84.785076851050476</v>
      </c>
      <c r="R918" s="54">
        <f ca="1">MIN(100,MAX(0,MCDA_Prioritisation!$G$3+(RAND()-0.5)*2*$B$7))</f>
        <v>95.117664624352884</v>
      </c>
      <c r="S918" s="54">
        <f ca="1">MIN(100,MAX(0,MCDA_Prioritisation!$G$4+(RAND()-0.5)*2*$B$7))</f>
        <v>92.276653926579812</v>
      </c>
      <c r="T918" s="54">
        <f ca="1">MIN(100,MAX(0,MCDA_Prioritisation!$G$5+(RAND()-0.5)*2*$B$7))</f>
        <v>68.425387541434532</v>
      </c>
      <c r="U918" s="54">
        <f ca="1">MIN(100,MAX(0,MCDA_Prioritisation!$H$2+(RAND()-0.5)*2*$B$7))</f>
        <v>62.24502328125277</v>
      </c>
      <c r="V918" s="54">
        <f ca="1">MIN(100,MAX(0,MCDA_Prioritisation!$H$3+(RAND()-0.5)*2*$B$7))</f>
        <v>68.131688225640488</v>
      </c>
      <c r="W918" s="54">
        <f ca="1">MIN(100,MAX(0,MCDA_Prioritisation!$H$4+(RAND()-0.5)*2*$B$7))</f>
        <v>70.387297806145654</v>
      </c>
      <c r="X918" s="54">
        <f ca="1">MIN(100,MAX(0,MCDA_Prioritisation!$H$5+(RAND()-0.5)*2*$B$7))</f>
        <v>80.526028437540006</v>
      </c>
      <c r="Y918" s="54">
        <f ca="1">H918*MCDA_Prioritisation!$D$2+I918*MCDA_Prioritisation!$E$2+J918*M918+K918*Q918+L918*U918</f>
        <v>86.602484818531366</v>
      </c>
      <c r="Z918" s="54">
        <f ca="1">H918*MCDA_Prioritisation!$D$3+I918*MCDA_Prioritisation!$E$3+J918*N918+K918*R918+L918*V918</f>
        <v>83.592196224322009</v>
      </c>
      <c r="AA918" s="54">
        <f ca="1">H918*MCDA_Prioritisation!$D$4+I918*MCDA_Prioritisation!$E$4+J918*O918+K918*S918+L918*W918</f>
        <v>76.284501639553682</v>
      </c>
      <c r="AB918" s="54">
        <f ca="1">H918*MCDA_Prioritisation!$D$5+I918*MCDA_Prioritisation!$E$5+J918*P918+K918*T918+L918*X918</f>
        <v>74.035941901033183</v>
      </c>
      <c r="AC918" s="54">
        <f t="shared" ca="1" si="188"/>
        <v>1</v>
      </c>
      <c r="AD918" s="54">
        <f t="shared" ca="1" si="189"/>
        <v>2</v>
      </c>
      <c r="AE918" s="54">
        <f t="shared" ca="1" si="190"/>
        <v>3</v>
      </c>
      <c r="AF918" s="54">
        <f t="shared" ca="1" si="191"/>
        <v>4</v>
      </c>
      <c r="AG918" s="54">
        <f t="shared" ca="1" si="192"/>
        <v>1</v>
      </c>
      <c r="AH918" s="54">
        <f t="shared" ca="1" si="193"/>
        <v>1</v>
      </c>
      <c r="AI918" s="54">
        <f t="shared" ca="1" si="194"/>
        <v>1</v>
      </c>
      <c r="AJ918" s="54">
        <f t="shared" ca="1" si="195"/>
        <v>1</v>
      </c>
    </row>
    <row r="919" spans="1:36" x14ac:dyDescent="0.2">
      <c r="A919" s="54">
        <v>896</v>
      </c>
      <c r="B919" s="54">
        <f ca="1">MAX(0.02,MCDA_Prioritisation!$B$9+(RAND()-0.5)*2*$B$6)</f>
        <v>0.27425318828254625</v>
      </c>
      <c r="C919" s="54">
        <f ca="1">MAX(0.02,MCDA_Prioritisation!$B$10+(RAND()-0.5)*2*$B$6)</f>
        <v>0.1982071915745835</v>
      </c>
      <c r="D919" s="54">
        <f ca="1">MAX(0.02,MCDA_Prioritisation!$B$11+(RAND()-0.5)*2*$B$6)</f>
        <v>0.22986484813086441</v>
      </c>
      <c r="E919" s="54">
        <f ca="1">MAX(0.02,MCDA_Prioritisation!$B$12+(RAND()-0.5)*2*$B$6)</f>
        <v>8.8801671988642944E-2</v>
      </c>
      <c r="F919" s="54">
        <f ca="1">MAX(0.02,MCDA_Prioritisation!$B$13+(RAND()-0.5)*2*$B$6)</f>
        <v>0.11540813672593729</v>
      </c>
      <c r="G919" s="54">
        <f t="shared" ca="1" si="182"/>
        <v>0.9065350367025744</v>
      </c>
      <c r="H919" s="54">
        <f t="shared" ca="1" si="183"/>
        <v>0.30252905533592311</v>
      </c>
      <c r="I919" s="54">
        <f t="shared" ca="1" si="184"/>
        <v>0.21864261561863207</v>
      </c>
      <c r="J919" s="54">
        <f t="shared" ca="1" si="185"/>
        <v>0.25356421850717825</v>
      </c>
      <c r="K919" s="54">
        <f t="shared" ca="1" si="186"/>
        <v>9.795724201863136E-2</v>
      </c>
      <c r="L919" s="54">
        <f t="shared" ca="1" si="187"/>
        <v>0.12730686851963519</v>
      </c>
      <c r="M919" s="54">
        <f ca="1">MIN(100,MAX(0,MCDA_Prioritisation!$F$2+(RAND()-0.5)*2*$B$7))</f>
        <v>92.36997816960131</v>
      </c>
      <c r="N919" s="54">
        <f ca="1">MIN(100,MAX(0,MCDA_Prioritisation!$F$3+(RAND()-0.5)*2*$B$7))</f>
        <v>95.055550852144947</v>
      </c>
      <c r="O919" s="54">
        <f ca="1">MIN(100,MAX(0,MCDA_Prioritisation!$F$4+(RAND()-0.5)*2*$B$7))</f>
        <v>98.909750069583026</v>
      </c>
      <c r="P919" s="54">
        <f ca="1">MIN(100,MAX(0,MCDA_Prioritisation!$F$5+(RAND()-0.5)*2*$B$7))</f>
        <v>80.907856019477975</v>
      </c>
      <c r="Q919" s="54">
        <f ca="1">MIN(100,MAX(0,MCDA_Prioritisation!$G$2+(RAND()-0.5)*2*$B$7))</f>
        <v>81.669097620028467</v>
      </c>
      <c r="R919" s="54">
        <f ca="1">MIN(100,MAX(0,MCDA_Prioritisation!$G$3+(RAND()-0.5)*2*$B$7))</f>
        <v>100</v>
      </c>
      <c r="S919" s="54">
        <f ca="1">MIN(100,MAX(0,MCDA_Prioritisation!$G$4+(RAND()-0.5)*2*$B$7))</f>
        <v>85.625513579822524</v>
      </c>
      <c r="T919" s="54">
        <f ca="1">MIN(100,MAX(0,MCDA_Prioritisation!$G$5+(RAND()-0.5)*2*$B$7))</f>
        <v>63.628010140459857</v>
      </c>
      <c r="U919" s="54">
        <f ca="1">MIN(100,MAX(0,MCDA_Prioritisation!$H$2+(RAND()-0.5)*2*$B$7))</f>
        <v>62.511069497356878</v>
      </c>
      <c r="V919" s="54">
        <f ca="1">MIN(100,MAX(0,MCDA_Prioritisation!$H$3+(RAND()-0.5)*2*$B$7))</f>
        <v>54.825678339762298</v>
      </c>
      <c r="W919" s="54">
        <f ca="1">MIN(100,MAX(0,MCDA_Prioritisation!$H$4+(RAND()-0.5)*2*$B$7))</f>
        <v>82.151947142518324</v>
      </c>
      <c r="X919" s="54">
        <f ca="1">MIN(100,MAX(0,MCDA_Prioritisation!$H$5+(RAND()-0.5)*2*$B$7))</f>
        <v>69.066371466205993</v>
      </c>
      <c r="Y919" s="54">
        <f ca="1">H919*MCDA_Prioritisation!$D$2+I919*MCDA_Prioritisation!$E$2+J919*M919+K919*Q919+L919*U919</f>
        <v>91.49705649008574</v>
      </c>
      <c r="Z919" s="54">
        <f ca="1">H919*MCDA_Prioritisation!$D$3+I919*MCDA_Prioritisation!$E$3+J919*N919+K919*R919+L919*V919</f>
        <v>83.219460448915626</v>
      </c>
      <c r="AA919" s="54">
        <f ca="1">H919*MCDA_Prioritisation!$D$4+I919*MCDA_Prioritisation!$E$4+J919*O919+K919*S919+L919*W919</f>
        <v>76.918425587377769</v>
      </c>
      <c r="AB919" s="54">
        <f ca="1">H919*MCDA_Prioritisation!$D$5+I919*MCDA_Prioritisation!$E$5+J919*P919+K919*T919+L919*X919</f>
        <v>69.983640264840176</v>
      </c>
      <c r="AC919" s="54">
        <f t="shared" ca="1" si="188"/>
        <v>1</v>
      </c>
      <c r="AD919" s="54">
        <f t="shared" ca="1" si="189"/>
        <v>2</v>
      </c>
      <c r="AE919" s="54">
        <f t="shared" ca="1" si="190"/>
        <v>3</v>
      </c>
      <c r="AF919" s="54">
        <f t="shared" ca="1" si="191"/>
        <v>4</v>
      </c>
      <c r="AG919" s="54">
        <f t="shared" ca="1" si="192"/>
        <v>1</v>
      </c>
      <c r="AH919" s="54">
        <f t="shared" ca="1" si="193"/>
        <v>1</v>
      </c>
      <c r="AI919" s="54">
        <f t="shared" ca="1" si="194"/>
        <v>1</v>
      </c>
      <c r="AJ919" s="54">
        <f t="shared" ca="1" si="195"/>
        <v>1</v>
      </c>
    </row>
    <row r="920" spans="1:36" x14ac:dyDescent="0.2">
      <c r="A920" s="54">
        <v>897</v>
      </c>
      <c r="B920" s="54">
        <f ca="1">MAX(0.02,MCDA_Prioritisation!$B$9+(RAND()-0.5)*2*$B$6)</f>
        <v>0.23478476878177337</v>
      </c>
      <c r="C920" s="54">
        <f ca="1">MAX(0.02,MCDA_Prioritisation!$B$10+(RAND()-0.5)*2*$B$6)</f>
        <v>0.30392459738735111</v>
      </c>
      <c r="D920" s="54">
        <f ca="1">MAX(0.02,MCDA_Prioritisation!$B$11+(RAND()-0.5)*2*$B$6)</f>
        <v>0.28990715602018868</v>
      </c>
      <c r="E920" s="54">
        <f ca="1">MAX(0.02,MCDA_Prioritisation!$B$12+(RAND()-0.5)*2*$B$6)</f>
        <v>7.4982222376434454E-2</v>
      </c>
      <c r="F920" s="54">
        <f ca="1">MAX(0.02,MCDA_Prioritisation!$B$13+(RAND()-0.5)*2*$B$6)</f>
        <v>8.9859400346155777E-2</v>
      </c>
      <c r="G920" s="54">
        <f t="shared" ref="G920:G983" ca="1" si="196">SUM(B920:F920)</f>
        <v>0.99345814491190343</v>
      </c>
      <c r="H920" s="54">
        <f t="shared" ref="H920:H983" ca="1" si="197">B920/$G920</f>
        <v>0.23633081069821346</v>
      </c>
      <c r="I920" s="54">
        <f t="shared" ref="I920:I983" ca="1" si="198">C920/$G920</f>
        <v>0.30592592042647365</v>
      </c>
      <c r="J920" s="54">
        <f t="shared" ref="J920:J983" ca="1" si="199">D920/$G920</f>
        <v>0.2918161751503851</v>
      </c>
      <c r="K920" s="54">
        <f t="shared" ref="K920:K983" ca="1" si="200">E920/$G920</f>
        <v>7.5475975269278836E-2</v>
      </c>
      <c r="L920" s="54">
        <f t="shared" ref="L920:L983" ca="1" si="201">F920/$G920</f>
        <v>9.0451118455648891E-2</v>
      </c>
      <c r="M920" s="54">
        <f ca="1">MIN(100,MAX(0,MCDA_Prioritisation!$F$2+(RAND()-0.5)*2*$B$7))</f>
        <v>90.727420776727044</v>
      </c>
      <c r="N920" s="54">
        <f ca="1">MIN(100,MAX(0,MCDA_Prioritisation!$F$3+(RAND()-0.5)*2*$B$7))</f>
        <v>85.609008250533805</v>
      </c>
      <c r="O920" s="54">
        <f ca="1">MIN(100,MAX(0,MCDA_Prioritisation!$F$4+(RAND()-0.5)*2*$B$7))</f>
        <v>87.813652702475551</v>
      </c>
      <c r="P920" s="54">
        <f ca="1">MIN(100,MAX(0,MCDA_Prioritisation!$F$5+(RAND()-0.5)*2*$B$7))</f>
        <v>77.708961802422309</v>
      </c>
      <c r="Q920" s="54">
        <f ca="1">MIN(100,MAX(0,MCDA_Prioritisation!$G$2+(RAND()-0.5)*2*$B$7))</f>
        <v>75.220242790493828</v>
      </c>
      <c r="R920" s="54">
        <f ca="1">MIN(100,MAX(0,MCDA_Prioritisation!$G$3+(RAND()-0.5)*2*$B$7))</f>
        <v>94.655848219192904</v>
      </c>
      <c r="S920" s="54">
        <f ca="1">MIN(100,MAX(0,MCDA_Prioritisation!$G$4+(RAND()-0.5)*2*$B$7))</f>
        <v>90.407162742855078</v>
      </c>
      <c r="T920" s="54">
        <f ca="1">MIN(100,MAX(0,MCDA_Prioritisation!$G$5+(RAND()-0.5)*2*$B$7))</f>
        <v>63.023456463454615</v>
      </c>
      <c r="U920" s="54">
        <f ca="1">MIN(100,MAX(0,MCDA_Prioritisation!$H$2+(RAND()-0.5)*2*$B$7))</f>
        <v>73.968975459408938</v>
      </c>
      <c r="V920" s="54">
        <f ca="1">MIN(100,MAX(0,MCDA_Prioritisation!$H$3+(RAND()-0.5)*2*$B$7))</f>
        <v>50.350041418869665</v>
      </c>
      <c r="W920" s="54">
        <f ca="1">MIN(100,MAX(0,MCDA_Prioritisation!$H$4+(RAND()-0.5)*2*$B$7))</f>
        <v>89.741342396186567</v>
      </c>
      <c r="X920" s="54">
        <f ca="1">MIN(100,MAX(0,MCDA_Prioritisation!$H$5+(RAND()-0.5)*2*$B$7))</f>
        <v>78.887966603873167</v>
      </c>
      <c r="Y920" s="54">
        <f ca="1">H920*MCDA_Prioritisation!$D$2+I920*MCDA_Prioritisation!$E$2+J920*M920+K920*Q920+L920*U920</f>
        <v>93.06929977071924</v>
      </c>
      <c r="Z920" s="54">
        <f ca="1">H920*MCDA_Prioritisation!$D$3+I920*MCDA_Prioritisation!$E$3+J920*N920+K920*R920+L920*V920</f>
        <v>79.584277089961759</v>
      </c>
      <c r="AA920" s="54">
        <f ca="1">H920*MCDA_Prioritisation!$D$4+I920*MCDA_Prioritisation!$E$4+J920*O920+K920*S920+L920*W920</f>
        <v>73.709774577887444</v>
      </c>
      <c r="AB920" s="54">
        <f ca="1">H920*MCDA_Prioritisation!$D$5+I920*MCDA_Prioritisation!$E$5+J920*P920+K920*T920+L920*X920</f>
        <v>72.838050494782934</v>
      </c>
      <c r="AC920" s="54">
        <f t="shared" ref="AC920:AC983" ca="1" si="202">SUMPRODUCT(--($Y920:$AB920&gt;Y920))+1</f>
        <v>1</v>
      </c>
      <c r="AD920" s="54">
        <f t="shared" ref="AD920:AD983" ca="1" si="203">SUMPRODUCT(--($Y920:$AB920&gt;Z920))+1</f>
        <v>2</v>
      </c>
      <c r="AE920" s="54">
        <f t="shared" ref="AE920:AE983" ca="1" si="204">SUMPRODUCT(--($Y920:$AB920&gt;AA920))+1</f>
        <v>3</v>
      </c>
      <c r="AF920" s="54">
        <f t="shared" ref="AF920:AF983" ca="1" si="205">SUMPRODUCT(--($Y920:$AB920&gt;AB920))+1</f>
        <v>4</v>
      </c>
      <c r="AG920" s="54">
        <f t="shared" ref="AG920:AG983" ca="1" si="206">IF(AC920=1,1,0)</f>
        <v>1</v>
      </c>
      <c r="AH920" s="54">
        <f t="shared" ref="AH920:AH983" ca="1" si="207">IF(AD920=2,1,0)</f>
        <v>1</v>
      </c>
      <c r="AI920" s="54">
        <f t="shared" ref="AI920:AI983" ca="1" si="208">IF(AND(AC920=1,AD920=2,AE920=3,AF920=4),1,0)</f>
        <v>1</v>
      </c>
      <c r="AJ920" s="54">
        <f t="shared" ref="AJ920:AJ983" ca="1" si="209">IF(AND(AC920&lt;=2,AD920&lt;=2),1,0)</f>
        <v>1</v>
      </c>
    </row>
    <row r="921" spans="1:36" x14ac:dyDescent="0.2">
      <c r="A921" s="54">
        <v>898</v>
      </c>
      <c r="B921" s="54">
        <f ca="1">MAX(0.02,MCDA_Prioritisation!$B$9+(RAND()-0.5)*2*$B$6)</f>
        <v>0.14355120886969591</v>
      </c>
      <c r="C921" s="54">
        <f ca="1">MAX(0.02,MCDA_Prioritisation!$B$10+(RAND()-0.5)*2*$B$6)</f>
        <v>0.30778649377378142</v>
      </c>
      <c r="D921" s="54">
        <f ca="1">MAX(0.02,MCDA_Prioritisation!$B$11+(RAND()-0.5)*2*$B$6)</f>
        <v>0.27591521052232149</v>
      </c>
      <c r="E921" s="54">
        <f ca="1">MAX(0.02,MCDA_Prioritisation!$B$12+(RAND()-0.5)*2*$B$6)</f>
        <v>0.1541980131801205</v>
      </c>
      <c r="F921" s="54">
        <f ca="1">MAX(0.02,MCDA_Prioritisation!$B$13+(RAND()-0.5)*2*$B$6)</f>
        <v>0.16289177037181016</v>
      </c>
      <c r="G921" s="54">
        <f t="shared" ca="1" si="196"/>
        <v>1.0443426967177294</v>
      </c>
      <c r="H921" s="54">
        <f t="shared" ca="1" si="197"/>
        <v>0.13745603748737251</v>
      </c>
      <c r="I921" s="54">
        <f t="shared" ca="1" si="198"/>
        <v>0.29471790700612488</v>
      </c>
      <c r="J921" s="54">
        <f t="shared" ca="1" si="199"/>
        <v>0.26419987556718399</v>
      </c>
      <c r="K921" s="54">
        <f t="shared" ca="1" si="200"/>
        <v>0.14765077944696728</v>
      </c>
      <c r="L921" s="54">
        <f t="shared" ca="1" si="201"/>
        <v>0.15597540049235145</v>
      </c>
      <c r="M921" s="54">
        <f ca="1">MIN(100,MAX(0,MCDA_Prioritisation!$F$2+(RAND()-0.5)*2*$B$7))</f>
        <v>89.220608660535376</v>
      </c>
      <c r="N921" s="54">
        <f ca="1">MIN(100,MAX(0,MCDA_Prioritisation!$F$3+(RAND()-0.5)*2*$B$7))</f>
        <v>98.178297295610633</v>
      </c>
      <c r="O921" s="54">
        <f ca="1">MIN(100,MAX(0,MCDA_Prioritisation!$F$4+(RAND()-0.5)*2*$B$7))</f>
        <v>82.281809530582365</v>
      </c>
      <c r="P921" s="54">
        <f ca="1">MIN(100,MAX(0,MCDA_Prioritisation!$F$5+(RAND()-0.5)*2*$B$7))</f>
        <v>83.152564534142471</v>
      </c>
      <c r="Q921" s="54">
        <f ca="1">MIN(100,MAX(0,MCDA_Prioritisation!$G$2+(RAND()-0.5)*2*$B$7))</f>
        <v>72.744618669284705</v>
      </c>
      <c r="R921" s="54">
        <f ca="1">MIN(100,MAX(0,MCDA_Prioritisation!$G$3+(RAND()-0.5)*2*$B$7))</f>
        <v>93.055808908484209</v>
      </c>
      <c r="S921" s="54">
        <f ca="1">MIN(100,MAX(0,MCDA_Prioritisation!$G$4+(RAND()-0.5)*2*$B$7))</f>
        <v>77.824639494126657</v>
      </c>
      <c r="T921" s="54">
        <f ca="1">MIN(100,MAX(0,MCDA_Prioritisation!$G$5+(RAND()-0.5)*2*$B$7))</f>
        <v>73.400726092636546</v>
      </c>
      <c r="U921" s="54">
        <f ca="1">MIN(100,MAX(0,MCDA_Prioritisation!$H$2+(RAND()-0.5)*2*$B$7))</f>
        <v>65.664324594206278</v>
      </c>
      <c r="V921" s="54">
        <f ca="1">MIN(100,MAX(0,MCDA_Prioritisation!$H$3+(RAND()-0.5)*2*$B$7))</f>
        <v>63.862461248419784</v>
      </c>
      <c r="W921" s="54">
        <f ca="1">MIN(100,MAX(0,MCDA_Prioritisation!$H$4+(RAND()-0.5)*2*$B$7))</f>
        <v>70.208106994605188</v>
      </c>
      <c r="X921" s="54">
        <f ca="1">MIN(100,MAX(0,MCDA_Prioritisation!$H$5+(RAND()-0.5)*2*$B$7))</f>
        <v>66.496713376149998</v>
      </c>
      <c r="Y921" s="54">
        <f ca="1">H921*MCDA_Prioritisation!$D$2+I921*MCDA_Prioritisation!$E$2+J921*M921+K921*Q921+L921*U921</f>
        <v>87.772287129224978</v>
      </c>
      <c r="Z921" s="54">
        <f ca="1">H921*MCDA_Prioritisation!$D$3+I921*MCDA_Prioritisation!$E$3+J921*N921+K921*R921+L921*V921</f>
        <v>83.086682429992791</v>
      </c>
      <c r="AA921" s="54">
        <f ca="1">H921*MCDA_Prioritisation!$D$4+I921*MCDA_Prioritisation!$E$4+J921*O921+K921*S921+L921*W921</f>
        <v>69.827602729012341</v>
      </c>
      <c r="AB921" s="54">
        <f ca="1">H921*MCDA_Prioritisation!$D$5+I921*MCDA_Prioritisation!$E$5+J921*P921+K921*T921+L921*X921</f>
        <v>75.257121349375751</v>
      </c>
      <c r="AC921" s="54">
        <f t="shared" ca="1" si="202"/>
        <v>1</v>
      </c>
      <c r="AD921" s="54">
        <f t="shared" ca="1" si="203"/>
        <v>2</v>
      </c>
      <c r="AE921" s="54">
        <f t="shared" ca="1" si="204"/>
        <v>4</v>
      </c>
      <c r="AF921" s="54">
        <f t="shared" ca="1" si="205"/>
        <v>3</v>
      </c>
      <c r="AG921" s="54">
        <f t="shared" ca="1" si="206"/>
        <v>1</v>
      </c>
      <c r="AH921" s="54">
        <f t="shared" ca="1" si="207"/>
        <v>1</v>
      </c>
      <c r="AI921" s="54">
        <f t="shared" ca="1" si="208"/>
        <v>0</v>
      </c>
      <c r="AJ921" s="54">
        <f t="shared" ca="1" si="209"/>
        <v>1</v>
      </c>
    </row>
    <row r="922" spans="1:36" x14ac:dyDescent="0.2">
      <c r="A922" s="54">
        <v>899</v>
      </c>
      <c r="B922" s="54">
        <f ca="1">MAX(0.02,MCDA_Prioritisation!$B$9+(RAND()-0.5)*2*$B$6)</f>
        <v>0.2089948427295627</v>
      </c>
      <c r="C922" s="54">
        <f ca="1">MAX(0.02,MCDA_Prioritisation!$B$10+(RAND()-0.5)*2*$B$6)</f>
        <v>0.26085525857420538</v>
      </c>
      <c r="D922" s="54">
        <f ca="1">MAX(0.02,MCDA_Prioritisation!$B$11+(RAND()-0.5)*2*$B$6)</f>
        <v>0.23945808538814892</v>
      </c>
      <c r="E922" s="54">
        <f ca="1">MAX(0.02,MCDA_Prioritisation!$B$12+(RAND()-0.5)*2*$B$6)</f>
        <v>8.099311322454851E-2</v>
      </c>
      <c r="F922" s="54">
        <f ca="1">MAX(0.02,MCDA_Prioritisation!$B$13+(RAND()-0.5)*2*$B$6)</f>
        <v>0.17179777720931905</v>
      </c>
      <c r="G922" s="54">
        <f t="shared" ca="1" si="196"/>
        <v>0.96209907712578446</v>
      </c>
      <c r="H922" s="54">
        <f t="shared" ca="1" si="197"/>
        <v>0.2172279837892816</v>
      </c>
      <c r="I922" s="54">
        <f t="shared" ca="1" si="198"/>
        <v>0.27113138841531315</v>
      </c>
      <c r="J922" s="54">
        <f t="shared" ca="1" si="199"/>
        <v>0.24889129517046846</v>
      </c>
      <c r="K922" s="54">
        <f t="shared" ca="1" si="200"/>
        <v>8.4183755239128563E-2</v>
      </c>
      <c r="L922" s="54">
        <f t="shared" ca="1" si="201"/>
        <v>0.17856557738580833</v>
      </c>
      <c r="M922" s="54">
        <f ca="1">MIN(100,MAX(0,MCDA_Prioritisation!$F$2+(RAND()-0.5)*2*$B$7))</f>
        <v>85.59455579552214</v>
      </c>
      <c r="N922" s="54">
        <f ca="1">MIN(100,MAX(0,MCDA_Prioritisation!$F$3+(RAND()-0.5)*2*$B$7))</f>
        <v>88.553454903596645</v>
      </c>
      <c r="O922" s="54">
        <f ca="1">MIN(100,MAX(0,MCDA_Prioritisation!$F$4+(RAND()-0.5)*2*$B$7))</f>
        <v>84.322628172376284</v>
      </c>
      <c r="P922" s="54">
        <f ca="1">MIN(100,MAX(0,MCDA_Prioritisation!$F$5+(RAND()-0.5)*2*$B$7))</f>
        <v>70.133208665336426</v>
      </c>
      <c r="Q922" s="54">
        <f ca="1">MIN(100,MAX(0,MCDA_Prioritisation!$G$2+(RAND()-0.5)*2*$B$7))</f>
        <v>80.419054865413457</v>
      </c>
      <c r="R922" s="54">
        <f ca="1">MIN(100,MAX(0,MCDA_Prioritisation!$G$3+(RAND()-0.5)*2*$B$7))</f>
        <v>98.517998815220182</v>
      </c>
      <c r="S922" s="54">
        <f ca="1">MIN(100,MAX(0,MCDA_Prioritisation!$G$4+(RAND()-0.5)*2*$B$7))</f>
        <v>81.97630249312023</v>
      </c>
      <c r="T922" s="54">
        <f ca="1">MIN(100,MAX(0,MCDA_Prioritisation!$G$5+(RAND()-0.5)*2*$B$7))</f>
        <v>65.11510050235367</v>
      </c>
      <c r="U922" s="54">
        <f ca="1">MIN(100,MAX(0,MCDA_Prioritisation!$H$2+(RAND()-0.5)*2*$B$7))</f>
        <v>71.510768714691778</v>
      </c>
      <c r="V922" s="54">
        <f ca="1">MIN(100,MAX(0,MCDA_Prioritisation!$H$3+(RAND()-0.5)*2*$B$7))</f>
        <v>60.983353267027042</v>
      </c>
      <c r="W922" s="54">
        <f ca="1">MIN(100,MAX(0,MCDA_Prioritisation!$H$4+(RAND()-0.5)*2*$B$7))</f>
        <v>81.087236949436445</v>
      </c>
      <c r="X922" s="54">
        <f ca="1">MIN(100,MAX(0,MCDA_Prioritisation!$H$5+(RAND()-0.5)*2*$B$7))</f>
        <v>83.717564345606093</v>
      </c>
      <c r="Y922" s="54">
        <f ca="1">H922*MCDA_Prioritisation!$D$2+I922*MCDA_Prioritisation!$E$2+J922*M922+K922*Q922+L922*U922</f>
        <v>89.679016808141853</v>
      </c>
      <c r="Z922" s="54">
        <f ca="1">H922*MCDA_Prioritisation!$D$3+I922*MCDA_Prioritisation!$E$3+J922*N922+K922*R922+L922*V922</f>
        <v>79.927012480934238</v>
      </c>
      <c r="AA922" s="54">
        <f ca="1">H922*MCDA_Prioritisation!$D$4+I922*MCDA_Prioritisation!$E$4+J922*O922+K922*S922+L922*W922</f>
        <v>72.283095024167793</v>
      </c>
      <c r="AB922" s="54">
        <f ca="1">H922*MCDA_Prioritisation!$D$5+I922*MCDA_Prioritisation!$E$5+J922*P922+K922*T922+L922*X922</f>
        <v>72.215507505689303</v>
      </c>
      <c r="AC922" s="54">
        <f t="shared" ca="1" si="202"/>
        <v>1</v>
      </c>
      <c r="AD922" s="54">
        <f t="shared" ca="1" si="203"/>
        <v>2</v>
      </c>
      <c r="AE922" s="54">
        <f t="shared" ca="1" si="204"/>
        <v>3</v>
      </c>
      <c r="AF922" s="54">
        <f t="shared" ca="1" si="205"/>
        <v>4</v>
      </c>
      <c r="AG922" s="54">
        <f t="shared" ca="1" si="206"/>
        <v>1</v>
      </c>
      <c r="AH922" s="54">
        <f t="shared" ca="1" si="207"/>
        <v>1</v>
      </c>
      <c r="AI922" s="54">
        <f t="shared" ca="1" si="208"/>
        <v>1</v>
      </c>
      <c r="AJ922" s="54">
        <f t="shared" ca="1" si="209"/>
        <v>1</v>
      </c>
    </row>
    <row r="923" spans="1:36" x14ac:dyDescent="0.2">
      <c r="A923" s="54">
        <v>900</v>
      </c>
      <c r="B923" s="54">
        <f ca="1">MAX(0.02,MCDA_Prioritisation!$B$9+(RAND()-0.5)*2*$B$6)</f>
        <v>0.15692584359329959</v>
      </c>
      <c r="C923" s="54">
        <f ca="1">MAX(0.02,MCDA_Prioritisation!$B$10+(RAND()-0.5)*2*$B$6)</f>
        <v>0.21236380155057111</v>
      </c>
      <c r="D923" s="54">
        <f ca="1">MAX(0.02,MCDA_Prioritisation!$B$11+(RAND()-0.5)*2*$B$6)</f>
        <v>0.20833052310584699</v>
      </c>
      <c r="E923" s="54">
        <f ca="1">MAX(0.02,MCDA_Prioritisation!$B$12+(RAND()-0.5)*2*$B$6)</f>
        <v>9.7313180697029253E-2</v>
      </c>
      <c r="F923" s="54">
        <f ca="1">MAX(0.02,MCDA_Prioritisation!$B$13+(RAND()-0.5)*2*$B$6)</f>
        <v>0.16107250295192227</v>
      </c>
      <c r="G923" s="54">
        <f t="shared" ca="1" si="196"/>
        <v>0.83600585189866927</v>
      </c>
      <c r="H923" s="54">
        <f t="shared" ca="1" si="197"/>
        <v>0.18770902528600994</v>
      </c>
      <c r="I923" s="54">
        <f t="shared" ca="1" si="198"/>
        <v>0.25402190794271057</v>
      </c>
      <c r="J923" s="54">
        <f t="shared" ca="1" si="199"/>
        <v>0.24919744596608201</v>
      </c>
      <c r="K923" s="54">
        <f t="shared" ca="1" si="200"/>
        <v>0.11640251138914803</v>
      </c>
      <c r="L923" s="54">
        <f t="shared" ca="1" si="201"/>
        <v>0.19266910941604937</v>
      </c>
      <c r="M923" s="54">
        <f ca="1">MIN(100,MAX(0,MCDA_Prioritisation!$F$2+(RAND()-0.5)*2*$B$7))</f>
        <v>86.158594025098466</v>
      </c>
      <c r="N923" s="54">
        <f ca="1">MIN(100,MAX(0,MCDA_Prioritisation!$F$3+(RAND()-0.5)*2*$B$7))</f>
        <v>94.034066986002244</v>
      </c>
      <c r="O923" s="54">
        <f ca="1">MIN(100,MAX(0,MCDA_Prioritisation!$F$4+(RAND()-0.5)*2*$B$7))</f>
        <v>98.439080618886848</v>
      </c>
      <c r="P923" s="54">
        <f ca="1">MIN(100,MAX(0,MCDA_Prioritisation!$F$5+(RAND()-0.5)*2*$B$7))</f>
        <v>67.197379444227636</v>
      </c>
      <c r="Q923" s="54">
        <f ca="1">MIN(100,MAX(0,MCDA_Prioritisation!$G$2+(RAND()-0.5)*2*$B$7))</f>
        <v>73.322880482765441</v>
      </c>
      <c r="R923" s="54">
        <f ca="1">MIN(100,MAX(0,MCDA_Prioritisation!$G$3+(RAND()-0.5)*2*$B$7))</f>
        <v>98.02928739870211</v>
      </c>
      <c r="S923" s="54">
        <f ca="1">MIN(100,MAX(0,MCDA_Prioritisation!$G$4+(RAND()-0.5)*2*$B$7))</f>
        <v>76.875878881990218</v>
      </c>
      <c r="T923" s="54">
        <f ca="1">MIN(100,MAX(0,MCDA_Prioritisation!$G$5+(RAND()-0.5)*2*$B$7))</f>
        <v>64.603561373812866</v>
      </c>
      <c r="U923" s="54">
        <f ca="1">MIN(100,MAX(0,MCDA_Prioritisation!$H$2+(RAND()-0.5)*2*$B$7))</f>
        <v>69.056366362922304</v>
      </c>
      <c r="V923" s="54">
        <f ca="1">MIN(100,MAX(0,MCDA_Prioritisation!$H$3+(RAND()-0.5)*2*$B$7))</f>
        <v>50.600606201959046</v>
      </c>
      <c r="W923" s="54">
        <f ca="1">MIN(100,MAX(0,MCDA_Prioritisation!$H$4+(RAND()-0.5)*2*$B$7))</f>
        <v>89.197962954307229</v>
      </c>
      <c r="X923" s="54">
        <f ca="1">MIN(100,MAX(0,MCDA_Prioritisation!$H$5+(RAND()-0.5)*2*$B$7))</f>
        <v>70.273203728681722</v>
      </c>
      <c r="Y923" s="54">
        <f ca="1">H923*MCDA_Prioritisation!$D$2+I923*MCDA_Prioritisation!$E$2+J923*M923+K923*Q923+L923*U923</f>
        <v>87.483590939088032</v>
      </c>
      <c r="Z923" s="54">
        <f ca="1">H923*MCDA_Prioritisation!$D$3+I923*MCDA_Prioritisation!$E$3+J923*N923+K923*R923+L923*V923</f>
        <v>79.472574390671596</v>
      </c>
      <c r="AA923" s="54">
        <f ca="1">H923*MCDA_Prioritisation!$D$4+I923*MCDA_Prioritisation!$E$4+J923*O923+K923*S923+L923*W923</f>
        <v>77.591698412486139</v>
      </c>
      <c r="AB923" s="54">
        <f ca="1">H923*MCDA_Prioritisation!$D$5+I923*MCDA_Prioritisation!$E$5+J923*P923+K923*T923+L923*X923</f>
        <v>69.128664412483104</v>
      </c>
      <c r="AC923" s="54">
        <f t="shared" ca="1" si="202"/>
        <v>1</v>
      </c>
      <c r="AD923" s="54">
        <f t="shared" ca="1" si="203"/>
        <v>2</v>
      </c>
      <c r="AE923" s="54">
        <f t="shared" ca="1" si="204"/>
        <v>3</v>
      </c>
      <c r="AF923" s="54">
        <f t="shared" ca="1" si="205"/>
        <v>4</v>
      </c>
      <c r="AG923" s="54">
        <f t="shared" ca="1" si="206"/>
        <v>1</v>
      </c>
      <c r="AH923" s="54">
        <f t="shared" ca="1" si="207"/>
        <v>1</v>
      </c>
      <c r="AI923" s="54">
        <f t="shared" ca="1" si="208"/>
        <v>1</v>
      </c>
      <c r="AJ923" s="54">
        <f t="shared" ca="1" si="209"/>
        <v>1</v>
      </c>
    </row>
    <row r="924" spans="1:36" x14ac:dyDescent="0.2">
      <c r="A924" s="54">
        <v>901</v>
      </c>
      <c r="B924" s="54">
        <f ca="1">MAX(0.02,MCDA_Prioritisation!$B$9+(RAND()-0.5)*2*$B$6)</f>
        <v>0.2589202107966499</v>
      </c>
      <c r="C924" s="54">
        <f ca="1">MAX(0.02,MCDA_Prioritisation!$B$10+(RAND()-0.5)*2*$B$6)</f>
        <v>0.28416781297480465</v>
      </c>
      <c r="D924" s="54">
        <f ca="1">MAX(0.02,MCDA_Prioritisation!$B$11+(RAND()-0.5)*2*$B$6)</f>
        <v>0.17450454046861061</v>
      </c>
      <c r="E924" s="54">
        <f ca="1">MAX(0.02,MCDA_Prioritisation!$B$12+(RAND()-0.5)*2*$B$6)</f>
        <v>0.17571934062107308</v>
      </c>
      <c r="F924" s="54">
        <f ca="1">MAX(0.02,MCDA_Prioritisation!$B$13+(RAND()-0.5)*2*$B$6)</f>
        <v>0.12430797558696001</v>
      </c>
      <c r="G924" s="54">
        <f t="shared" ca="1" si="196"/>
        <v>1.0176198804480983</v>
      </c>
      <c r="H924" s="54">
        <f t="shared" ca="1" si="197"/>
        <v>0.25443706021411167</v>
      </c>
      <c r="I924" s="54">
        <f t="shared" ca="1" si="198"/>
        <v>0.27924750531571213</v>
      </c>
      <c r="J924" s="54">
        <f t="shared" ca="1" si="199"/>
        <v>0.17148302998145964</v>
      </c>
      <c r="K924" s="54">
        <f t="shared" ca="1" si="200"/>
        <v>0.17267679611732517</v>
      </c>
      <c r="L924" s="54">
        <f t="shared" ca="1" si="201"/>
        <v>0.12215560837139139</v>
      </c>
      <c r="M924" s="54">
        <f ca="1">MIN(100,MAX(0,MCDA_Prioritisation!$F$2+(RAND()-0.5)*2*$B$7))</f>
        <v>77.125707653305525</v>
      </c>
      <c r="N924" s="54">
        <f ca="1">MIN(100,MAX(0,MCDA_Prioritisation!$F$3+(RAND()-0.5)*2*$B$7))</f>
        <v>98.751456658966305</v>
      </c>
      <c r="O924" s="54">
        <f ca="1">MIN(100,MAX(0,MCDA_Prioritisation!$F$4+(RAND()-0.5)*2*$B$7))</f>
        <v>91.017151602820874</v>
      </c>
      <c r="P924" s="54">
        <f ca="1">MIN(100,MAX(0,MCDA_Prioritisation!$F$5+(RAND()-0.5)*2*$B$7))</f>
        <v>71.974773594602297</v>
      </c>
      <c r="Q924" s="54">
        <f ca="1">MIN(100,MAX(0,MCDA_Prioritisation!$G$2+(RAND()-0.5)*2*$B$7))</f>
        <v>78.905777382860606</v>
      </c>
      <c r="R924" s="54">
        <f ca="1">MIN(100,MAX(0,MCDA_Prioritisation!$G$3+(RAND()-0.5)*2*$B$7))</f>
        <v>100</v>
      </c>
      <c r="S924" s="54">
        <f ca="1">MIN(100,MAX(0,MCDA_Prioritisation!$G$4+(RAND()-0.5)*2*$B$7))</f>
        <v>79.137707971727721</v>
      </c>
      <c r="T924" s="54">
        <f ca="1">MIN(100,MAX(0,MCDA_Prioritisation!$G$5+(RAND()-0.5)*2*$B$7))</f>
        <v>75.663843744207995</v>
      </c>
      <c r="U924" s="54">
        <f ca="1">MIN(100,MAX(0,MCDA_Prioritisation!$H$2+(RAND()-0.5)*2*$B$7))</f>
        <v>73.434400901476593</v>
      </c>
      <c r="V924" s="54">
        <f ca="1">MIN(100,MAX(0,MCDA_Prioritisation!$H$3+(RAND()-0.5)*2*$B$7))</f>
        <v>53.500900920434312</v>
      </c>
      <c r="W924" s="54">
        <f ca="1">MIN(100,MAX(0,MCDA_Prioritisation!$H$4+(RAND()-0.5)*2*$B$7))</f>
        <v>77.715920799600539</v>
      </c>
      <c r="X924" s="54">
        <f ca="1">MIN(100,MAX(0,MCDA_Prioritisation!$H$5+(RAND()-0.5)*2*$B$7))</f>
        <v>73.860457773714799</v>
      </c>
      <c r="Y924" s="54">
        <f ca="1">H924*MCDA_Prioritisation!$D$2+I924*MCDA_Prioritisation!$E$2+J924*M924+K924*Q924+L924*U924</f>
        <v>89.189827341963266</v>
      </c>
      <c r="Z924" s="54">
        <f ca="1">H924*MCDA_Prioritisation!$D$3+I924*MCDA_Prioritisation!$E$3+J924*N924+K924*R924+L924*V924</f>
        <v>83.283218045861631</v>
      </c>
      <c r="AA924" s="54">
        <f ca="1">H924*MCDA_Prioritisation!$D$4+I924*MCDA_Prioritisation!$E$4+J924*O924+K924*S924+L924*W924</f>
        <v>71.715761634761989</v>
      </c>
      <c r="AB924" s="54">
        <f ca="1">H924*MCDA_Prioritisation!$D$5+I924*MCDA_Prioritisation!$E$5+J924*P924+K924*T924+L924*X924</f>
        <v>71.416961489725622</v>
      </c>
      <c r="AC924" s="54">
        <f t="shared" ca="1" si="202"/>
        <v>1</v>
      </c>
      <c r="AD924" s="54">
        <f t="shared" ca="1" si="203"/>
        <v>2</v>
      </c>
      <c r="AE924" s="54">
        <f t="shared" ca="1" si="204"/>
        <v>3</v>
      </c>
      <c r="AF924" s="54">
        <f t="shared" ca="1" si="205"/>
        <v>4</v>
      </c>
      <c r="AG924" s="54">
        <f t="shared" ca="1" si="206"/>
        <v>1</v>
      </c>
      <c r="AH924" s="54">
        <f t="shared" ca="1" si="207"/>
        <v>1</v>
      </c>
      <c r="AI924" s="54">
        <f t="shared" ca="1" si="208"/>
        <v>1</v>
      </c>
      <c r="AJ924" s="54">
        <f t="shared" ca="1" si="209"/>
        <v>1</v>
      </c>
    </row>
    <row r="925" spans="1:36" x14ac:dyDescent="0.2">
      <c r="A925" s="54">
        <v>902</v>
      </c>
      <c r="B925" s="54">
        <f ca="1">MAX(0.02,MCDA_Prioritisation!$B$9+(RAND()-0.5)*2*$B$6)</f>
        <v>0.15509068287088712</v>
      </c>
      <c r="C925" s="54">
        <f ca="1">MAX(0.02,MCDA_Prioritisation!$B$10+(RAND()-0.5)*2*$B$6)</f>
        <v>0.19019691458084265</v>
      </c>
      <c r="D925" s="54">
        <f ca="1">MAX(0.02,MCDA_Prioritisation!$B$11+(RAND()-0.5)*2*$B$6)</f>
        <v>0.17240036420365612</v>
      </c>
      <c r="E925" s="54">
        <f ca="1">MAX(0.02,MCDA_Prioritisation!$B$12+(RAND()-0.5)*2*$B$6)</f>
        <v>0.10580084236938565</v>
      </c>
      <c r="F925" s="54">
        <f ca="1">MAX(0.02,MCDA_Prioritisation!$B$13+(RAND()-0.5)*2*$B$6)</f>
        <v>0.18881525259378368</v>
      </c>
      <c r="G925" s="54">
        <f t="shared" ca="1" si="196"/>
        <v>0.81230405661855531</v>
      </c>
      <c r="H925" s="54">
        <f t="shared" ca="1" si="197"/>
        <v>0.19092688459109242</v>
      </c>
      <c r="I925" s="54">
        <f t="shared" ca="1" si="198"/>
        <v>0.23414497690998975</v>
      </c>
      <c r="J925" s="54">
        <f t="shared" ca="1" si="199"/>
        <v>0.21223624675878297</v>
      </c>
      <c r="K925" s="54">
        <f t="shared" ca="1" si="200"/>
        <v>0.13024783208619134</v>
      </c>
      <c r="L925" s="54">
        <f t="shared" ca="1" si="201"/>
        <v>0.23244405965394338</v>
      </c>
      <c r="M925" s="54">
        <f ca="1">MIN(100,MAX(0,MCDA_Prioritisation!$F$2+(RAND()-0.5)*2*$B$7))</f>
        <v>75.770172438244543</v>
      </c>
      <c r="N925" s="54">
        <f ca="1">MIN(100,MAX(0,MCDA_Prioritisation!$F$3+(RAND()-0.5)*2*$B$7))</f>
        <v>85.783073951645491</v>
      </c>
      <c r="O925" s="54">
        <f ca="1">MIN(100,MAX(0,MCDA_Prioritisation!$F$4+(RAND()-0.5)*2*$B$7))</f>
        <v>99.732725771839412</v>
      </c>
      <c r="P925" s="54">
        <f ca="1">MIN(100,MAX(0,MCDA_Prioritisation!$F$5+(RAND()-0.5)*2*$B$7))</f>
        <v>71.862590478677731</v>
      </c>
      <c r="Q925" s="54">
        <f ca="1">MIN(100,MAX(0,MCDA_Prioritisation!$G$2+(RAND()-0.5)*2*$B$7))</f>
        <v>86.008098464495816</v>
      </c>
      <c r="R925" s="54">
        <f ca="1">MIN(100,MAX(0,MCDA_Prioritisation!$G$3+(RAND()-0.5)*2*$B$7))</f>
        <v>94.223870239855984</v>
      </c>
      <c r="S925" s="54">
        <f ca="1">MIN(100,MAX(0,MCDA_Prioritisation!$G$4+(RAND()-0.5)*2*$B$7))</f>
        <v>80.317806073598831</v>
      </c>
      <c r="T925" s="54">
        <f ca="1">MIN(100,MAX(0,MCDA_Prioritisation!$G$5+(RAND()-0.5)*2*$B$7))</f>
        <v>66.690375913541402</v>
      </c>
      <c r="U925" s="54">
        <f ca="1">MIN(100,MAX(0,MCDA_Prioritisation!$H$2+(RAND()-0.5)*2*$B$7))</f>
        <v>71.395272889427829</v>
      </c>
      <c r="V925" s="54">
        <f ca="1">MIN(100,MAX(0,MCDA_Prioritisation!$H$3+(RAND()-0.5)*2*$B$7))</f>
        <v>53.688404789562234</v>
      </c>
      <c r="W925" s="54">
        <f ca="1">MIN(100,MAX(0,MCDA_Prioritisation!$H$4+(RAND()-0.5)*2*$B$7))</f>
        <v>80.806608539869814</v>
      </c>
      <c r="X925" s="54">
        <f ca="1">MIN(100,MAX(0,MCDA_Prioritisation!$H$5+(RAND()-0.5)*2*$B$7))</f>
        <v>72.036330375642663</v>
      </c>
      <c r="Y925" s="54">
        <f ca="1">H925*MCDA_Prioritisation!$D$2+I925*MCDA_Prioritisation!$E$2+J925*M925+K925*Q925+L925*U925</f>
        <v>86.386138602043005</v>
      </c>
      <c r="Z925" s="54">
        <f ca="1">H925*MCDA_Prioritisation!$D$3+I925*MCDA_Prioritisation!$E$3+J925*N925+K925*R925+L925*V925</f>
        <v>76.67341508253503</v>
      </c>
      <c r="AA925" s="54">
        <f ca="1">H925*MCDA_Prioritisation!$D$4+I925*MCDA_Prioritisation!$E$4+J925*O925+K925*S925+L925*W925</f>
        <v>76.477705706832253</v>
      </c>
      <c r="AB925" s="54">
        <f ca="1">H925*MCDA_Prioritisation!$D$5+I925*MCDA_Prioritisation!$E$5+J925*P925+K925*T925+L925*X925</f>
        <v>70.505618702412335</v>
      </c>
      <c r="AC925" s="54">
        <f t="shared" ca="1" si="202"/>
        <v>1</v>
      </c>
      <c r="AD925" s="54">
        <f t="shared" ca="1" si="203"/>
        <v>2</v>
      </c>
      <c r="AE925" s="54">
        <f t="shared" ca="1" si="204"/>
        <v>3</v>
      </c>
      <c r="AF925" s="54">
        <f t="shared" ca="1" si="205"/>
        <v>4</v>
      </c>
      <c r="AG925" s="54">
        <f t="shared" ca="1" si="206"/>
        <v>1</v>
      </c>
      <c r="AH925" s="54">
        <f t="shared" ca="1" si="207"/>
        <v>1</v>
      </c>
      <c r="AI925" s="54">
        <f t="shared" ca="1" si="208"/>
        <v>1</v>
      </c>
      <c r="AJ925" s="54">
        <f t="shared" ca="1" si="209"/>
        <v>1</v>
      </c>
    </row>
    <row r="926" spans="1:36" x14ac:dyDescent="0.2">
      <c r="A926" s="54">
        <v>903</v>
      </c>
      <c r="B926" s="54">
        <f ca="1">MAX(0.02,MCDA_Prioritisation!$B$9+(RAND()-0.5)*2*$B$6)</f>
        <v>0.12150724333831213</v>
      </c>
      <c r="C926" s="54">
        <f ca="1">MAX(0.02,MCDA_Prioritisation!$B$10+(RAND()-0.5)*2*$B$6)</f>
        <v>0.30729022261970779</v>
      </c>
      <c r="D926" s="54">
        <f ca="1">MAX(0.02,MCDA_Prioritisation!$B$11+(RAND()-0.5)*2*$B$6)</f>
        <v>0.17779021908176923</v>
      </c>
      <c r="E926" s="54">
        <f ca="1">MAX(0.02,MCDA_Prioritisation!$B$12+(RAND()-0.5)*2*$B$6)</f>
        <v>0.21913767173805057</v>
      </c>
      <c r="F926" s="54">
        <f ca="1">MAX(0.02,MCDA_Prioritisation!$B$13+(RAND()-0.5)*2*$B$6)</f>
        <v>0.10112144242420504</v>
      </c>
      <c r="G926" s="54">
        <f t="shared" ca="1" si="196"/>
        <v>0.92684679920204471</v>
      </c>
      <c r="H926" s="54">
        <f t="shared" ca="1" si="197"/>
        <v>0.13109744074524723</v>
      </c>
      <c r="I926" s="54">
        <f t="shared" ca="1" si="198"/>
        <v>0.33154370591155391</v>
      </c>
      <c r="J926" s="54">
        <f t="shared" ca="1" si="199"/>
        <v>0.19182266069736134</v>
      </c>
      <c r="K926" s="54">
        <f t="shared" ca="1" si="200"/>
        <v>0.23643354212013676</v>
      </c>
      <c r="L926" s="54">
        <f t="shared" ca="1" si="201"/>
        <v>0.10910265052570077</v>
      </c>
      <c r="M926" s="54">
        <f ca="1">MIN(100,MAX(0,MCDA_Prioritisation!$F$2+(RAND()-0.5)*2*$B$7))</f>
        <v>91.244923454417076</v>
      </c>
      <c r="N926" s="54">
        <f ca="1">MIN(100,MAX(0,MCDA_Prioritisation!$F$3+(RAND()-0.5)*2*$B$7))</f>
        <v>100</v>
      </c>
      <c r="O926" s="54">
        <f ca="1">MIN(100,MAX(0,MCDA_Prioritisation!$F$4+(RAND()-0.5)*2*$B$7))</f>
        <v>99.871991320563325</v>
      </c>
      <c r="P926" s="54">
        <f ca="1">MIN(100,MAX(0,MCDA_Prioritisation!$F$5+(RAND()-0.5)*2*$B$7))</f>
        <v>72.23301040085515</v>
      </c>
      <c r="Q926" s="54">
        <f ca="1">MIN(100,MAX(0,MCDA_Prioritisation!$G$2+(RAND()-0.5)*2*$B$7))</f>
        <v>87.162680319259564</v>
      </c>
      <c r="R926" s="54">
        <f ca="1">MIN(100,MAX(0,MCDA_Prioritisation!$G$3+(RAND()-0.5)*2*$B$7))</f>
        <v>89.153650045892718</v>
      </c>
      <c r="S926" s="54">
        <f ca="1">MIN(100,MAX(0,MCDA_Prioritisation!$G$4+(RAND()-0.5)*2*$B$7))</f>
        <v>79.793368207023718</v>
      </c>
      <c r="T926" s="54">
        <f ca="1">MIN(100,MAX(0,MCDA_Prioritisation!$G$5+(RAND()-0.5)*2*$B$7))</f>
        <v>69.349929728900506</v>
      </c>
      <c r="U926" s="54">
        <f ca="1">MIN(100,MAX(0,MCDA_Prioritisation!$H$2+(RAND()-0.5)*2*$B$7))</f>
        <v>64.404815794281248</v>
      </c>
      <c r="V926" s="54">
        <f ca="1">MIN(100,MAX(0,MCDA_Prioritisation!$H$3+(RAND()-0.5)*2*$B$7))</f>
        <v>61.469272160952762</v>
      </c>
      <c r="W926" s="54">
        <f ca="1">MIN(100,MAX(0,MCDA_Prioritisation!$H$4+(RAND()-0.5)*2*$B$7))</f>
        <v>77.745940650847515</v>
      </c>
      <c r="X926" s="54">
        <f ca="1">MIN(100,MAX(0,MCDA_Prioritisation!$H$5+(RAND()-0.5)*2*$B$7))</f>
        <v>73.935517719510798</v>
      </c>
      <c r="Y926" s="54">
        <f ca="1">H926*MCDA_Prioritisation!$D$2+I926*MCDA_Prioritisation!$E$2+J926*M926+K926*Q926+L926*U926</f>
        <v>91.401876016176743</v>
      </c>
      <c r="Z926" s="54">
        <f ca="1">H926*MCDA_Prioritisation!$D$3+I926*MCDA_Prioritisation!$E$3+J926*N926+K926*R926+L926*V926</f>
        <v>82.537411338714904</v>
      </c>
      <c r="AA926" s="54">
        <f ca="1">H926*MCDA_Prioritisation!$D$4+I926*MCDA_Prioritisation!$E$4+J926*O926+K926*S926+L926*W926</f>
        <v>73.718885224392949</v>
      </c>
      <c r="AB926" s="54">
        <f ca="1">H926*MCDA_Prioritisation!$D$5+I926*MCDA_Prioritisation!$E$5+J926*P926+K926*T926+L926*X926</f>
        <v>73.157063682439087</v>
      </c>
      <c r="AC926" s="54">
        <f t="shared" ca="1" si="202"/>
        <v>1</v>
      </c>
      <c r="AD926" s="54">
        <f t="shared" ca="1" si="203"/>
        <v>2</v>
      </c>
      <c r="AE926" s="54">
        <f t="shared" ca="1" si="204"/>
        <v>3</v>
      </c>
      <c r="AF926" s="54">
        <f t="shared" ca="1" si="205"/>
        <v>4</v>
      </c>
      <c r="AG926" s="54">
        <f t="shared" ca="1" si="206"/>
        <v>1</v>
      </c>
      <c r="AH926" s="54">
        <f t="shared" ca="1" si="207"/>
        <v>1</v>
      </c>
      <c r="AI926" s="54">
        <f t="shared" ca="1" si="208"/>
        <v>1</v>
      </c>
      <c r="AJ926" s="54">
        <f t="shared" ca="1" si="209"/>
        <v>1</v>
      </c>
    </row>
    <row r="927" spans="1:36" x14ac:dyDescent="0.2">
      <c r="A927" s="54">
        <v>904</v>
      </c>
      <c r="B927" s="54">
        <f ca="1">MAX(0.02,MCDA_Prioritisation!$B$9+(RAND()-0.5)*2*$B$6)</f>
        <v>0.20689651323891947</v>
      </c>
      <c r="C927" s="54">
        <f ca="1">MAX(0.02,MCDA_Prioritisation!$B$10+(RAND()-0.5)*2*$B$6)</f>
        <v>0.26562782364634091</v>
      </c>
      <c r="D927" s="54">
        <f ca="1">MAX(0.02,MCDA_Prioritisation!$B$11+(RAND()-0.5)*2*$B$6)</f>
        <v>0.31735548981435202</v>
      </c>
      <c r="E927" s="54">
        <f ca="1">MAX(0.02,MCDA_Prioritisation!$B$12+(RAND()-0.5)*2*$B$6)</f>
        <v>0.20393352035813406</v>
      </c>
      <c r="F927" s="54">
        <f ca="1">MAX(0.02,MCDA_Prioritisation!$B$13+(RAND()-0.5)*2*$B$6)</f>
        <v>9.3037797341733314E-2</v>
      </c>
      <c r="G927" s="54">
        <f t="shared" ca="1" si="196"/>
        <v>1.0868511443994797</v>
      </c>
      <c r="H927" s="54">
        <f t="shared" ca="1" si="197"/>
        <v>0.19036324735457352</v>
      </c>
      <c r="I927" s="54">
        <f t="shared" ca="1" si="198"/>
        <v>0.24440129176393224</v>
      </c>
      <c r="J927" s="54">
        <f t="shared" ca="1" si="199"/>
        <v>0.29199535874777144</v>
      </c>
      <c r="K927" s="54">
        <f t="shared" ca="1" si="200"/>
        <v>0.18763702960520312</v>
      </c>
      <c r="L927" s="54">
        <f t="shared" ca="1" si="201"/>
        <v>8.5603072528519716E-2</v>
      </c>
      <c r="M927" s="54">
        <f ca="1">MIN(100,MAX(0,MCDA_Prioritisation!$F$2+(RAND()-0.5)*2*$B$7))</f>
        <v>87.27830929262791</v>
      </c>
      <c r="N927" s="54">
        <f ca="1">MIN(100,MAX(0,MCDA_Prioritisation!$F$3+(RAND()-0.5)*2*$B$7))</f>
        <v>91.656653051517836</v>
      </c>
      <c r="O927" s="54">
        <f ca="1">MIN(100,MAX(0,MCDA_Prioritisation!$F$4+(RAND()-0.5)*2*$B$7))</f>
        <v>83.556221826020817</v>
      </c>
      <c r="P927" s="54">
        <f ca="1">MIN(100,MAX(0,MCDA_Prioritisation!$F$5+(RAND()-0.5)*2*$B$7))</f>
        <v>67.49530504501169</v>
      </c>
      <c r="Q927" s="54">
        <f ca="1">MIN(100,MAX(0,MCDA_Prioritisation!$G$2+(RAND()-0.5)*2*$B$7))</f>
        <v>78.924312055619822</v>
      </c>
      <c r="R927" s="54">
        <f ca="1">MIN(100,MAX(0,MCDA_Prioritisation!$G$3+(RAND()-0.5)*2*$B$7))</f>
        <v>100</v>
      </c>
      <c r="S927" s="54">
        <f ca="1">MIN(100,MAX(0,MCDA_Prioritisation!$G$4+(RAND()-0.5)*2*$B$7))</f>
        <v>85.954790096554433</v>
      </c>
      <c r="T927" s="54">
        <f ca="1">MIN(100,MAX(0,MCDA_Prioritisation!$G$5+(RAND()-0.5)*2*$B$7))</f>
        <v>74.181113842619169</v>
      </c>
      <c r="U927" s="54">
        <f ca="1">MIN(100,MAX(0,MCDA_Prioritisation!$H$2+(RAND()-0.5)*2*$B$7))</f>
        <v>64.369312750442589</v>
      </c>
      <c r="V927" s="54">
        <f ca="1">MIN(100,MAX(0,MCDA_Prioritisation!$H$3+(RAND()-0.5)*2*$B$7))</f>
        <v>54.630935867579446</v>
      </c>
      <c r="W927" s="54">
        <f ca="1">MIN(100,MAX(0,MCDA_Prioritisation!$H$4+(RAND()-0.5)*2*$B$7))</f>
        <v>75.206393640292404</v>
      </c>
      <c r="X927" s="54">
        <f ca="1">MIN(100,MAX(0,MCDA_Prioritisation!$H$5+(RAND()-0.5)*2*$B$7))</f>
        <v>68.279583402744976</v>
      </c>
      <c r="Y927" s="54">
        <f ca="1">H927*MCDA_Prioritisation!$D$2+I927*MCDA_Prioritisation!$E$2+J927*M927+K927*Q927+L927*U927</f>
        <v>89.28064957038815</v>
      </c>
      <c r="Z927" s="54">
        <f ca="1">H927*MCDA_Prioritisation!$D$3+I927*MCDA_Prioritisation!$E$3+J927*N927+K927*R927+L927*V927</f>
        <v>84.615381746354856</v>
      </c>
      <c r="AA927" s="54">
        <f ca="1">H927*MCDA_Prioritisation!$D$4+I927*MCDA_Prioritisation!$E$4+J927*O927+K927*S927+L927*W927</f>
        <v>73.550985858182869</v>
      </c>
      <c r="AB927" s="54">
        <f ca="1">H927*MCDA_Prioritisation!$D$5+I927*MCDA_Prioritisation!$E$5+J927*P927+K927*T927+L927*X927</f>
        <v>70.128007345026219</v>
      </c>
      <c r="AC927" s="54">
        <f t="shared" ca="1" si="202"/>
        <v>1</v>
      </c>
      <c r="AD927" s="54">
        <f t="shared" ca="1" si="203"/>
        <v>2</v>
      </c>
      <c r="AE927" s="54">
        <f t="shared" ca="1" si="204"/>
        <v>3</v>
      </c>
      <c r="AF927" s="54">
        <f t="shared" ca="1" si="205"/>
        <v>4</v>
      </c>
      <c r="AG927" s="54">
        <f t="shared" ca="1" si="206"/>
        <v>1</v>
      </c>
      <c r="AH927" s="54">
        <f t="shared" ca="1" si="207"/>
        <v>1</v>
      </c>
      <c r="AI927" s="54">
        <f t="shared" ca="1" si="208"/>
        <v>1</v>
      </c>
      <c r="AJ927" s="54">
        <f t="shared" ca="1" si="209"/>
        <v>1</v>
      </c>
    </row>
    <row r="928" spans="1:36" x14ac:dyDescent="0.2">
      <c r="A928" s="54">
        <v>905</v>
      </c>
      <c r="B928" s="54">
        <f ca="1">MAX(0.02,MCDA_Prioritisation!$B$9+(RAND()-0.5)*2*$B$6)</f>
        <v>0.23413681780680792</v>
      </c>
      <c r="C928" s="54">
        <f ca="1">MAX(0.02,MCDA_Prioritisation!$B$10+(RAND()-0.5)*2*$B$6)</f>
        <v>0.27456024276430613</v>
      </c>
      <c r="D928" s="54">
        <f ca="1">MAX(0.02,MCDA_Prioritisation!$B$11+(RAND()-0.5)*2*$B$6)</f>
        <v>0.18036640507266405</v>
      </c>
      <c r="E928" s="54">
        <f ca="1">MAX(0.02,MCDA_Prioritisation!$B$12+(RAND()-0.5)*2*$B$6)</f>
        <v>0.1863172011703062</v>
      </c>
      <c r="F928" s="54">
        <f ca="1">MAX(0.02,MCDA_Prioritisation!$B$13+(RAND()-0.5)*2*$B$6)</f>
        <v>0.15315988016803875</v>
      </c>
      <c r="G928" s="54">
        <f t="shared" ca="1" si="196"/>
        <v>1.0285405469821232</v>
      </c>
      <c r="H928" s="54">
        <f t="shared" ca="1" si="197"/>
        <v>0.22763985191813485</v>
      </c>
      <c r="I928" s="54">
        <f t="shared" ca="1" si="198"/>
        <v>0.26694158394620704</v>
      </c>
      <c r="J928" s="54">
        <f t="shared" ca="1" si="199"/>
        <v>0.17536149216662719</v>
      </c>
      <c r="K928" s="54">
        <f t="shared" ca="1" si="200"/>
        <v>0.18114716208027581</v>
      </c>
      <c r="L928" s="54">
        <f t="shared" ca="1" si="201"/>
        <v>0.14890990988875502</v>
      </c>
      <c r="M928" s="54">
        <f ca="1">MIN(100,MAX(0,MCDA_Prioritisation!$F$2+(RAND()-0.5)*2*$B$7))</f>
        <v>88.528509323761256</v>
      </c>
      <c r="N928" s="54">
        <f ca="1">MIN(100,MAX(0,MCDA_Prioritisation!$F$3+(RAND()-0.5)*2*$B$7))</f>
        <v>99.614702561079241</v>
      </c>
      <c r="O928" s="54">
        <f ca="1">MIN(100,MAX(0,MCDA_Prioritisation!$F$4+(RAND()-0.5)*2*$B$7))</f>
        <v>81.850908070887584</v>
      </c>
      <c r="P928" s="54">
        <f ca="1">MIN(100,MAX(0,MCDA_Prioritisation!$F$5+(RAND()-0.5)*2*$B$7))</f>
        <v>78.022586792075458</v>
      </c>
      <c r="Q928" s="54">
        <f ca="1">MIN(100,MAX(0,MCDA_Prioritisation!$G$2+(RAND()-0.5)*2*$B$7))</f>
        <v>82.506691434544564</v>
      </c>
      <c r="R928" s="54">
        <f ca="1">MIN(100,MAX(0,MCDA_Prioritisation!$G$3+(RAND()-0.5)*2*$B$7))</f>
        <v>89.905733479356527</v>
      </c>
      <c r="S928" s="54">
        <f ca="1">MIN(100,MAX(0,MCDA_Prioritisation!$G$4+(RAND()-0.5)*2*$B$7))</f>
        <v>85.614740098345095</v>
      </c>
      <c r="T928" s="54">
        <f ca="1">MIN(100,MAX(0,MCDA_Prioritisation!$G$5+(RAND()-0.5)*2*$B$7))</f>
        <v>74.933296387481207</v>
      </c>
      <c r="U928" s="54">
        <f ca="1">MIN(100,MAX(0,MCDA_Prioritisation!$H$2+(RAND()-0.5)*2*$B$7))</f>
        <v>70.663993911885228</v>
      </c>
      <c r="V928" s="54">
        <f ca="1">MIN(100,MAX(0,MCDA_Prioritisation!$H$3+(RAND()-0.5)*2*$B$7))</f>
        <v>51.4167165926454</v>
      </c>
      <c r="W928" s="54">
        <f ca="1">MIN(100,MAX(0,MCDA_Prioritisation!$H$4+(RAND()-0.5)*2*$B$7))</f>
        <v>87.380949219638438</v>
      </c>
      <c r="X928" s="54">
        <f ca="1">MIN(100,MAX(0,MCDA_Prioritisation!$H$5+(RAND()-0.5)*2*$B$7))</f>
        <v>80.114329539772569</v>
      </c>
      <c r="Y928" s="54">
        <f ca="1">H928*MCDA_Prioritisation!$D$2+I928*MCDA_Prioritisation!$E$2+J928*M928+K928*Q928+L928*U928</f>
        <v>90.451057052535234</v>
      </c>
      <c r="Z928" s="54">
        <f ca="1">H928*MCDA_Prioritisation!$D$3+I928*MCDA_Prioritisation!$E$3+J928*N928+K928*R928+L928*V928</f>
        <v>80.720146917117461</v>
      </c>
      <c r="AA928" s="54">
        <f ca="1">H928*MCDA_Prioritisation!$D$4+I928*MCDA_Prioritisation!$E$4+J928*O928+K928*S928+L928*W928</f>
        <v>73.28620496708686</v>
      </c>
      <c r="AB928" s="54">
        <f ca="1">H928*MCDA_Prioritisation!$D$5+I928*MCDA_Prioritisation!$E$5+J928*P928+K928*T928+L928*X928</f>
        <v>73.715476988707664</v>
      </c>
      <c r="AC928" s="54">
        <f t="shared" ca="1" si="202"/>
        <v>1</v>
      </c>
      <c r="AD928" s="54">
        <f t="shared" ca="1" si="203"/>
        <v>2</v>
      </c>
      <c r="AE928" s="54">
        <f t="shared" ca="1" si="204"/>
        <v>4</v>
      </c>
      <c r="AF928" s="54">
        <f t="shared" ca="1" si="205"/>
        <v>3</v>
      </c>
      <c r="AG928" s="54">
        <f t="shared" ca="1" si="206"/>
        <v>1</v>
      </c>
      <c r="AH928" s="54">
        <f t="shared" ca="1" si="207"/>
        <v>1</v>
      </c>
      <c r="AI928" s="54">
        <f t="shared" ca="1" si="208"/>
        <v>0</v>
      </c>
      <c r="AJ928" s="54">
        <f t="shared" ca="1" si="209"/>
        <v>1</v>
      </c>
    </row>
    <row r="929" spans="1:36" x14ac:dyDescent="0.2">
      <c r="A929" s="54">
        <v>906</v>
      </c>
      <c r="B929" s="54">
        <f ca="1">MAX(0.02,MCDA_Prioritisation!$B$9+(RAND()-0.5)*2*$B$6)</f>
        <v>0.17621336832545925</v>
      </c>
      <c r="C929" s="54">
        <f ca="1">MAX(0.02,MCDA_Prioritisation!$B$10+(RAND()-0.5)*2*$B$6)</f>
        <v>0.28396338346147237</v>
      </c>
      <c r="D929" s="54">
        <f ca="1">MAX(0.02,MCDA_Prioritisation!$B$11+(RAND()-0.5)*2*$B$6)</f>
        <v>0.27686626248032181</v>
      </c>
      <c r="E929" s="54">
        <f ca="1">MAX(0.02,MCDA_Prioritisation!$B$12+(RAND()-0.5)*2*$B$6)</f>
        <v>8.3684453820436211E-2</v>
      </c>
      <c r="F929" s="54">
        <f ca="1">MAX(0.02,MCDA_Prioritisation!$B$13+(RAND()-0.5)*2*$B$6)</f>
        <v>0.15476878422000548</v>
      </c>
      <c r="G929" s="54">
        <f t="shared" ca="1" si="196"/>
        <v>0.97549625230769521</v>
      </c>
      <c r="H929" s="54">
        <f t="shared" ca="1" si="197"/>
        <v>0.18063971840855139</v>
      </c>
      <c r="I929" s="54">
        <f t="shared" ca="1" si="198"/>
        <v>0.29109633459863199</v>
      </c>
      <c r="J929" s="54">
        <f t="shared" ca="1" si="199"/>
        <v>0.28382093916337414</v>
      </c>
      <c r="K929" s="54">
        <f t="shared" ca="1" si="200"/>
        <v>8.5786545691453969E-2</v>
      </c>
      <c r="L929" s="54">
        <f t="shared" ca="1" si="201"/>
        <v>0.15865646213798845</v>
      </c>
      <c r="M929" s="54">
        <f ca="1">MIN(100,MAX(0,MCDA_Prioritisation!$F$2+(RAND()-0.5)*2*$B$7))</f>
        <v>94.13278106892804</v>
      </c>
      <c r="N929" s="54">
        <f ca="1">MIN(100,MAX(0,MCDA_Prioritisation!$F$3+(RAND()-0.5)*2*$B$7))</f>
        <v>100</v>
      </c>
      <c r="O929" s="54">
        <f ca="1">MIN(100,MAX(0,MCDA_Prioritisation!$F$4+(RAND()-0.5)*2*$B$7))</f>
        <v>92.945939613589118</v>
      </c>
      <c r="P929" s="54">
        <f ca="1">MIN(100,MAX(0,MCDA_Prioritisation!$F$5+(RAND()-0.5)*2*$B$7))</f>
        <v>73.201748920723688</v>
      </c>
      <c r="Q929" s="54">
        <f ca="1">MIN(100,MAX(0,MCDA_Prioritisation!$G$2+(RAND()-0.5)*2*$B$7))</f>
        <v>80.695364856180348</v>
      </c>
      <c r="R929" s="54">
        <f ca="1">MIN(100,MAX(0,MCDA_Prioritisation!$G$3+(RAND()-0.5)*2*$B$7))</f>
        <v>89.766777174080602</v>
      </c>
      <c r="S929" s="54">
        <f ca="1">MIN(100,MAX(0,MCDA_Prioritisation!$G$4+(RAND()-0.5)*2*$B$7))</f>
        <v>78.596511841373669</v>
      </c>
      <c r="T929" s="54">
        <f ca="1">MIN(100,MAX(0,MCDA_Prioritisation!$G$5+(RAND()-0.5)*2*$B$7))</f>
        <v>72.193420778022571</v>
      </c>
      <c r="U929" s="54">
        <f ca="1">MIN(100,MAX(0,MCDA_Prioritisation!$H$2+(RAND()-0.5)*2*$B$7))</f>
        <v>65.829456277120485</v>
      </c>
      <c r="V929" s="54">
        <f ca="1">MIN(100,MAX(0,MCDA_Prioritisation!$H$3+(RAND()-0.5)*2*$B$7))</f>
        <v>63.37865562968679</v>
      </c>
      <c r="W929" s="54">
        <f ca="1">MIN(100,MAX(0,MCDA_Prioritisation!$H$4+(RAND()-0.5)*2*$B$7))</f>
        <v>80.910180186748661</v>
      </c>
      <c r="X929" s="54">
        <f ca="1">MIN(100,MAX(0,MCDA_Prioritisation!$H$5+(RAND()-0.5)*2*$B$7))</f>
        <v>66.851650533150902</v>
      </c>
      <c r="Y929" s="54">
        <f ca="1">H929*MCDA_Prioritisation!$D$2+I929*MCDA_Prioritisation!$E$2+J929*M929+K929*Q929+L929*U929</f>
        <v>91.257304871480386</v>
      </c>
      <c r="Z929" s="54">
        <f ca="1">H929*MCDA_Prioritisation!$D$3+I929*MCDA_Prioritisation!$E$3+J929*N929+K929*R929+L929*V929</f>
        <v>83.09629187520342</v>
      </c>
      <c r="AA929" s="54">
        <f ca="1">H929*MCDA_Prioritisation!$D$4+I929*MCDA_Prioritisation!$E$4+J929*O929+K929*S929+L929*W929</f>
        <v>74.416120034608099</v>
      </c>
      <c r="AB929" s="54">
        <f ca="1">H929*MCDA_Prioritisation!$D$5+I929*MCDA_Prioritisation!$E$5+J929*P929+K929*T929+L929*X929</f>
        <v>71.642028880083672</v>
      </c>
      <c r="AC929" s="54">
        <f t="shared" ca="1" si="202"/>
        <v>1</v>
      </c>
      <c r="AD929" s="54">
        <f t="shared" ca="1" si="203"/>
        <v>2</v>
      </c>
      <c r="AE929" s="54">
        <f t="shared" ca="1" si="204"/>
        <v>3</v>
      </c>
      <c r="AF929" s="54">
        <f t="shared" ca="1" si="205"/>
        <v>4</v>
      </c>
      <c r="AG929" s="54">
        <f t="shared" ca="1" si="206"/>
        <v>1</v>
      </c>
      <c r="AH929" s="54">
        <f t="shared" ca="1" si="207"/>
        <v>1</v>
      </c>
      <c r="AI929" s="54">
        <f t="shared" ca="1" si="208"/>
        <v>1</v>
      </c>
      <c r="AJ929" s="54">
        <f t="shared" ca="1" si="209"/>
        <v>1</v>
      </c>
    </row>
    <row r="930" spans="1:36" x14ac:dyDescent="0.2">
      <c r="A930" s="54">
        <v>907</v>
      </c>
      <c r="B930" s="54">
        <f ca="1">MAX(0.02,MCDA_Prioritisation!$B$9+(RAND()-0.5)*2*$B$6)</f>
        <v>0.15663952732829625</v>
      </c>
      <c r="C930" s="54">
        <f ca="1">MAX(0.02,MCDA_Prioritisation!$B$10+(RAND()-0.5)*2*$B$6)</f>
        <v>0.31918890312680853</v>
      </c>
      <c r="D930" s="54">
        <f ca="1">MAX(0.02,MCDA_Prioritisation!$B$11+(RAND()-0.5)*2*$B$6)</f>
        <v>0.28324354477779645</v>
      </c>
      <c r="E930" s="54">
        <f ca="1">MAX(0.02,MCDA_Prioritisation!$B$12+(RAND()-0.5)*2*$B$6)</f>
        <v>0.20934841560477224</v>
      </c>
      <c r="F930" s="54">
        <f ca="1">MAX(0.02,MCDA_Prioritisation!$B$13+(RAND()-0.5)*2*$B$6)</f>
        <v>0.14746822573102444</v>
      </c>
      <c r="G930" s="54">
        <f t="shared" ca="1" si="196"/>
        <v>1.1158886165686979</v>
      </c>
      <c r="H930" s="54">
        <f t="shared" ca="1" si="197"/>
        <v>0.14037200935874319</v>
      </c>
      <c r="I930" s="54">
        <f t="shared" ca="1" si="198"/>
        <v>0.28604011044426508</v>
      </c>
      <c r="J930" s="54">
        <f t="shared" ca="1" si="199"/>
        <v>0.25382779300030528</v>
      </c>
      <c r="K930" s="54">
        <f t="shared" ca="1" si="200"/>
        <v>0.18760691031019586</v>
      </c>
      <c r="L930" s="54">
        <f t="shared" ca="1" si="201"/>
        <v>0.13215317688649061</v>
      </c>
      <c r="M930" s="54">
        <f ca="1">MIN(100,MAX(0,MCDA_Prioritisation!$F$2+(RAND()-0.5)*2*$B$7))</f>
        <v>81.440082229614333</v>
      </c>
      <c r="N930" s="54">
        <f ca="1">MIN(100,MAX(0,MCDA_Prioritisation!$F$3+(RAND()-0.5)*2*$B$7))</f>
        <v>87.619802246418828</v>
      </c>
      <c r="O930" s="54">
        <f ca="1">MIN(100,MAX(0,MCDA_Prioritisation!$F$4+(RAND()-0.5)*2*$B$7))</f>
        <v>91.388375232411946</v>
      </c>
      <c r="P930" s="54">
        <f ca="1">MIN(100,MAX(0,MCDA_Prioritisation!$F$5+(RAND()-0.5)*2*$B$7))</f>
        <v>71.242343336415388</v>
      </c>
      <c r="Q930" s="54">
        <f ca="1">MIN(100,MAX(0,MCDA_Prioritisation!$G$2+(RAND()-0.5)*2*$B$7))</f>
        <v>81.480642102310611</v>
      </c>
      <c r="R930" s="54">
        <f ca="1">MIN(100,MAX(0,MCDA_Prioritisation!$G$3+(RAND()-0.5)*2*$B$7))</f>
        <v>99.021065764770952</v>
      </c>
      <c r="S930" s="54">
        <f ca="1">MIN(100,MAX(0,MCDA_Prioritisation!$G$4+(RAND()-0.5)*2*$B$7))</f>
        <v>77.043048805443505</v>
      </c>
      <c r="T930" s="54">
        <f ca="1">MIN(100,MAX(0,MCDA_Prioritisation!$G$5+(RAND()-0.5)*2*$B$7))</f>
        <v>76.613474055904476</v>
      </c>
      <c r="U930" s="54">
        <f ca="1">MIN(100,MAX(0,MCDA_Prioritisation!$H$2+(RAND()-0.5)*2*$B$7))</f>
        <v>62.216991858333003</v>
      </c>
      <c r="V930" s="54">
        <f ca="1">MIN(100,MAX(0,MCDA_Prioritisation!$H$3+(RAND()-0.5)*2*$B$7))</f>
        <v>57.253125996347691</v>
      </c>
      <c r="W930" s="54">
        <f ca="1">MIN(100,MAX(0,MCDA_Prioritisation!$H$4+(RAND()-0.5)*2*$B$7))</f>
        <v>70.420793884313682</v>
      </c>
      <c r="X930" s="54">
        <f ca="1">MIN(100,MAX(0,MCDA_Prioritisation!$H$5+(RAND()-0.5)*2*$B$7))</f>
        <v>84.793861537682702</v>
      </c>
      <c r="Y930" s="54">
        <f ca="1">H930*MCDA_Prioritisation!$D$2+I930*MCDA_Prioritisation!$E$2+J930*M930+K930*Q930+L930*U930</f>
        <v>86.821472959712196</v>
      </c>
      <c r="Z930" s="54">
        <f ca="1">H930*MCDA_Prioritisation!$D$3+I930*MCDA_Prioritisation!$E$3+J930*N930+K930*R930+L930*V930</f>
        <v>81.454546779924669</v>
      </c>
      <c r="AA930" s="54">
        <f ca="1">H930*MCDA_Prioritisation!$D$4+I930*MCDA_Prioritisation!$E$4+J930*O930+K930*S930+L930*W930</f>
        <v>72.333918952252489</v>
      </c>
      <c r="AB930" s="54">
        <f ca="1">H930*MCDA_Prioritisation!$D$5+I930*MCDA_Prioritisation!$E$5+J930*P930+K930*T930+L930*X930</f>
        <v>75.166024342206441</v>
      </c>
      <c r="AC930" s="54">
        <f t="shared" ca="1" si="202"/>
        <v>1</v>
      </c>
      <c r="AD930" s="54">
        <f t="shared" ca="1" si="203"/>
        <v>2</v>
      </c>
      <c r="AE930" s="54">
        <f t="shared" ca="1" si="204"/>
        <v>4</v>
      </c>
      <c r="AF930" s="54">
        <f t="shared" ca="1" si="205"/>
        <v>3</v>
      </c>
      <c r="AG930" s="54">
        <f t="shared" ca="1" si="206"/>
        <v>1</v>
      </c>
      <c r="AH930" s="54">
        <f t="shared" ca="1" si="207"/>
        <v>1</v>
      </c>
      <c r="AI930" s="54">
        <f t="shared" ca="1" si="208"/>
        <v>0</v>
      </c>
      <c r="AJ930" s="54">
        <f t="shared" ca="1" si="209"/>
        <v>1</v>
      </c>
    </row>
    <row r="931" spans="1:36" x14ac:dyDescent="0.2">
      <c r="A931" s="54">
        <v>908</v>
      </c>
      <c r="B931" s="54">
        <f ca="1">MAX(0.02,MCDA_Prioritisation!$B$9+(RAND()-0.5)*2*$B$6)</f>
        <v>0.20152211767711078</v>
      </c>
      <c r="C931" s="54">
        <f ca="1">MAX(0.02,MCDA_Prioritisation!$B$10+(RAND()-0.5)*2*$B$6)</f>
        <v>0.25324236922539167</v>
      </c>
      <c r="D931" s="54">
        <f ca="1">MAX(0.02,MCDA_Prioritisation!$B$11+(RAND()-0.5)*2*$B$6)</f>
        <v>0.2500198495861452</v>
      </c>
      <c r="E931" s="54">
        <f ca="1">MAX(0.02,MCDA_Prioritisation!$B$12+(RAND()-0.5)*2*$B$6)</f>
        <v>0.18711821798769668</v>
      </c>
      <c r="F931" s="54">
        <f ca="1">MAX(0.02,MCDA_Prioritisation!$B$13+(RAND()-0.5)*2*$B$6)</f>
        <v>0.15970344445620235</v>
      </c>
      <c r="G931" s="54">
        <f t="shared" ca="1" si="196"/>
        <v>1.0516059989325468</v>
      </c>
      <c r="H931" s="54">
        <f t="shared" ca="1" si="197"/>
        <v>0.1916327197464352</v>
      </c>
      <c r="I931" s="54">
        <f t="shared" ca="1" si="198"/>
        <v>0.24081487694293327</v>
      </c>
      <c r="J931" s="54">
        <f t="shared" ca="1" si="199"/>
        <v>0.23775049765780409</v>
      </c>
      <c r="K931" s="54">
        <f t="shared" ca="1" si="200"/>
        <v>0.17793566999202617</v>
      </c>
      <c r="L931" s="54">
        <f t="shared" ca="1" si="201"/>
        <v>0.15186623566080115</v>
      </c>
      <c r="M931" s="54">
        <f ca="1">MIN(100,MAX(0,MCDA_Prioritisation!$F$2+(RAND()-0.5)*2*$B$7))</f>
        <v>84.772087807512378</v>
      </c>
      <c r="N931" s="54">
        <f ca="1">MIN(100,MAX(0,MCDA_Prioritisation!$F$3+(RAND()-0.5)*2*$B$7))</f>
        <v>89.373464705668113</v>
      </c>
      <c r="O931" s="54">
        <f ca="1">MIN(100,MAX(0,MCDA_Prioritisation!$F$4+(RAND()-0.5)*2*$B$7))</f>
        <v>97.687001265180186</v>
      </c>
      <c r="P931" s="54">
        <f ca="1">MIN(100,MAX(0,MCDA_Prioritisation!$F$5+(RAND()-0.5)*2*$B$7))</f>
        <v>70.925254499682424</v>
      </c>
      <c r="Q931" s="54">
        <f ca="1">MIN(100,MAX(0,MCDA_Prioritisation!$G$2+(RAND()-0.5)*2*$B$7))</f>
        <v>88.567311955967369</v>
      </c>
      <c r="R931" s="54">
        <f ca="1">MIN(100,MAX(0,MCDA_Prioritisation!$G$3+(RAND()-0.5)*2*$B$7))</f>
        <v>95.663849414054511</v>
      </c>
      <c r="S931" s="54">
        <f ca="1">MIN(100,MAX(0,MCDA_Prioritisation!$G$4+(RAND()-0.5)*2*$B$7))</f>
        <v>84.236854859028369</v>
      </c>
      <c r="T931" s="54">
        <f ca="1">MIN(100,MAX(0,MCDA_Prioritisation!$G$5+(RAND()-0.5)*2*$B$7))</f>
        <v>74.397823498289682</v>
      </c>
      <c r="U931" s="54">
        <f ca="1">MIN(100,MAX(0,MCDA_Prioritisation!$H$2+(RAND()-0.5)*2*$B$7))</f>
        <v>74.150466000817829</v>
      </c>
      <c r="V931" s="54">
        <f ca="1">MIN(100,MAX(0,MCDA_Prioritisation!$H$3+(RAND()-0.5)*2*$B$7))</f>
        <v>68.218106793501278</v>
      </c>
      <c r="W931" s="54">
        <f ca="1">MIN(100,MAX(0,MCDA_Prioritisation!$H$4+(RAND()-0.5)*2*$B$7))</f>
        <v>89.034107307666446</v>
      </c>
      <c r="X931" s="54">
        <f ca="1">MIN(100,MAX(0,MCDA_Prioritisation!$H$5+(RAND()-0.5)*2*$B$7))</f>
        <v>69.997087337794298</v>
      </c>
      <c r="Y931" s="54">
        <f ca="1">H931*MCDA_Prioritisation!$D$2+I931*MCDA_Prioritisation!$E$2+J931*M931+K931*Q931+L931*U931</f>
        <v>90.419601868980251</v>
      </c>
      <c r="Z931" s="54">
        <f ca="1">H931*MCDA_Prioritisation!$D$3+I931*MCDA_Prioritisation!$E$3+J931*N931+K931*R931+L931*V931</f>
        <v>82.892527170156256</v>
      </c>
      <c r="AA931" s="54">
        <f ca="1">H931*MCDA_Prioritisation!$D$4+I931*MCDA_Prioritisation!$E$4+J931*O931+K931*S931+L931*W931</f>
        <v>78.214682090171664</v>
      </c>
      <c r="AB931" s="54">
        <f ca="1">H931*MCDA_Prioritisation!$D$5+I931*MCDA_Prioritisation!$E$5+J931*P931+K931*T931+L931*X931</f>
        <v>71.152154329402137</v>
      </c>
      <c r="AC931" s="54">
        <f t="shared" ca="1" si="202"/>
        <v>1</v>
      </c>
      <c r="AD931" s="54">
        <f t="shared" ca="1" si="203"/>
        <v>2</v>
      </c>
      <c r="AE931" s="54">
        <f t="shared" ca="1" si="204"/>
        <v>3</v>
      </c>
      <c r="AF931" s="54">
        <f t="shared" ca="1" si="205"/>
        <v>4</v>
      </c>
      <c r="AG931" s="54">
        <f t="shared" ca="1" si="206"/>
        <v>1</v>
      </c>
      <c r="AH931" s="54">
        <f t="shared" ca="1" si="207"/>
        <v>1</v>
      </c>
      <c r="AI931" s="54">
        <f t="shared" ca="1" si="208"/>
        <v>1</v>
      </c>
      <c r="AJ931" s="54">
        <f t="shared" ca="1" si="209"/>
        <v>1</v>
      </c>
    </row>
    <row r="932" spans="1:36" x14ac:dyDescent="0.2">
      <c r="A932" s="54">
        <v>909</v>
      </c>
      <c r="B932" s="54">
        <f ca="1">MAX(0.02,MCDA_Prioritisation!$B$9+(RAND()-0.5)*2*$B$6)</f>
        <v>0.16598099093587304</v>
      </c>
      <c r="C932" s="54">
        <f ca="1">MAX(0.02,MCDA_Prioritisation!$B$10+(RAND()-0.5)*2*$B$6)</f>
        <v>0.29633394636845134</v>
      </c>
      <c r="D932" s="54">
        <f ca="1">MAX(0.02,MCDA_Prioritisation!$B$11+(RAND()-0.5)*2*$B$6)</f>
        <v>0.21827974463683347</v>
      </c>
      <c r="E932" s="54">
        <f ca="1">MAX(0.02,MCDA_Prioritisation!$B$12+(RAND()-0.5)*2*$B$6)</f>
        <v>0.18993552493489052</v>
      </c>
      <c r="F932" s="54">
        <f ca="1">MAX(0.02,MCDA_Prioritisation!$B$13+(RAND()-0.5)*2*$B$6)</f>
        <v>0.22145422408596216</v>
      </c>
      <c r="G932" s="54">
        <f t="shared" ca="1" si="196"/>
        <v>1.0919844309620106</v>
      </c>
      <c r="H932" s="54">
        <f t="shared" ca="1" si="197"/>
        <v>0.15199941155722155</v>
      </c>
      <c r="I932" s="54">
        <f t="shared" ca="1" si="198"/>
        <v>0.27137195180281887</v>
      </c>
      <c r="J932" s="54">
        <f t="shared" ca="1" si="199"/>
        <v>0.19989272598377117</v>
      </c>
      <c r="K932" s="54">
        <f t="shared" ca="1" si="200"/>
        <v>0.17393611076264351</v>
      </c>
      <c r="L932" s="54">
        <f t="shared" ca="1" si="201"/>
        <v>0.20279979989354482</v>
      </c>
      <c r="M932" s="54">
        <f ca="1">MIN(100,MAX(0,MCDA_Prioritisation!$F$2+(RAND()-0.5)*2*$B$7))</f>
        <v>84.653694438203587</v>
      </c>
      <c r="N932" s="54">
        <f ca="1">MIN(100,MAX(0,MCDA_Prioritisation!$F$3+(RAND()-0.5)*2*$B$7))</f>
        <v>93.968131239552704</v>
      </c>
      <c r="O932" s="54">
        <f ca="1">MIN(100,MAX(0,MCDA_Prioritisation!$F$4+(RAND()-0.5)*2*$B$7))</f>
        <v>96.800510511256178</v>
      </c>
      <c r="P932" s="54">
        <f ca="1">MIN(100,MAX(0,MCDA_Prioritisation!$F$5+(RAND()-0.5)*2*$B$7))</f>
        <v>82.959036853347385</v>
      </c>
      <c r="Q932" s="54">
        <f ca="1">MIN(100,MAX(0,MCDA_Prioritisation!$G$2+(RAND()-0.5)*2*$B$7))</f>
        <v>87.669240754230941</v>
      </c>
      <c r="R932" s="54">
        <f ca="1">MIN(100,MAX(0,MCDA_Prioritisation!$G$3+(RAND()-0.5)*2*$B$7))</f>
        <v>91.775587030469396</v>
      </c>
      <c r="S932" s="54">
        <f ca="1">MIN(100,MAX(0,MCDA_Prioritisation!$G$4+(RAND()-0.5)*2*$B$7))</f>
        <v>93.43217502400887</v>
      </c>
      <c r="T932" s="54">
        <f ca="1">MIN(100,MAX(0,MCDA_Prioritisation!$G$5+(RAND()-0.5)*2*$B$7))</f>
        <v>77.287508551362976</v>
      </c>
      <c r="U932" s="54">
        <f ca="1">MIN(100,MAX(0,MCDA_Prioritisation!$H$2+(RAND()-0.5)*2*$B$7))</f>
        <v>60.604810208988418</v>
      </c>
      <c r="V932" s="54">
        <f ca="1">MIN(100,MAX(0,MCDA_Prioritisation!$H$3+(RAND()-0.5)*2*$B$7))</f>
        <v>61.38304972060493</v>
      </c>
      <c r="W932" s="54">
        <f ca="1">MIN(100,MAX(0,MCDA_Prioritisation!$H$4+(RAND()-0.5)*2*$B$7))</f>
        <v>89.092284751423307</v>
      </c>
      <c r="X932" s="54">
        <f ca="1">MIN(100,MAX(0,MCDA_Prioritisation!$H$5+(RAND()-0.5)*2*$B$7))</f>
        <v>71.664869304203449</v>
      </c>
      <c r="Y932" s="54">
        <f ca="1">H932*MCDA_Prioritisation!$D$2+I932*MCDA_Prioritisation!$E$2+J932*M932+K932*Q932+L932*U932</f>
        <v>86.798284235127639</v>
      </c>
      <c r="Z932" s="54">
        <f ca="1">H932*MCDA_Prioritisation!$D$3+I932*MCDA_Prioritisation!$E$3+J932*N932+K932*R932+L932*V932</f>
        <v>80.215514869077083</v>
      </c>
      <c r="AA932" s="54">
        <f ca="1">H932*MCDA_Prioritisation!$D$4+I932*MCDA_Prioritisation!$E$4+J932*O932+K932*S932+L932*W932</f>
        <v>79.055296525117569</v>
      </c>
      <c r="AB932" s="54">
        <f ca="1">H932*MCDA_Prioritisation!$D$5+I932*MCDA_Prioritisation!$E$5+J932*P932+K932*T932+L932*X932</f>
        <v>75.447035973521224</v>
      </c>
      <c r="AC932" s="54">
        <f t="shared" ca="1" si="202"/>
        <v>1</v>
      </c>
      <c r="AD932" s="54">
        <f t="shared" ca="1" si="203"/>
        <v>2</v>
      </c>
      <c r="AE932" s="54">
        <f t="shared" ca="1" si="204"/>
        <v>3</v>
      </c>
      <c r="AF932" s="54">
        <f t="shared" ca="1" si="205"/>
        <v>4</v>
      </c>
      <c r="AG932" s="54">
        <f t="shared" ca="1" si="206"/>
        <v>1</v>
      </c>
      <c r="AH932" s="54">
        <f t="shared" ca="1" si="207"/>
        <v>1</v>
      </c>
      <c r="AI932" s="54">
        <f t="shared" ca="1" si="208"/>
        <v>1</v>
      </c>
      <c r="AJ932" s="54">
        <f t="shared" ca="1" si="209"/>
        <v>1</v>
      </c>
    </row>
    <row r="933" spans="1:36" x14ac:dyDescent="0.2">
      <c r="A933" s="54">
        <v>910</v>
      </c>
      <c r="B933" s="54">
        <f ca="1">MAX(0.02,MCDA_Prioritisation!$B$9+(RAND()-0.5)*2*$B$6)</f>
        <v>0.19605719347900757</v>
      </c>
      <c r="C933" s="54">
        <f ca="1">MAX(0.02,MCDA_Prioritisation!$B$10+(RAND()-0.5)*2*$B$6)</f>
        <v>0.20315044925103995</v>
      </c>
      <c r="D933" s="54">
        <f ca="1">MAX(0.02,MCDA_Prioritisation!$B$11+(RAND()-0.5)*2*$B$6)</f>
        <v>0.27999029445605389</v>
      </c>
      <c r="E933" s="54">
        <f ca="1">MAX(0.02,MCDA_Prioritisation!$B$12+(RAND()-0.5)*2*$B$6)</f>
        <v>0.15553537974232948</v>
      </c>
      <c r="F933" s="54">
        <f ca="1">MAX(0.02,MCDA_Prioritisation!$B$13+(RAND()-0.5)*2*$B$6)</f>
        <v>0.13377549182055246</v>
      </c>
      <c r="G933" s="54">
        <f t="shared" ca="1" si="196"/>
        <v>0.96850880874898337</v>
      </c>
      <c r="H933" s="54">
        <f t="shared" ca="1" si="197"/>
        <v>0.2024320189015662</v>
      </c>
      <c r="I933" s="54">
        <f t="shared" ca="1" si="198"/>
        <v>0.20975591281761091</v>
      </c>
      <c r="J933" s="54">
        <f t="shared" ca="1" si="199"/>
        <v>0.28909421569197247</v>
      </c>
      <c r="K933" s="54">
        <f t="shared" ca="1" si="200"/>
        <v>0.16059263306364094</v>
      </c>
      <c r="L933" s="54">
        <f t="shared" ca="1" si="201"/>
        <v>0.13812521952520948</v>
      </c>
      <c r="M933" s="54">
        <f ca="1">MIN(100,MAX(0,MCDA_Prioritisation!$F$2+(RAND()-0.5)*2*$B$7))</f>
        <v>82.443465021977758</v>
      </c>
      <c r="N933" s="54">
        <f ca="1">MIN(100,MAX(0,MCDA_Prioritisation!$F$3+(RAND()-0.5)*2*$B$7))</f>
        <v>100</v>
      </c>
      <c r="O933" s="54">
        <f ca="1">MIN(100,MAX(0,MCDA_Prioritisation!$F$4+(RAND()-0.5)*2*$B$7))</f>
        <v>91.894321886398274</v>
      </c>
      <c r="P933" s="54">
        <f ca="1">MIN(100,MAX(0,MCDA_Prioritisation!$F$5+(RAND()-0.5)*2*$B$7))</f>
        <v>73.920420765035132</v>
      </c>
      <c r="Q933" s="54">
        <f ca="1">MIN(100,MAX(0,MCDA_Prioritisation!$G$2+(RAND()-0.5)*2*$B$7))</f>
        <v>70.871355056586964</v>
      </c>
      <c r="R933" s="54">
        <f ca="1">MIN(100,MAX(0,MCDA_Prioritisation!$G$3+(RAND()-0.5)*2*$B$7))</f>
        <v>85.856856165846878</v>
      </c>
      <c r="S933" s="54">
        <f ca="1">MIN(100,MAX(0,MCDA_Prioritisation!$G$4+(RAND()-0.5)*2*$B$7))</f>
        <v>82.571920914006711</v>
      </c>
      <c r="T933" s="54">
        <f ca="1">MIN(100,MAX(0,MCDA_Prioritisation!$G$5+(RAND()-0.5)*2*$B$7))</f>
        <v>74.989511359800488</v>
      </c>
      <c r="U933" s="54">
        <f ca="1">MIN(100,MAX(0,MCDA_Prioritisation!$H$2+(RAND()-0.5)*2*$B$7))</f>
        <v>67.391486680935685</v>
      </c>
      <c r="V933" s="54">
        <f ca="1">MIN(100,MAX(0,MCDA_Prioritisation!$H$3+(RAND()-0.5)*2*$B$7))</f>
        <v>59.254700441994274</v>
      </c>
      <c r="W933" s="54">
        <f ca="1">MIN(100,MAX(0,MCDA_Prioritisation!$H$4+(RAND()-0.5)*2*$B$7))</f>
        <v>73.312228674481759</v>
      </c>
      <c r="X933" s="54">
        <f ca="1">MIN(100,MAX(0,MCDA_Prioritisation!$H$5+(RAND()-0.5)*2*$B$7))</f>
        <v>82.508009894299903</v>
      </c>
      <c r="Y933" s="54">
        <f ca="1">H933*MCDA_Prioritisation!$D$2+I933*MCDA_Prioritisation!$E$2+J933*M933+K933*Q933+L933*U933</f>
        <v>85.742603440634895</v>
      </c>
      <c r="Z933" s="54">
        <f ca="1">H933*MCDA_Prioritisation!$D$3+I933*MCDA_Prioritisation!$E$3+J933*N933+K933*R933+L933*V933</f>
        <v>83.828862768539906</v>
      </c>
      <c r="AA933" s="54">
        <f ca="1">H933*MCDA_Prioritisation!$D$4+I933*MCDA_Prioritisation!$E$4+J933*O933+K933*S933+L933*W933</f>
        <v>75.490234176091391</v>
      </c>
      <c r="AB933" s="54">
        <f ca="1">H933*MCDA_Prioritisation!$D$5+I933*MCDA_Prioritisation!$E$5+J933*P933+K933*T933+L933*X933</f>
        <v>73.191991053011904</v>
      </c>
      <c r="AC933" s="54">
        <f t="shared" ca="1" si="202"/>
        <v>1</v>
      </c>
      <c r="AD933" s="54">
        <f t="shared" ca="1" si="203"/>
        <v>2</v>
      </c>
      <c r="AE933" s="54">
        <f t="shared" ca="1" si="204"/>
        <v>3</v>
      </c>
      <c r="AF933" s="54">
        <f t="shared" ca="1" si="205"/>
        <v>4</v>
      </c>
      <c r="AG933" s="54">
        <f t="shared" ca="1" si="206"/>
        <v>1</v>
      </c>
      <c r="AH933" s="54">
        <f t="shared" ca="1" si="207"/>
        <v>1</v>
      </c>
      <c r="AI933" s="54">
        <f t="shared" ca="1" si="208"/>
        <v>1</v>
      </c>
      <c r="AJ933" s="54">
        <f t="shared" ca="1" si="209"/>
        <v>1</v>
      </c>
    </row>
    <row r="934" spans="1:36" x14ac:dyDescent="0.2">
      <c r="A934" s="54">
        <v>911</v>
      </c>
      <c r="B934" s="54">
        <f ca="1">MAX(0.02,MCDA_Prioritisation!$B$9+(RAND()-0.5)*2*$B$6)</f>
        <v>0.14300886890439127</v>
      </c>
      <c r="C934" s="54">
        <f ca="1">MAX(0.02,MCDA_Prioritisation!$B$10+(RAND()-0.5)*2*$B$6)</f>
        <v>0.19563910283579511</v>
      </c>
      <c r="D934" s="54">
        <f ca="1">MAX(0.02,MCDA_Prioritisation!$B$11+(RAND()-0.5)*2*$B$6)</f>
        <v>0.24164136713089138</v>
      </c>
      <c r="E934" s="54">
        <f ca="1">MAX(0.02,MCDA_Prioritisation!$B$12+(RAND()-0.5)*2*$B$6)</f>
        <v>0.18525634643923056</v>
      </c>
      <c r="F934" s="54">
        <f ca="1">MAX(0.02,MCDA_Prioritisation!$B$13+(RAND()-0.5)*2*$B$6)</f>
        <v>7.4740252061959514E-2</v>
      </c>
      <c r="G934" s="54">
        <f t="shared" ca="1" si="196"/>
        <v>0.84028593737226775</v>
      </c>
      <c r="H934" s="54">
        <f t="shared" ca="1" si="197"/>
        <v>0.17019072025840026</v>
      </c>
      <c r="I934" s="54">
        <f t="shared" ca="1" si="198"/>
        <v>0.23282444003239589</v>
      </c>
      <c r="J934" s="54">
        <f t="shared" ca="1" si="199"/>
        <v>0.28757040476786916</v>
      </c>
      <c r="K934" s="54">
        <f t="shared" ca="1" si="200"/>
        <v>0.22046822182763406</v>
      </c>
      <c r="L934" s="54">
        <f t="shared" ca="1" si="201"/>
        <v>8.8946213113700726E-2</v>
      </c>
      <c r="M934" s="54">
        <f ca="1">MIN(100,MAX(0,MCDA_Prioritisation!$F$2+(RAND()-0.5)*2*$B$7))</f>
        <v>75.152079669824474</v>
      </c>
      <c r="N934" s="54">
        <f ca="1">MIN(100,MAX(0,MCDA_Prioritisation!$F$3+(RAND()-0.5)*2*$B$7))</f>
        <v>96.598097169148261</v>
      </c>
      <c r="O934" s="54">
        <f ca="1">MIN(100,MAX(0,MCDA_Prioritisation!$F$4+(RAND()-0.5)*2*$B$7))</f>
        <v>98.359237529009974</v>
      </c>
      <c r="P934" s="54">
        <f ca="1">MIN(100,MAX(0,MCDA_Prioritisation!$F$5+(RAND()-0.5)*2*$B$7))</f>
        <v>69.969446824214614</v>
      </c>
      <c r="Q934" s="54">
        <f ca="1">MIN(100,MAX(0,MCDA_Prioritisation!$G$2+(RAND()-0.5)*2*$B$7))</f>
        <v>89.389905167403739</v>
      </c>
      <c r="R934" s="54">
        <f ca="1">MIN(100,MAX(0,MCDA_Prioritisation!$G$3+(RAND()-0.5)*2*$B$7))</f>
        <v>87.987803741807042</v>
      </c>
      <c r="S934" s="54">
        <f ca="1">MIN(100,MAX(0,MCDA_Prioritisation!$G$4+(RAND()-0.5)*2*$B$7))</f>
        <v>88.902914620501633</v>
      </c>
      <c r="T934" s="54">
        <f ca="1">MIN(100,MAX(0,MCDA_Prioritisation!$G$5+(RAND()-0.5)*2*$B$7))</f>
        <v>68.225332747520767</v>
      </c>
      <c r="U934" s="54">
        <f ca="1">MIN(100,MAX(0,MCDA_Prioritisation!$H$2+(RAND()-0.5)*2*$B$7))</f>
        <v>55.050500357377672</v>
      </c>
      <c r="V934" s="54">
        <f ca="1">MIN(100,MAX(0,MCDA_Prioritisation!$H$3+(RAND()-0.5)*2*$B$7))</f>
        <v>66.917481227632109</v>
      </c>
      <c r="W934" s="54">
        <f ca="1">MIN(100,MAX(0,MCDA_Prioritisation!$H$4+(RAND()-0.5)*2*$B$7))</f>
        <v>79.442914632737384</v>
      </c>
      <c r="X934" s="54">
        <f ca="1">MIN(100,MAX(0,MCDA_Prioritisation!$H$5+(RAND()-0.5)*2*$B$7))</f>
        <v>82.187285419436535</v>
      </c>
      <c r="Y934" s="54">
        <f ca="1">H934*MCDA_Prioritisation!$D$2+I934*MCDA_Prioritisation!$E$2+J934*M934+K934*Q934+L934*U934</f>
        <v>86.51719697727971</v>
      </c>
      <c r="Z934" s="54">
        <f ca="1">H934*MCDA_Prioritisation!$D$3+I934*MCDA_Prioritisation!$E$3+J934*N934+K934*R934+L934*V934</f>
        <v>84.936142652287344</v>
      </c>
      <c r="AA934" s="54">
        <f ca="1">H934*MCDA_Prioritisation!$D$4+I934*MCDA_Prioritisation!$E$4+J934*O934+K934*S934+L934*W934</f>
        <v>79.502215852230904</v>
      </c>
      <c r="AB934" s="54">
        <f ca="1">H934*MCDA_Prioritisation!$D$5+I934*MCDA_Prioritisation!$E$5+J934*P934+K934*T934+L934*X934</f>
        <v>71.084350481262433</v>
      </c>
      <c r="AC934" s="54">
        <f t="shared" ca="1" si="202"/>
        <v>1</v>
      </c>
      <c r="AD934" s="54">
        <f t="shared" ca="1" si="203"/>
        <v>2</v>
      </c>
      <c r="AE934" s="54">
        <f t="shared" ca="1" si="204"/>
        <v>3</v>
      </c>
      <c r="AF934" s="54">
        <f t="shared" ca="1" si="205"/>
        <v>4</v>
      </c>
      <c r="AG934" s="54">
        <f t="shared" ca="1" si="206"/>
        <v>1</v>
      </c>
      <c r="AH934" s="54">
        <f t="shared" ca="1" si="207"/>
        <v>1</v>
      </c>
      <c r="AI934" s="54">
        <f t="shared" ca="1" si="208"/>
        <v>1</v>
      </c>
      <c r="AJ934" s="54">
        <f t="shared" ca="1" si="209"/>
        <v>1</v>
      </c>
    </row>
    <row r="935" spans="1:36" x14ac:dyDescent="0.2">
      <c r="A935" s="54">
        <v>912</v>
      </c>
      <c r="B935" s="54">
        <f ca="1">MAX(0.02,MCDA_Prioritisation!$B$9+(RAND()-0.5)*2*$B$6)</f>
        <v>0.15872219902239146</v>
      </c>
      <c r="C935" s="54">
        <f ca="1">MAX(0.02,MCDA_Prioritisation!$B$10+(RAND()-0.5)*2*$B$6)</f>
        <v>0.21527622522461098</v>
      </c>
      <c r="D935" s="54">
        <f ca="1">MAX(0.02,MCDA_Prioritisation!$B$11+(RAND()-0.5)*2*$B$6)</f>
        <v>0.3272071708679466</v>
      </c>
      <c r="E935" s="54">
        <f ca="1">MAX(0.02,MCDA_Prioritisation!$B$12+(RAND()-0.5)*2*$B$6)</f>
        <v>8.6167115441470529E-2</v>
      </c>
      <c r="F935" s="54">
        <f ca="1">MAX(0.02,MCDA_Prioritisation!$B$13+(RAND()-0.5)*2*$B$6)</f>
        <v>0.16354452912765055</v>
      </c>
      <c r="G935" s="54">
        <f t="shared" ca="1" si="196"/>
        <v>0.95091723968407016</v>
      </c>
      <c r="H935" s="54">
        <f t="shared" ca="1" si="197"/>
        <v>0.16691484011282079</v>
      </c>
      <c r="I935" s="54">
        <f t="shared" ca="1" si="198"/>
        <v>0.22638797178199618</v>
      </c>
      <c r="J935" s="54">
        <f t="shared" ca="1" si="199"/>
        <v>0.34409637054919406</v>
      </c>
      <c r="K935" s="54">
        <f t="shared" ca="1" si="200"/>
        <v>9.061473685144085E-2</v>
      </c>
      <c r="L935" s="54">
        <f t="shared" ca="1" si="201"/>
        <v>0.17198608070454804</v>
      </c>
      <c r="M935" s="54">
        <f ca="1">MIN(100,MAX(0,MCDA_Prioritisation!$F$2+(RAND()-0.5)*2*$B$7))</f>
        <v>89.71990884901156</v>
      </c>
      <c r="N935" s="54">
        <f ca="1">MIN(100,MAX(0,MCDA_Prioritisation!$F$3+(RAND()-0.5)*2*$B$7))</f>
        <v>88.845356586187052</v>
      </c>
      <c r="O935" s="54">
        <f ca="1">MIN(100,MAX(0,MCDA_Prioritisation!$F$4+(RAND()-0.5)*2*$B$7))</f>
        <v>80.857057538688224</v>
      </c>
      <c r="P935" s="54">
        <f ca="1">MIN(100,MAX(0,MCDA_Prioritisation!$F$5+(RAND()-0.5)*2*$B$7))</f>
        <v>66.071273971568544</v>
      </c>
      <c r="Q935" s="54">
        <f ca="1">MIN(100,MAX(0,MCDA_Prioritisation!$G$2+(RAND()-0.5)*2*$B$7))</f>
        <v>80.941771516754571</v>
      </c>
      <c r="R935" s="54">
        <f ca="1">MIN(100,MAX(0,MCDA_Prioritisation!$G$3+(RAND()-0.5)*2*$B$7))</f>
        <v>90.392615602272144</v>
      </c>
      <c r="S935" s="54">
        <f ca="1">MIN(100,MAX(0,MCDA_Prioritisation!$G$4+(RAND()-0.5)*2*$B$7))</f>
        <v>93.799565874515849</v>
      </c>
      <c r="T935" s="54">
        <f ca="1">MIN(100,MAX(0,MCDA_Prioritisation!$G$5+(RAND()-0.5)*2*$B$7))</f>
        <v>70.886062074446784</v>
      </c>
      <c r="U935" s="54">
        <f ca="1">MIN(100,MAX(0,MCDA_Prioritisation!$H$2+(RAND()-0.5)*2*$B$7))</f>
        <v>57.233080241250178</v>
      </c>
      <c r="V935" s="54">
        <f ca="1">MIN(100,MAX(0,MCDA_Prioritisation!$H$3+(RAND()-0.5)*2*$B$7))</f>
        <v>57.814128848632578</v>
      </c>
      <c r="W935" s="54">
        <f ca="1">MIN(100,MAX(0,MCDA_Prioritisation!$H$4+(RAND()-0.5)*2*$B$7))</f>
        <v>73.74542130659249</v>
      </c>
      <c r="X935" s="54">
        <f ca="1">MIN(100,MAX(0,MCDA_Prioritisation!$H$5+(RAND()-0.5)*2*$B$7))</f>
        <v>67.609052320773486</v>
      </c>
      <c r="Y935" s="54">
        <f ca="1">H935*MCDA_Prioritisation!$D$2+I935*MCDA_Prioritisation!$E$2+J935*M935+K935*Q935+L935*U935</f>
        <v>87.380386674052772</v>
      </c>
      <c r="Z935" s="54">
        <f ca="1">H935*MCDA_Prioritisation!$D$3+I935*MCDA_Prioritisation!$E$3+J935*N935+K935*R935+L935*V935</f>
        <v>79.757902464997301</v>
      </c>
      <c r="AA935" s="54">
        <f ca="1">H935*MCDA_Prioritisation!$D$4+I935*MCDA_Prioritisation!$E$4+J935*O935+K935*S935+L935*W935</f>
        <v>72.976832055524085</v>
      </c>
      <c r="AB935" s="54">
        <f ca="1">H935*MCDA_Prioritisation!$D$5+I935*MCDA_Prioritisation!$E$5+J935*P935+K935*T935+L935*X935</f>
        <v>68.682347379141234</v>
      </c>
      <c r="AC935" s="54">
        <f t="shared" ca="1" si="202"/>
        <v>1</v>
      </c>
      <c r="AD935" s="54">
        <f t="shared" ca="1" si="203"/>
        <v>2</v>
      </c>
      <c r="AE935" s="54">
        <f t="shared" ca="1" si="204"/>
        <v>3</v>
      </c>
      <c r="AF935" s="54">
        <f t="shared" ca="1" si="205"/>
        <v>4</v>
      </c>
      <c r="AG935" s="54">
        <f t="shared" ca="1" si="206"/>
        <v>1</v>
      </c>
      <c r="AH935" s="54">
        <f t="shared" ca="1" si="207"/>
        <v>1</v>
      </c>
      <c r="AI935" s="54">
        <f t="shared" ca="1" si="208"/>
        <v>1</v>
      </c>
      <c r="AJ935" s="54">
        <f t="shared" ca="1" si="209"/>
        <v>1</v>
      </c>
    </row>
    <row r="936" spans="1:36" x14ac:dyDescent="0.2">
      <c r="A936" s="54">
        <v>913</v>
      </c>
      <c r="B936" s="54">
        <f ca="1">MAX(0.02,MCDA_Prioritisation!$B$9+(RAND()-0.5)*2*$B$6)</f>
        <v>0.22184440037703668</v>
      </c>
      <c r="C936" s="54">
        <f ca="1">MAX(0.02,MCDA_Prioritisation!$B$10+(RAND()-0.5)*2*$B$6)</f>
        <v>0.1722904243357134</v>
      </c>
      <c r="D936" s="54">
        <f ca="1">MAX(0.02,MCDA_Prioritisation!$B$11+(RAND()-0.5)*2*$B$6)</f>
        <v>0.30381772502563659</v>
      </c>
      <c r="E936" s="54">
        <f ca="1">MAX(0.02,MCDA_Prioritisation!$B$12+(RAND()-0.5)*2*$B$6)</f>
        <v>9.7307820812794404E-2</v>
      </c>
      <c r="F936" s="54">
        <f ca="1">MAX(0.02,MCDA_Prioritisation!$B$13+(RAND()-0.5)*2*$B$6)</f>
        <v>8.0229448304060522E-2</v>
      </c>
      <c r="G936" s="54">
        <f t="shared" ca="1" si="196"/>
        <v>0.87548981885524169</v>
      </c>
      <c r="H936" s="54">
        <f t="shared" ca="1" si="197"/>
        <v>0.25339460905109357</v>
      </c>
      <c r="I936" s="54">
        <f t="shared" ca="1" si="198"/>
        <v>0.19679317865854115</v>
      </c>
      <c r="J936" s="54">
        <f t="shared" ca="1" si="199"/>
        <v>0.34702599445747695</v>
      </c>
      <c r="K936" s="54">
        <f t="shared" ca="1" si="200"/>
        <v>0.11114671891905098</v>
      </c>
      <c r="L936" s="54">
        <f t="shared" ca="1" si="201"/>
        <v>9.1639498913837283E-2</v>
      </c>
      <c r="M936" s="54">
        <f ca="1">MIN(100,MAX(0,MCDA_Prioritisation!$F$2+(RAND()-0.5)*2*$B$7))</f>
        <v>83.045862222086328</v>
      </c>
      <c r="N936" s="54">
        <f ca="1">MIN(100,MAX(0,MCDA_Prioritisation!$F$3+(RAND()-0.5)*2*$B$7))</f>
        <v>86.033531567933579</v>
      </c>
      <c r="O936" s="54">
        <f ca="1">MIN(100,MAX(0,MCDA_Prioritisation!$F$4+(RAND()-0.5)*2*$B$7))</f>
        <v>82.183565648016526</v>
      </c>
      <c r="P936" s="54">
        <f ca="1">MIN(100,MAX(0,MCDA_Prioritisation!$F$5+(RAND()-0.5)*2*$B$7))</f>
        <v>75.644821853200625</v>
      </c>
      <c r="Q936" s="54">
        <f ca="1">MIN(100,MAX(0,MCDA_Prioritisation!$G$2+(RAND()-0.5)*2*$B$7))</f>
        <v>83.014577770300392</v>
      </c>
      <c r="R936" s="54">
        <f ca="1">MIN(100,MAX(0,MCDA_Prioritisation!$G$3+(RAND()-0.5)*2*$B$7))</f>
        <v>88.122793215483995</v>
      </c>
      <c r="S936" s="54">
        <f ca="1">MIN(100,MAX(0,MCDA_Prioritisation!$G$4+(RAND()-0.5)*2*$B$7))</f>
        <v>88.015395960082927</v>
      </c>
      <c r="T936" s="54">
        <f ca="1">MIN(100,MAX(0,MCDA_Prioritisation!$G$5+(RAND()-0.5)*2*$B$7))</f>
        <v>67.469749782784106</v>
      </c>
      <c r="U936" s="54">
        <f ca="1">MIN(100,MAX(0,MCDA_Prioritisation!$H$2+(RAND()-0.5)*2*$B$7))</f>
        <v>58.285511999383786</v>
      </c>
      <c r="V936" s="54">
        <f ca="1">MIN(100,MAX(0,MCDA_Prioritisation!$H$3+(RAND()-0.5)*2*$B$7))</f>
        <v>60.437798211036146</v>
      </c>
      <c r="W936" s="54">
        <f ca="1">MIN(100,MAX(0,MCDA_Prioritisation!$H$4+(RAND()-0.5)*2*$B$7))</f>
        <v>77.829198220444098</v>
      </c>
      <c r="X936" s="54">
        <f ca="1">MIN(100,MAX(0,MCDA_Prioritisation!$H$5+(RAND()-0.5)*2*$B$7))</f>
        <v>71.987451985652626</v>
      </c>
      <c r="Y936" s="54">
        <f ca="1">H936*MCDA_Prioritisation!$D$2+I936*MCDA_Prioritisation!$E$2+J936*M936+K936*Q936+L936*U936</f>
        <v>88.405904749340863</v>
      </c>
      <c r="Z936" s="54">
        <f ca="1">H936*MCDA_Prioritisation!$D$3+I936*MCDA_Prioritisation!$E$3+J936*N936+K936*R936+L936*V936</f>
        <v>81.647039812192148</v>
      </c>
      <c r="AA936" s="54">
        <f ca="1">H936*MCDA_Prioritisation!$D$4+I936*MCDA_Prioritisation!$E$4+J936*O936+K936*S936+L936*W936</f>
        <v>73.813769148166372</v>
      </c>
      <c r="AB936" s="54">
        <f ca="1">H936*MCDA_Prioritisation!$D$5+I936*MCDA_Prioritisation!$E$5+J936*P936+K936*T936+L936*X936</f>
        <v>70.344316519591587</v>
      </c>
      <c r="AC936" s="54">
        <f t="shared" ca="1" si="202"/>
        <v>1</v>
      </c>
      <c r="AD936" s="54">
        <f t="shared" ca="1" si="203"/>
        <v>2</v>
      </c>
      <c r="AE936" s="54">
        <f t="shared" ca="1" si="204"/>
        <v>3</v>
      </c>
      <c r="AF936" s="54">
        <f t="shared" ca="1" si="205"/>
        <v>4</v>
      </c>
      <c r="AG936" s="54">
        <f t="shared" ca="1" si="206"/>
        <v>1</v>
      </c>
      <c r="AH936" s="54">
        <f t="shared" ca="1" si="207"/>
        <v>1</v>
      </c>
      <c r="AI936" s="54">
        <f t="shared" ca="1" si="208"/>
        <v>1</v>
      </c>
      <c r="AJ936" s="54">
        <f t="shared" ca="1" si="209"/>
        <v>1</v>
      </c>
    </row>
    <row r="937" spans="1:36" x14ac:dyDescent="0.2">
      <c r="A937" s="54">
        <v>914</v>
      </c>
      <c r="B937" s="54">
        <f ca="1">MAX(0.02,MCDA_Prioritisation!$B$9+(RAND()-0.5)*2*$B$6)</f>
        <v>0.17691924100455803</v>
      </c>
      <c r="C937" s="54">
        <f ca="1">MAX(0.02,MCDA_Prioritisation!$B$10+(RAND()-0.5)*2*$B$6)</f>
        <v>0.26124120864208472</v>
      </c>
      <c r="D937" s="54">
        <f ca="1">MAX(0.02,MCDA_Prioritisation!$B$11+(RAND()-0.5)*2*$B$6)</f>
        <v>0.24815633408187213</v>
      </c>
      <c r="E937" s="54">
        <f ca="1">MAX(0.02,MCDA_Prioritisation!$B$12+(RAND()-0.5)*2*$B$6)</f>
        <v>0.13640733255403653</v>
      </c>
      <c r="F937" s="54">
        <f ca="1">MAX(0.02,MCDA_Prioritisation!$B$13+(RAND()-0.5)*2*$B$6)</f>
        <v>0.15860515126375377</v>
      </c>
      <c r="G937" s="54">
        <f t="shared" ca="1" si="196"/>
        <v>0.98132926754630512</v>
      </c>
      <c r="H937" s="54">
        <f t="shared" ca="1" si="197"/>
        <v>0.18028529959869957</v>
      </c>
      <c r="I937" s="54">
        <f t="shared" ca="1" si="198"/>
        <v>0.26621157371091836</v>
      </c>
      <c r="J937" s="54">
        <f t="shared" ca="1" si="199"/>
        <v>0.25287774683655057</v>
      </c>
      <c r="K937" s="54">
        <f t="shared" ca="1" si="200"/>
        <v>0.13900261315461071</v>
      </c>
      <c r="L937" s="54">
        <f t="shared" ca="1" si="201"/>
        <v>0.16162276669922088</v>
      </c>
      <c r="M937" s="54">
        <f ca="1">MIN(100,MAX(0,MCDA_Prioritisation!$F$2+(RAND()-0.5)*2*$B$7))</f>
        <v>81.206289901190104</v>
      </c>
      <c r="N937" s="54">
        <f ca="1">MIN(100,MAX(0,MCDA_Prioritisation!$F$3+(RAND()-0.5)*2*$B$7))</f>
        <v>88.974451192635712</v>
      </c>
      <c r="O937" s="54">
        <f ca="1">MIN(100,MAX(0,MCDA_Prioritisation!$F$4+(RAND()-0.5)*2*$B$7))</f>
        <v>97.776240860590065</v>
      </c>
      <c r="P937" s="54">
        <f ca="1">MIN(100,MAX(0,MCDA_Prioritisation!$F$5+(RAND()-0.5)*2*$B$7))</f>
        <v>71.628332428521418</v>
      </c>
      <c r="Q937" s="54">
        <f ca="1">MIN(100,MAX(0,MCDA_Prioritisation!$G$2+(RAND()-0.5)*2*$B$7))</f>
        <v>84.531539905385074</v>
      </c>
      <c r="R937" s="54">
        <f ca="1">MIN(100,MAX(0,MCDA_Prioritisation!$G$3+(RAND()-0.5)*2*$B$7))</f>
        <v>88.925535668675465</v>
      </c>
      <c r="S937" s="54">
        <f ca="1">MIN(100,MAX(0,MCDA_Prioritisation!$G$4+(RAND()-0.5)*2*$B$7))</f>
        <v>77.099970430402138</v>
      </c>
      <c r="T937" s="54">
        <f ca="1">MIN(100,MAX(0,MCDA_Prioritisation!$G$5+(RAND()-0.5)*2*$B$7))</f>
        <v>66.731975863482646</v>
      </c>
      <c r="U937" s="54">
        <f ca="1">MIN(100,MAX(0,MCDA_Prioritisation!$H$2+(RAND()-0.5)*2*$B$7))</f>
        <v>70.741564625801672</v>
      </c>
      <c r="V937" s="54">
        <f ca="1">MIN(100,MAX(0,MCDA_Prioritisation!$H$3+(RAND()-0.5)*2*$B$7))</f>
        <v>66.079291024505096</v>
      </c>
      <c r="W937" s="54">
        <f ca="1">MIN(100,MAX(0,MCDA_Prioritisation!$H$4+(RAND()-0.5)*2*$B$7))</f>
        <v>77.639788259154145</v>
      </c>
      <c r="X937" s="54">
        <f ca="1">MIN(100,MAX(0,MCDA_Prioritisation!$H$5+(RAND()-0.5)*2*$B$7))</f>
        <v>69.32369154911494</v>
      </c>
      <c r="Y937" s="54">
        <f ca="1">H937*MCDA_Prioritisation!$D$2+I937*MCDA_Prioritisation!$E$2+J937*M937+K937*Q937+L937*U937</f>
        <v>88.368503286416058</v>
      </c>
      <c r="Z937" s="54">
        <f ca="1">H937*MCDA_Prioritisation!$D$3+I937*MCDA_Prioritisation!$E$3+J937*N937+K937*R937+L937*V937</f>
        <v>80.657665489025419</v>
      </c>
      <c r="AA937" s="54">
        <f ca="1">H937*MCDA_Prioritisation!$D$4+I937*MCDA_Prioritisation!$E$4+J937*O937+K937*S937+L937*W937</f>
        <v>75.065529963433789</v>
      </c>
      <c r="AB937" s="54">
        <f ca="1">H937*MCDA_Prioritisation!$D$5+I937*MCDA_Prioritisation!$E$5+J937*P937+K937*T937+L937*X937</f>
        <v>70.54819310802084</v>
      </c>
      <c r="AC937" s="54">
        <f t="shared" ca="1" si="202"/>
        <v>1</v>
      </c>
      <c r="AD937" s="54">
        <f t="shared" ca="1" si="203"/>
        <v>2</v>
      </c>
      <c r="AE937" s="54">
        <f t="shared" ca="1" si="204"/>
        <v>3</v>
      </c>
      <c r="AF937" s="54">
        <f t="shared" ca="1" si="205"/>
        <v>4</v>
      </c>
      <c r="AG937" s="54">
        <f t="shared" ca="1" si="206"/>
        <v>1</v>
      </c>
      <c r="AH937" s="54">
        <f t="shared" ca="1" si="207"/>
        <v>1</v>
      </c>
      <c r="AI937" s="54">
        <f t="shared" ca="1" si="208"/>
        <v>1</v>
      </c>
      <c r="AJ937" s="54">
        <f t="shared" ca="1" si="209"/>
        <v>1</v>
      </c>
    </row>
    <row r="938" spans="1:36" x14ac:dyDescent="0.2">
      <c r="A938" s="54">
        <v>915</v>
      </c>
      <c r="B938" s="54">
        <f ca="1">MAX(0.02,MCDA_Prioritisation!$B$9+(RAND()-0.5)*2*$B$6)</f>
        <v>0.24344477943552614</v>
      </c>
      <c r="C938" s="54">
        <f ca="1">MAX(0.02,MCDA_Prioritisation!$B$10+(RAND()-0.5)*2*$B$6)</f>
        <v>0.3215122646637939</v>
      </c>
      <c r="D938" s="54">
        <f ca="1">MAX(0.02,MCDA_Prioritisation!$B$11+(RAND()-0.5)*2*$B$6)</f>
        <v>0.19215661931592615</v>
      </c>
      <c r="E938" s="54">
        <f ca="1">MAX(0.02,MCDA_Prioritisation!$B$12+(RAND()-0.5)*2*$B$6)</f>
        <v>0.15747215121046668</v>
      </c>
      <c r="F938" s="54">
        <f ca="1">MAX(0.02,MCDA_Prioritisation!$B$13+(RAND()-0.5)*2*$B$6)</f>
        <v>0.14165786370106997</v>
      </c>
      <c r="G938" s="54">
        <f t="shared" ca="1" si="196"/>
        <v>1.0562436783267828</v>
      </c>
      <c r="H938" s="54">
        <f t="shared" ca="1" si="197"/>
        <v>0.23048164399068594</v>
      </c>
      <c r="I938" s="54">
        <f t="shared" ca="1" si="198"/>
        <v>0.30439213153266681</v>
      </c>
      <c r="J938" s="54">
        <f t="shared" ca="1" si="199"/>
        <v>0.18192451539243801</v>
      </c>
      <c r="K938" s="54">
        <f t="shared" ca="1" si="200"/>
        <v>0.1490869526054078</v>
      </c>
      <c r="L938" s="54">
        <f t="shared" ca="1" si="201"/>
        <v>0.13411475647880144</v>
      </c>
      <c r="M938" s="54">
        <f ca="1">MIN(100,MAX(0,MCDA_Prioritisation!$F$2+(RAND()-0.5)*2*$B$7))</f>
        <v>93.049072037694657</v>
      </c>
      <c r="N938" s="54">
        <f ca="1">MIN(100,MAX(0,MCDA_Prioritisation!$F$3+(RAND()-0.5)*2*$B$7))</f>
        <v>100</v>
      </c>
      <c r="O938" s="54">
        <f ca="1">MIN(100,MAX(0,MCDA_Prioritisation!$F$4+(RAND()-0.5)*2*$B$7))</f>
        <v>83.819007568207425</v>
      </c>
      <c r="P938" s="54">
        <f ca="1">MIN(100,MAX(0,MCDA_Prioritisation!$F$5+(RAND()-0.5)*2*$B$7))</f>
        <v>71.435244868593443</v>
      </c>
      <c r="Q938" s="54">
        <f ca="1">MIN(100,MAX(0,MCDA_Prioritisation!$G$2+(RAND()-0.5)*2*$B$7))</f>
        <v>86.917132341368344</v>
      </c>
      <c r="R938" s="54">
        <f ca="1">MIN(100,MAX(0,MCDA_Prioritisation!$G$3+(RAND()-0.5)*2*$B$7))</f>
        <v>100</v>
      </c>
      <c r="S938" s="54">
        <f ca="1">MIN(100,MAX(0,MCDA_Prioritisation!$G$4+(RAND()-0.5)*2*$B$7))</f>
        <v>75.827286737691054</v>
      </c>
      <c r="T938" s="54">
        <f ca="1">MIN(100,MAX(0,MCDA_Prioritisation!$G$5+(RAND()-0.5)*2*$B$7))</f>
        <v>65.670544282797337</v>
      </c>
      <c r="U938" s="54">
        <f ca="1">MIN(100,MAX(0,MCDA_Prioritisation!$H$2+(RAND()-0.5)*2*$B$7))</f>
        <v>63.231759393872352</v>
      </c>
      <c r="V938" s="54">
        <f ca="1">MIN(100,MAX(0,MCDA_Prioritisation!$H$3+(RAND()-0.5)*2*$B$7))</f>
        <v>65.513093390974788</v>
      </c>
      <c r="W938" s="54">
        <f ca="1">MIN(100,MAX(0,MCDA_Prioritisation!$H$4+(RAND()-0.5)*2*$B$7))</f>
        <v>78.045506754906</v>
      </c>
      <c r="X938" s="54">
        <f ca="1">MIN(100,MAX(0,MCDA_Prioritisation!$H$5+(RAND()-0.5)*2*$B$7))</f>
        <v>84.255309786396367</v>
      </c>
      <c r="Y938" s="54">
        <f ca="1">H938*MCDA_Prioritisation!$D$2+I938*MCDA_Prioritisation!$E$2+J938*M938+K938*Q938+L938*U938</f>
        <v>91.853807293319818</v>
      </c>
      <c r="Z938" s="54">
        <f ca="1">H938*MCDA_Prioritisation!$D$3+I938*MCDA_Prioritisation!$E$3+J938*N938+K938*R938+L938*V938</f>
        <v>84.168396124323564</v>
      </c>
      <c r="AA938" s="54">
        <f ca="1">H938*MCDA_Prioritisation!$D$4+I938*MCDA_Prioritisation!$E$4+J938*O938+K938*S938+L938*W938</f>
        <v>69.67323952176713</v>
      </c>
      <c r="AB938" s="54">
        <f ca="1">H938*MCDA_Prioritisation!$D$5+I938*MCDA_Prioritisation!$E$5+J938*P938+K938*T938+L938*X938</f>
        <v>71.915953384876502</v>
      </c>
      <c r="AC938" s="54">
        <f t="shared" ca="1" si="202"/>
        <v>1</v>
      </c>
      <c r="AD938" s="54">
        <f t="shared" ca="1" si="203"/>
        <v>2</v>
      </c>
      <c r="AE938" s="54">
        <f t="shared" ca="1" si="204"/>
        <v>4</v>
      </c>
      <c r="AF938" s="54">
        <f t="shared" ca="1" si="205"/>
        <v>3</v>
      </c>
      <c r="AG938" s="54">
        <f t="shared" ca="1" si="206"/>
        <v>1</v>
      </c>
      <c r="AH938" s="54">
        <f t="shared" ca="1" si="207"/>
        <v>1</v>
      </c>
      <c r="AI938" s="54">
        <f t="shared" ca="1" si="208"/>
        <v>0</v>
      </c>
      <c r="AJ938" s="54">
        <f t="shared" ca="1" si="209"/>
        <v>1</v>
      </c>
    </row>
    <row r="939" spans="1:36" x14ac:dyDescent="0.2">
      <c r="A939" s="54">
        <v>916</v>
      </c>
      <c r="B939" s="54">
        <f ca="1">MAX(0.02,MCDA_Prioritisation!$B$9+(RAND()-0.5)*2*$B$6)</f>
        <v>0.23321047209344614</v>
      </c>
      <c r="C939" s="54">
        <f ca="1">MAX(0.02,MCDA_Prioritisation!$B$10+(RAND()-0.5)*2*$B$6)</f>
        <v>0.32281208261616973</v>
      </c>
      <c r="D939" s="54">
        <f ca="1">MAX(0.02,MCDA_Prioritisation!$B$11+(RAND()-0.5)*2*$B$6)</f>
        <v>0.24628372856309436</v>
      </c>
      <c r="E939" s="54">
        <f ca="1">MAX(0.02,MCDA_Prioritisation!$B$12+(RAND()-0.5)*2*$B$6)</f>
        <v>0.20026091358983011</v>
      </c>
      <c r="F939" s="54">
        <f ca="1">MAX(0.02,MCDA_Prioritisation!$B$13+(RAND()-0.5)*2*$B$6)</f>
        <v>0.22010763633946107</v>
      </c>
      <c r="G939" s="54">
        <f t="shared" ca="1" si="196"/>
        <v>1.2226748332020012</v>
      </c>
      <c r="H939" s="54">
        <f t="shared" ca="1" si="197"/>
        <v>0.19073793437189104</v>
      </c>
      <c r="I939" s="54">
        <f t="shared" ca="1" si="198"/>
        <v>0.26402120486178121</v>
      </c>
      <c r="J939" s="54">
        <f t="shared" ca="1" si="199"/>
        <v>0.20143027555258855</v>
      </c>
      <c r="K939" s="54">
        <f t="shared" ca="1" si="200"/>
        <v>0.16378918429634881</v>
      </c>
      <c r="L939" s="54">
        <f t="shared" ca="1" si="201"/>
        <v>0.18002140091739055</v>
      </c>
      <c r="M939" s="54">
        <f ca="1">MIN(100,MAX(0,MCDA_Prioritisation!$F$2+(RAND()-0.5)*2*$B$7))</f>
        <v>94.207413559002703</v>
      </c>
      <c r="N939" s="54">
        <f ca="1">MIN(100,MAX(0,MCDA_Prioritisation!$F$3+(RAND()-0.5)*2*$B$7))</f>
        <v>91.153106872739357</v>
      </c>
      <c r="O939" s="54">
        <f ca="1">MIN(100,MAX(0,MCDA_Prioritisation!$F$4+(RAND()-0.5)*2*$B$7))</f>
        <v>85.678351984314546</v>
      </c>
      <c r="P939" s="54">
        <f ca="1">MIN(100,MAX(0,MCDA_Prioritisation!$F$5+(RAND()-0.5)*2*$B$7))</f>
        <v>66.327609254515906</v>
      </c>
      <c r="Q939" s="54">
        <f ca="1">MIN(100,MAX(0,MCDA_Prioritisation!$G$2+(RAND()-0.5)*2*$B$7))</f>
        <v>82.060099933333717</v>
      </c>
      <c r="R939" s="54">
        <f ca="1">MIN(100,MAX(0,MCDA_Prioritisation!$G$3+(RAND()-0.5)*2*$B$7))</f>
        <v>100</v>
      </c>
      <c r="S939" s="54">
        <f ca="1">MIN(100,MAX(0,MCDA_Prioritisation!$G$4+(RAND()-0.5)*2*$B$7))</f>
        <v>80.202948969105194</v>
      </c>
      <c r="T939" s="54">
        <f ca="1">MIN(100,MAX(0,MCDA_Prioritisation!$G$5+(RAND()-0.5)*2*$B$7))</f>
        <v>61.699597247328064</v>
      </c>
      <c r="U939" s="54">
        <f ca="1">MIN(100,MAX(0,MCDA_Prioritisation!$H$2+(RAND()-0.5)*2*$B$7))</f>
        <v>74.799426693176031</v>
      </c>
      <c r="V939" s="54">
        <f ca="1">MIN(100,MAX(0,MCDA_Prioritisation!$H$3+(RAND()-0.5)*2*$B$7))</f>
        <v>52.718335897936825</v>
      </c>
      <c r="W939" s="54">
        <f ca="1">MIN(100,MAX(0,MCDA_Prioritisation!$H$4+(RAND()-0.5)*2*$B$7))</f>
        <v>79.506993555515606</v>
      </c>
      <c r="X939" s="54">
        <f ca="1">MIN(100,MAX(0,MCDA_Prioritisation!$H$5+(RAND()-0.5)*2*$B$7))</f>
        <v>75.245751768302156</v>
      </c>
      <c r="Y939" s="54">
        <f ca="1">H939*MCDA_Prioritisation!$D$2+I939*MCDA_Prioritisation!$E$2+J939*M939+K939*Q939+L939*U939</f>
        <v>91.358193608134599</v>
      </c>
      <c r="Z939" s="54">
        <f ca="1">H939*MCDA_Prioritisation!$D$3+I939*MCDA_Prioritisation!$E$3+J939*N939+K939*R939+L939*V939</f>
        <v>80.101777309706662</v>
      </c>
      <c r="AA939" s="54">
        <f ca="1">H939*MCDA_Prioritisation!$D$4+I939*MCDA_Prioritisation!$E$4+J939*O939+K939*S939+L939*W939</f>
        <v>72.390575107843588</v>
      </c>
      <c r="AB939" s="54">
        <f ca="1">H939*MCDA_Prioritisation!$D$5+I939*MCDA_Prioritisation!$E$5+J939*P939+K939*T939+L939*X939</f>
        <v>69.337329685519222</v>
      </c>
      <c r="AC939" s="54">
        <f t="shared" ca="1" si="202"/>
        <v>1</v>
      </c>
      <c r="AD939" s="54">
        <f t="shared" ca="1" si="203"/>
        <v>2</v>
      </c>
      <c r="AE939" s="54">
        <f t="shared" ca="1" si="204"/>
        <v>3</v>
      </c>
      <c r="AF939" s="54">
        <f t="shared" ca="1" si="205"/>
        <v>4</v>
      </c>
      <c r="AG939" s="54">
        <f t="shared" ca="1" si="206"/>
        <v>1</v>
      </c>
      <c r="AH939" s="54">
        <f t="shared" ca="1" si="207"/>
        <v>1</v>
      </c>
      <c r="AI939" s="54">
        <f t="shared" ca="1" si="208"/>
        <v>1</v>
      </c>
      <c r="AJ939" s="54">
        <f t="shared" ca="1" si="209"/>
        <v>1</v>
      </c>
    </row>
    <row r="940" spans="1:36" x14ac:dyDescent="0.2">
      <c r="A940" s="54">
        <v>917</v>
      </c>
      <c r="B940" s="54">
        <f ca="1">MAX(0.02,MCDA_Prioritisation!$B$9+(RAND()-0.5)*2*$B$6)</f>
        <v>0.22629220391241572</v>
      </c>
      <c r="C940" s="54">
        <f ca="1">MAX(0.02,MCDA_Prioritisation!$B$10+(RAND()-0.5)*2*$B$6)</f>
        <v>0.32260951613483113</v>
      </c>
      <c r="D940" s="54">
        <f ca="1">MAX(0.02,MCDA_Prioritisation!$B$11+(RAND()-0.5)*2*$B$6)</f>
        <v>0.28148342953033539</v>
      </c>
      <c r="E940" s="54">
        <f ca="1">MAX(0.02,MCDA_Prioritisation!$B$12+(RAND()-0.5)*2*$B$6)</f>
        <v>0.22489909825207222</v>
      </c>
      <c r="F940" s="54">
        <f ca="1">MAX(0.02,MCDA_Prioritisation!$B$13+(RAND()-0.5)*2*$B$6)</f>
        <v>0.15362361470858718</v>
      </c>
      <c r="G940" s="54">
        <f t="shared" ca="1" si="196"/>
        <v>1.2089078625382417</v>
      </c>
      <c r="H940" s="54">
        <f t="shared" ca="1" si="197"/>
        <v>0.18718730428081518</v>
      </c>
      <c r="I940" s="54">
        <f t="shared" ca="1" si="198"/>
        <v>0.26686030104682684</v>
      </c>
      <c r="J940" s="54">
        <f t="shared" ca="1" si="199"/>
        <v>0.23284109422477278</v>
      </c>
      <c r="K940" s="54">
        <f t="shared" ca="1" si="200"/>
        <v>0.18603493717037342</v>
      </c>
      <c r="L940" s="54">
        <f t="shared" ca="1" si="201"/>
        <v>0.12707636327721175</v>
      </c>
      <c r="M940" s="54">
        <f ca="1">MIN(100,MAX(0,MCDA_Prioritisation!$F$2+(RAND()-0.5)*2*$B$7))</f>
        <v>92.830898703004806</v>
      </c>
      <c r="N940" s="54">
        <f ca="1">MIN(100,MAX(0,MCDA_Prioritisation!$F$3+(RAND()-0.5)*2*$B$7))</f>
        <v>100</v>
      </c>
      <c r="O940" s="54">
        <f ca="1">MIN(100,MAX(0,MCDA_Prioritisation!$F$4+(RAND()-0.5)*2*$B$7))</f>
        <v>92.753137067208542</v>
      </c>
      <c r="P940" s="54">
        <f ca="1">MIN(100,MAX(0,MCDA_Prioritisation!$F$5+(RAND()-0.5)*2*$B$7))</f>
        <v>76.821146844060252</v>
      </c>
      <c r="Q940" s="54">
        <f ca="1">MIN(100,MAX(0,MCDA_Prioritisation!$G$2+(RAND()-0.5)*2*$B$7))</f>
        <v>73.5358857192047</v>
      </c>
      <c r="R940" s="54">
        <f ca="1">MIN(100,MAX(0,MCDA_Prioritisation!$G$3+(RAND()-0.5)*2*$B$7))</f>
        <v>100</v>
      </c>
      <c r="S940" s="54">
        <f ca="1">MIN(100,MAX(0,MCDA_Prioritisation!$G$4+(RAND()-0.5)*2*$B$7))</f>
        <v>93.864891296210615</v>
      </c>
      <c r="T940" s="54">
        <f ca="1">MIN(100,MAX(0,MCDA_Prioritisation!$G$5+(RAND()-0.5)*2*$B$7))</f>
        <v>60.428554304769406</v>
      </c>
      <c r="U940" s="54">
        <f ca="1">MIN(100,MAX(0,MCDA_Prioritisation!$H$2+(RAND()-0.5)*2*$B$7))</f>
        <v>68.481485121648447</v>
      </c>
      <c r="V940" s="54">
        <f ca="1">MIN(100,MAX(0,MCDA_Prioritisation!$H$3+(RAND()-0.5)*2*$B$7))</f>
        <v>54.545013524694298</v>
      </c>
      <c r="W940" s="54">
        <f ca="1">MIN(100,MAX(0,MCDA_Prioritisation!$H$4+(RAND()-0.5)*2*$B$7))</f>
        <v>89.350631231998094</v>
      </c>
      <c r="X940" s="54">
        <f ca="1">MIN(100,MAX(0,MCDA_Prioritisation!$H$5+(RAND()-0.5)*2*$B$7))</f>
        <v>77.506892624168515</v>
      </c>
      <c r="Y940" s="54">
        <f ca="1">H940*MCDA_Prioritisation!$D$2+I940*MCDA_Prioritisation!$E$2+J940*M940+K940*Q940+L940*U940</f>
        <v>89.402230525262439</v>
      </c>
      <c r="Z940" s="54">
        <f ca="1">H940*MCDA_Prioritisation!$D$3+I940*MCDA_Prioritisation!$E$3+J940*N940+K940*R940+L940*V940</f>
        <v>84.586585731187768</v>
      </c>
      <c r="AA940" s="54">
        <f ca="1">H940*MCDA_Prioritisation!$D$4+I940*MCDA_Prioritisation!$E$4+J940*O940+K940*S940+L940*W940</f>
        <v>78.003884247240634</v>
      </c>
      <c r="AB940" s="54">
        <f ca="1">H940*MCDA_Prioritisation!$D$5+I940*MCDA_Prioritisation!$E$5+J940*P940+K940*T940+L940*X940</f>
        <v>71.35389429111143</v>
      </c>
      <c r="AC940" s="54">
        <f t="shared" ca="1" si="202"/>
        <v>1</v>
      </c>
      <c r="AD940" s="54">
        <f t="shared" ca="1" si="203"/>
        <v>2</v>
      </c>
      <c r="AE940" s="54">
        <f t="shared" ca="1" si="204"/>
        <v>3</v>
      </c>
      <c r="AF940" s="54">
        <f t="shared" ca="1" si="205"/>
        <v>4</v>
      </c>
      <c r="AG940" s="54">
        <f t="shared" ca="1" si="206"/>
        <v>1</v>
      </c>
      <c r="AH940" s="54">
        <f t="shared" ca="1" si="207"/>
        <v>1</v>
      </c>
      <c r="AI940" s="54">
        <f t="shared" ca="1" si="208"/>
        <v>1</v>
      </c>
      <c r="AJ940" s="54">
        <f t="shared" ca="1" si="209"/>
        <v>1</v>
      </c>
    </row>
    <row r="941" spans="1:36" x14ac:dyDescent="0.2">
      <c r="A941" s="54">
        <v>918</v>
      </c>
      <c r="B941" s="54">
        <f ca="1">MAX(0.02,MCDA_Prioritisation!$B$9+(RAND()-0.5)*2*$B$6)</f>
        <v>0.14445630383069882</v>
      </c>
      <c r="C941" s="54">
        <f ca="1">MAX(0.02,MCDA_Prioritisation!$B$10+(RAND()-0.5)*2*$B$6)</f>
        <v>0.20756711114933324</v>
      </c>
      <c r="D941" s="54">
        <f ca="1">MAX(0.02,MCDA_Prioritisation!$B$11+(RAND()-0.5)*2*$B$6)</f>
        <v>0.18230921695230928</v>
      </c>
      <c r="E941" s="54">
        <f ca="1">MAX(0.02,MCDA_Prioritisation!$B$12+(RAND()-0.5)*2*$B$6)</f>
        <v>0.14738011505761137</v>
      </c>
      <c r="F941" s="54">
        <f ca="1">MAX(0.02,MCDA_Prioritisation!$B$13+(RAND()-0.5)*2*$B$6)</f>
        <v>0.11581745042186431</v>
      </c>
      <c r="G941" s="54">
        <f t="shared" ca="1" si="196"/>
        <v>0.79753019741181708</v>
      </c>
      <c r="H941" s="54">
        <f t="shared" ca="1" si="197"/>
        <v>0.18112957264752519</v>
      </c>
      <c r="I941" s="54">
        <f t="shared" ca="1" si="198"/>
        <v>0.26026238482622965</v>
      </c>
      <c r="J941" s="54">
        <f t="shared" ca="1" si="199"/>
        <v>0.22859224333316511</v>
      </c>
      <c r="K941" s="54">
        <f t="shared" ca="1" si="200"/>
        <v>0.18479565480516766</v>
      </c>
      <c r="L941" s="54">
        <f t="shared" ca="1" si="201"/>
        <v>0.14522014438791234</v>
      </c>
      <c r="M941" s="54">
        <f ca="1">MIN(100,MAX(0,MCDA_Prioritisation!$F$2+(RAND()-0.5)*2*$B$7))</f>
        <v>86.299170633401829</v>
      </c>
      <c r="N941" s="54">
        <f ca="1">MIN(100,MAX(0,MCDA_Prioritisation!$F$3+(RAND()-0.5)*2*$B$7))</f>
        <v>85.440936016414895</v>
      </c>
      <c r="O941" s="54">
        <f ca="1">MIN(100,MAX(0,MCDA_Prioritisation!$F$4+(RAND()-0.5)*2*$B$7))</f>
        <v>82.391494493364718</v>
      </c>
      <c r="P941" s="54">
        <f ca="1">MIN(100,MAX(0,MCDA_Prioritisation!$F$5+(RAND()-0.5)*2*$B$7))</f>
        <v>73.634085848954143</v>
      </c>
      <c r="Q941" s="54">
        <f ca="1">MIN(100,MAX(0,MCDA_Prioritisation!$G$2+(RAND()-0.5)*2*$B$7))</f>
        <v>83.957022623189928</v>
      </c>
      <c r="R941" s="54">
        <f ca="1">MIN(100,MAX(0,MCDA_Prioritisation!$G$3+(RAND()-0.5)*2*$B$7))</f>
        <v>89.989455824444548</v>
      </c>
      <c r="S941" s="54">
        <f ca="1">MIN(100,MAX(0,MCDA_Prioritisation!$G$4+(RAND()-0.5)*2*$B$7))</f>
        <v>85.362153592099631</v>
      </c>
      <c r="T941" s="54">
        <f ca="1">MIN(100,MAX(0,MCDA_Prioritisation!$G$5+(RAND()-0.5)*2*$B$7))</f>
        <v>71.327775710557347</v>
      </c>
      <c r="U941" s="54">
        <f ca="1">MIN(100,MAX(0,MCDA_Prioritisation!$H$2+(RAND()-0.5)*2*$B$7))</f>
        <v>65.527523049441555</v>
      </c>
      <c r="V941" s="54">
        <f ca="1">MIN(100,MAX(0,MCDA_Prioritisation!$H$3+(RAND()-0.5)*2*$B$7))</f>
        <v>55.835683039781237</v>
      </c>
      <c r="W941" s="54">
        <f ca="1">MIN(100,MAX(0,MCDA_Prioritisation!$H$4+(RAND()-0.5)*2*$B$7))</f>
        <v>83.074092378916532</v>
      </c>
      <c r="X941" s="54">
        <f ca="1">MIN(100,MAX(0,MCDA_Prioritisation!$H$5+(RAND()-0.5)*2*$B$7))</f>
        <v>79.472902161966559</v>
      </c>
      <c r="Y941" s="54">
        <f ca="1">H941*MCDA_Prioritisation!$D$2+I941*MCDA_Prioritisation!$E$2+J941*M941+K941*Q941+L941*U941</f>
        <v>88.897326090023228</v>
      </c>
      <c r="Z941" s="54">
        <f ca="1">H941*MCDA_Prioritisation!$D$3+I941*MCDA_Prioritisation!$E$3+J941*N941+K941*R941+L941*V941</f>
        <v>79.027587191958418</v>
      </c>
      <c r="AA941" s="54">
        <f ca="1">H941*MCDA_Prioritisation!$D$4+I941*MCDA_Prioritisation!$E$4+J941*O941+K941*S941+L941*W941</f>
        <v>73.481572048791392</v>
      </c>
      <c r="AB941" s="54">
        <f ca="1">H941*MCDA_Prioritisation!$D$5+I941*MCDA_Prioritisation!$E$5+J941*P941+K941*T941+L941*X941</f>
        <v>73.053623998638159</v>
      </c>
      <c r="AC941" s="54">
        <f t="shared" ca="1" si="202"/>
        <v>1</v>
      </c>
      <c r="AD941" s="54">
        <f t="shared" ca="1" si="203"/>
        <v>2</v>
      </c>
      <c r="AE941" s="54">
        <f t="shared" ca="1" si="204"/>
        <v>3</v>
      </c>
      <c r="AF941" s="54">
        <f t="shared" ca="1" si="205"/>
        <v>4</v>
      </c>
      <c r="AG941" s="54">
        <f t="shared" ca="1" si="206"/>
        <v>1</v>
      </c>
      <c r="AH941" s="54">
        <f t="shared" ca="1" si="207"/>
        <v>1</v>
      </c>
      <c r="AI941" s="54">
        <f t="shared" ca="1" si="208"/>
        <v>1</v>
      </c>
      <c r="AJ941" s="54">
        <f t="shared" ca="1" si="209"/>
        <v>1</v>
      </c>
    </row>
    <row r="942" spans="1:36" x14ac:dyDescent="0.2">
      <c r="A942" s="54">
        <v>919</v>
      </c>
      <c r="B942" s="54">
        <f ca="1">MAX(0.02,MCDA_Prioritisation!$B$9+(RAND()-0.5)*2*$B$6)</f>
        <v>0.15284348672182418</v>
      </c>
      <c r="C942" s="54">
        <f ca="1">MAX(0.02,MCDA_Prioritisation!$B$10+(RAND()-0.5)*2*$B$6)</f>
        <v>0.24165808777530209</v>
      </c>
      <c r="D942" s="54">
        <f ca="1">MAX(0.02,MCDA_Prioritisation!$B$11+(RAND()-0.5)*2*$B$6)</f>
        <v>0.32440457825008817</v>
      </c>
      <c r="E942" s="54">
        <f ca="1">MAX(0.02,MCDA_Prioritisation!$B$12+(RAND()-0.5)*2*$B$6)</f>
        <v>0.10794979802944847</v>
      </c>
      <c r="F942" s="54">
        <f ca="1">MAX(0.02,MCDA_Prioritisation!$B$13+(RAND()-0.5)*2*$B$6)</f>
        <v>0.10327583453275821</v>
      </c>
      <c r="G942" s="54">
        <f t="shared" ca="1" si="196"/>
        <v>0.9301317853094212</v>
      </c>
      <c r="H942" s="54">
        <f t="shared" ca="1" si="197"/>
        <v>0.16432454963462911</v>
      </c>
      <c r="I942" s="54">
        <f t="shared" ca="1" si="198"/>
        <v>0.25981058984551442</v>
      </c>
      <c r="J942" s="54">
        <f t="shared" ca="1" si="199"/>
        <v>0.34877270444227482</v>
      </c>
      <c r="K942" s="54">
        <f t="shared" ca="1" si="200"/>
        <v>0.11605860560236363</v>
      </c>
      <c r="L942" s="54">
        <f t="shared" ca="1" si="201"/>
        <v>0.11103355047521796</v>
      </c>
      <c r="M942" s="54">
        <f ca="1">MIN(100,MAX(0,MCDA_Prioritisation!$F$2+(RAND()-0.5)*2*$B$7))</f>
        <v>86.657952807156789</v>
      </c>
      <c r="N942" s="54">
        <f ca="1">MIN(100,MAX(0,MCDA_Prioritisation!$F$3+(RAND()-0.5)*2*$B$7))</f>
        <v>85.578841348865268</v>
      </c>
      <c r="O942" s="54">
        <f ca="1">MIN(100,MAX(0,MCDA_Prioritisation!$F$4+(RAND()-0.5)*2*$B$7))</f>
        <v>99.255348081644939</v>
      </c>
      <c r="P942" s="54">
        <f ca="1">MIN(100,MAX(0,MCDA_Prioritisation!$F$5+(RAND()-0.5)*2*$B$7))</f>
        <v>74.668498718789564</v>
      </c>
      <c r="Q942" s="54">
        <f ca="1">MIN(100,MAX(0,MCDA_Prioritisation!$G$2+(RAND()-0.5)*2*$B$7))</f>
        <v>83.032936717040855</v>
      </c>
      <c r="R942" s="54">
        <f ca="1">MIN(100,MAX(0,MCDA_Prioritisation!$G$3+(RAND()-0.5)*2*$B$7))</f>
        <v>100</v>
      </c>
      <c r="S942" s="54">
        <f ca="1">MIN(100,MAX(0,MCDA_Prioritisation!$G$4+(RAND()-0.5)*2*$B$7))</f>
        <v>86.265786580286033</v>
      </c>
      <c r="T942" s="54">
        <f ca="1">MIN(100,MAX(0,MCDA_Prioritisation!$G$5+(RAND()-0.5)*2*$B$7))</f>
        <v>74.928446151308293</v>
      </c>
      <c r="U942" s="54">
        <f ca="1">MIN(100,MAX(0,MCDA_Prioritisation!$H$2+(RAND()-0.5)*2*$B$7))</f>
        <v>61.147238602081991</v>
      </c>
      <c r="V942" s="54">
        <f ca="1">MIN(100,MAX(0,MCDA_Prioritisation!$H$3+(RAND()-0.5)*2*$B$7))</f>
        <v>66.890572878990113</v>
      </c>
      <c r="W942" s="54">
        <f ca="1">MIN(100,MAX(0,MCDA_Prioritisation!$H$4+(RAND()-0.5)*2*$B$7))</f>
        <v>86.79142509787448</v>
      </c>
      <c r="X942" s="54">
        <f ca="1">MIN(100,MAX(0,MCDA_Prioritisation!$H$5+(RAND()-0.5)*2*$B$7))</f>
        <v>70.81997737524388</v>
      </c>
      <c r="Y942" s="54">
        <f ca="1">H942*MCDA_Prioritisation!$D$2+I942*MCDA_Prioritisation!$E$2+J942*M942+K942*Q942+L942*U942</f>
        <v>89.063524368190969</v>
      </c>
      <c r="Z942" s="54">
        <f ca="1">H942*MCDA_Prioritisation!$D$3+I942*MCDA_Prioritisation!$E$3+J942*N942+K942*R942+L942*V942</f>
        <v>82.137284176601966</v>
      </c>
      <c r="AA942" s="54">
        <f ca="1">H942*MCDA_Prioritisation!$D$4+I942*MCDA_Prioritisation!$E$4+J942*O942+K942*S942+L942*W942</f>
        <v>79.880285518919294</v>
      </c>
      <c r="AB942" s="54">
        <f ca="1">H942*MCDA_Prioritisation!$D$5+I942*MCDA_Prioritisation!$E$5+J942*P942+K942*T942+L942*X942</f>
        <v>73.17119913060337</v>
      </c>
      <c r="AC942" s="54">
        <f t="shared" ca="1" si="202"/>
        <v>1</v>
      </c>
      <c r="AD942" s="54">
        <f t="shared" ca="1" si="203"/>
        <v>2</v>
      </c>
      <c r="AE942" s="54">
        <f t="shared" ca="1" si="204"/>
        <v>3</v>
      </c>
      <c r="AF942" s="54">
        <f t="shared" ca="1" si="205"/>
        <v>4</v>
      </c>
      <c r="AG942" s="54">
        <f t="shared" ca="1" si="206"/>
        <v>1</v>
      </c>
      <c r="AH942" s="54">
        <f t="shared" ca="1" si="207"/>
        <v>1</v>
      </c>
      <c r="AI942" s="54">
        <f t="shared" ca="1" si="208"/>
        <v>1</v>
      </c>
      <c r="AJ942" s="54">
        <f t="shared" ca="1" si="209"/>
        <v>1</v>
      </c>
    </row>
    <row r="943" spans="1:36" x14ac:dyDescent="0.2">
      <c r="A943" s="54">
        <v>920</v>
      </c>
      <c r="B943" s="54">
        <f ca="1">MAX(0.02,MCDA_Prioritisation!$B$9+(RAND()-0.5)*2*$B$6)</f>
        <v>0.24480704310479651</v>
      </c>
      <c r="C943" s="54">
        <f ca="1">MAX(0.02,MCDA_Prioritisation!$B$10+(RAND()-0.5)*2*$B$6)</f>
        <v>0.26700895756529042</v>
      </c>
      <c r="D943" s="54">
        <f ca="1">MAX(0.02,MCDA_Prioritisation!$B$11+(RAND()-0.5)*2*$B$6)</f>
        <v>0.24506380655320287</v>
      </c>
      <c r="E943" s="54">
        <f ca="1">MAX(0.02,MCDA_Prioritisation!$B$12+(RAND()-0.5)*2*$B$6)</f>
        <v>0.19925868310339451</v>
      </c>
      <c r="F943" s="54">
        <f ca="1">MAX(0.02,MCDA_Prioritisation!$B$13+(RAND()-0.5)*2*$B$6)</f>
        <v>0.12958409414478722</v>
      </c>
      <c r="G943" s="54">
        <f t="shared" ca="1" si="196"/>
        <v>1.0857225844714715</v>
      </c>
      <c r="H943" s="54">
        <f t="shared" ca="1" si="197"/>
        <v>0.22547844781544107</v>
      </c>
      <c r="I943" s="54">
        <f t="shared" ca="1" si="198"/>
        <v>0.24592742325174166</v>
      </c>
      <c r="J943" s="54">
        <f t="shared" ca="1" si="199"/>
        <v>0.22571493865764949</v>
      </c>
      <c r="K943" s="54">
        <f t="shared" ca="1" si="200"/>
        <v>0.18352633163691018</v>
      </c>
      <c r="L943" s="54">
        <f t="shared" ca="1" si="201"/>
        <v>0.11935285863825759</v>
      </c>
      <c r="M943" s="54">
        <f ca="1">MIN(100,MAX(0,MCDA_Prioritisation!$F$2+(RAND()-0.5)*2*$B$7))</f>
        <v>85.107555314607808</v>
      </c>
      <c r="N943" s="54">
        <f ca="1">MIN(100,MAX(0,MCDA_Prioritisation!$F$3+(RAND()-0.5)*2*$B$7))</f>
        <v>100</v>
      </c>
      <c r="O943" s="54">
        <f ca="1">MIN(100,MAX(0,MCDA_Prioritisation!$F$4+(RAND()-0.5)*2*$B$7))</f>
        <v>93.57059257505712</v>
      </c>
      <c r="P943" s="54">
        <f ca="1">MIN(100,MAX(0,MCDA_Prioritisation!$F$5+(RAND()-0.5)*2*$B$7))</f>
        <v>66.467965261602671</v>
      </c>
      <c r="Q943" s="54">
        <f ca="1">MIN(100,MAX(0,MCDA_Prioritisation!$G$2+(RAND()-0.5)*2*$B$7))</f>
        <v>83.640854716364117</v>
      </c>
      <c r="R943" s="54">
        <f ca="1">MIN(100,MAX(0,MCDA_Prioritisation!$G$3+(RAND()-0.5)*2*$B$7))</f>
        <v>90.609097547838402</v>
      </c>
      <c r="S943" s="54">
        <f ca="1">MIN(100,MAX(0,MCDA_Prioritisation!$G$4+(RAND()-0.5)*2*$B$7))</f>
        <v>90.074492851370053</v>
      </c>
      <c r="T943" s="54">
        <f ca="1">MIN(100,MAX(0,MCDA_Prioritisation!$G$5+(RAND()-0.5)*2*$B$7))</f>
        <v>60.867503757603593</v>
      </c>
      <c r="U943" s="54">
        <f ca="1">MIN(100,MAX(0,MCDA_Prioritisation!$H$2+(RAND()-0.5)*2*$B$7))</f>
        <v>60.913588967655009</v>
      </c>
      <c r="V943" s="54">
        <f ca="1">MIN(100,MAX(0,MCDA_Prioritisation!$H$3+(RAND()-0.5)*2*$B$7))</f>
        <v>69.204686824108094</v>
      </c>
      <c r="W943" s="54">
        <f ca="1">MIN(100,MAX(0,MCDA_Prioritisation!$H$4+(RAND()-0.5)*2*$B$7))</f>
        <v>71.614460461862961</v>
      </c>
      <c r="X943" s="54">
        <f ca="1">MIN(100,MAX(0,MCDA_Prioritisation!$H$5+(RAND()-0.5)*2*$B$7))</f>
        <v>82.637975076877012</v>
      </c>
      <c r="Y943" s="54">
        <f ca="1">H943*MCDA_Prioritisation!$D$2+I943*MCDA_Prioritisation!$E$2+J943*M943+K943*Q943+L943*U943</f>
        <v>88.97114394813299</v>
      </c>
      <c r="Z943" s="54">
        <f ca="1">H943*MCDA_Prioritisation!$D$3+I943*MCDA_Prioritisation!$E$3+J943*N943+K943*R943+L943*V943</f>
        <v>85.052160797527605</v>
      </c>
      <c r="AA943" s="54">
        <f ca="1">H943*MCDA_Prioritisation!$D$4+I943*MCDA_Prioritisation!$E$4+J943*O943+K943*S943+L943*W943</f>
        <v>75.313929080851551</v>
      </c>
      <c r="AB943" s="54">
        <f ca="1">H943*MCDA_Prioritisation!$D$5+I943*MCDA_Prioritisation!$E$5+J943*P943+K943*T943+L943*X943</f>
        <v>68.684410784828685</v>
      </c>
      <c r="AC943" s="54">
        <f t="shared" ca="1" si="202"/>
        <v>1</v>
      </c>
      <c r="AD943" s="54">
        <f t="shared" ca="1" si="203"/>
        <v>2</v>
      </c>
      <c r="AE943" s="54">
        <f t="shared" ca="1" si="204"/>
        <v>3</v>
      </c>
      <c r="AF943" s="54">
        <f t="shared" ca="1" si="205"/>
        <v>4</v>
      </c>
      <c r="AG943" s="54">
        <f t="shared" ca="1" si="206"/>
        <v>1</v>
      </c>
      <c r="AH943" s="54">
        <f t="shared" ca="1" si="207"/>
        <v>1</v>
      </c>
      <c r="AI943" s="54">
        <f t="shared" ca="1" si="208"/>
        <v>1</v>
      </c>
      <c r="AJ943" s="54">
        <f t="shared" ca="1" si="209"/>
        <v>1</v>
      </c>
    </row>
    <row r="944" spans="1:36" x14ac:dyDescent="0.2">
      <c r="A944" s="54">
        <v>921</v>
      </c>
      <c r="B944" s="54">
        <f ca="1">MAX(0.02,MCDA_Prioritisation!$B$9+(RAND()-0.5)*2*$B$6)</f>
        <v>0.13724064959265525</v>
      </c>
      <c r="C944" s="54">
        <f ca="1">MAX(0.02,MCDA_Prioritisation!$B$10+(RAND()-0.5)*2*$B$6)</f>
        <v>0.30064795061886002</v>
      </c>
      <c r="D944" s="54">
        <f ca="1">MAX(0.02,MCDA_Prioritisation!$B$11+(RAND()-0.5)*2*$B$6)</f>
        <v>0.1981887616965663</v>
      </c>
      <c r="E944" s="54">
        <f ca="1">MAX(0.02,MCDA_Prioritisation!$B$12+(RAND()-0.5)*2*$B$6)</f>
        <v>0.16428424342020737</v>
      </c>
      <c r="F944" s="54">
        <f ca="1">MAX(0.02,MCDA_Prioritisation!$B$13+(RAND()-0.5)*2*$B$6)</f>
        <v>0.21665470795005518</v>
      </c>
      <c r="G944" s="54">
        <f t="shared" ca="1" si="196"/>
        <v>1.0170163132783441</v>
      </c>
      <c r="H944" s="54">
        <f t="shared" ca="1" si="197"/>
        <v>0.13494439351740692</v>
      </c>
      <c r="I944" s="54">
        <f t="shared" ca="1" si="198"/>
        <v>0.2956176284426783</v>
      </c>
      <c r="J944" s="54">
        <f t="shared" ca="1" si="199"/>
        <v>0.19487274600119872</v>
      </c>
      <c r="K944" s="54">
        <f t="shared" ca="1" si="200"/>
        <v>0.16153550466721464</v>
      </c>
      <c r="L944" s="54">
        <f t="shared" ca="1" si="201"/>
        <v>0.21302972737150147</v>
      </c>
      <c r="M944" s="54">
        <f ca="1">MIN(100,MAX(0,MCDA_Prioritisation!$F$2+(RAND()-0.5)*2*$B$7))</f>
        <v>94.115367490264475</v>
      </c>
      <c r="N944" s="54">
        <f ca="1">MIN(100,MAX(0,MCDA_Prioritisation!$F$3+(RAND()-0.5)*2*$B$7))</f>
        <v>100</v>
      </c>
      <c r="O944" s="54">
        <f ca="1">MIN(100,MAX(0,MCDA_Prioritisation!$F$4+(RAND()-0.5)*2*$B$7))</f>
        <v>92.391412242997504</v>
      </c>
      <c r="P944" s="54">
        <f ca="1">MIN(100,MAX(0,MCDA_Prioritisation!$F$5+(RAND()-0.5)*2*$B$7))</f>
        <v>70.64532509694844</v>
      </c>
      <c r="Q944" s="54">
        <f ca="1">MIN(100,MAX(0,MCDA_Prioritisation!$G$2+(RAND()-0.5)*2*$B$7))</f>
        <v>75.442751776578177</v>
      </c>
      <c r="R944" s="54">
        <f ca="1">MIN(100,MAX(0,MCDA_Prioritisation!$G$3+(RAND()-0.5)*2*$B$7))</f>
        <v>100</v>
      </c>
      <c r="S944" s="54">
        <f ca="1">MIN(100,MAX(0,MCDA_Prioritisation!$G$4+(RAND()-0.5)*2*$B$7))</f>
        <v>94.837956808349873</v>
      </c>
      <c r="T944" s="54">
        <f ca="1">MIN(100,MAX(0,MCDA_Prioritisation!$G$5+(RAND()-0.5)*2*$B$7))</f>
        <v>68.420644367825489</v>
      </c>
      <c r="U944" s="54">
        <f ca="1">MIN(100,MAX(0,MCDA_Prioritisation!$H$2+(RAND()-0.5)*2*$B$7))</f>
        <v>57.780939501955878</v>
      </c>
      <c r="V944" s="54">
        <f ca="1">MIN(100,MAX(0,MCDA_Prioritisation!$H$3+(RAND()-0.5)*2*$B$7))</f>
        <v>51.796176820898658</v>
      </c>
      <c r="W944" s="54">
        <f ca="1">MIN(100,MAX(0,MCDA_Prioritisation!$H$4+(RAND()-0.5)*2*$B$7))</f>
        <v>78.045182148221514</v>
      </c>
      <c r="X944" s="54">
        <f ca="1">MIN(100,MAX(0,MCDA_Prioritisation!$H$5+(RAND()-0.5)*2*$B$7))</f>
        <v>69.08403751595965</v>
      </c>
      <c r="Y944" s="54">
        <f ca="1">H944*MCDA_Prioritisation!$D$2+I944*MCDA_Prioritisation!$E$2+J944*M944+K944*Q944+L944*U944</f>
        <v>85.89246307083215</v>
      </c>
      <c r="Z944" s="54">
        <f ca="1">H944*MCDA_Prioritisation!$D$3+I944*MCDA_Prioritisation!$E$3+J944*N944+K944*R944+L944*V944</f>
        <v>79.968127849896135</v>
      </c>
      <c r="AA944" s="54">
        <f ca="1">H944*MCDA_Prioritisation!$D$4+I944*MCDA_Prioritisation!$E$4+J944*O944+K944*S944+L944*W944</f>
        <v>75.471541496474558</v>
      </c>
      <c r="AB944" s="54">
        <f ca="1">H944*MCDA_Prioritisation!$D$5+I944*MCDA_Prioritisation!$E$5+J944*P944+K944*T944+L944*X944</f>
        <v>71.55721437059853</v>
      </c>
      <c r="AC944" s="54">
        <f t="shared" ca="1" si="202"/>
        <v>1</v>
      </c>
      <c r="AD944" s="54">
        <f t="shared" ca="1" si="203"/>
        <v>2</v>
      </c>
      <c r="AE944" s="54">
        <f t="shared" ca="1" si="204"/>
        <v>3</v>
      </c>
      <c r="AF944" s="54">
        <f t="shared" ca="1" si="205"/>
        <v>4</v>
      </c>
      <c r="AG944" s="54">
        <f t="shared" ca="1" si="206"/>
        <v>1</v>
      </c>
      <c r="AH944" s="54">
        <f t="shared" ca="1" si="207"/>
        <v>1</v>
      </c>
      <c r="AI944" s="54">
        <f t="shared" ca="1" si="208"/>
        <v>1</v>
      </c>
      <c r="AJ944" s="54">
        <f t="shared" ca="1" si="209"/>
        <v>1</v>
      </c>
    </row>
    <row r="945" spans="1:36" x14ac:dyDescent="0.2">
      <c r="A945" s="54">
        <v>922</v>
      </c>
      <c r="B945" s="54">
        <f ca="1">MAX(0.02,MCDA_Prioritisation!$B$9+(RAND()-0.5)*2*$B$6)</f>
        <v>0.14967779001941833</v>
      </c>
      <c r="C945" s="54">
        <f ca="1">MAX(0.02,MCDA_Prioritisation!$B$10+(RAND()-0.5)*2*$B$6)</f>
        <v>0.23161684973887436</v>
      </c>
      <c r="D945" s="54">
        <f ca="1">MAX(0.02,MCDA_Prioritisation!$B$11+(RAND()-0.5)*2*$B$6)</f>
        <v>0.26522664267517915</v>
      </c>
      <c r="E945" s="54">
        <f ca="1">MAX(0.02,MCDA_Prioritisation!$B$12+(RAND()-0.5)*2*$B$6)</f>
        <v>0.10883748492351289</v>
      </c>
      <c r="F945" s="54">
        <f ca="1">MAX(0.02,MCDA_Prioritisation!$B$13+(RAND()-0.5)*2*$B$6)</f>
        <v>0.15323326715138355</v>
      </c>
      <c r="G945" s="54">
        <f t="shared" ca="1" si="196"/>
        <v>0.90859203450836823</v>
      </c>
      <c r="H945" s="54">
        <f t="shared" ca="1" si="197"/>
        <v>0.16473596986837746</v>
      </c>
      <c r="I945" s="54">
        <f t="shared" ca="1" si="198"/>
        <v>0.25491842426749906</v>
      </c>
      <c r="J945" s="54">
        <f t="shared" ca="1" si="199"/>
        <v>0.29190949579333603</v>
      </c>
      <c r="K945" s="54">
        <f t="shared" ca="1" si="200"/>
        <v>0.11978696795686082</v>
      </c>
      <c r="L945" s="54">
        <f t="shared" ca="1" si="201"/>
        <v>0.16864914211392665</v>
      </c>
      <c r="M945" s="54">
        <f ca="1">MIN(100,MAX(0,MCDA_Prioritisation!$F$2+(RAND()-0.5)*2*$B$7))</f>
        <v>93.49423449385435</v>
      </c>
      <c r="N945" s="54">
        <f ca="1">MIN(100,MAX(0,MCDA_Prioritisation!$F$3+(RAND()-0.5)*2*$B$7))</f>
        <v>85.240979485215846</v>
      </c>
      <c r="O945" s="54">
        <f ca="1">MIN(100,MAX(0,MCDA_Prioritisation!$F$4+(RAND()-0.5)*2*$B$7))</f>
        <v>91.798011537476725</v>
      </c>
      <c r="P945" s="54">
        <f ca="1">MIN(100,MAX(0,MCDA_Prioritisation!$F$5+(RAND()-0.5)*2*$B$7))</f>
        <v>73.805643032054007</v>
      </c>
      <c r="Q945" s="54">
        <f ca="1">MIN(100,MAX(0,MCDA_Prioritisation!$G$2+(RAND()-0.5)*2*$B$7))</f>
        <v>87.772736445867082</v>
      </c>
      <c r="R945" s="54">
        <f ca="1">MIN(100,MAX(0,MCDA_Prioritisation!$G$3+(RAND()-0.5)*2*$B$7))</f>
        <v>100</v>
      </c>
      <c r="S945" s="54">
        <f ca="1">MIN(100,MAX(0,MCDA_Prioritisation!$G$4+(RAND()-0.5)*2*$B$7))</f>
        <v>85.936745274615419</v>
      </c>
      <c r="T945" s="54">
        <f ca="1">MIN(100,MAX(0,MCDA_Prioritisation!$G$5+(RAND()-0.5)*2*$B$7))</f>
        <v>72.533883715982327</v>
      </c>
      <c r="U945" s="54">
        <f ca="1">MIN(100,MAX(0,MCDA_Prioritisation!$H$2+(RAND()-0.5)*2*$B$7))</f>
        <v>56.254023930086788</v>
      </c>
      <c r="V945" s="54">
        <f ca="1">MIN(100,MAX(0,MCDA_Prioritisation!$H$3+(RAND()-0.5)*2*$B$7))</f>
        <v>53.271549772744493</v>
      </c>
      <c r="W945" s="54">
        <f ca="1">MIN(100,MAX(0,MCDA_Prioritisation!$H$4+(RAND()-0.5)*2*$B$7))</f>
        <v>80.911447412371729</v>
      </c>
      <c r="X945" s="54">
        <f ca="1">MIN(100,MAX(0,MCDA_Prioritisation!$H$5+(RAND()-0.5)*2*$B$7))</f>
        <v>72.801803617529714</v>
      </c>
      <c r="Y945" s="54">
        <f ca="1">H945*MCDA_Prioritisation!$D$2+I945*MCDA_Prioritisation!$E$2+J945*M945+K945*Q945+L945*U945</f>
        <v>89.258517108665117</v>
      </c>
      <c r="Z945" s="54">
        <f ca="1">H945*MCDA_Prioritisation!$D$3+I945*MCDA_Prioritisation!$E$3+J945*N945+K945*R945+L945*V945</f>
        <v>78.782474150226022</v>
      </c>
      <c r="AA945" s="54">
        <f ca="1">H945*MCDA_Prioritisation!$D$4+I945*MCDA_Prioritisation!$E$4+J945*O945+K945*S945+L945*W945</f>
        <v>76.112345456898638</v>
      </c>
      <c r="AB945" s="54">
        <f ca="1">H945*MCDA_Prioritisation!$D$5+I945*MCDA_Prioritisation!$E$5+J945*P945+K945*T945+L945*X945</f>
        <v>72.69097400021019</v>
      </c>
      <c r="AC945" s="54">
        <f t="shared" ca="1" si="202"/>
        <v>1</v>
      </c>
      <c r="AD945" s="54">
        <f t="shared" ca="1" si="203"/>
        <v>2</v>
      </c>
      <c r="AE945" s="54">
        <f t="shared" ca="1" si="204"/>
        <v>3</v>
      </c>
      <c r="AF945" s="54">
        <f t="shared" ca="1" si="205"/>
        <v>4</v>
      </c>
      <c r="AG945" s="54">
        <f t="shared" ca="1" si="206"/>
        <v>1</v>
      </c>
      <c r="AH945" s="54">
        <f t="shared" ca="1" si="207"/>
        <v>1</v>
      </c>
      <c r="AI945" s="54">
        <f t="shared" ca="1" si="208"/>
        <v>1</v>
      </c>
      <c r="AJ945" s="54">
        <f t="shared" ca="1" si="209"/>
        <v>1</v>
      </c>
    </row>
    <row r="946" spans="1:36" x14ac:dyDescent="0.2">
      <c r="A946" s="54">
        <v>923</v>
      </c>
      <c r="B946" s="54">
        <f ca="1">MAX(0.02,MCDA_Prioritisation!$B$9+(RAND()-0.5)*2*$B$6)</f>
        <v>0.27416985082874173</v>
      </c>
      <c r="C946" s="54">
        <f ca="1">MAX(0.02,MCDA_Prioritisation!$B$10+(RAND()-0.5)*2*$B$6)</f>
        <v>0.25976139836212492</v>
      </c>
      <c r="D946" s="54">
        <f ca="1">MAX(0.02,MCDA_Prioritisation!$B$11+(RAND()-0.5)*2*$B$6)</f>
        <v>0.18120745868073795</v>
      </c>
      <c r="E946" s="54">
        <f ca="1">MAX(0.02,MCDA_Prioritisation!$B$12+(RAND()-0.5)*2*$B$6)</f>
        <v>0.1605383826044241</v>
      </c>
      <c r="F946" s="54">
        <f ca="1">MAX(0.02,MCDA_Prioritisation!$B$13+(RAND()-0.5)*2*$B$6)</f>
        <v>0.18553471498985133</v>
      </c>
      <c r="G946" s="54">
        <f t="shared" ca="1" si="196"/>
        <v>1.0612118054658801</v>
      </c>
      <c r="H946" s="54">
        <f t="shared" ca="1" si="197"/>
        <v>0.25835544743905209</v>
      </c>
      <c r="I946" s="54">
        <f t="shared" ca="1" si="198"/>
        <v>0.24477808956157218</v>
      </c>
      <c r="J946" s="54">
        <f t="shared" ca="1" si="199"/>
        <v>0.17075522317732461</v>
      </c>
      <c r="K946" s="54">
        <f t="shared" ca="1" si="200"/>
        <v>0.15127836099971251</v>
      </c>
      <c r="L946" s="54">
        <f t="shared" ca="1" si="201"/>
        <v>0.17483287882233856</v>
      </c>
      <c r="M946" s="54">
        <f ca="1">MIN(100,MAX(0,MCDA_Prioritisation!$F$2+(RAND()-0.5)*2*$B$7))</f>
        <v>76.273152493185862</v>
      </c>
      <c r="N946" s="54">
        <f ca="1">MIN(100,MAX(0,MCDA_Prioritisation!$F$3+(RAND()-0.5)*2*$B$7))</f>
        <v>100</v>
      </c>
      <c r="O946" s="54">
        <f ca="1">MIN(100,MAX(0,MCDA_Prioritisation!$F$4+(RAND()-0.5)*2*$B$7))</f>
        <v>83.247754051321976</v>
      </c>
      <c r="P946" s="54">
        <f ca="1">MIN(100,MAX(0,MCDA_Prioritisation!$F$5+(RAND()-0.5)*2*$B$7))</f>
        <v>84.669702161215383</v>
      </c>
      <c r="Q946" s="54">
        <f ca="1">MIN(100,MAX(0,MCDA_Prioritisation!$G$2+(RAND()-0.5)*2*$B$7))</f>
        <v>71.328494255885772</v>
      </c>
      <c r="R946" s="54">
        <f ca="1">MIN(100,MAX(0,MCDA_Prioritisation!$G$3+(RAND()-0.5)*2*$B$7))</f>
        <v>100</v>
      </c>
      <c r="S946" s="54">
        <f ca="1">MIN(100,MAX(0,MCDA_Prioritisation!$G$4+(RAND()-0.5)*2*$B$7))</f>
        <v>87.283836996911859</v>
      </c>
      <c r="T946" s="54">
        <f ca="1">MIN(100,MAX(0,MCDA_Prioritisation!$G$5+(RAND()-0.5)*2*$B$7))</f>
        <v>64.207458142453021</v>
      </c>
      <c r="U946" s="54">
        <f ca="1">MIN(100,MAX(0,MCDA_Prioritisation!$H$2+(RAND()-0.5)*2*$B$7))</f>
        <v>63.356936260122048</v>
      </c>
      <c r="V946" s="54">
        <f ca="1">MIN(100,MAX(0,MCDA_Prioritisation!$H$3+(RAND()-0.5)*2*$B$7))</f>
        <v>60.906017397954919</v>
      </c>
      <c r="W946" s="54">
        <f ca="1">MIN(100,MAX(0,MCDA_Prioritisation!$H$4+(RAND()-0.5)*2*$B$7))</f>
        <v>89.401261794026695</v>
      </c>
      <c r="X946" s="54">
        <f ca="1">MIN(100,MAX(0,MCDA_Prioritisation!$H$5+(RAND()-0.5)*2*$B$7))</f>
        <v>65.303280714691155</v>
      </c>
      <c r="Y946" s="54">
        <f ca="1">H946*MCDA_Prioritisation!$D$2+I946*MCDA_Prioritisation!$E$2+J946*M946+K946*Q946+L946*U946</f>
        <v>85.204726139802858</v>
      </c>
      <c r="Z946" s="54">
        <f ca="1">H946*MCDA_Prioritisation!$D$3+I946*MCDA_Prioritisation!$E$3+J946*N946+K946*R946+L946*V946</f>
        <v>83.233225165960476</v>
      </c>
      <c r="AA946" s="54">
        <f ca="1">H946*MCDA_Prioritisation!$D$4+I946*MCDA_Prioritisation!$E$4+J946*O946+K946*S946+L946*W946</f>
        <v>74.391311343572042</v>
      </c>
      <c r="AB946" s="54">
        <f ca="1">H946*MCDA_Prioritisation!$D$5+I946*MCDA_Prioritisation!$E$5+J946*P946+K946*T946+L946*X946</f>
        <v>69.884210824453064</v>
      </c>
      <c r="AC946" s="54">
        <f t="shared" ca="1" si="202"/>
        <v>1</v>
      </c>
      <c r="AD946" s="54">
        <f t="shared" ca="1" si="203"/>
        <v>2</v>
      </c>
      <c r="AE946" s="54">
        <f t="shared" ca="1" si="204"/>
        <v>3</v>
      </c>
      <c r="AF946" s="54">
        <f t="shared" ca="1" si="205"/>
        <v>4</v>
      </c>
      <c r="AG946" s="54">
        <f t="shared" ca="1" si="206"/>
        <v>1</v>
      </c>
      <c r="AH946" s="54">
        <f t="shared" ca="1" si="207"/>
        <v>1</v>
      </c>
      <c r="AI946" s="54">
        <f t="shared" ca="1" si="208"/>
        <v>1</v>
      </c>
      <c r="AJ946" s="54">
        <f t="shared" ca="1" si="209"/>
        <v>1</v>
      </c>
    </row>
    <row r="947" spans="1:36" x14ac:dyDescent="0.2">
      <c r="A947" s="54">
        <v>924</v>
      </c>
      <c r="B947" s="54">
        <f ca="1">MAX(0.02,MCDA_Prioritisation!$B$9+(RAND()-0.5)*2*$B$6)</f>
        <v>0.24138077730376589</v>
      </c>
      <c r="C947" s="54">
        <f ca="1">MAX(0.02,MCDA_Prioritisation!$B$10+(RAND()-0.5)*2*$B$6)</f>
        <v>0.24887585834002235</v>
      </c>
      <c r="D947" s="54">
        <f ca="1">MAX(0.02,MCDA_Prioritisation!$B$11+(RAND()-0.5)*2*$B$6)</f>
        <v>0.2440746767178483</v>
      </c>
      <c r="E947" s="54">
        <f ca="1">MAX(0.02,MCDA_Prioritisation!$B$12+(RAND()-0.5)*2*$B$6)</f>
        <v>0.22352476265928234</v>
      </c>
      <c r="F947" s="54">
        <f ca="1">MAX(0.02,MCDA_Prioritisation!$B$13+(RAND()-0.5)*2*$B$6)</f>
        <v>9.3360010319256476E-2</v>
      </c>
      <c r="G947" s="54">
        <f t="shared" ca="1" si="196"/>
        <v>1.0512160853401753</v>
      </c>
      <c r="H947" s="54">
        <f t="shared" ca="1" si="197"/>
        <v>0.22962051348905554</v>
      </c>
      <c r="I947" s="54">
        <f t="shared" ca="1" si="198"/>
        <v>0.23675042820476411</v>
      </c>
      <c r="J947" s="54">
        <f t="shared" ca="1" si="199"/>
        <v>0.23218316397704789</v>
      </c>
      <c r="K947" s="54">
        <f t="shared" ca="1" si="200"/>
        <v>0.21263445810663117</v>
      </c>
      <c r="L947" s="54">
        <f t="shared" ca="1" si="201"/>
        <v>8.8811436222501317E-2</v>
      </c>
      <c r="M947" s="54">
        <f ca="1">MIN(100,MAX(0,MCDA_Prioritisation!$F$2+(RAND()-0.5)*2*$B$7))</f>
        <v>86.967718467508703</v>
      </c>
      <c r="N947" s="54">
        <f ca="1">MIN(100,MAX(0,MCDA_Prioritisation!$F$3+(RAND()-0.5)*2*$B$7))</f>
        <v>88.197807084561816</v>
      </c>
      <c r="O947" s="54">
        <f ca="1">MIN(100,MAX(0,MCDA_Prioritisation!$F$4+(RAND()-0.5)*2*$B$7))</f>
        <v>94.128979291505686</v>
      </c>
      <c r="P947" s="54">
        <f ca="1">MIN(100,MAX(0,MCDA_Prioritisation!$F$5+(RAND()-0.5)*2*$B$7))</f>
        <v>74.722021958649975</v>
      </c>
      <c r="Q947" s="54">
        <f ca="1">MIN(100,MAX(0,MCDA_Prioritisation!$G$2+(RAND()-0.5)*2*$B$7))</f>
        <v>75.454315988914985</v>
      </c>
      <c r="R947" s="54">
        <f ca="1">MIN(100,MAX(0,MCDA_Prioritisation!$G$3+(RAND()-0.5)*2*$B$7))</f>
        <v>86.849104554415987</v>
      </c>
      <c r="S947" s="54">
        <f ca="1">MIN(100,MAX(0,MCDA_Prioritisation!$G$4+(RAND()-0.5)*2*$B$7))</f>
        <v>94.027033329710406</v>
      </c>
      <c r="T947" s="54">
        <f ca="1">MIN(100,MAX(0,MCDA_Prioritisation!$G$5+(RAND()-0.5)*2*$B$7))</f>
        <v>64.861944043131331</v>
      </c>
      <c r="U947" s="54">
        <f ca="1">MIN(100,MAX(0,MCDA_Prioritisation!$H$2+(RAND()-0.5)*2*$B$7))</f>
        <v>61.787870951045015</v>
      </c>
      <c r="V947" s="54">
        <f ca="1">MIN(100,MAX(0,MCDA_Prioritisation!$H$3+(RAND()-0.5)*2*$B$7))</f>
        <v>50.326577660446233</v>
      </c>
      <c r="W947" s="54">
        <f ca="1">MIN(100,MAX(0,MCDA_Prioritisation!$H$4+(RAND()-0.5)*2*$B$7))</f>
        <v>80.837521653648523</v>
      </c>
      <c r="X947" s="54">
        <f ca="1">MIN(100,MAX(0,MCDA_Prioritisation!$H$5+(RAND()-0.5)*2*$B$7))</f>
        <v>74.498053653656712</v>
      </c>
      <c r="Y947" s="54">
        <f ca="1">H947*MCDA_Prioritisation!$D$2+I947*MCDA_Prioritisation!$E$2+J947*M947+K947*Q947+L947*U947</f>
        <v>88.361191359435608</v>
      </c>
      <c r="Z947" s="54">
        <f ca="1">H947*MCDA_Prioritisation!$D$3+I947*MCDA_Prioritisation!$E$3+J947*N947+K947*R947+L947*V947</f>
        <v>80.701053899429667</v>
      </c>
      <c r="AA947" s="54">
        <f ca="1">H947*MCDA_Prioritisation!$D$4+I947*MCDA_Prioritisation!$E$4+J947*O947+K947*S947+L947*W947</f>
        <v>77.930930344344716</v>
      </c>
      <c r="AB947" s="54">
        <f ca="1">H947*MCDA_Prioritisation!$D$5+I947*MCDA_Prioritisation!$E$5+J947*P947+K947*T947+L947*X947</f>
        <v>69.853230751418423</v>
      </c>
      <c r="AC947" s="54">
        <f t="shared" ca="1" si="202"/>
        <v>1</v>
      </c>
      <c r="AD947" s="54">
        <f t="shared" ca="1" si="203"/>
        <v>2</v>
      </c>
      <c r="AE947" s="54">
        <f t="shared" ca="1" si="204"/>
        <v>3</v>
      </c>
      <c r="AF947" s="54">
        <f t="shared" ca="1" si="205"/>
        <v>4</v>
      </c>
      <c r="AG947" s="54">
        <f t="shared" ca="1" si="206"/>
        <v>1</v>
      </c>
      <c r="AH947" s="54">
        <f t="shared" ca="1" si="207"/>
        <v>1</v>
      </c>
      <c r="AI947" s="54">
        <f t="shared" ca="1" si="208"/>
        <v>1</v>
      </c>
      <c r="AJ947" s="54">
        <f t="shared" ca="1" si="209"/>
        <v>1</v>
      </c>
    </row>
    <row r="948" spans="1:36" x14ac:dyDescent="0.2">
      <c r="A948" s="54">
        <v>925</v>
      </c>
      <c r="B948" s="54">
        <f ca="1">MAX(0.02,MCDA_Prioritisation!$B$9+(RAND()-0.5)*2*$B$6)</f>
        <v>0.24447378929653454</v>
      </c>
      <c r="C948" s="54">
        <f ca="1">MAX(0.02,MCDA_Prioritisation!$B$10+(RAND()-0.5)*2*$B$6)</f>
        <v>0.24909591818257967</v>
      </c>
      <c r="D948" s="54">
        <f ca="1">MAX(0.02,MCDA_Prioritisation!$B$11+(RAND()-0.5)*2*$B$6)</f>
        <v>0.21324225155608145</v>
      </c>
      <c r="E948" s="54">
        <f ca="1">MAX(0.02,MCDA_Prioritisation!$B$12+(RAND()-0.5)*2*$B$6)</f>
        <v>7.9541603499499333E-2</v>
      </c>
      <c r="F948" s="54">
        <f ca="1">MAX(0.02,MCDA_Prioritisation!$B$13+(RAND()-0.5)*2*$B$6)</f>
        <v>7.8753035911398678E-2</v>
      </c>
      <c r="G948" s="54">
        <f t="shared" ca="1" si="196"/>
        <v>0.86510659844609372</v>
      </c>
      <c r="H948" s="54">
        <f t="shared" ca="1" si="197"/>
        <v>0.28259383263942139</v>
      </c>
      <c r="I948" s="54">
        <f t="shared" ca="1" si="198"/>
        <v>0.28793667581545013</v>
      </c>
      <c r="J948" s="54">
        <f t="shared" ca="1" si="199"/>
        <v>0.24649245762210995</v>
      </c>
      <c r="K948" s="54">
        <f t="shared" ca="1" si="200"/>
        <v>9.1944280210522186E-2</v>
      </c>
      <c r="L948" s="54">
        <f t="shared" ca="1" si="201"/>
        <v>9.1032753712496292E-2</v>
      </c>
      <c r="M948" s="54">
        <f ca="1">MIN(100,MAX(0,MCDA_Prioritisation!$F$2+(RAND()-0.5)*2*$B$7))</f>
        <v>82.656063823795606</v>
      </c>
      <c r="N948" s="54">
        <f ca="1">MIN(100,MAX(0,MCDA_Prioritisation!$F$3+(RAND()-0.5)*2*$B$7))</f>
        <v>96.820425500531528</v>
      </c>
      <c r="O948" s="54">
        <f ca="1">MIN(100,MAX(0,MCDA_Prioritisation!$F$4+(RAND()-0.5)*2*$B$7))</f>
        <v>94.798504988984178</v>
      </c>
      <c r="P948" s="54">
        <f ca="1">MIN(100,MAX(0,MCDA_Prioritisation!$F$5+(RAND()-0.5)*2*$B$7))</f>
        <v>74.810707815751215</v>
      </c>
      <c r="Q948" s="54">
        <f ca="1">MIN(100,MAX(0,MCDA_Prioritisation!$G$2+(RAND()-0.5)*2*$B$7))</f>
        <v>74.479236711278304</v>
      </c>
      <c r="R948" s="54">
        <f ca="1">MIN(100,MAX(0,MCDA_Prioritisation!$G$3+(RAND()-0.5)*2*$B$7))</f>
        <v>94.120476013824543</v>
      </c>
      <c r="S948" s="54">
        <f ca="1">MIN(100,MAX(0,MCDA_Prioritisation!$G$4+(RAND()-0.5)*2*$B$7))</f>
        <v>92.147783028906531</v>
      </c>
      <c r="T948" s="54">
        <f ca="1">MIN(100,MAX(0,MCDA_Prioritisation!$G$5+(RAND()-0.5)*2*$B$7))</f>
        <v>68.654766555787901</v>
      </c>
      <c r="U948" s="54">
        <f ca="1">MIN(100,MAX(0,MCDA_Prioritisation!$H$2+(RAND()-0.5)*2*$B$7))</f>
        <v>64.658631362026966</v>
      </c>
      <c r="V948" s="54">
        <f ca="1">MIN(100,MAX(0,MCDA_Prioritisation!$H$3+(RAND()-0.5)*2*$B$7))</f>
        <v>63.727018484121714</v>
      </c>
      <c r="W948" s="54">
        <f ca="1">MIN(100,MAX(0,MCDA_Prioritisation!$H$4+(RAND()-0.5)*2*$B$7))</f>
        <v>75.323503132383564</v>
      </c>
      <c r="X948" s="54">
        <f ca="1">MIN(100,MAX(0,MCDA_Prioritisation!$H$5+(RAND()-0.5)*2*$B$7))</f>
        <v>65.395739782572278</v>
      </c>
      <c r="Y948" s="54">
        <f ca="1">H948*MCDA_Prioritisation!$D$2+I948*MCDA_Prioritisation!$E$2+J948*M948+K948*Q948+L948*U948</f>
        <v>90.161140228998576</v>
      </c>
      <c r="Z948" s="54">
        <f ca="1">H948*MCDA_Prioritisation!$D$3+I948*MCDA_Prioritisation!$E$3+J948*N948+K948*R948+L948*V948</f>
        <v>83.959246945559613</v>
      </c>
      <c r="AA948" s="54">
        <f ca="1">H948*MCDA_Prioritisation!$D$4+I948*MCDA_Prioritisation!$E$4+J948*O948+K948*S948+L948*W948</f>
        <v>74.080294078031599</v>
      </c>
      <c r="AB948" s="54">
        <f ca="1">H948*MCDA_Prioritisation!$D$5+I948*MCDA_Prioritisation!$E$5+J948*P948+K948*T948+L948*X948</f>
        <v>69.917618548858457</v>
      </c>
      <c r="AC948" s="54">
        <f t="shared" ca="1" si="202"/>
        <v>1</v>
      </c>
      <c r="AD948" s="54">
        <f t="shared" ca="1" si="203"/>
        <v>2</v>
      </c>
      <c r="AE948" s="54">
        <f t="shared" ca="1" si="204"/>
        <v>3</v>
      </c>
      <c r="AF948" s="54">
        <f t="shared" ca="1" si="205"/>
        <v>4</v>
      </c>
      <c r="AG948" s="54">
        <f t="shared" ca="1" si="206"/>
        <v>1</v>
      </c>
      <c r="AH948" s="54">
        <f t="shared" ca="1" si="207"/>
        <v>1</v>
      </c>
      <c r="AI948" s="54">
        <f t="shared" ca="1" si="208"/>
        <v>1</v>
      </c>
      <c r="AJ948" s="54">
        <f t="shared" ca="1" si="209"/>
        <v>1</v>
      </c>
    </row>
    <row r="949" spans="1:36" x14ac:dyDescent="0.2">
      <c r="A949" s="54">
        <v>926</v>
      </c>
      <c r="B949" s="54">
        <f ca="1">MAX(0.02,MCDA_Prioritisation!$B$9+(RAND()-0.5)*2*$B$6)</f>
        <v>0.25628045301655833</v>
      </c>
      <c r="C949" s="54">
        <f ca="1">MAX(0.02,MCDA_Prioritisation!$B$10+(RAND()-0.5)*2*$B$6)</f>
        <v>0.18484606183513697</v>
      </c>
      <c r="D949" s="54">
        <f ca="1">MAX(0.02,MCDA_Prioritisation!$B$11+(RAND()-0.5)*2*$B$6)</f>
        <v>0.2818328155991513</v>
      </c>
      <c r="E949" s="54">
        <f ca="1">MAX(0.02,MCDA_Prioritisation!$B$12+(RAND()-0.5)*2*$B$6)</f>
        <v>9.9838468533327493E-2</v>
      </c>
      <c r="F949" s="54">
        <f ca="1">MAX(0.02,MCDA_Prioritisation!$B$13+(RAND()-0.5)*2*$B$6)</f>
        <v>0.15043139492399177</v>
      </c>
      <c r="G949" s="54">
        <f t="shared" ca="1" si="196"/>
        <v>0.97322919390816587</v>
      </c>
      <c r="H949" s="54">
        <f t="shared" ca="1" si="197"/>
        <v>0.26333000964286835</v>
      </c>
      <c r="I949" s="54">
        <f t="shared" ca="1" si="198"/>
        <v>0.18993065866926623</v>
      </c>
      <c r="J949" s="54">
        <f t="shared" ca="1" si="199"/>
        <v>0.28958524606871289</v>
      </c>
      <c r="K949" s="54">
        <f t="shared" ca="1" si="200"/>
        <v>0.10258474484556848</v>
      </c>
      <c r="L949" s="54">
        <f t="shared" ca="1" si="201"/>
        <v>0.15456934077358403</v>
      </c>
      <c r="M949" s="54">
        <f ca="1">MIN(100,MAX(0,MCDA_Prioritisation!$F$2+(RAND()-0.5)*2*$B$7))</f>
        <v>79.494188287601489</v>
      </c>
      <c r="N949" s="54">
        <f ca="1">MIN(100,MAX(0,MCDA_Prioritisation!$F$3+(RAND()-0.5)*2*$B$7))</f>
        <v>99.254989937269102</v>
      </c>
      <c r="O949" s="54">
        <f ca="1">MIN(100,MAX(0,MCDA_Prioritisation!$F$4+(RAND()-0.5)*2*$B$7))</f>
        <v>97.355248959816336</v>
      </c>
      <c r="P949" s="54">
        <f ca="1">MIN(100,MAX(0,MCDA_Prioritisation!$F$5+(RAND()-0.5)*2*$B$7))</f>
        <v>74.589085849969209</v>
      </c>
      <c r="Q949" s="54">
        <f ca="1">MIN(100,MAX(0,MCDA_Prioritisation!$G$2+(RAND()-0.5)*2*$B$7))</f>
        <v>85.250689364790929</v>
      </c>
      <c r="R949" s="54">
        <f ca="1">MIN(100,MAX(0,MCDA_Prioritisation!$G$3+(RAND()-0.5)*2*$B$7))</f>
        <v>89.962112461272014</v>
      </c>
      <c r="S949" s="54">
        <f ca="1">MIN(100,MAX(0,MCDA_Prioritisation!$G$4+(RAND()-0.5)*2*$B$7))</f>
        <v>76.858845902047221</v>
      </c>
      <c r="T949" s="54">
        <f ca="1">MIN(100,MAX(0,MCDA_Prioritisation!$G$5+(RAND()-0.5)*2*$B$7))</f>
        <v>64.328823470741881</v>
      </c>
      <c r="U949" s="54">
        <f ca="1">MIN(100,MAX(0,MCDA_Prioritisation!$H$2+(RAND()-0.5)*2*$B$7))</f>
        <v>64.89864899464925</v>
      </c>
      <c r="V949" s="54">
        <f ca="1">MIN(100,MAX(0,MCDA_Prioritisation!$H$3+(RAND()-0.5)*2*$B$7))</f>
        <v>52.68142579497929</v>
      </c>
      <c r="W949" s="54">
        <f ca="1">MIN(100,MAX(0,MCDA_Prioritisation!$H$4+(RAND()-0.5)*2*$B$7))</f>
        <v>79.610731998177585</v>
      </c>
      <c r="X949" s="54">
        <f ca="1">MIN(100,MAX(0,MCDA_Prioritisation!$H$5+(RAND()-0.5)*2*$B$7))</f>
        <v>67.109072487512989</v>
      </c>
      <c r="Y949" s="54">
        <f ca="1">H949*MCDA_Prioritisation!$D$2+I949*MCDA_Prioritisation!$E$2+J949*M949+K949*Q949+L949*U949</f>
        <v>87.12317251610618</v>
      </c>
      <c r="Z949" s="54">
        <f ca="1">H949*MCDA_Prioritisation!$D$3+I949*MCDA_Prioritisation!$E$3+J949*N949+K949*R949+L949*V949</f>
        <v>82.941803630671501</v>
      </c>
      <c r="AA949" s="54">
        <f ca="1">H949*MCDA_Prioritisation!$D$4+I949*MCDA_Prioritisation!$E$4+J949*O949+K949*S949+L949*W949</f>
        <v>77.079175154363909</v>
      </c>
      <c r="AB949" s="54">
        <f ca="1">H949*MCDA_Prioritisation!$D$5+I949*MCDA_Prioritisation!$E$5+J949*P949+K949*T949+L949*X949</f>
        <v>68.51997614651016</v>
      </c>
      <c r="AC949" s="54">
        <f t="shared" ca="1" si="202"/>
        <v>1</v>
      </c>
      <c r="AD949" s="54">
        <f t="shared" ca="1" si="203"/>
        <v>2</v>
      </c>
      <c r="AE949" s="54">
        <f t="shared" ca="1" si="204"/>
        <v>3</v>
      </c>
      <c r="AF949" s="54">
        <f t="shared" ca="1" si="205"/>
        <v>4</v>
      </c>
      <c r="AG949" s="54">
        <f t="shared" ca="1" si="206"/>
        <v>1</v>
      </c>
      <c r="AH949" s="54">
        <f t="shared" ca="1" si="207"/>
        <v>1</v>
      </c>
      <c r="AI949" s="54">
        <f t="shared" ca="1" si="208"/>
        <v>1</v>
      </c>
      <c r="AJ949" s="54">
        <f t="shared" ca="1" si="209"/>
        <v>1</v>
      </c>
    </row>
    <row r="950" spans="1:36" x14ac:dyDescent="0.2">
      <c r="A950" s="54">
        <v>927</v>
      </c>
      <c r="B950" s="54">
        <f ca="1">MAX(0.02,MCDA_Prioritisation!$B$9+(RAND()-0.5)*2*$B$6)</f>
        <v>0.26478716682303549</v>
      </c>
      <c r="C950" s="54">
        <f ca="1">MAX(0.02,MCDA_Prioritisation!$B$10+(RAND()-0.5)*2*$B$6)</f>
        <v>0.27332788184139167</v>
      </c>
      <c r="D950" s="54">
        <f ca="1">MAX(0.02,MCDA_Prioritisation!$B$11+(RAND()-0.5)*2*$B$6)</f>
        <v>0.26508804623891702</v>
      </c>
      <c r="E950" s="54">
        <f ca="1">MAX(0.02,MCDA_Prioritisation!$B$12+(RAND()-0.5)*2*$B$6)</f>
        <v>0.16520394961615456</v>
      </c>
      <c r="F950" s="54">
        <f ca="1">MAX(0.02,MCDA_Prioritisation!$B$13+(RAND()-0.5)*2*$B$6)</f>
        <v>0.15297065026325277</v>
      </c>
      <c r="G950" s="54">
        <f t="shared" ca="1" si="196"/>
        <v>1.1213776947827516</v>
      </c>
      <c r="H950" s="54">
        <f t="shared" ca="1" si="197"/>
        <v>0.23612665746337466</v>
      </c>
      <c r="I950" s="54">
        <f t="shared" ca="1" si="198"/>
        <v>0.24374292721627963</v>
      </c>
      <c r="J950" s="54">
        <f t="shared" ca="1" si="199"/>
        <v>0.23639496975216137</v>
      </c>
      <c r="K950" s="54">
        <f t="shared" ca="1" si="200"/>
        <v>0.14732230753721215</v>
      </c>
      <c r="L950" s="54">
        <f t="shared" ca="1" si="201"/>
        <v>0.13641313803097208</v>
      </c>
      <c r="M950" s="54">
        <f ca="1">MIN(100,MAX(0,MCDA_Prioritisation!$F$2+(RAND()-0.5)*2*$B$7))</f>
        <v>89.473800403960851</v>
      </c>
      <c r="N950" s="54">
        <f ca="1">MIN(100,MAX(0,MCDA_Prioritisation!$F$3+(RAND()-0.5)*2*$B$7))</f>
        <v>100</v>
      </c>
      <c r="O950" s="54">
        <f ca="1">MIN(100,MAX(0,MCDA_Prioritisation!$F$4+(RAND()-0.5)*2*$B$7))</f>
        <v>96.313262673047731</v>
      </c>
      <c r="P950" s="54">
        <f ca="1">MIN(100,MAX(0,MCDA_Prioritisation!$F$5+(RAND()-0.5)*2*$B$7))</f>
        <v>72.055087777504326</v>
      </c>
      <c r="Q950" s="54">
        <f ca="1">MIN(100,MAX(0,MCDA_Prioritisation!$G$2+(RAND()-0.5)*2*$B$7))</f>
        <v>88.807633548581393</v>
      </c>
      <c r="R950" s="54">
        <f ca="1">MIN(100,MAX(0,MCDA_Prioritisation!$G$3+(RAND()-0.5)*2*$B$7))</f>
        <v>87.418133450331339</v>
      </c>
      <c r="S950" s="54">
        <f ca="1">MIN(100,MAX(0,MCDA_Prioritisation!$G$4+(RAND()-0.5)*2*$B$7))</f>
        <v>90.0241278533789</v>
      </c>
      <c r="T950" s="54">
        <f ca="1">MIN(100,MAX(0,MCDA_Prioritisation!$G$5+(RAND()-0.5)*2*$B$7))</f>
        <v>77.374862598712795</v>
      </c>
      <c r="U950" s="54">
        <f ca="1">MIN(100,MAX(0,MCDA_Prioritisation!$H$2+(RAND()-0.5)*2*$B$7))</f>
        <v>57.689173408284958</v>
      </c>
      <c r="V950" s="54">
        <f ca="1">MIN(100,MAX(0,MCDA_Prioritisation!$H$3+(RAND()-0.5)*2*$B$7))</f>
        <v>51.624687334716469</v>
      </c>
      <c r="W950" s="54">
        <f ca="1">MIN(100,MAX(0,MCDA_Prioritisation!$H$4+(RAND()-0.5)*2*$B$7))</f>
        <v>82.101870029702383</v>
      </c>
      <c r="X950" s="54">
        <f ca="1">MIN(100,MAX(0,MCDA_Prioritisation!$H$5+(RAND()-0.5)*2*$B$7))</f>
        <v>78.591607024158066</v>
      </c>
      <c r="Y950" s="54">
        <f ca="1">H950*MCDA_Prioritisation!$D$2+I950*MCDA_Prioritisation!$E$2+J950*M950+K950*Q950+L950*U950</f>
        <v>90.091021484403896</v>
      </c>
      <c r="Z950" s="54">
        <f ca="1">H950*MCDA_Prioritisation!$D$3+I950*MCDA_Prioritisation!$E$3+J950*N950+K950*R950+L950*V950</f>
        <v>81.923905585229647</v>
      </c>
      <c r="AA950" s="54">
        <f ca="1">H950*MCDA_Prioritisation!$D$4+I950*MCDA_Prioritisation!$E$4+J950*O950+K950*S950+L950*W950</f>
        <v>76.96784788336376</v>
      </c>
      <c r="AB950" s="54">
        <f ca="1">H950*MCDA_Prioritisation!$D$5+I950*MCDA_Prioritisation!$E$5+J950*P950+K950*T950+L950*X950</f>
        <v>72.182628125754135</v>
      </c>
      <c r="AC950" s="54">
        <f t="shared" ca="1" si="202"/>
        <v>1</v>
      </c>
      <c r="AD950" s="54">
        <f t="shared" ca="1" si="203"/>
        <v>2</v>
      </c>
      <c r="AE950" s="54">
        <f t="shared" ca="1" si="204"/>
        <v>3</v>
      </c>
      <c r="AF950" s="54">
        <f t="shared" ca="1" si="205"/>
        <v>4</v>
      </c>
      <c r="AG950" s="54">
        <f t="shared" ca="1" si="206"/>
        <v>1</v>
      </c>
      <c r="AH950" s="54">
        <f t="shared" ca="1" si="207"/>
        <v>1</v>
      </c>
      <c r="AI950" s="54">
        <f t="shared" ca="1" si="208"/>
        <v>1</v>
      </c>
      <c r="AJ950" s="54">
        <f t="shared" ca="1" si="209"/>
        <v>1</v>
      </c>
    </row>
    <row r="951" spans="1:36" x14ac:dyDescent="0.2">
      <c r="A951" s="54">
        <v>928</v>
      </c>
      <c r="B951" s="54">
        <f ca="1">MAX(0.02,MCDA_Prioritisation!$B$9+(RAND()-0.5)*2*$B$6)</f>
        <v>0.25186303655426862</v>
      </c>
      <c r="C951" s="54">
        <f ca="1">MAX(0.02,MCDA_Prioritisation!$B$10+(RAND()-0.5)*2*$B$6)</f>
        <v>0.22332721793286281</v>
      </c>
      <c r="D951" s="54">
        <f ca="1">MAX(0.02,MCDA_Prioritisation!$B$11+(RAND()-0.5)*2*$B$6)</f>
        <v>0.25062889406108385</v>
      </c>
      <c r="E951" s="54">
        <f ca="1">MAX(0.02,MCDA_Prioritisation!$B$12+(RAND()-0.5)*2*$B$6)</f>
        <v>0.13157647330790831</v>
      </c>
      <c r="F951" s="54">
        <f ca="1">MAX(0.02,MCDA_Prioritisation!$B$13+(RAND()-0.5)*2*$B$6)</f>
        <v>0.16333092821582179</v>
      </c>
      <c r="G951" s="54">
        <f t="shared" ca="1" si="196"/>
        <v>1.0207265500719453</v>
      </c>
      <c r="H951" s="54">
        <f t="shared" ca="1" si="197"/>
        <v>0.24674878549648405</v>
      </c>
      <c r="I951" s="54">
        <f t="shared" ca="1" si="198"/>
        <v>0.21879240617099821</v>
      </c>
      <c r="J951" s="54">
        <f t="shared" ca="1" si="199"/>
        <v>0.2455397031099254</v>
      </c>
      <c r="K951" s="54">
        <f t="shared" ca="1" si="200"/>
        <v>0.12890472310986151</v>
      </c>
      <c r="L951" s="54">
        <f t="shared" ca="1" si="201"/>
        <v>0.16001438211273089</v>
      </c>
      <c r="M951" s="54">
        <f ca="1">MIN(100,MAX(0,MCDA_Prioritisation!$F$2+(RAND()-0.5)*2*$B$7))</f>
        <v>81.823597482983374</v>
      </c>
      <c r="N951" s="54">
        <f ca="1">MIN(100,MAX(0,MCDA_Prioritisation!$F$3+(RAND()-0.5)*2*$B$7))</f>
        <v>100</v>
      </c>
      <c r="O951" s="54">
        <f ca="1">MIN(100,MAX(0,MCDA_Prioritisation!$F$4+(RAND()-0.5)*2*$B$7))</f>
        <v>85.089502418118414</v>
      </c>
      <c r="P951" s="54">
        <f ca="1">MIN(100,MAX(0,MCDA_Prioritisation!$F$5+(RAND()-0.5)*2*$B$7))</f>
        <v>66.789656961083281</v>
      </c>
      <c r="Q951" s="54">
        <f ca="1">MIN(100,MAX(0,MCDA_Prioritisation!$G$2+(RAND()-0.5)*2*$B$7))</f>
        <v>88.812925085880792</v>
      </c>
      <c r="R951" s="54">
        <f ca="1">MIN(100,MAX(0,MCDA_Prioritisation!$G$3+(RAND()-0.5)*2*$B$7))</f>
        <v>94.831932706604363</v>
      </c>
      <c r="S951" s="54">
        <f ca="1">MIN(100,MAX(0,MCDA_Prioritisation!$G$4+(RAND()-0.5)*2*$B$7))</f>
        <v>86.034895320655821</v>
      </c>
      <c r="T951" s="54">
        <f ca="1">MIN(100,MAX(0,MCDA_Prioritisation!$G$5+(RAND()-0.5)*2*$B$7))</f>
        <v>60.16861320179563</v>
      </c>
      <c r="U951" s="54">
        <f ca="1">MIN(100,MAX(0,MCDA_Prioritisation!$H$2+(RAND()-0.5)*2*$B$7))</f>
        <v>66.376391206297612</v>
      </c>
      <c r="V951" s="54">
        <f ca="1">MIN(100,MAX(0,MCDA_Prioritisation!$H$3+(RAND()-0.5)*2*$B$7))</f>
        <v>50.942808638037455</v>
      </c>
      <c r="W951" s="54">
        <f ca="1">MIN(100,MAX(0,MCDA_Prioritisation!$H$4+(RAND()-0.5)*2*$B$7))</f>
        <v>79.417318619019795</v>
      </c>
      <c r="X951" s="54">
        <f ca="1">MIN(100,MAX(0,MCDA_Prioritisation!$H$5+(RAND()-0.5)*2*$B$7))</f>
        <v>70.350081836848815</v>
      </c>
      <c r="Y951" s="54">
        <f ca="1">H951*MCDA_Prioritisation!$D$2+I951*MCDA_Prioritisation!$E$2+J951*M951+K951*Q951+L951*U951</f>
        <v>88.714643742626947</v>
      </c>
      <c r="Z951" s="54">
        <f ca="1">H951*MCDA_Prioritisation!$D$3+I951*MCDA_Prioritisation!$E$3+J951*N951+K951*R951+L951*V951</f>
        <v>82.40707532369187</v>
      </c>
      <c r="AA951" s="54">
        <f ca="1">H951*MCDA_Prioritisation!$D$4+I951*MCDA_Prioritisation!$E$4+J951*O951+K951*S951+L951*W951</f>
        <v>73.80733481858924</v>
      </c>
      <c r="AB951" s="54">
        <f ca="1">H951*MCDA_Prioritisation!$D$5+I951*MCDA_Prioritisation!$E$5+J951*P951+K951*T951+L951*X951</f>
        <v>66.907419532214817</v>
      </c>
      <c r="AC951" s="54">
        <f t="shared" ca="1" si="202"/>
        <v>1</v>
      </c>
      <c r="AD951" s="54">
        <f t="shared" ca="1" si="203"/>
        <v>2</v>
      </c>
      <c r="AE951" s="54">
        <f t="shared" ca="1" si="204"/>
        <v>3</v>
      </c>
      <c r="AF951" s="54">
        <f t="shared" ca="1" si="205"/>
        <v>4</v>
      </c>
      <c r="AG951" s="54">
        <f t="shared" ca="1" si="206"/>
        <v>1</v>
      </c>
      <c r="AH951" s="54">
        <f t="shared" ca="1" si="207"/>
        <v>1</v>
      </c>
      <c r="AI951" s="54">
        <f t="shared" ca="1" si="208"/>
        <v>1</v>
      </c>
      <c r="AJ951" s="54">
        <f t="shared" ca="1" si="209"/>
        <v>1</v>
      </c>
    </row>
    <row r="952" spans="1:36" x14ac:dyDescent="0.2">
      <c r="A952" s="54">
        <v>929</v>
      </c>
      <c r="B952" s="54">
        <f ca="1">MAX(0.02,MCDA_Prioritisation!$B$9+(RAND()-0.5)*2*$B$6)</f>
        <v>0.17923252509643037</v>
      </c>
      <c r="C952" s="54">
        <f ca="1">MAX(0.02,MCDA_Prioritisation!$B$10+(RAND()-0.5)*2*$B$6)</f>
        <v>0.23559801830753868</v>
      </c>
      <c r="D952" s="54">
        <f ca="1">MAX(0.02,MCDA_Prioritisation!$B$11+(RAND()-0.5)*2*$B$6)</f>
        <v>0.26666988940999614</v>
      </c>
      <c r="E952" s="54">
        <f ca="1">MAX(0.02,MCDA_Prioritisation!$B$12+(RAND()-0.5)*2*$B$6)</f>
        <v>0.22659187138248071</v>
      </c>
      <c r="F952" s="54">
        <f ca="1">MAX(0.02,MCDA_Prioritisation!$B$13+(RAND()-0.5)*2*$B$6)</f>
        <v>8.0256174276253714E-2</v>
      </c>
      <c r="G952" s="54">
        <f t="shared" ca="1" si="196"/>
        <v>0.98834847847269969</v>
      </c>
      <c r="H952" s="54">
        <f t="shared" ca="1" si="197"/>
        <v>0.18134547581172925</v>
      </c>
      <c r="I952" s="54">
        <f t="shared" ca="1" si="198"/>
        <v>0.2383754550536766</v>
      </c>
      <c r="J952" s="54">
        <f t="shared" ca="1" si="199"/>
        <v>0.26981362871330827</v>
      </c>
      <c r="K952" s="54">
        <f t="shared" ca="1" si="200"/>
        <v>0.22926313574401852</v>
      </c>
      <c r="L952" s="54">
        <f t="shared" ca="1" si="201"/>
        <v>8.1202304677267287E-2</v>
      </c>
      <c r="M952" s="54">
        <f ca="1">MIN(100,MAX(0,MCDA_Prioritisation!$F$2+(RAND()-0.5)*2*$B$7))</f>
        <v>85.088132449374314</v>
      </c>
      <c r="N952" s="54">
        <f ca="1">MIN(100,MAX(0,MCDA_Prioritisation!$F$3+(RAND()-0.5)*2*$B$7))</f>
        <v>91.755348740677164</v>
      </c>
      <c r="O952" s="54">
        <f ca="1">MIN(100,MAX(0,MCDA_Prioritisation!$F$4+(RAND()-0.5)*2*$B$7))</f>
        <v>96.667181540202208</v>
      </c>
      <c r="P952" s="54">
        <f ca="1">MIN(100,MAX(0,MCDA_Prioritisation!$F$5+(RAND()-0.5)*2*$B$7))</f>
        <v>75.273232262079219</v>
      </c>
      <c r="Q952" s="54">
        <f ca="1">MIN(100,MAX(0,MCDA_Prioritisation!$G$2+(RAND()-0.5)*2*$B$7))</f>
        <v>77.155796528794269</v>
      </c>
      <c r="R952" s="54">
        <f ca="1">MIN(100,MAX(0,MCDA_Prioritisation!$G$3+(RAND()-0.5)*2*$B$7))</f>
        <v>86.050938100593555</v>
      </c>
      <c r="S952" s="54">
        <f ca="1">MIN(100,MAX(0,MCDA_Prioritisation!$G$4+(RAND()-0.5)*2*$B$7))</f>
        <v>91.721726007729998</v>
      </c>
      <c r="T952" s="54">
        <f ca="1">MIN(100,MAX(0,MCDA_Prioritisation!$G$5+(RAND()-0.5)*2*$B$7))</f>
        <v>64.428722335638795</v>
      </c>
      <c r="U952" s="54">
        <f ca="1">MIN(100,MAX(0,MCDA_Prioritisation!$H$2+(RAND()-0.5)*2*$B$7))</f>
        <v>58.253704997044586</v>
      </c>
      <c r="V952" s="54">
        <f ca="1">MIN(100,MAX(0,MCDA_Prioritisation!$H$3+(RAND()-0.5)*2*$B$7))</f>
        <v>68.659057023740957</v>
      </c>
      <c r="W952" s="54">
        <f ca="1">MIN(100,MAX(0,MCDA_Prioritisation!$H$4+(RAND()-0.5)*2*$B$7))</f>
        <v>73.065750334796419</v>
      </c>
      <c r="X952" s="54">
        <f ca="1">MIN(100,MAX(0,MCDA_Prioritisation!$H$5+(RAND()-0.5)*2*$B$7))</f>
        <v>71.325104498130884</v>
      </c>
      <c r="Y952" s="54">
        <f ca="1">H952*MCDA_Prioritisation!$D$2+I952*MCDA_Prioritisation!$E$2+J952*M952+K952*Q952+L952*U952</f>
        <v>87.34934581791336</v>
      </c>
      <c r="Z952" s="54">
        <f ca="1">H952*MCDA_Prioritisation!$D$3+I952*MCDA_Prioritisation!$E$3+J952*N952+K952*R952+L952*V952</f>
        <v>83.24584329874294</v>
      </c>
      <c r="AA952" s="54">
        <f ca="1">H952*MCDA_Prioritisation!$D$4+I952*MCDA_Prioritisation!$E$4+J952*O952+K952*S952+L952*W952</f>
        <v>78.673771295682258</v>
      </c>
      <c r="AB952" s="54">
        <f ca="1">H952*MCDA_Prioritisation!$D$5+I952*MCDA_Prioritisation!$E$5+J952*P952+K952*T952+L952*X952</f>
        <v>70.542918937151342</v>
      </c>
      <c r="AC952" s="54">
        <f t="shared" ca="1" si="202"/>
        <v>1</v>
      </c>
      <c r="AD952" s="54">
        <f t="shared" ca="1" si="203"/>
        <v>2</v>
      </c>
      <c r="AE952" s="54">
        <f t="shared" ca="1" si="204"/>
        <v>3</v>
      </c>
      <c r="AF952" s="54">
        <f t="shared" ca="1" si="205"/>
        <v>4</v>
      </c>
      <c r="AG952" s="54">
        <f t="shared" ca="1" si="206"/>
        <v>1</v>
      </c>
      <c r="AH952" s="54">
        <f t="shared" ca="1" si="207"/>
        <v>1</v>
      </c>
      <c r="AI952" s="54">
        <f t="shared" ca="1" si="208"/>
        <v>1</v>
      </c>
      <c r="AJ952" s="54">
        <f t="shared" ca="1" si="209"/>
        <v>1</v>
      </c>
    </row>
    <row r="953" spans="1:36" x14ac:dyDescent="0.2">
      <c r="A953" s="54">
        <v>930</v>
      </c>
      <c r="B953" s="54">
        <f ca="1">MAX(0.02,MCDA_Prioritisation!$B$9+(RAND()-0.5)*2*$B$6)</f>
        <v>0.14332337067467996</v>
      </c>
      <c r="C953" s="54">
        <f ca="1">MAX(0.02,MCDA_Prioritisation!$B$10+(RAND()-0.5)*2*$B$6)</f>
        <v>0.23985919427626606</v>
      </c>
      <c r="D953" s="54">
        <f ca="1">MAX(0.02,MCDA_Prioritisation!$B$11+(RAND()-0.5)*2*$B$6)</f>
        <v>0.29741003375250341</v>
      </c>
      <c r="E953" s="54">
        <f ca="1">MAX(0.02,MCDA_Prioritisation!$B$12+(RAND()-0.5)*2*$B$6)</f>
        <v>0.1604003643017648</v>
      </c>
      <c r="F953" s="54">
        <f ca="1">MAX(0.02,MCDA_Prioritisation!$B$13+(RAND()-0.5)*2*$B$6)</f>
        <v>0.19354994528568387</v>
      </c>
      <c r="G953" s="54">
        <f t="shared" ca="1" si="196"/>
        <v>1.0345429082908981</v>
      </c>
      <c r="H953" s="54">
        <f t="shared" ca="1" si="197"/>
        <v>0.13853786974525328</v>
      </c>
      <c r="I953" s="54">
        <f t="shared" ca="1" si="198"/>
        <v>0.23185040693239301</v>
      </c>
      <c r="J953" s="54">
        <f t="shared" ca="1" si="199"/>
        <v>0.28747965054812025</v>
      </c>
      <c r="K953" s="54">
        <f t="shared" ca="1" si="200"/>
        <v>0.15504467046876957</v>
      </c>
      <c r="L953" s="54">
        <f t="shared" ca="1" si="201"/>
        <v>0.18708740230546386</v>
      </c>
      <c r="M953" s="54">
        <f ca="1">MIN(100,MAX(0,MCDA_Prioritisation!$F$2+(RAND()-0.5)*2*$B$7))</f>
        <v>76.94578382753059</v>
      </c>
      <c r="N953" s="54">
        <f ca="1">MIN(100,MAX(0,MCDA_Prioritisation!$F$3+(RAND()-0.5)*2*$B$7))</f>
        <v>89.186840797747806</v>
      </c>
      <c r="O953" s="54">
        <f ca="1">MIN(100,MAX(0,MCDA_Prioritisation!$F$4+(RAND()-0.5)*2*$B$7))</f>
        <v>88.062860800343444</v>
      </c>
      <c r="P953" s="54">
        <f ca="1">MIN(100,MAX(0,MCDA_Prioritisation!$F$5+(RAND()-0.5)*2*$B$7))</f>
        <v>79.044945497701093</v>
      </c>
      <c r="Q953" s="54">
        <f ca="1">MIN(100,MAX(0,MCDA_Prioritisation!$G$2+(RAND()-0.5)*2*$B$7))</f>
        <v>74.73566692419962</v>
      </c>
      <c r="R953" s="54">
        <f ca="1">MIN(100,MAX(0,MCDA_Prioritisation!$G$3+(RAND()-0.5)*2*$B$7))</f>
        <v>92.692205330855316</v>
      </c>
      <c r="S953" s="54">
        <f ca="1">MIN(100,MAX(0,MCDA_Prioritisation!$G$4+(RAND()-0.5)*2*$B$7))</f>
        <v>82.524674807793232</v>
      </c>
      <c r="T953" s="54">
        <f ca="1">MIN(100,MAX(0,MCDA_Prioritisation!$G$5+(RAND()-0.5)*2*$B$7))</f>
        <v>76.660086934519725</v>
      </c>
      <c r="U953" s="54">
        <f ca="1">MIN(100,MAX(0,MCDA_Prioritisation!$H$2+(RAND()-0.5)*2*$B$7))</f>
        <v>67.276292499295209</v>
      </c>
      <c r="V953" s="54">
        <f ca="1">MIN(100,MAX(0,MCDA_Prioritisation!$H$3+(RAND()-0.5)*2*$B$7))</f>
        <v>56.614510703956434</v>
      </c>
      <c r="W953" s="54">
        <f ca="1">MIN(100,MAX(0,MCDA_Prioritisation!$H$4+(RAND()-0.5)*2*$B$7))</f>
        <v>87.576089412230502</v>
      </c>
      <c r="X953" s="54">
        <f ca="1">MIN(100,MAX(0,MCDA_Prioritisation!$H$5+(RAND()-0.5)*2*$B$7))</f>
        <v>69.17252734319176</v>
      </c>
      <c r="Y953" s="54">
        <f ca="1">H953*MCDA_Prioritisation!$D$2+I953*MCDA_Prioritisation!$E$2+J953*M953+K953*Q953+L953*U953</f>
        <v>83.333088364616273</v>
      </c>
      <c r="Z953" s="54">
        <f ca="1">H953*MCDA_Prioritisation!$D$3+I953*MCDA_Prioritisation!$E$3+J953*N953+K953*R953+L953*V953</f>
        <v>79.572315707414731</v>
      </c>
      <c r="AA953" s="54">
        <f ca="1">H953*MCDA_Prioritisation!$D$4+I953*MCDA_Prioritisation!$E$4+J953*O953+K953*S953+L953*W953</f>
        <v>76.789023205402657</v>
      </c>
      <c r="AB953" s="54">
        <f ca="1">H953*MCDA_Prioritisation!$D$5+I953*MCDA_Prioritisation!$E$5+J953*P953+K953*T953+L953*X953</f>
        <v>74.400391880479503</v>
      </c>
      <c r="AC953" s="54">
        <f t="shared" ca="1" si="202"/>
        <v>1</v>
      </c>
      <c r="AD953" s="54">
        <f t="shared" ca="1" si="203"/>
        <v>2</v>
      </c>
      <c r="AE953" s="54">
        <f t="shared" ca="1" si="204"/>
        <v>3</v>
      </c>
      <c r="AF953" s="54">
        <f t="shared" ca="1" si="205"/>
        <v>4</v>
      </c>
      <c r="AG953" s="54">
        <f t="shared" ca="1" si="206"/>
        <v>1</v>
      </c>
      <c r="AH953" s="54">
        <f t="shared" ca="1" si="207"/>
        <v>1</v>
      </c>
      <c r="AI953" s="54">
        <f t="shared" ca="1" si="208"/>
        <v>1</v>
      </c>
      <c r="AJ953" s="54">
        <f t="shared" ca="1" si="209"/>
        <v>1</v>
      </c>
    </row>
    <row r="954" spans="1:36" x14ac:dyDescent="0.2">
      <c r="A954" s="54">
        <v>931</v>
      </c>
      <c r="B954" s="54">
        <f ca="1">MAX(0.02,MCDA_Prioritisation!$B$9+(RAND()-0.5)*2*$B$6)</f>
        <v>0.1411889013046537</v>
      </c>
      <c r="C954" s="54">
        <f ca="1">MAX(0.02,MCDA_Prioritisation!$B$10+(RAND()-0.5)*2*$B$6)</f>
        <v>0.27091601166415286</v>
      </c>
      <c r="D954" s="54">
        <f ca="1">MAX(0.02,MCDA_Prioritisation!$B$11+(RAND()-0.5)*2*$B$6)</f>
        <v>0.2010721404605493</v>
      </c>
      <c r="E954" s="54">
        <f ca="1">MAX(0.02,MCDA_Prioritisation!$B$12+(RAND()-0.5)*2*$B$6)</f>
        <v>0.19344309262707238</v>
      </c>
      <c r="F954" s="54">
        <f ca="1">MAX(0.02,MCDA_Prioritisation!$B$13+(RAND()-0.5)*2*$B$6)</f>
        <v>0.1900232910843947</v>
      </c>
      <c r="G954" s="54">
        <f t="shared" ca="1" si="196"/>
        <v>0.99664343714082304</v>
      </c>
      <c r="H954" s="54">
        <f t="shared" ca="1" si="197"/>
        <v>0.14166440679095554</v>
      </c>
      <c r="I954" s="54">
        <f t="shared" ca="1" si="198"/>
        <v>0.27182842084563202</v>
      </c>
      <c r="J954" s="54">
        <f t="shared" ca="1" si="199"/>
        <v>0.20174932475087212</v>
      </c>
      <c r="K954" s="54">
        <f t="shared" ca="1" si="200"/>
        <v>0.19409458329653295</v>
      </c>
      <c r="L954" s="54">
        <f t="shared" ca="1" si="201"/>
        <v>0.19066326431600725</v>
      </c>
      <c r="M954" s="54">
        <f ca="1">MIN(100,MAX(0,MCDA_Prioritisation!$F$2+(RAND()-0.5)*2*$B$7))</f>
        <v>85.67043192798107</v>
      </c>
      <c r="N954" s="54">
        <f ca="1">MIN(100,MAX(0,MCDA_Prioritisation!$F$3+(RAND()-0.5)*2*$B$7))</f>
        <v>85.790581174295255</v>
      </c>
      <c r="O954" s="54">
        <f ca="1">MIN(100,MAX(0,MCDA_Prioritisation!$F$4+(RAND()-0.5)*2*$B$7))</f>
        <v>91.974094787530177</v>
      </c>
      <c r="P954" s="54">
        <f ca="1">MIN(100,MAX(0,MCDA_Prioritisation!$F$5+(RAND()-0.5)*2*$B$7))</f>
        <v>74.2283199108453</v>
      </c>
      <c r="Q954" s="54">
        <f ca="1">MIN(100,MAX(0,MCDA_Prioritisation!$G$2+(RAND()-0.5)*2*$B$7))</f>
        <v>75.499829569159033</v>
      </c>
      <c r="R954" s="54">
        <f ca="1">MIN(100,MAX(0,MCDA_Prioritisation!$G$3+(RAND()-0.5)*2*$B$7))</f>
        <v>97.407140923221192</v>
      </c>
      <c r="S954" s="54">
        <f ca="1">MIN(100,MAX(0,MCDA_Prioritisation!$G$4+(RAND()-0.5)*2*$B$7))</f>
        <v>94.396833098933868</v>
      </c>
      <c r="T954" s="54">
        <f ca="1">MIN(100,MAX(0,MCDA_Prioritisation!$G$5+(RAND()-0.5)*2*$B$7))</f>
        <v>76.903594875802042</v>
      </c>
      <c r="U954" s="54">
        <f ca="1">MIN(100,MAX(0,MCDA_Prioritisation!$H$2+(RAND()-0.5)*2*$B$7))</f>
        <v>68.512550171753006</v>
      </c>
      <c r="V954" s="54">
        <f ca="1">MIN(100,MAX(0,MCDA_Prioritisation!$H$3+(RAND()-0.5)*2*$B$7))</f>
        <v>54.423939564872995</v>
      </c>
      <c r="W954" s="54">
        <f ca="1">MIN(100,MAX(0,MCDA_Prioritisation!$H$4+(RAND()-0.5)*2*$B$7))</f>
        <v>79.478969867750479</v>
      </c>
      <c r="X954" s="54">
        <f ca="1">MIN(100,MAX(0,MCDA_Prioritisation!$H$5+(RAND()-0.5)*2*$B$7))</f>
        <v>65.060172386589159</v>
      </c>
      <c r="Y954" s="54">
        <f ca="1">H954*MCDA_Prioritisation!$D$2+I954*MCDA_Prioritisation!$E$2+J954*M954+K954*Q954+L954*U954</f>
        <v>86.350168977790318</v>
      </c>
      <c r="Z954" s="54">
        <f ca="1">H954*MCDA_Prioritisation!$D$3+I954*MCDA_Prioritisation!$E$3+J954*N954+K954*R954+L954*V954</f>
        <v>78.741397310903636</v>
      </c>
      <c r="AA954" s="54">
        <f ca="1">H954*MCDA_Prioritisation!$D$4+I954*MCDA_Prioritisation!$E$4+J954*O954+K954*S954+L954*W954</f>
        <v>76.723026616118261</v>
      </c>
      <c r="AB954" s="54">
        <f ca="1">H954*MCDA_Prioritisation!$D$5+I954*MCDA_Prioritisation!$E$5+J954*P954+K954*T954+L954*X954</f>
        <v>72.683932937186995</v>
      </c>
      <c r="AC954" s="54">
        <f t="shared" ca="1" si="202"/>
        <v>1</v>
      </c>
      <c r="AD954" s="54">
        <f t="shared" ca="1" si="203"/>
        <v>2</v>
      </c>
      <c r="AE954" s="54">
        <f t="shared" ca="1" si="204"/>
        <v>3</v>
      </c>
      <c r="AF954" s="54">
        <f t="shared" ca="1" si="205"/>
        <v>4</v>
      </c>
      <c r="AG954" s="54">
        <f t="shared" ca="1" si="206"/>
        <v>1</v>
      </c>
      <c r="AH954" s="54">
        <f t="shared" ca="1" si="207"/>
        <v>1</v>
      </c>
      <c r="AI954" s="54">
        <f t="shared" ca="1" si="208"/>
        <v>1</v>
      </c>
      <c r="AJ954" s="54">
        <f t="shared" ca="1" si="209"/>
        <v>1</v>
      </c>
    </row>
    <row r="955" spans="1:36" x14ac:dyDescent="0.2">
      <c r="A955" s="54">
        <v>932</v>
      </c>
      <c r="B955" s="54">
        <f ca="1">MAX(0.02,MCDA_Prioritisation!$B$9+(RAND()-0.5)*2*$B$6)</f>
        <v>0.14146181356248738</v>
      </c>
      <c r="C955" s="54">
        <f ca="1">MAX(0.02,MCDA_Prioritisation!$B$10+(RAND()-0.5)*2*$B$6)</f>
        <v>0.29619839194625036</v>
      </c>
      <c r="D955" s="54">
        <f ca="1">MAX(0.02,MCDA_Prioritisation!$B$11+(RAND()-0.5)*2*$B$6)</f>
        <v>0.19359219173309325</v>
      </c>
      <c r="E955" s="54">
        <f ca="1">MAX(0.02,MCDA_Prioritisation!$B$12+(RAND()-0.5)*2*$B$6)</f>
        <v>0.12293162385703986</v>
      </c>
      <c r="F955" s="54">
        <f ca="1">MAX(0.02,MCDA_Prioritisation!$B$13+(RAND()-0.5)*2*$B$6)</f>
        <v>0.19860128664292534</v>
      </c>
      <c r="G955" s="54">
        <f t="shared" ca="1" si="196"/>
        <v>0.95278530774179615</v>
      </c>
      <c r="H955" s="54">
        <f t="shared" ca="1" si="197"/>
        <v>0.14847186707545598</v>
      </c>
      <c r="I955" s="54">
        <f t="shared" ca="1" si="198"/>
        <v>0.31087632181091507</v>
      </c>
      <c r="J955" s="54">
        <f t="shared" ca="1" si="199"/>
        <v>0.20318553420174751</v>
      </c>
      <c r="K955" s="54">
        <f t="shared" ca="1" si="200"/>
        <v>0.12902342517056761</v>
      </c>
      <c r="L955" s="54">
        <f t="shared" ca="1" si="201"/>
        <v>0.20844285174131388</v>
      </c>
      <c r="M955" s="54">
        <f ca="1">MIN(100,MAX(0,MCDA_Prioritisation!$F$2+(RAND()-0.5)*2*$B$7))</f>
        <v>86.340866484152642</v>
      </c>
      <c r="N955" s="54">
        <f ca="1">MIN(100,MAX(0,MCDA_Prioritisation!$F$3+(RAND()-0.5)*2*$B$7))</f>
        <v>98.003475581545246</v>
      </c>
      <c r="O955" s="54">
        <f ca="1">MIN(100,MAX(0,MCDA_Prioritisation!$F$4+(RAND()-0.5)*2*$B$7))</f>
        <v>91.316415544834186</v>
      </c>
      <c r="P955" s="54">
        <f ca="1">MIN(100,MAX(0,MCDA_Prioritisation!$F$5+(RAND()-0.5)*2*$B$7))</f>
        <v>75.129643126993983</v>
      </c>
      <c r="Q955" s="54">
        <f ca="1">MIN(100,MAX(0,MCDA_Prioritisation!$G$2+(RAND()-0.5)*2*$B$7))</f>
        <v>86.977413378148768</v>
      </c>
      <c r="R955" s="54">
        <f ca="1">MIN(100,MAX(0,MCDA_Prioritisation!$G$3+(RAND()-0.5)*2*$B$7))</f>
        <v>85.92450928532557</v>
      </c>
      <c r="S955" s="54">
        <f ca="1">MIN(100,MAX(0,MCDA_Prioritisation!$G$4+(RAND()-0.5)*2*$B$7))</f>
        <v>87.335754448009141</v>
      </c>
      <c r="T955" s="54">
        <f ca="1">MIN(100,MAX(0,MCDA_Prioritisation!$G$5+(RAND()-0.5)*2*$B$7))</f>
        <v>77.987108075314566</v>
      </c>
      <c r="U955" s="54">
        <f ca="1">MIN(100,MAX(0,MCDA_Prioritisation!$H$2+(RAND()-0.5)*2*$B$7))</f>
        <v>60.227204748771335</v>
      </c>
      <c r="V955" s="54">
        <f ca="1">MIN(100,MAX(0,MCDA_Prioritisation!$H$3+(RAND()-0.5)*2*$B$7))</f>
        <v>61.328098395594509</v>
      </c>
      <c r="W955" s="54">
        <f ca="1">MIN(100,MAX(0,MCDA_Prioritisation!$H$4+(RAND()-0.5)*2*$B$7))</f>
        <v>81.512304603497682</v>
      </c>
      <c r="X955" s="54">
        <f ca="1">MIN(100,MAX(0,MCDA_Prioritisation!$H$5+(RAND()-0.5)*2*$B$7))</f>
        <v>65.730219273884543</v>
      </c>
      <c r="Y955" s="54">
        <f ca="1">H955*MCDA_Prioritisation!$D$2+I955*MCDA_Prioritisation!$E$2+J955*M955+K955*Q955+L955*U955</f>
        <v>87.254088065428419</v>
      </c>
      <c r="Z955" s="54">
        <f ca="1">H955*MCDA_Prioritisation!$D$3+I955*MCDA_Prioritisation!$E$3+J955*N955+K955*R955+L955*V955</f>
        <v>79.367725697419047</v>
      </c>
      <c r="AA955" s="54">
        <f ca="1">H955*MCDA_Prioritisation!$D$4+I955*MCDA_Prioritisation!$E$4+J955*O955+K955*S955+L955*W955</f>
        <v>74.108788373085559</v>
      </c>
      <c r="AB955" s="54">
        <f ca="1">H955*MCDA_Prioritisation!$D$5+I955*MCDA_Prioritisation!$E$5+J955*P955+K955*T955+L955*X955</f>
        <v>73.05056380165756</v>
      </c>
      <c r="AC955" s="54">
        <f t="shared" ca="1" si="202"/>
        <v>1</v>
      </c>
      <c r="AD955" s="54">
        <f t="shared" ca="1" si="203"/>
        <v>2</v>
      </c>
      <c r="AE955" s="54">
        <f t="shared" ca="1" si="204"/>
        <v>3</v>
      </c>
      <c r="AF955" s="54">
        <f t="shared" ca="1" si="205"/>
        <v>4</v>
      </c>
      <c r="AG955" s="54">
        <f t="shared" ca="1" si="206"/>
        <v>1</v>
      </c>
      <c r="AH955" s="54">
        <f t="shared" ca="1" si="207"/>
        <v>1</v>
      </c>
      <c r="AI955" s="54">
        <f t="shared" ca="1" si="208"/>
        <v>1</v>
      </c>
      <c r="AJ955" s="54">
        <f t="shared" ca="1" si="209"/>
        <v>1</v>
      </c>
    </row>
    <row r="956" spans="1:36" x14ac:dyDescent="0.2">
      <c r="A956" s="54">
        <v>933</v>
      </c>
      <c r="B956" s="54">
        <f ca="1">MAX(0.02,MCDA_Prioritisation!$B$9+(RAND()-0.5)*2*$B$6)</f>
        <v>0.1345880872994093</v>
      </c>
      <c r="C956" s="54">
        <f ca="1">MAX(0.02,MCDA_Prioritisation!$B$10+(RAND()-0.5)*2*$B$6)</f>
        <v>0.2891316277748221</v>
      </c>
      <c r="D956" s="54">
        <f ca="1">MAX(0.02,MCDA_Prioritisation!$B$11+(RAND()-0.5)*2*$B$6)</f>
        <v>0.29367012163661804</v>
      </c>
      <c r="E956" s="54">
        <f ca="1">MAX(0.02,MCDA_Prioritisation!$B$12+(RAND()-0.5)*2*$B$6)</f>
        <v>0.11891322166857184</v>
      </c>
      <c r="F956" s="54">
        <f ca="1">MAX(0.02,MCDA_Prioritisation!$B$13+(RAND()-0.5)*2*$B$6)</f>
        <v>7.3357503482863684E-2</v>
      </c>
      <c r="G956" s="54">
        <f t="shared" ca="1" si="196"/>
        <v>0.90966056186228506</v>
      </c>
      <c r="H956" s="54">
        <f t="shared" ca="1" si="197"/>
        <v>0.14795418526650911</v>
      </c>
      <c r="I956" s="54">
        <f t="shared" ca="1" si="198"/>
        <v>0.31784562274844907</v>
      </c>
      <c r="J956" s="54">
        <f t="shared" ca="1" si="199"/>
        <v>0.32283483966305798</v>
      </c>
      <c r="K956" s="54">
        <f t="shared" ca="1" si="200"/>
        <v>0.13072263067569845</v>
      </c>
      <c r="L956" s="54">
        <f t="shared" ca="1" si="201"/>
        <v>8.0642721646285234E-2</v>
      </c>
      <c r="M956" s="54">
        <f ca="1">MIN(100,MAX(0,MCDA_Prioritisation!$F$2+(RAND()-0.5)*2*$B$7))</f>
        <v>84.693547169562706</v>
      </c>
      <c r="N956" s="54">
        <f ca="1">MIN(100,MAX(0,MCDA_Prioritisation!$F$3+(RAND()-0.5)*2*$B$7))</f>
        <v>94.951496373895267</v>
      </c>
      <c r="O956" s="54">
        <f ca="1">MIN(100,MAX(0,MCDA_Prioritisation!$F$4+(RAND()-0.5)*2*$B$7))</f>
        <v>95.901843393095717</v>
      </c>
      <c r="P956" s="54">
        <f ca="1">MIN(100,MAX(0,MCDA_Prioritisation!$F$5+(RAND()-0.5)*2*$B$7))</f>
        <v>70.256980525874994</v>
      </c>
      <c r="Q956" s="54">
        <f ca="1">MIN(100,MAX(0,MCDA_Prioritisation!$G$2+(RAND()-0.5)*2*$B$7))</f>
        <v>81.693069106423238</v>
      </c>
      <c r="R956" s="54">
        <f ca="1">MIN(100,MAX(0,MCDA_Prioritisation!$G$3+(RAND()-0.5)*2*$B$7))</f>
        <v>98.538412159217827</v>
      </c>
      <c r="S956" s="54">
        <f ca="1">MIN(100,MAX(0,MCDA_Prioritisation!$G$4+(RAND()-0.5)*2*$B$7))</f>
        <v>87.458218403835915</v>
      </c>
      <c r="T956" s="54">
        <f ca="1">MIN(100,MAX(0,MCDA_Prioritisation!$G$5+(RAND()-0.5)*2*$B$7))</f>
        <v>63.787101696731632</v>
      </c>
      <c r="U956" s="54">
        <f ca="1">MIN(100,MAX(0,MCDA_Prioritisation!$H$2+(RAND()-0.5)*2*$B$7))</f>
        <v>60.085309048624879</v>
      </c>
      <c r="V956" s="54">
        <f ca="1">MIN(100,MAX(0,MCDA_Prioritisation!$H$3+(RAND()-0.5)*2*$B$7))</f>
        <v>62.471311783622433</v>
      </c>
      <c r="W956" s="54">
        <f ca="1">MIN(100,MAX(0,MCDA_Prioritisation!$H$4+(RAND()-0.5)*2*$B$7))</f>
        <v>73.946969695615422</v>
      </c>
      <c r="X956" s="54">
        <f ca="1">MIN(100,MAX(0,MCDA_Prioritisation!$H$5+(RAND()-0.5)*2*$B$7))</f>
        <v>66.285999844417589</v>
      </c>
      <c r="Y956" s="54">
        <f ca="1">H956*MCDA_Prioritisation!$D$2+I956*MCDA_Prioritisation!$E$2+J956*M956+K956*Q956+L956*U956</f>
        <v>89.446584276679786</v>
      </c>
      <c r="Z956" s="54">
        <f ca="1">H956*MCDA_Prioritisation!$D$3+I956*MCDA_Prioritisation!$E$3+J956*N956+K956*R956+L956*V956</f>
        <v>84.619481613108491</v>
      </c>
      <c r="AA956" s="54">
        <f ca="1">H956*MCDA_Prioritisation!$D$4+I956*MCDA_Prioritisation!$E$4+J956*O956+K956*S956+L956*W956</f>
        <v>75.996203179404375</v>
      </c>
      <c r="AB956" s="54">
        <f ca="1">H956*MCDA_Prioritisation!$D$5+I956*MCDA_Prioritisation!$E$5+J956*P956+K956*T956+L956*X956</f>
        <v>70.946029618124456</v>
      </c>
      <c r="AC956" s="54">
        <f t="shared" ca="1" si="202"/>
        <v>1</v>
      </c>
      <c r="AD956" s="54">
        <f t="shared" ca="1" si="203"/>
        <v>2</v>
      </c>
      <c r="AE956" s="54">
        <f t="shared" ca="1" si="204"/>
        <v>3</v>
      </c>
      <c r="AF956" s="54">
        <f t="shared" ca="1" si="205"/>
        <v>4</v>
      </c>
      <c r="AG956" s="54">
        <f t="shared" ca="1" si="206"/>
        <v>1</v>
      </c>
      <c r="AH956" s="54">
        <f t="shared" ca="1" si="207"/>
        <v>1</v>
      </c>
      <c r="AI956" s="54">
        <f t="shared" ca="1" si="208"/>
        <v>1</v>
      </c>
      <c r="AJ956" s="54">
        <f t="shared" ca="1" si="209"/>
        <v>1</v>
      </c>
    </row>
    <row r="957" spans="1:36" x14ac:dyDescent="0.2">
      <c r="A957" s="54">
        <v>934</v>
      </c>
      <c r="B957" s="54">
        <f ca="1">MAX(0.02,MCDA_Prioritisation!$B$9+(RAND()-0.5)*2*$B$6)</f>
        <v>0.25901515305609185</v>
      </c>
      <c r="C957" s="54">
        <f ca="1">MAX(0.02,MCDA_Prioritisation!$B$10+(RAND()-0.5)*2*$B$6)</f>
        <v>0.27538255724385002</v>
      </c>
      <c r="D957" s="54">
        <f ca="1">MAX(0.02,MCDA_Prioritisation!$B$11+(RAND()-0.5)*2*$B$6)</f>
        <v>0.19576886863766194</v>
      </c>
      <c r="E957" s="54">
        <f ca="1">MAX(0.02,MCDA_Prioritisation!$B$12+(RAND()-0.5)*2*$B$6)</f>
        <v>0.16489802019561098</v>
      </c>
      <c r="F957" s="54">
        <f ca="1">MAX(0.02,MCDA_Prioritisation!$B$13+(RAND()-0.5)*2*$B$6)</f>
        <v>0.20049502853622755</v>
      </c>
      <c r="G957" s="54">
        <f t="shared" ca="1" si="196"/>
        <v>1.0955596276694424</v>
      </c>
      <c r="H957" s="54">
        <f t="shared" ca="1" si="197"/>
        <v>0.23642268892939086</v>
      </c>
      <c r="I957" s="54">
        <f t="shared" ca="1" si="198"/>
        <v>0.25136245466589957</v>
      </c>
      <c r="J957" s="54">
        <f t="shared" ca="1" si="199"/>
        <v>0.17869302929144654</v>
      </c>
      <c r="K957" s="54">
        <f t="shared" ca="1" si="200"/>
        <v>0.15051487480092213</v>
      </c>
      <c r="L957" s="54">
        <f t="shared" ca="1" si="201"/>
        <v>0.18300695231234088</v>
      </c>
      <c r="M957" s="54">
        <f ca="1">MIN(100,MAX(0,MCDA_Prioritisation!$F$2+(RAND()-0.5)*2*$B$7))</f>
        <v>93.686116466214983</v>
      </c>
      <c r="N957" s="54">
        <f ca="1">MIN(100,MAX(0,MCDA_Prioritisation!$F$3+(RAND()-0.5)*2*$B$7))</f>
        <v>100</v>
      </c>
      <c r="O957" s="54">
        <f ca="1">MIN(100,MAX(0,MCDA_Prioritisation!$F$4+(RAND()-0.5)*2*$B$7))</f>
        <v>94.991074918446103</v>
      </c>
      <c r="P957" s="54">
        <f ca="1">MIN(100,MAX(0,MCDA_Prioritisation!$F$5+(RAND()-0.5)*2*$B$7))</f>
        <v>82.944029908440712</v>
      </c>
      <c r="Q957" s="54">
        <f ca="1">MIN(100,MAX(0,MCDA_Prioritisation!$G$2+(RAND()-0.5)*2*$B$7))</f>
        <v>78.147862105031749</v>
      </c>
      <c r="R957" s="54">
        <f ca="1">MIN(100,MAX(0,MCDA_Prioritisation!$G$3+(RAND()-0.5)*2*$B$7))</f>
        <v>100</v>
      </c>
      <c r="S957" s="54">
        <f ca="1">MIN(100,MAX(0,MCDA_Prioritisation!$G$4+(RAND()-0.5)*2*$B$7))</f>
        <v>75.33017834291941</v>
      </c>
      <c r="T957" s="54">
        <f ca="1">MIN(100,MAX(0,MCDA_Prioritisation!$G$5+(RAND()-0.5)*2*$B$7))</f>
        <v>69.157881612441315</v>
      </c>
      <c r="U957" s="54">
        <f ca="1">MIN(100,MAX(0,MCDA_Prioritisation!$H$2+(RAND()-0.5)*2*$B$7))</f>
        <v>67.627620378333162</v>
      </c>
      <c r="V957" s="54">
        <f ca="1">MIN(100,MAX(0,MCDA_Prioritisation!$H$3+(RAND()-0.5)*2*$B$7))</f>
        <v>56.62534544171703</v>
      </c>
      <c r="W957" s="54">
        <f ca="1">MIN(100,MAX(0,MCDA_Prioritisation!$H$4+(RAND()-0.5)*2*$B$7))</f>
        <v>74.035489472726312</v>
      </c>
      <c r="X957" s="54">
        <f ca="1">MIN(100,MAX(0,MCDA_Prioritisation!$H$5+(RAND()-0.5)*2*$B$7))</f>
        <v>77.69917962689405</v>
      </c>
      <c r="Y957" s="54">
        <f ca="1">H957*MCDA_Prioritisation!$D$2+I957*MCDA_Prioritisation!$E$2+J957*M957+K957*Q957+L957*U957</f>
        <v>89.658310691701558</v>
      </c>
      <c r="Z957" s="54">
        <f ca="1">H957*MCDA_Prioritisation!$D$3+I957*MCDA_Prioritisation!$E$3+J957*N957+K957*R957+L957*V957</f>
        <v>82.227123837810041</v>
      </c>
      <c r="AA957" s="54">
        <f ca="1">H957*MCDA_Prioritisation!$D$4+I957*MCDA_Prioritisation!$E$4+J957*O957+K957*S957+L957*W957</f>
        <v>72.035330154092406</v>
      </c>
      <c r="AB957" s="54">
        <f ca="1">H957*MCDA_Prioritisation!$D$5+I957*MCDA_Prioritisation!$E$5+J957*P957+K957*T957+L957*X957</f>
        <v>73.135941832238146</v>
      </c>
      <c r="AC957" s="54">
        <f t="shared" ca="1" si="202"/>
        <v>1</v>
      </c>
      <c r="AD957" s="54">
        <f t="shared" ca="1" si="203"/>
        <v>2</v>
      </c>
      <c r="AE957" s="54">
        <f t="shared" ca="1" si="204"/>
        <v>4</v>
      </c>
      <c r="AF957" s="54">
        <f t="shared" ca="1" si="205"/>
        <v>3</v>
      </c>
      <c r="AG957" s="54">
        <f t="shared" ca="1" si="206"/>
        <v>1</v>
      </c>
      <c r="AH957" s="54">
        <f t="shared" ca="1" si="207"/>
        <v>1</v>
      </c>
      <c r="AI957" s="54">
        <f t="shared" ca="1" si="208"/>
        <v>0</v>
      </c>
      <c r="AJ957" s="54">
        <f t="shared" ca="1" si="209"/>
        <v>1</v>
      </c>
    </row>
    <row r="958" spans="1:36" x14ac:dyDescent="0.2">
      <c r="A958" s="54">
        <v>935</v>
      </c>
      <c r="B958" s="54">
        <f ca="1">MAX(0.02,MCDA_Prioritisation!$B$9+(RAND()-0.5)*2*$B$6)</f>
        <v>0.23257738533636538</v>
      </c>
      <c r="C958" s="54">
        <f ca="1">MAX(0.02,MCDA_Prioritisation!$B$10+(RAND()-0.5)*2*$B$6)</f>
        <v>0.19196175101574964</v>
      </c>
      <c r="D958" s="54">
        <f ca="1">MAX(0.02,MCDA_Prioritisation!$B$11+(RAND()-0.5)*2*$B$6)</f>
        <v>0.28092691833673189</v>
      </c>
      <c r="E958" s="54">
        <f ca="1">MAX(0.02,MCDA_Prioritisation!$B$12+(RAND()-0.5)*2*$B$6)</f>
        <v>7.8470839490386107E-2</v>
      </c>
      <c r="F958" s="54">
        <f ca="1">MAX(0.02,MCDA_Prioritisation!$B$13+(RAND()-0.5)*2*$B$6)</f>
        <v>7.8526881065662663E-2</v>
      </c>
      <c r="G958" s="54">
        <f t="shared" ca="1" si="196"/>
        <v>0.8624637752448957</v>
      </c>
      <c r="H958" s="54">
        <f t="shared" ca="1" si="197"/>
        <v>0.26966626542700334</v>
      </c>
      <c r="I958" s="54">
        <f t="shared" ca="1" si="198"/>
        <v>0.22257369703584629</v>
      </c>
      <c r="J958" s="54">
        <f t="shared" ca="1" si="199"/>
        <v>0.32572604948765876</v>
      </c>
      <c r="K958" s="54">
        <f t="shared" ca="1" si="200"/>
        <v>9.098450479048166E-2</v>
      </c>
      <c r="L958" s="54">
        <f t="shared" ca="1" si="201"/>
        <v>9.1049483259009967E-2</v>
      </c>
      <c r="M958" s="54">
        <f ca="1">MIN(100,MAX(0,MCDA_Prioritisation!$F$2+(RAND()-0.5)*2*$B$7))</f>
        <v>75.121791050072531</v>
      </c>
      <c r="N958" s="54">
        <f ca="1">MIN(100,MAX(0,MCDA_Prioritisation!$F$3+(RAND()-0.5)*2*$B$7))</f>
        <v>87.377043742585641</v>
      </c>
      <c r="O958" s="54">
        <f ca="1">MIN(100,MAX(0,MCDA_Prioritisation!$F$4+(RAND()-0.5)*2*$B$7))</f>
        <v>85.972763953588682</v>
      </c>
      <c r="P958" s="54">
        <f ca="1">MIN(100,MAX(0,MCDA_Prioritisation!$F$5+(RAND()-0.5)*2*$B$7))</f>
        <v>80.24898945163423</v>
      </c>
      <c r="Q958" s="54">
        <f ca="1">MIN(100,MAX(0,MCDA_Prioritisation!$G$2+(RAND()-0.5)*2*$B$7))</f>
        <v>87.583227643065555</v>
      </c>
      <c r="R958" s="54">
        <f ca="1">MIN(100,MAX(0,MCDA_Prioritisation!$G$3+(RAND()-0.5)*2*$B$7))</f>
        <v>97.081795367534426</v>
      </c>
      <c r="S958" s="54">
        <f ca="1">MIN(100,MAX(0,MCDA_Prioritisation!$G$4+(RAND()-0.5)*2*$B$7))</f>
        <v>82.993756242087429</v>
      </c>
      <c r="T958" s="54">
        <f ca="1">MIN(100,MAX(0,MCDA_Prioritisation!$G$5+(RAND()-0.5)*2*$B$7))</f>
        <v>76.875268660356582</v>
      </c>
      <c r="U958" s="54">
        <f ca="1">MIN(100,MAX(0,MCDA_Prioritisation!$H$2+(RAND()-0.5)*2*$B$7))</f>
        <v>67.956774053234895</v>
      </c>
      <c r="V958" s="54">
        <f ca="1">MIN(100,MAX(0,MCDA_Prioritisation!$H$3+(RAND()-0.5)*2*$B$7))</f>
        <v>63.42697938089848</v>
      </c>
      <c r="W958" s="54">
        <f ca="1">MIN(100,MAX(0,MCDA_Prioritisation!$H$4+(RAND()-0.5)*2*$B$7))</f>
        <v>84.113347010880034</v>
      </c>
      <c r="X958" s="54">
        <f ca="1">MIN(100,MAX(0,MCDA_Prioritisation!$H$5+(RAND()-0.5)*2*$B$7))</f>
        <v>81.259961587177301</v>
      </c>
      <c r="Y958" s="54">
        <f ca="1">H958*MCDA_Prioritisation!$D$2+I958*MCDA_Prioritisation!$E$2+J958*M958+K958*Q958+L958*U958</f>
        <v>87.84926623201514</v>
      </c>
      <c r="Z958" s="54">
        <f ca="1">H958*MCDA_Prioritisation!$D$3+I958*MCDA_Prioritisation!$E$3+J958*N958+K958*R958+L958*V958</f>
        <v>82.824069266777997</v>
      </c>
      <c r="AA958" s="54">
        <f ca="1">H958*MCDA_Prioritisation!$D$4+I958*MCDA_Prioritisation!$E$4+J958*O958+K958*S958+L958*W958</f>
        <v>74.13154829779954</v>
      </c>
      <c r="AB958" s="54">
        <f ca="1">H958*MCDA_Prioritisation!$D$5+I958*MCDA_Prioritisation!$E$5+J958*P958+K958*T958+L958*X958</f>
        <v>73.561523587255053</v>
      </c>
      <c r="AC958" s="54">
        <f t="shared" ca="1" si="202"/>
        <v>1</v>
      </c>
      <c r="AD958" s="54">
        <f t="shared" ca="1" si="203"/>
        <v>2</v>
      </c>
      <c r="AE958" s="54">
        <f t="shared" ca="1" si="204"/>
        <v>3</v>
      </c>
      <c r="AF958" s="54">
        <f t="shared" ca="1" si="205"/>
        <v>4</v>
      </c>
      <c r="AG958" s="54">
        <f t="shared" ca="1" si="206"/>
        <v>1</v>
      </c>
      <c r="AH958" s="54">
        <f t="shared" ca="1" si="207"/>
        <v>1</v>
      </c>
      <c r="AI958" s="54">
        <f t="shared" ca="1" si="208"/>
        <v>1</v>
      </c>
      <c r="AJ958" s="54">
        <f t="shared" ca="1" si="209"/>
        <v>1</v>
      </c>
    </row>
    <row r="959" spans="1:36" x14ac:dyDescent="0.2">
      <c r="A959" s="54">
        <v>936</v>
      </c>
      <c r="B959" s="54">
        <f ca="1">MAX(0.02,MCDA_Prioritisation!$B$9+(RAND()-0.5)*2*$B$6)</f>
        <v>0.27994749638949296</v>
      </c>
      <c r="C959" s="54">
        <f ca="1">MAX(0.02,MCDA_Prioritisation!$B$10+(RAND()-0.5)*2*$B$6)</f>
        <v>0.17863989595716642</v>
      </c>
      <c r="D959" s="54">
        <f ca="1">MAX(0.02,MCDA_Prioritisation!$B$11+(RAND()-0.5)*2*$B$6)</f>
        <v>0.26492762303157907</v>
      </c>
      <c r="E959" s="54">
        <f ca="1">MAX(0.02,MCDA_Prioritisation!$B$12+(RAND()-0.5)*2*$B$6)</f>
        <v>0.18515276486381571</v>
      </c>
      <c r="F959" s="54">
        <f ca="1">MAX(0.02,MCDA_Prioritisation!$B$13+(RAND()-0.5)*2*$B$6)</f>
        <v>0.12037559087226656</v>
      </c>
      <c r="G959" s="54">
        <f t="shared" ca="1" si="196"/>
        <v>1.0290433711143205</v>
      </c>
      <c r="H959" s="54">
        <f t="shared" ca="1" si="197"/>
        <v>0.27204635319339954</v>
      </c>
      <c r="I959" s="54">
        <f t="shared" ca="1" si="198"/>
        <v>0.17359802411799474</v>
      </c>
      <c r="J959" s="54">
        <f t="shared" ca="1" si="199"/>
        <v>0.25745039564726685</v>
      </c>
      <c r="K959" s="54">
        <f t="shared" ca="1" si="200"/>
        <v>0.17992707602141131</v>
      </c>
      <c r="L959" s="54">
        <f t="shared" ca="1" si="201"/>
        <v>0.11697815101992776</v>
      </c>
      <c r="M959" s="54">
        <f ca="1">MIN(100,MAX(0,MCDA_Prioritisation!$F$2+(RAND()-0.5)*2*$B$7))</f>
        <v>76.246249787035268</v>
      </c>
      <c r="N959" s="54">
        <f ca="1">MIN(100,MAX(0,MCDA_Prioritisation!$F$3+(RAND()-0.5)*2*$B$7))</f>
        <v>95.886270903292782</v>
      </c>
      <c r="O959" s="54">
        <f ca="1">MIN(100,MAX(0,MCDA_Prioritisation!$F$4+(RAND()-0.5)*2*$B$7))</f>
        <v>88.747244034893171</v>
      </c>
      <c r="P959" s="54">
        <f ca="1">MIN(100,MAX(0,MCDA_Prioritisation!$F$5+(RAND()-0.5)*2*$B$7))</f>
        <v>82.963198836706795</v>
      </c>
      <c r="Q959" s="54">
        <f ca="1">MIN(100,MAX(0,MCDA_Prioritisation!$G$2+(RAND()-0.5)*2*$B$7))</f>
        <v>82.712909032108541</v>
      </c>
      <c r="R959" s="54">
        <f ca="1">MIN(100,MAX(0,MCDA_Prioritisation!$G$3+(RAND()-0.5)*2*$B$7))</f>
        <v>100</v>
      </c>
      <c r="S959" s="54">
        <f ca="1">MIN(100,MAX(0,MCDA_Prioritisation!$G$4+(RAND()-0.5)*2*$B$7))</f>
        <v>77.043212020070555</v>
      </c>
      <c r="T959" s="54">
        <f ca="1">MIN(100,MAX(0,MCDA_Prioritisation!$G$5+(RAND()-0.5)*2*$B$7))</f>
        <v>73.453297431611389</v>
      </c>
      <c r="U959" s="54">
        <f ca="1">MIN(100,MAX(0,MCDA_Prioritisation!$H$2+(RAND()-0.5)*2*$B$7))</f>
        <v>63.631042932961009</v>
      </c>
      <c r="V959" s="54">
        <f ca="1">MIN(100,MAX(0,MCDA_Prioritisation!$H$3+(RAND()-0.5)*2*$B$7))</f>
        <v>56.119679177154879</v>
      </c>
      <c r="W959" s="54">
        <f ca="1">MIN(100,MAX(0,MCDA_Prioritisation!$H$4+(RAND()-0.5)*2*$B$7))</f>
        <v>80.011306237101422</v>
      </c>
      <c r="X959" s="54">
        <f ca="1">MIN(100,MAX(0,MCDA_Prioritisation!$H$5+(RAND()-0.5)*2*$B$7))</f>
        <v>79.360654109846735</v>
      </c>
      <c r="Y959" s="54">
        <f ca="1">H959*MCDA_Prioritisation!$D$2+I959*MCDA_Prioritisation!$E$2+J959*M959+K959*Q959+L959*U959</f>
        <v>86.519798526571677</v>
      </c>
      <c r="Z959" s="54">
        <f ca="1">H959*MCDA_Prioritisation!$D$3+I959*MCDA_Prioritisation!$E$3+J959*N959+K959*R959+L959*V959</f>
        <v>85.644744535554523</v>
      </c>
      <c r="AA959" s="54">
        <f ca="1">H959*MCDA_Prioritisation!$D$4+I959*MCDA_Prioritisation!$E$4+J959*O959+K959*S959+L959*W959</f>
        <v>74.482439538002225</v>
      </c>
      <c r="AB959" s="54">
        <f ca="1">H959*MCDA_Prioritisation!$D$5+I959*MCDA_Prioritisation!$E$5+J959*P959+K959*T959+L959*X959</f>
        <v>72.895725910170384</v>
      </c>
      <c r="AC959" s="54">
        <f t="shared" ca="1" si="202"/>
        <v>1</v>
      </c>
      <c r="AD959" s="54">
        <f t="shared" ca="1" si="203"/>
        <v>2</v>
      </c>
      <c r="AE959" s="54">
        <f t="shared" ca="1" si="204"/>
        <v>3</v>
      </c>
      <c r="AF959" s="54">
        <f t="shared" ca="1" si="205"/>
        <v>4</v>
      </c>
      <c r="AG959" s="54">
        <f t="shared" ca="1" si="206"/>
        <v>1</v>
      </c>
      <c r="AH959" s="54">
        <f t="shared" ca="1" si="207"/>
        <v>1</v>
      </c>
      <c r="AI959" s="54">
        <f t="shared" ca="1" si="208"/>
        <v>1</v>
      </c>
      <c r="AJ959" s="54">
        <f t="shared" ca="1" si="209"/>
        <v>1</v>
      </c>
    </row>
    <row r="960" spans="1:36" x14ac:dyDescent="0.2">
      <c r="A960" s="54">
        <v>937</v>
      </c>
      <c r="B960" s="54">
        <f ca="1">MAX(0.02,MCDA_Prioritisation!$B$9+(RAND()-0.5)*2*$B$6)</f>
        <v>0.26559967343185331</v>
      </c>
      <c r="C960" s="54">
        <f ca="1">MAX(0.02,MCDA_Prioritisation!$B$10+(RAND()-0.5)*2*$B$6)</f>
        <v>0.30114600836874195</v>
      </c>
      <c r="D960" s="54">
        <f ca="1">MAX(0.02,MCDA_Prioritisation!$B$11+(RAND()-0.5)*2*$B$6)</f>
        <v>0.23990100688455976</v>
      </c>
      <c r="E960" s="54">
        <f ca="1">MAX(0.02,MCDA_Prioritisation!$B$12+(RAND()-0.5)*2*$B$6)</f>
        <v>7.8163694565669364E-2</v>
      </c>
      <c r="F960" s="54">
        <f ca="1">MAX(0.02,MCDA_Prioritisation!$B$13+(RAND()-0.5)*2*$B$6)</f>
        <v>0.21029323997149957</v>
      </c>
      <c r="G960" s="54">
        <f t="shared" ca="1" si="196"/>
        <v>1.0951036232223239</v>
      </c>
      <c r="H960" s="54">
        <f t="shared" ca="1" si="197"/>
        <v>0.24253382766676523</v>
      </c>
      <c r="I960" s="54">
        <f t="shared" ca="1" si="198"/>
        <v>0.2749931622750228</v>
      </c>
      <c r="J960" s="54">
        <f t="shared" ca="1" si="199"/>
        <v>0.21906694654032383</v>
      </c>
      <c r="K960" s="54">
        <f t="shared" ca="1" si="200"/>
        <v>7.1375614972101015E-2</v>
      </c>
      <c r="L960" s="54">
        <f t="shared" ca="1" si="201"/>
        <v>0.19203044854578716</v>
      </c>
      <c r="M960" s="54">
        <f ca="1">MIN(100,MAX(0,MCDA_Prioritisation!$F$2+(RAND()-0.5)*2*$B$7))</f>
        <v>92.777816352615531</v>
      </c>
      <c r="N960" s="54">
        <f ca="1">MIN(100,MAX(0,MCDA_Prioritisation!$F$3+(RAND()-0.5)*2*$B$7))</f>
        <v>100</v>
      </c>
      <c r="O960" s="54">
        <f ca="1">MIN(100,MAX(0,MCDA_Prioritisation!$F$4+(RAND()-0.5)*2*$B$7))</f>
        <v>88.533620266394109</v>
      </c>
      <c r="P960" s="54">
        <f ca="1">MIN(100,MAX(0,MCDA_Prioritisation!$F$5+(RAND()-0.5)*2*$B$7))</f>
        <v>82.798760858453448</v>
      </c>
      <c r="Q960" s="54">
        <f ca="1">MIN(100,MAX(0,MCDA_Prioritisation!$G$2+(RAND()-0.5)*2*$B$7))</f>
        <v>85.149953890495581</v>
      </c>
      <c r="R960" s="54">
        <f ca="1">MIN(100,MAX(0,MCDA_Prioritisation!$G$3+(RAND()-0.5)*2*$B$7))</f>
        <v>96.33824407415598</v>
      </c>
      <c r="S960" s="54">
        <f ca="1">MIN(100,MAX(0,MCDA_Prioritisation!$G$4+(RAND()-0.5)*2*$B$7))</f>
        <v>88.357059224779164</v>
      </c>
      <c r="T960" s="54">
        <f ca="1">MIN(100,MAX(0,MCDA_Prioritisation!$G$5+(RAND()-0.5)*2*$B$7))</f>
        <v>72.095311552591284</v>
      </c>
      <c r="U960" s="54">
        <f ca="1">MIN(100,MAX(0,MCDA_Prioritisation!$H$2+(RAND()-0.5)*2*$B$7))</f>
        <v>63.425293622911582</v>
      </c>
      <c r="V960" s="54">
        <f ca="1">MIN(100,MAX(0,MCDA_Prioritisation!$H$3+(RAND()-0.5)*2*$B$7))</f>
        <v>65.559741372986466</v>
      </c>
      <c r="W960" s="54">
        <f ca="1">MIN(100,MAX(0,MCDA_Prioritisation!$H$4+(RAND()-0.5)*2*$B$7))</f>
        <v>87.507201757117357</v>
      </c>
      <c r="X960" s="54">
        <f ca="1">MIN(100,MAX(0,MCDA_Prioritisation!$H$5+(RAND()-0.5)*2*$B$7))</f>
        <v>81.174517004305443</v>
      </c>
      <c r="Y960" s="54">
        <f ca="1">H960*MCDA_Prioritisation!$D$2+I960*MCDA_Prioritisation!$E$2+J960*M960+K960*Q960+L960*U960</f>
        <v>90.33446983656134</v>
      </c>
      <c r="Z960" s="54">
        <f ca="1">H960*MCDA_Prioritisation!$D$3+I960*MCDA_Prioritisation!$E$3+J960*N960+K960*R960+L960*V960</f>
        <v>82.568555275161771</v>
      </c>
      <c r="AA960" s="54">
        <f ca="1">H960*MCDA_Prioritisation!$D$4+I960*MCDA_Prioritisation!$E$4+J960*O960+K960*S960+L960*W960</f>
        <v>74.393633534010462</v>
      </c>
      <c r="AB960" s="54">
        <f ca="1">H960*MCDA_Prioritisation!$D$5+I960*MCDA_Prioritisation!$E$5+J960*P960+K960*T960+L960*X960</f>
        <v>74.869421552881136</v>
      </c>
      <c r="AC960" s="54">
        <f t="shared" ca="1" si="202"/>
        <v>1</v>
      </c>
      <c r="AD960" s="54">
        <f t="shared" ca="1" si="203"/>
        <v>2</v>
      </c>
      <c r="AE960" s="54">
        <f t="shared" ca="1" si="204"/>
        <v>4</v>
      </c>
      <c r="AF960" s="54">
        <f t="shared" ca="1" si="205"/>
        <v>3</v>
      </c>
      <c r="AG960" s="54">
        <f t="shared" ca="1" si="206"/>
        <v>1</v>
      </c>
      <c r="AH960" s="54">
        <f t="shared" ca="1" si="207"/>
        <v>1</v>
      </c>
      <c r="AI960" s="54">
        <f t="shared" ca="1" si="208"/>
        <v>0</v>
      </c>
      <c r="AJ960" s="54">
        <f t="shared" ca="1" si="209"/>
        <v>1</v>
      </c>
    </row>
    <row r="961" spans="1:36" x14ac:dyDescent="0.2">
      <c r="A961" s="54">
        <v>938</v>
      </c>
      <c r="B961" s="54">
        <f ca="1">MAX(0.02,MCDA_Prioritisation!$B$9+(RAND()-0.5)*2*$B$6)</f>
        <v>0.20157291959007023</v>
      </c>
      <c r="C961" s="54">
        <f ca="1">MAX(0.02,MCDA_Prioritisation!$B$10+(RAND()-0.5)*2*$B$6)</f>
        <v>0.28200481725318827</v>
      </c>
      <c r="D961" s="54">
        <f ca="1">MAX(0.02,MCDA_Prioritisation!$B$11+(RAND()-0.5)*2*$B$6)</f>
        <v>0.21138325199476049</v>
      </c>
      <c r="E961" s="54">
        <f ca="1">MAX(0.02,MCDA_Prioritisation!$B$12+(RAND()-0.5)*2*$B$6)</f>
        <v>0.12016776487528197</v>
      </c>
      <c r="F961" s="54">
        <f ca="1">MAX(0.02,MCDA_Prioritisation!$B$13+(RAND()-0.5)*2*$B$6)</f>
        <v>0.13857920517656749</v>
      </c>
      <c r="G961" s="54">
        <f t="shared" ca="1" si="196"/>
        <v>0.95370795888986848</v>
      </c>
      <c r="H961" s="54">
        <f t="shared" ca="1" si="197"/>
        <v>0.21135706975194415</v>
      </c>
      <c r="I961" s="54">
        <f t="shared" ca="1" si="198"/>
        <v>0.29569305218071834</v>
      </c>
      <c r="J961" s="54">
        <f t="shared" ca="1" si="199"/>
        <v>0.22164358598916803</v>
      </c>
      <c r="K961" s="54">
        <f t="shared" ca="1" si="200"/>
        <v>0.12600058933676006</v>
      </c>
      <c r="L961" s="54">
        <f t="shared" ca="1" si="201"/>
        <v>0.14530570274140936</v>
      </c>
      <c r="M961" s="54">
        <f ca="1">MIN(100,MAX(0,MCDA_Prioritisation!$F$2+(RAND()-0.5)*2*$B$7))</f>
        <v>87.041968278609431</v>
      </c>
      <c r="N961" s="54">
        <f ca="1">MIN(100,MAX(0,MCDA_Prioritisation!$F$3+(RAND()-0.5)*2*$B$7))</f>
        <v>95.870635620651711</v>
      </c>
      <c r="O961" s="54">
        <f ca="1">MIN(100,MAX(0,MCDA_Prioritisation!$F$4+(RAND()-0.5)*2*$B$7))</f>
        <v>87.691242677781503</v>
      </c>
      <c r="P961" s="54">
        <f ca="1">MIN(100,MAX(0,MCDA_Prioritisation!$F$5+(RAND()-0.5)*2*$B$7))</f>
        <v>74.377241909934952</v>
      </c>
      <c r="Q961" s="54">
        <f ca="1">MIN(100,MAX(0,MCDA_Prioritisation!$G$2+(RAND()-0.5)*2*$B$7))</f>
        <v>88.356677985868586</v>
      </c>
      <c r="R961" s="54">
        <f ca="1">MIN(100,MAX(0,MCDA_Prioritisation!$G$3+(RAND()-0.5)*2*$B$7))</f>
        <v>93.038504903721048</v>
      </c>
      <c r="S961" s="54">
        <f ca="1">MIN(100,MAX(0,MCDA_Prioritisation!$G$4+(RAND()-0.5)*2*$B$7))</f>
        <v>90.730845420993774</v>
      </c>
      <c r="T961" s="54">
        <f ca="1">MIN(100,MAX(0,MCDA_Prioritisation!$G$5+(RAND()-0.5)*2*$B$7))</f>
        <v>61.86218861487243</v>
      </c>
      <c r="U961" s="54">
        <f ca="1">MIN(100,MAX(0,MCDA_Prioritisation!$H$2+(RAND()-0.5)*2*$B$7))</f>
        <v>56.097125258929559</v>
      </c>
      <c r="V961" s="54">
        <f ca="1">MIN(100,MAX(0,MCDA_Prioritisation!$H$3+(RAND()-0.5)*2*$B$7))</f>
        <v>50.130709623304817</v>
      </c>
      <c r="W961" s="54">
        <f ca="1">MIN(100,MAX(0,MCDA_Prioritisation!$H$4+(RAND()-0.5)*2*$B$7))</f>
        <v>84.614699748407617</v>
      </c>
      <c r="X961" s="54">
        <f ca="1">MIN(100,MAX(0,MCDA_Prioritisation!$H$5+(RAND()-0.5)*2*$B$7))</f>
        <v>78.825595370005402</v>
      </c>
      <c r="Y961" s="54">
        <f ca="1">H961*MCDA_Prioritisation!$D$2+I961*MCDA_Prioritisation!$E$2+J961*M961+K961*Q961+L961*U961</f>
        <v>89.281531879672059</v>
      </c>
      <c r="Z961" s="54">
        <f ca="1">H961*MCDA_Prioritisation!$D$3+I961*MCDA_Prioritisation!$E$3+J961*N961+K961*R961+L961*V961</f>
        <v>80.233185010713598</v>
      </c>
      <c r="AA961" s="54">
        <f ca="1">H961*MCDA_Prioritisation!$D$4+I961*MCDA_Prioritisation!$E$4+J961*O961+K961*S961+L961*W961</f>
        <v>74.009715681070247</v>
      </c>
      <c r="AB961" s="54">
        <f ca="1">H961*MCDA_Prioritisation!$D$5+I961*MCDA_Prioritisation!$E$5+J961*P961+K961*T961+L961*X961</f>
        <v>71.816781482249993</v>
      </c>
      <c r="AC961" s="54">
        <f t="shared" ca="1" si="202"/>
        <v>1</v>
      </c>
      <c r="AD961" s="54">
        <f t="shared" ca="1" si="203"/>
        <v>2</v>
      </c>
      <c r="AE961" s="54">
        <f t="shared" ca="1" si="204"/>
        <v>3</v>
      </c>
      <c r="AF961" s="54">
        <f t="shared" ca="1" si="205"/>
        <v>4</v>
      </c>
      <c r="AG961" s="54">
        <f t="shared" ca="1" si="206"/>
        <v>1</v>
      </c>
      <c r="AH961" s="54">
        <f t="shared" ca="1" si="207"/>
        <v>1</v>
      </c>
      <c r="AI961" s="54">
        <f t="shared" ca="1" si="208"/>
        <v>1</v>
      </c>
      <c r="AJ961" s="54">
        <f t="shared" ca="1" si="209"/>
        <v>1</v>
      </c>
    </row>
    <row r="962" spans="1:36" x14ac:dyDescent="0.2">
      <c r="A962" s="54">
        <v>939</v>
      </c>
      <c r="B962" s="54">
        <f ca="1">MAX(0.02,MCDA_Prioritisation!$B$9+(RAND()-0.5)*2*$B$6)</f>
        <v>0.17215247068200573</v>
      </c>
      <c r="C962" s="54">
        <f ca="1">MAX(0.02,MCDA_Prioritisation!$B$10+(RAND()-0.5)*2*$B$6)</f>
        <v>0.21490292572913311</v>
      </c>
      <c r="D962" s="54">
        <f ca="1">MAX(0.02,MCDA_Prioritisation!$B$11+(RAND()-0.5)*2*$B$6)</f>
        <v>0.19246998474820703</v>
      </c>
      <c r="E962" s="54">
        <f ca="1">MAX(0.02,MCDA_Prioritisation!$B$12+(RAND()-0.5)*2*$B$6)</f>
        <v>0.22106679372638385</v>
      </c>
      <c r="F962" s="54">
        <f ca="1">MAX(0.02,MCDA_Prioritisation!$B$13+(RAND()-0.5)*2*$B$6)</f>
        <v>0.13412850556263642</v>
      </c>
      <c r="G962" s="54">
        <f t="shared" ca="1" si="196"/>
        <v>0.9347206804483662</v>
      </c>
      <c r="H962" s="54">
        <f t="shared" ca="1" si="197"/>
        <v>0.18417530956887329</v>
      </c>
      <c r="I962" s="54">
        <f t="shared" ca="1" si="198"/>
        <v>0.22991138446412529</v>
      </c>
      <c r="J962" s="54">
        <f t="shared" ca="1" si="199"/>
        <v>0.20591176463099453</v>
      </c>
      <c r="K962" s="54">
        <f t="shared" ca="1" si="200"/>
        <v>0.23650572663091468</v>
      </c>
      <c r="L962" s="54">
        <f t="shared" ca="1" si="201"/>
        <v>0.14349581470509215</v>
      </c>
      <c r="M962" s="54">
        <f ca="1">MIN(100,MAX(0,MCDA_Prioritisation!$F$2+(RAND()-0.5)*2*$B$7))</f>
        <v>93.251301036551595</v>
      </c>
      <c r="N962" s="54">
        <f ca="1">MIN(100,MAX(0,MCDA_Prioritisation!$F$3+(RAND()-0.5)*2*$B$7))</f>
        <v>89.594132492225313</v>
      </c>
      <c r="O962" s="54">
        <f ca="1">MIN(100,MAX(0,MCDA_Prioritisation!$F$4+(RAND()-0.5)*2*$B$7))</f>
        <v>86.533471049461696</v>
      </c>
      <c r="P962" s="54">
        <f ca="1">MIN(100,MAX(0,MCDA_Prioritisation!$F$5+(RAND()-0.5)*2*$B$7))</f>
        <v>81.228566487918215</v>
      </c>
      <c r="Q962" s="54">
        <f ca="1">MIN(100,MAX(0,MCDA_Prioritisation!$G$2+(RAND()-0.5)*2*$B$7))</f>
        <v>87.120127971289435</v>
      </c>
      <c r="R962" s="54">
        <f ca="1">MIN(100,MAX(0,MCDA_Prioritisation!$G$3+(RAND()-0.5)*2*$B$7))</f>
        <v>100</v>
      </c>
      <c r="S962" s="54">
        <f ca="1">MIN(100,MAX(0,MCDA_Prioritisation!$G$4+(RAND()-0.5)*2*$B$7))</f>
        <v>75.585888896859458</v>
      </c>
      <c r="T962" s="54">
        <f ca="1">MIN(100,MAX(0,MCDA_Prioritisation!$G$5+(RAND()-0.5)*2*$B$7))</f>
        <v>78.086229332540967</v>
      </c>
      <c r="U962" s="54">
        <f ca="1">MIN(100,MAX(0,MCDA_Prioritisation!$H$2+(RAND()-0.5)*2*$B$7))</f>
        <v>56.190964264959689</v>
      </c>
      <c r="V962" s="54">
        <f ca="1">MIN(100,MAX(0,MCDA_Prioritisation!$H$3+(RAND()-0.5)*2*$B$7))</f>
        <v>61.659126254198441</v>
      </c>
      <c r="W962" s="54">
        <f ca="1">MIN(100,MAX(0,MCDA_Prioritisation!$H$4+(RAND()-0.5)*2*$B$7))</f>
        <v>77.054326126349594</v>
      </c>
      <c r="X962" s="54">
        <f ca="1">MIN(100,MAX(0,MCDA_Prioritisation!$H$5+(RAND()-0.5)*2*$B$7))</f>
        <v>76.681371630068469</v>
      </c>
      <c r="Y962" s="54">
        <f ca="1">H962*MCDA_Prioritisation!$D$2+I962*MCDA_Prioritisation!$E$2+J962*M962+K962*Q962+L962*U962</f>
        <v>89.277786720165466</v>
      </c>
      <c r="Z962" s="54">
        <f ca="1">H962*MCDA_Prioritisation!$D$3+I962*MCDA_Prioritisation!$E$3+J962*N962+K962*R962+L962*V962</f>
        <v>83.764053028068915</v>
      </c>
      <c r="AA962" s="54">
        <f ca="1">H962*MCDA_Prioritisation!$D$4+I962*MCDA_Prioritisation!$E$4+J962*O962+K962*S962+L962*W962</f>
        <v>72.117235440147667</v>
      </c>
      <c r="AB962" s="54">
        <f ca="1">H962*MCDA_Prioritisation!$D$5+I962*MCDA_Prioritisation!$E$5+J962*P962+K962*T962+L962*X962</f>
        <v>75.305939535413771</v>
      </c>
      <c r="AC962" s="54">
        <f t="shared" ca="1" si="202"/>
        <v>1</v>
      </c>
      <c r="AD962" s="54">
        <f t="shared" ca="1" si="203"/>
        <v>2</v>
      </c>
      <c r="AE962" s="54">
        <f t="shared" ca="1" si="204"/>
        <v>4</v>
      </c>
      <c r="AF962" s="54">
        <f t="shared" ca="1" si="205"/>
        <v>3</v>
      </c>
      <c r="AG962" s="54">
        <f t="shared" ca="1" si="206"/>
        <v>1</v>
      </c>
      <c r="AH962" s="54">
        <f t="shared" ca="1" si="207"/>
        <v>1</v>
      </c>
      <c r="AI962" s="54">
        <f t="shared" ca="1" si="208"/>
        <v>0</v>
      </c>
      <c r="AJ962" s="54">
        <f t="shared" ca="1" si="209"/>
        <v>1</v>
      </c>
    </row>
    <row r="963" spans="1:36" x14ac:dyDescent="0.2">
      <c r="A963" s="54">
        <v>940</v>
      </c>
      <c r="B963" s="54">
        <f ca="1">MAX(0.02,MCDA_Prioritisation!$B$9+(RAND()-0.5)*2*$B$6)</f>
        <v>0.25896852379500424</v>
      </c>
      <c r="C963" s="54">
        <f ca="1">MAX(0.02,MCDA_Prioritisation!$B$10+(RAND()-0.5)*2*$B$6)</f>
        <v>0.26770809655983796</v>
      </c>
      <c r="D963" s="54">
        <f ca="1">MAX(0.02,MCDA_Prioritisation!$B$11+(RAND()-0.5)*2*$B$6)</f>
        <v>0.2911175258822673</v>
      </c>
      <c r="E963" s="54">
        <f ca="1">MAX(0.02,MCDA_Prioritisation!$B$12+(RAND()-0.5)*2*$B$6)</f>
        <v>0.20060360964856128</v>
      </c>
      <c r="F963" s="54">
        <f ca="1">MAX(0.02,MCDA_Prioritisation!$B$13+(RAND()-0.5)*2*$B$6)</f>
        <v>0.10112028017439226</v>
      </c>
      <c r="G963" s="54">
        <f t="shared" ca="1" si="196"/>
        <v>1.1195180360600629</v>
      </c>
      <c r="H963" s="54">
        <f t="shared" ca="1" si="197"/>
        <v>0.23132143963164375</v>
      </c>
      <c r="I963" s="54">
        <f t="shared" ca="1" si="198"/>
        <v>0.23912798895316345</v>
      </c>
      <c r="J963" s="54">
        <f t="shared" ca="1" si="199"/>
        <v>0.2600382633466109</v>
      </c>
      <c r="K963" s="54">
        <f t="shared" ca="1" si="200"/>
        <v>0.17918747459804099</v>
      </c>
      <c r="L963" s="54">
        <f t="shared" ca="1" si="201"/>
        <v>9.0324833470540961E-2</v>
      </c>
      <c r="M963" s="54">
        <f ca="1">MIN(100,MAX(0,MCDA_Prioritisation!$F$2+(RAND()-0.5)*2*$B$7))</f>
        <v>94.380304768813772</v>
      </c>
      <c r="N963" s="54">
        <f ca="1">MIN(100,MAX(0,MCDA_Prioritisation!$F$3+(RAND()-0.5)*2*$B$7))</f>
        <v>91.524923871720873</v>
      </c>
      <c r="O963" s="54">
        <f ca="1">MIN(100,MAX(0,MCDA_Prioritisation!$F$4+(RAND()-0.5)*2*$B$7))</f>
        <v>86.527633702828638</v>
      </c>
      <c r="P963" s="54">
        <f ca="1">MIN(100,MAX(0,MCDA_Prioritisation!$F$5+(RAND()-0.5)*2*$B$7))</f>
        <v>70.548290268036325</v>
      </c>
      <c r="Q963" s="54">
        <f ca="1">MIN(100,MAX(0,MCDA_Prioritisation!$G$2+(RAND()-0.5)*2*$B$7))</f>
        <v>80.569925275727968</v>
      </c>
      <c r="R963" s="54">
        <f ca="1">MIN(100,MAX(0,MCDA_Prioritisation!$G$3+(RAND()-0.5)*2*$B$7))</f>
        <v>89.781764883264941</v>
      </c>
      <c r="S963" s="54">
        <f ca="1">MIN(100,MAX(0,MCDA_Prioritisation!$G$4+(RAND()-0.5)*2*$B$7))</f>
        <v>94.844512376238498</v>
      </c>
      <c r="T963" s="54">
        <f ca="1">MIN(100,MAX(0,MCDA_Prioritisation!$G$5+(RAND()-0.5)*2*$B$7))</f>
        <v>71.813185518945986</v>
      </c>
      <c r="U963" s="54">
        <f ca="1">MIN(100,MAX(0,MCDA_Prioritisation!$H$2+(RAND()-0.5)*2*$B$7))</f>
        <v>58.343437095141809</v>
      </c>
      <c r="V963" s="54">
        <f ca="1">MIN(100,MAX(0,MCDA_Prioritisation!$H$3+(RAND()-0.5)*2*$B$7))</f>
        <v>55.724165315173522</v>
      </c>
      <c r="W963" s="54">
        <f ca="1">MIN(100,MAX(0,MCDA_Prioritisation!$H$4+(RAND()-0.5)*2*$B$7))</f>
        <v>70.206572584972747</v>
      </c>
      <c r="X963" s="54">
        <f ca="1">MIN(100,MAX(0,MCDA_Prioritisation!$H$5+(RAND()-0.5)*2*$B$7))</f>
        <v>69.824379874218664</v>
      </c>
      <c r="Y963" s="54">
        <f ca="1">H963*MCDA_Prioritisation!$D$2+I963*MCDA_Prioritisation!$E$2+J963*M963+K963*Q963+L963*U963</f>
        <v>91.294416083115152</v>
      </c>
      <c r="Z963" s="54">
        <f ca="1">H963*MCDA_Prioritisation!$D$3+I963*MCDA_Prioritisation!$E$3+J963*N963+K963*R963+L963*V963</f>
        <v>82.528915069486601</v>
      </c>
      <c r="AA963" s="54">
        <f ca="1">H963*MCDA_Prioritisation!$D$4+I963*MCDA_Prioritisation!$E$4+J963*O963+K963*S963+L963*W963</f>
        <v>74.988051290614152</v>
      </c>
      <c r="AB963" s="54">
        <f ca="1">H963*MCDA_Prioritisation!$D$5+I963*MCDA_Prioritisation!$E$5+J963*P963+K963*T963+L963*X963</f>
        <v>69.906234947147325</v>
      </c>
      <c r="AC963" s="54">
        <f t="shared" ca="1" si="202"/>
        <v>1</v>
      </c>
      <c r="AD963" s="54">
        <f t="shared" ca="1" si="203"/>
        <v>2</v>
      </c>
      <c r="AE963" s="54">
        <f t="shared" ca="1" si="204"/>
        <v>3</v>
      </c>
      <c r="AF963" s="54">
        <f t="shared" ca="1" si="205"/>
        <v>4</v>
      </c>
      <c r="AG963" s="54">
        <f t="shared" ca="1" si="206"/>
        <v>1</v>
      </c>
      <c r="AH963" s="54">
        <f t="shared" ca="1" si="207"/>
        <v>1</v>
      </c>
      <c r="AI963" s="54">
        <f t="shared" ca="1" si="208"/>
        <v>1</v>
      </c>
      <c r="AJ963" s="54">
        <f t="shared" ca="1" si="209"/>
        <v>1</v>
      </c>
    </row>
    <row r="964" spans="1:36" x14ac:dyDescent="0.2">
      <c r="A964" s="54">
        <v>941</v>
      </c>
      <c r="B964" s="54">
        <f ca="1">MAX(0.02,MCDA_Prioritisation!$B$9+(RAND()-0.5)*2*$B$6)</f>
        <v>0.24820979627024808</v>
      </c>
      <c r="C964" s="54">
        <f ca="1">MAX(0.02,MCDA_Prioritisation!$B$10+(RAND()-0.5)*2*$B$6)</f>
        <v>0.18271488470765915</v>
      </c>
      <c r="D964" s="54">
        <f ca="1">MAX(0.02,MCDA_Prioritisation!$B$11+(RAND()-0.5)*2*$B$6)</f>
        <v>0.27619450986984817</v>
      </c>
      <c r="E964" s="54">
        <f ca="1">MAX(0.02,MCDA_Prioritisation!$B$12+(RAND()-0.5)*2*$B$6)</f>
        <v>0.10266403240924968</v>
      </c>
      <c r="F964" s="54">
        <f ca="1">MAX(0.02,MCDA_Prioritisation!$B$13+(RAND()-0.5)*2*$B$6)</f>
        <v>0.22472319025037601</v>
      </c>
      <c r="G964" s="54">
        <f t="shared" ca="1" si="196"/>
        <v>1.0345064135073812</v>
      </c>
      <c r="H964" s="54">
        <f t="shared" ca="1" si="197"/>
        <v>0.23993065004664382</v>
      </c>
      <c r="I964" s="54">
        <f t="shared" ca="1" si="198"/>
        <v>0.17662034988085212</v>
      </c>
      <c r="J964" s="54">
        <f t="shared" ca="1" si="199"/>
        <v>0.26698192129465959</v>
      </c>
      <c r="K964" s="54">
        <f t="shared" ca="1" si="200"/>
        <v>9.9239628743507224E-2</v>
      </c>
      <c r="L964" s="54">
        <f t="shared" ca="1" si="201"/>
        <v>0.21722745003433719</v>
      </c>
      <c r="M964" s="54">
        <f ca="1">MIN(100,MAX(0,MCDA_Prioritisation!$F$2+(RAND()-0.5)*2*$B$7))</f>
        <v>92.622438324014084</v>
      </c>
      <c r="N964" s="54">
        <f ca="1">MIN(100,MAX(0,MCDA_Prioritisation!$F$3+(RAND()-0.5)*2*$B$7))</f>
        <v>97.706791174651173</v>
      </c>
      <c r="O964" s="54">
        <f ca="1">MIN(100,MAX(0,MCDA_Prioritisation!$F$4+(RAND()-0.5)*2*$B$7))</f>
        <v>98.909557291698675</v>
      </c>
      <c r="P964" s="54">
        <f ca="1">MIN(100,MAX(0,MCDA_Prioritisation!$F$5+(RAND()-0.5)*2*$B$7))</f>
        <v>70.195196565210807</v>
      </c>
      <c r="Q964" s="54">
        <f ca="1">MIN(100,MAX(0,MCDA_Prioritisation!$G$2+(RAND()-0.5)*2*$B$7))</f>
        <v>73.786875675968801</v>
      </c>
      <c r="R964" s="54">
        <f ca="1">MIN(100,MAX(0,MCDA_Prioritisation!$G$3+(RAND()-0.5)*2*$B$7))</f>
        <v>87.975111363591523</v>
      </c>
      <c r="S964" s="54">
        <f ca="1">MIN(100,MAX(0,MCDA_Prioritisation!$G$4+(RAND()-0.5)*2*$B$7))</f>
        <v>80.816663500230476</v>
      </c>
      <c r="T964" s="54">
        <f ca="1">MIN(100,MAX(0,MCDA_Prioritisation!$G$5+(RAND()-0.5)*2*$B$7))</f>
        <v>65.458904347859487</v>
      </c>
      <c r="U964" s="54">
        <f ca="1">MIN(100,MAX(0,MCDA_Prioritisation!$H$2+(RAND()-0.5)*2*$B$7))</f>
        <v>65.180007759128543</v>
      </c>
      <c r="V964" s="54">
        <f ca="1">MIN(100,MAX(0,MCDA_Prioritisation!$H$3+(RAND()-0.5)*2*$B$7))</f>
        <v>50.854517513785524</v>
      </c>
      <c r="W964" s="54">
        <f ca="1">MIN(100,MAX(0,MCDA_Prioritisation!$H$4+(RAND()-0.5)*2*$B$7))</f>
        <v>76.060757619402409</v>
      </c>
      <c r="X964" s="54">
        <f ca="1">MIN(100,MAX(0,MCDA_Prioritisation!$H$5+(RAND()-0.5)*2*$B$7))</f>
        <v>68.19578167835688</v>
      </c>
      <c r="Y964" s="54">
        <f ca="1">H964*MCDA_Prioritisation!$D$2+I964*MCDA_Prioritisation!$E$2+J964*M964+K964*Q964+L964*U964</f>
        <v>87.86508555845127</v>
      </c>
      <c r="Z964" s="54">
        <f ca="1">H964*MCDA_Prioritisation!$D$3+I964*MCDA_Prioritisation!$E$3+J964*N964+K964*R964+L964*V964</f>
        <v>79.677858194615368</v>
      </c>
      <c r="AA964" s="54">
        <f ca="1">H964*MCDA_Prioritisation!$D$4+I964*MCDA_Prioritisation!$E$4+J964*O964+K964*S964+L964*W964</f>
        <v>77.29096102654789</v>
      </c>
      <c r="AB964" s="54">
        <f ca="1">H964*MCDA_Prioritisation!$D$5+I964*MCDA_Prioritisation!$E$5+J964*P964+K964*T964+L964*X964</f>
        <v>67.637660099356367</v>
      </c>
      <c r="AC964" s="54">
        <f t="shared" ca="1" si="202"/>
        <v>1</v>
      </c>
      <c r="AD964" s="54">
        <f t="shared" ca="1" si="203"/>
        <v>2</v>
      </c>
      <c r="AE964" s="54">
        <f t="shared" ca="1" si="204"/>
        <v>3</v>
      </c>
      <c r="AF964" s="54">
        <f t="shared" ca="1" si="205"/>
        <v>4</v>
      </c>
      <c r="AG964" s="54">
        <f t="shared" ca="1" si="206"/>
        <v>1</v>
      </c>
      <c r="AH964" s="54">
        <f t="shared" ca="1" si="207"/>
        <v>1</v>
      </c>
      <c r="AI964" s="54">
        <f t="shared" ca="1" si="208"/>
        <v>1</v>
      </c>
      <c r="AJ964" s="54">
        <f t="shared" ca="1" si="209"/>
        <v>1</v>
      </c>
    </row>
    <row r="965" spans="1:36" x14ac:dyDescent="0.2">
      <c r="A965" s="54">
        <v>942</v>
      </c>
      <c r="B965" s="54">
        <f ca="1">MAX(0.02,MCDA_Prioritisation!$B$9+(RAND()-0.5)*2*$B$6)</f>
        <v>0.1285293592535986</v>
      </c>
      <c r="C965" s="54">
        <f ca="1">MAX(0.02,MCDA_Prioritisation!$B$10+(RAND()-0.5)*2*$B$6)</f>
        <v>0.31655571493579499</v>
      </c>
      <c r="D965" s="54">
        <f ca="1">MAX(0.02,MCDA_Prioritisation!$B$11+(RAND()-0.5)*2*$B$6)</f>
        <v>0.274719285973619</v>
      </c>
      <c r="E965" s="54">
        <f ca="1">MAX(0.02,MCDA_Prioritisation!$B$12+(RAND()-0.5)*2*$B$6)</f>
        <v>0.19887048066343901</v>
      </c>
      <c r="F965" s="54">
        <f ca="1">MAX(0.02,MCDA_Prioritisation!$B$13+(RAND()-0.5)*2*$B$6)</f>
        <v>0.14345650234002394</v>
      </c>
      <c r="G965" s="54">
        <f t="shared" ca="1" si="196"/>
        <v>1.0621313431664756</v>
      </c>
      <c r="H965" s="54">
        <f t="shared" ca="1" si="197"/>
        <v>0.12101079596278635</v>
      </c>
      <c r="I965" s="54">
        <f t="shared" ca="1" si="198"/>
        <v>0.29803820118146995</v>
      </c>
      <c r="J965" s="54">
        <f t="shared" ca="1" si="199"/>
        <v>0.25864907173778812</v>
      </c>
      <c r="K965" s="54">
        <f t="shared" ca="1" si="200"/>
        <v>0.18723718299335471</v>
      </c>
      <c r="L965" s="54">
        <f t="shared" ca="1" si="201"/>
        <v>0.13506474812460079</v>
      </c>
      <c r="M965" s="54">
        <f ca="1">MIN(100,MAX(0,MCDA_Prioritisation!$F$2+(RAND()-0.5)*2*$B$7))</f>
        <v>89.158568734911555</v>
      </c>
      <c r="N965" s="54">
        <f ca="1">MIN(100,MAX(0,MCDA_Prioritisation!$F$3+(RAND()-0.5)*2*$B$7))</f>
        <v>96.871242821984652</v>
      </c>
      <c r="O965" s="54">
        <f ca="1">MIN(100,MAX(0,MCDA_Prioritisation!$F$4+(RAND()-0.5)*2*$B$7))</f>
        <v>99.463971390221957</v>
      </c>
      <c r="P965" s="54">
        <f ca="1">MIN(100,MAX(0,MCDA_Prioritisation!$F$5+(RAND()-0.5)*2*$B$7))</f>
        <v>82.3356641967695</v>
      </c>
      <c r="Q965" s="54">
        <f ca="1">MIN(100,MAX(0,MCDA_Prioritisation!$G$2+(RAND()-0.5)*2*$B$7))</f>
        <v>76.975851953046515</v>
      </c>
      <c r="R965" s="54">
        <f ca="1">MIN(100,MAX(0,MCDA_Prioritisation!$G$3+(RAND()-0.5)*2*$B$7))</f>
        <v>85.277312311822527</v>
      </c>
      <c r="S965" s="54">
        <f ca="1">MIN(100,MAX(0,MCDA_Prioritisation!$G$4+(RAND()-0.5)*2*$B$7))</f>
        <v>91.627751538828548</v>
      </c>
      <c r="T965" s="54">
        <f ca="1">MIN(100,MAX(0,MCDA_Prioritisation!$G$5+(RAND()-0.5)*2*$B$7))</f>
        <v>70.206392062450462</v>
      </c>
      <c r="U965" s="54">
        <f ca="1">MIN(100,MAX(0,MCDA_Prioritisation!$H$2+(RAND()-0.5)*2*$B$7))</f>
        <v>66.369336759515861</v>
      </c>
      <c r="V965" s="54">
        <f ca="1">MIN(100,MAX(0,MCDA_Prioritisation!$H$3+(RAND()-0.5)*2*$B$7))</f>
        <v>51.706845799134555</v>
      </c>
      <c r="W965" s="54">
        <f ca="1">MIN(100,MAX(0,MCDA_Prioritisation!$H$4+(RAND()-0.5)*2*$B$7))</f>
        <v>89.344464751504461</v>
      </c>
      <c r="X965" s="54">
        <f ca="1">MIN(100,MAX(0,MCDA_Prioritisation!$H$5+(RAND()-0.5)*2*$B$7))</f>
        <v>68.927146117625782</v>
      </c>
      <c r="Y965" s="54">
        <f ca="1">H965*MCDA_Prioritisation!$D$2+I965*MCDA_Prioritisation!$E$2+J965*M965+K965*Q965+L965*U965</f>
        <v>88.342580186003062</v>
      </c>
      <c r="Z965" s="54">
        <f ca="1">H965*MCDA_Prioritisation!$D$3+I965*MCDA_Prioritisation!$E$3+J965*N965+K965*R965+L965*V965</f>
        <v>80.257979492628991</v>
      </c>
      <c r="AA965" s="54">
        <f ca="1">H965*MCDA_Prioritisation!$D$4+I965*MCDA_Prioritisation!$E$4+J965*O965+K965*S965+L965*W965</f>
        <v>79.632783193632093</v>
      </c>
      <c r="AB965" s="54">
        <f ca="1">H965*MCDA_Prioritisation!$D$5+I965*MCDA_Prioritisation!$E$5+J965*P965+K965*T965+L965*X965</f>
        <v>75.235976777576923</v>
      </c>
      <c r="AC965" s="54">
        <f t="shared" ca="1" si="202"/>
        <v>1</v>
      </c>
      <c r="AD965" s="54">
        <f t="shared" ca="1" si="203"/>
        <v>2</v>
      </c>
      <c r="AE965" s="54">
        <f t="shared" ca="1" si="204"/>
        <v>3</v>
      </c>
      <c r="AF965" s="54">
        <f t="shared" ca="1" si="205"/>
        <v>4</v>
      </c>
      <c r="AG965" s="54">
        <f t="shared" ca="1" si="206"/>
        <v>1</v>
      </c>
      <c r="AH965" s="54">
        <f t="shared" ca="1" si="207"/>
        <v>1</v>
      </c>
      <c r="AI965" s="54">
        <f t="shared" ca="1" si="208"/>
        <v>1</v>
      </c>
      <c r="AJ965" s="54">
        <f t="shared" ca="1" si="209"/>
        <v>1</v>
      </c>
    </row>
    <row r="966" spans="1:36" x14ac:dyDescent="0.2">
      <c r="A966" s="54">
        <v>943</v>
      </c>
      <c r="B966" s="54">
        <f ca="1">MAX(0.02,MCDA_Prioritisation!$B$9+(RAND()-0.5)*2*$B$6)</f>
        <v>0.20694718467706447</v>
      </c>
      <c r="C966" s="54">
        <f ca="1">MAX(0.02,MCDA_Prioritisation!$B$10+(RAND()-0.5)*2*$B$6)</f>
        <v>0.29190920235539752</v>
      </c>
      <c r="D966" s="54">
        <f ca="1">MAX(0.02,MCDA_Prioritisation!$B$11+(RAND()-0.5)*2*$B$6)</f>
        <v>0.3190126204157781</v>
      </c>
      <c r="E966" s="54">
        <f ca="1">MAX(0.02,MCDA_Prioritisation!$B$12+(RAND()-0.5)*2*$B$6)</f>
        <v>0.10033718886665607</v>
      </c>
      <c r="F966" s="54">
        <f ca="1">MAX(0.02,MCDA_Prioritisation!$B$13+(RAND()-0.5)*2*$B$6)</f>
        <v>0.15413843074933556</v>
      </c>
      <c r="G966" s="54">
        <f t="shared" ca="1" si="196"/>
        <v>1.0723446270642318</v>
      </c>
      <c r="H966" s="54">
        <f t="shared" ca="1" si="197"/>
        <v>0.19298570576478363</v>
      </c>
      <c r="I966" s="54">
        <f t="shared" ca="1" si="198"/>
        <v>0.27221584832719325</v>
      </c>
      <c r="J966" s="54">
        <f t="shared" ca="1" si="199"/>
        <v>0.29749076217143178</v>
      </c>
      <c r="K966" s="54">
        <f t="shared" ca="1" si="200"/>
        <v>9.3568043644094309E-2</v>
      </c>
      <c r="L966" s="54">
        <f t="shared" ca="1" si="201"/>
        <v>0.14373964009249696</v>
      </c>
      <c r="M966" s="54">
        <f ca="1">MIN(100,MAX(0,MCDA_Prioritisation!$F$2+(RAND()-0.5)*2*$B$7))</f>
        <v>87.286870913146984</v>
      </c>
      <c r="N966" s="54">
        <f ca="1">MIN(100,MAX(0,MCDA_Prioritisation!$F$3+(RAND()-0.5)*2*$B$7))</f>
        <v>92.069198442757596</v>
      </c>
      <c r="O966" s="54">
        <f ca="1">MIN(100,MAX(0,MCDA_Prioritisation!$F$4+(RAND()-0.5)*2*$B$7))</f>
        <v>97.368228768518236</v>
      </c>
      <c r="P966" s="54">
        <f ca="1">MIN(100,MAX(0,MCDA_Prioritisation!$F$5+(RAND()-0.5)*2*$B$7))</f>
        <v>73.670571181771621</v>
      </c>
      <c r="Q966" s="54">
        <f ca="1">MIN(100,MAX(0,MCDA_Prioritisation!$G$2+(RAND()-0.5)*2*$B$7))</f>
        <v>87.241385993374706</v>
      </c>
      <c r="R966" s="54">
        <f ca="1">MIN(100,MAX(0,MCDA_Prioritisation!$G$3+(RAND()-0.5)*2*$B$7))</f>
        <v>87.25404191446539</v>
      </c>
      <c r="S966" s="54">
        <f ca="1">MIN(100,MAX(0,MCDA_Prioritisation!$G$4+(RAND()-0.5)*2*$B$7))</f>
        <v>77.53198528237175</v>
      </c>
      <c r="T966" s="54">
        <f ca="1">MIN(100,MAX(0,MCDA_Prioritisation!$G$5+(RAND()-0.5)*2*$B$7))</f>
        <v>65.552544531581816</v>
      </c>
      <c r="U966" s="54">
        <f ca="1">MIN(100,MAX(0,MCDA_Prioritisation!$H$2+(RAND()-0.5)*2*$B$7))</f>
        <v>65.944178976843858</v>
      </c>
      <c r="V966" s="54">
        <f ca="1">MIN(100,MAX(0,MCDA_Prioritisation!$H$3+(RAND()-0.5)*2*$B$7))</f>
        <v>51.947468474381132</v>
      </c>
      <c r="W966" s="54">
        <f ca="1">MIN(100,MAX(0,MCDA_Prioritisation!$H$4+(RAND()-0.5)*2*$B$7))</f>
        <v>85.385776193029869</v>
      </c>
      <c r="X966" s="54">
        <f ca="1">MIN(100,MAX(0,MCDA_Prioritisation!$H$5+(RAND()-0.5)*2*$B$7))</f>
        <v>75.987964114182176</v>
      </c>
      <c r="Y966" s="54">
        <f ca="1">H966*MCDA_Prioritisation!$D$2+I966*MCDA_Prioritisation!$E$2+J966*M966+K966*Q966+L966*U966</f>
        <v>90.128991529235265</v>
      </c>
      <c r="Z966" s="54">
        <f ca="1">H966*MCDA_Prioritisation!$D$3+I966*MCDA_Prioritisation!$E$3+J966*N966+K966*R966+L966*V966</f>
        <v>79.684693389619696</v>
      </c>
      <c r="AA966" s="54">
        <f ca="1">H966*MCDA_Prioritisation!$D$4+I966*MCDA_Prioritisation!$E$4+J966*O966+K966*S966+L966*W966</f>
        <v>76.780512754403418</v>
      </c>
      <c r="AB966" s="54">
        <f ca="1">H966*MCDA_Prioritisation!$D$5+I966*MCDA_Prioritisation!$E$5+J966*P966+K966*T966+L966*X966</f>
        <v>72.10618654246538</v>
      </c>
      <c r="AC966" s="54">
        <f t="shared" ca="1" si="202"/>
        <v>1</v>
      </c>
      <c r="AD966" s="54">
        <f t="shared" ca="1" si="203"/>
        <v>2</v>
      </c>
      <c r="AE966" s="54">
        <f t="shared" ca="1" si="204"/>
        <v>3</v>
      </c>
      <c r="AF966" s="54">
        <f t="shared" ca="1" si="205"/>
        <v>4</v>
      </c>
      <c r="AG966" s="54">
        <f t="shared" ca="1" si="206"/>
        <v>1</v>
      </c>
      <c r="AH966" s="54">
        <f t="shared" ca="1" si="207"/>
        <v>1</v>
      </c>
      <c r="AI966" s="54">
        <f t="shared" ca="1" si="208"/>
        <v>1</v>
      </c>
      <c r="AJ966" s="54">
        <f t="shared" ca="1" si="209"/>
        <v>1</v>
      </c>
    </row>
    <row r="967" spans="1:36" x14ac:dyDescent="0.2">
      <c r="A967" s="54">
        <v>944</v>
      </c>
      <c r="B967" s="54">
        <f ca="1">MAX(0.02,MCDA_Prioritisation!$B$9+(RAND()-0.5)*2*$B$6)</f>
        <v>0.19088233952020575</v>
      </c>
      <c r="C967" s="54">
        <f ca="1">MAX(0.02,MCDA_Prioritisation!$B$10+(RAND()-0.5)*2*$B$6)</f>
        <v>0.24973402809245188</v>
      </c>
      <c r="D967" s="54">
        <f ca="1">MAX(0.02,MCDA_Prioritisation!$B$11+(RAND()-0.5)*2*$B$6)</f>
        <v>0.30919179110816619</v>
      </c>
      <c r="E967" s="54">
        <f ca="1">MAX(0.02,MCDA_Prioritisation!$B$12+(RAND()-0.5)*2*$B$6)</f>
        <v>0.18503377302953128</v>
      </c>
      <c r="F967" s="54">
        <f ca="1">MAX(0.02,MCDA_Prioritisation!$B$13+(RAND()-0.5)*2*$B$6)</f>
        <v>7.6921185265618752E-2</v>
      </c>
      <c r="G967" s="54">
        <f t="shared" ca="1" si="196"/>
        <v>1.011763117015974</v>
      </c>
      <c r="H967" s="54">
        <f t="shared" ca="1" si="197"/>
        <v>0.18866307370759006</v>
      </c>
      <c r="I967" s="54">
        <f t="shared" ca="1" si="198"/>
        <v>0.24683053166535721</v>
      </c>
      <c r="J967" s="54">
        <f t="shared" ca="1" si="199"/>
        <v>0.30559701763005126</v>
      </c>
      <c r="K967" s="54">
        <f t="shared" ca="1" si="200"/>
        <v>0.18288250472626186</v>
      </c>
      <c r="L967" s="54">
        <f t="shared" ca="1" si="201"/>
        <v>7.6026872270739537E-2</v>
      </c>
      <c r="M967" s="54">
        <f ca="1">MIN(100,MAX(0,MCDA_Prioritisation!$F$2+(RAND()-0.5)*2*$B$7))</f>
        <v>94.303366714293816</v>
      </c>
      <c r="N967" s="54">
        <f ca="1">MIN(100,MAX(0,MCDA_Prioritisation!$F$3+(RAND()-0.5)*2*$B$7))</f>
        <v>100</v>
      </c>
      <c r="O967" s="54">
        <f ca="1">MIN(100,MAX(0,MCDA_Prioritisation!$F$4+(RAND()-0.5)*2*$B$7))</f>
        <v>97.820035711373251</v>
      </c>
      <c r="P967" s="54">
        <f ca="1">MIN(100,MAX(0,MCDA_Prioritisation!$F$5+(RAND()-0.5)*2*$B$7))</f>
        <v>66.050124408144853</v>
      </c>
      <c r="Q967" s="54">
        <f ca="1">MIN(100,MAX(0,MCDA_Prioritisation!$G$2+(RAND()-0.5)*2*$B$7))</f>
        <v>84.569509695332428</v>
      </c>
      <c r="R967" s="54">
        <f ca="1">MIN(100,MAX(0,MCDA_Prioritisation!$G$3+(RAND()-0.5)*2*$B$7))</f>
        <v>100</v>
      </c>
      <c r="S967" s="54">
        <f ca="1">MIN(100,MAX(0,MCDA_Prioritisation!$G$4+(RAND()-0.5)*2*$B$7))</f>
        <v>77.595853102217035</v>
      </c>
      <c r="T967" s="54">
        <f ca="1">MIN(100,MAX(0,MCDA_Prioritisation!$G$5+(RAND()-0.5)*2*$B$7))</f>
        <v>72.182895751746784</v>
      </c>
      <c r="U967" s="54">
        <f ca="1">MIN(100,MAX(0,MCDA_Prioritisation!$H$2+(RAND()-0.5)*2*$B$7))</f>
        <v>70.209629361541545</v>
      </c>
      <c r="V967" s="54">
        <f ca="1">MIN(100,MAX(0,MCDA_Prioritisation!$H$3+(RAND()-0.5)*2*$B$7))</f>
        <v>62.597083403807034</v>
      </c>
      <c r="W967" s="54">
        <f ca="1">MIN(100,MAX(0,MCDA_Prioritisation!$H$4+(RAND()-0.5)*2*$B$7))</f>
        <v>81.000690946152972</v>
      </c>
      <c r="X967" s="54">
        <f ca="1">MIN(100,MAX(0,MCDA_Prioritisation!$H$5+(RAND()-0.5)*2*$B$7))</f>
        <v>74.946733600441846</v>
      </c>
      <c r="Y967" s="54">
        <f ca="1">H967*MCDA_Prioritisation!$D$2+I967*MCDA_Prioritisation!$E$2+J967*M967+K967*Q967+L967*U967</f>
        <v>93.17229043785612</v>
      </c>
      <c r="Z967" s="54">
        <f ca="1">H967*MCDA_Prioritisation!$D$3+I967*MCDA_Prioritisation!$E$3+J967*N967+K967*R967+L967*V967</f>
        <v>88.046880421048115</v>
      </c>
      <c r="AA967" s="54">
        <f ca="1">H967*MCDA_Prioritisation!$D$4+I967*MCDA_Prioritisation!$E$4+J967*O967+K967*S967+L967*W967</f>
        <v>76.843535257490203</v>
      </c>
      <c r="AB967" s="54">
        <f ca="1">H967*MCDA_Prioritisation!$D$5+I967*MCDA_Prioritisation!$E$5+J967*P967+K967*T967+L967*X967</f>
        <v>69.853339861933406</v>
      </c>
      <c r="AC967" s="54">
        <f t="shared" ca="1" si="202"/>
        <v>1</v>
      </c>
      <c r="AD967" s="54">
        <f t="shared" ca="1" si="203"/>
        <v>2</v>
      </c>
      <c r="AE967" s="54">
        <f t="shared" ca="1" si="204"/>
        <v>3</v>
      </c>
      <c r="AF967" s="54">
        <f t="shared" ca="1" si="205"/>
        <v>4</v>
      </c>
      <c r="AG967" s="54">
        <f t="shared" ca="1" si="206"/>
        <v>1</v>
      </c>
      <c r="AH967" s="54">
        <f t="shared" ca="1" si="207"/>
        <v>1</v>
      </c>
      <c r="AI967" s="54">
        <f t="shared" ca="1" si="208"/>
        <v>1</v>
      </c>
      <c r="AJ967" s="54">
        <f t="shared" ca="1" si="209"/>
        <v>1</v>
      </c>
    </row>
    <row r="968" spans="1:36" x14ac:dyDescent="0.2">
      <c r="A968" s="54">
        <v>945</v>
      </c>
      <c r="B968" s="54">
        <f ca="1">MAX(0.02,MCDA_Prioritisation!$B$9+(RAND()-0.5)*2*$B$6)</f>
        <v>0.21468387386682372</v>
      </c>
      <c r="C968" s="54">
        <f ca="1">MAX(0.02,MCDA_Prioritisation!$B$10+(RAND()-0.5)*2*$B$6)</f>
        <v>0.19527306243878884</v>
      </c>
      <c r="D968" s="54">
        <f ca="1">MAX(0.02,MCDA_Prioritisation!$B$11+(RAND()-0.5)*2*$B$6)</f>
        <v>0.32286855168792916</v>
      </c>
      <c r="E968" s="54">
        <f ca="1">MAX(0.02,MCDA_Prioritisation!$B$12+(RAND()-0.5)*2*$B$6)</f>
        <v>0.11740335023978733</v>
      </c>
      <c r="F968" s="54">
        <f ca="1">MAX(0.02,MCDA_Prioritisation!$B$13+(RAND()-0.5)*2*$B$6)</f>
        <v>7.0356588805176243E-2</v>
      </c>
      <c r="G968" s="54">
        <f t="shared" ca="1" si="196"/>
        <v>0.92058542703850532</v>
      </c>
      <c r="H968" s="54">
        <f t="shared" ca="1" si="197"/>
        <v>0.23320364146699027</v>
      </c>
      <c r="I968" s="54">
        <f t="shared" ca="1" si="198"/>
        <v>0.2121183506749354</v>
      </c>
      <c r="J968" s="54">
        <f t="shared" ca="1" si="199"/>
        <v>0.35072090237902986</v>
      </c>
      <c r="K968" s="54">
        <f t="shared" ca="1" si="200"/>
        <v>0.12753118482167403</v>
      </c>
      <c r="L968" s="54">
        <f t="shared" ca="1" si="201"/>
        <v>7.6425920657370389E-2</v>
      </c>
      <c r="M968" s="54">
        <f ca="1">MIN(100,MAX(0,MCDA_Prioritisation!$F$2+(RAND()-0.5)*2*$B$7))</f>
        <v>85.731703360127483</v>
      </c>
      <c r="N968" s="54">
        <f ca="1">MIN(100,MAX(0,MCDA_Prioritisation!$F$3+(RAND()-0.5)*2*$B$7))</f>
        <v>100</v>
      </c>
      <c r="O968" s="54">
        <f ca="1">MIN(100,MAX(0,MCDA_Prioritisation!$F$4+(RAND()-0.5)*2*$B$7))</f>
        <v>82.738532813571965</v>
      </c>
      <c r="P968" s="54">
        <f ca="1">MIN(100,MAX(0,MCDA_Prioritisation!$F$5+(RAND()-0.5)*2*$B$7))</f>
        <v>66.252245430802915</v>
      </c>
      <c r="Q968" s="54">
        <f ca="1">MIN(100,MAX(0,MCDA_Prioritisation!$G$2+(RAND()-0.5)*2*$B$7))</f>
        <v>83.817340452035126</v>
      </c>
      <c r="R968" s="54">
        <f ca="1">MIN(100,MAX(0,MCDA_Prioritisation!$G$3+(RAND()-0.5)*2*$B$7))</f>
        <v>93.201950931877974</v>
      </c>
      <c r="S968" s="54">
        <f ca="1">MIN(100,MAX(0,MCDA_Prioritisation!$G$4+(RAND()-0.5)*2*$B$7))</f>
        <v>82.451776450443305</v>
      </c>
      <c r="T968" s="54">
        <f ca="1">MIN(100,MAX(0,MCDA_Prioritisation!$G$5+(RAND()-0.5)*2*$B$7))</f>
        <v>64.651927851544201</v>
      </c>
      <c r="U968" s="54">
        <f ca="1">MIN(100,MAX(0,MCDA_Prioritisation!$H$2+(RAND()-0.5)*2*$B$7))</f>
        <v>55.161091689460314</v>
      </c>
      <c r="V968" s="54">
        <f ca="1">MIN(100,MAX(0,MCDA_Prioritisation!$H$3+(RAND()-0.5)*2*$B$7))</f>
        <v>51.921781324222898</v>
      </c>
      <c r="W968" s="54">
        <f ca="1">MIN(100,MAX(0,MCDA_Prioritisation!$H$4+(RAND()-0.5)*2*$B$7))</f>
        <v>73.519501636773668</v>
      </c>
      <c r="X968" s="54">
        <f ca="1">MIN(100,MAX(0,MCDA_Prioritisation!$H$5+(RAND()-0.5)*2*$B$7))</f>
        <v>65.947251751809247</v>
      </c>
      <c r="Y968" s="54">
        <f ca="1">H968*MCDA_Prioritisation!$D$2+I968*MCDA_Prioritisation!$E$2+J968*M968+K968*Q968+L968*U968</f>
        <v>89.505161532430066</v>
      </c>
      <c r="Z968" s="54">
        <f ca="1">H968*MCDA_Prioritisation!$D$3+I968*MCDA_Prioritisation!$E$3+J968*N968+K968*R968+L968*V968</f>
        <v>86.734465715932458</v>
      </c>
      <c r="AA968" s="54">
        <f ca="1">H968*MCDA_Prioritisation!$D$4+I968*MCDA_Prioritisation!$E$4+J968*O968+K968*S968+L968*W968</f>
        <v>72.961123765820659</v>
      </c>
      <c r="AB968" s="54">
        <f ca="1">H968*MCDA_Prioritisation!$D$5+I968*MCDA_Prioritisation!$E$5+J968*P968+K968*T968+L968*X968</f>
        <v>66.7359794156703</v>
      </c>
      <c r="AC968" s="54">
        <f t="shared" ca="1" si="202"/>
        <v>1</v>
      </c>
      <c r="AD968" s="54">
        <f t="shared" ca="1" si="203"/>
        <v>2</v>
      </c>
      <c r="AE968" s="54">
        <f t="shared" ca="1" si="204"/>
        <v>3</v>
      </c>
      <c r="AF968" s="54">
        <f t="shared" ca="1" si="205"/>
        <v>4</v>
      </c>
      <c r="AG968" s="54">
        <f t="shared" ca="1" si="206"/>
        <v>1</v>
      </c>
      <c r="AH968" s="54">
        <f t="shared" ca="1" si="207"/>
        <v>1</v>
      </c>
      <c r="AI968" s="54">
        <f t="shared" ca="1" si="208"/>
        <v>1</v>
      </c>
      <c r="AJ968" s="54">
        <f t="shared" ca="1" si="209"/>
        <v>1</v>
      </c>
    </row>
    <row r="969" spans="1:36" x14ac:dyDescent="0.2">
      <c r="A969" s="54">
        <v>946</v>
      </c>
      <c r="B969" s="54">
        <f ca="1">MAX(0.02,MCDA_Prioritisation!$B$9+(RAND()-0.5)*2*$B$6)</f>
        <v>0.26505230963763693</v>
      </c>
      <c r="C969" s="54">
        <f ca="1">MAX(0.02,MCDA_Prioritisation!$B$10+(RAND()-0.5)*2*$B$6)</f>
        <v>0.28609861030189077</v>
      </c>
      <c r="D969" s="54">
        <f ca="1">MAX(0.02,MCDA_Prioritisation!$B$11+(RAND()-0.5)*2*$B$6)</f>
        <v>0.23623065258202292</v>
      </c>
      <c r="E969" s="54">
        <f ca="1">MAX(0.02,MCDA_Prioritisation!$B$12+(RAND()-0.5)*2*$B$6)</f>
        <v>0.18611655577637118</v>
      </c>
      <c r="F969" s="54">
        <f ca="1">MAX(0.02,MCDA_Prioritisation!$B$13+(RAND()-0.5)*2*$B$6)</f>
        <v>0.15595078582338212</v>
      </c>
      <c r="G969" s="54">
        <f t="shared" ca="1" si="196"/>
        <v>1.129448914121304</v>
      </c>
      <c r="H969" s="54">
        <f t="shared" ca="1" si="197"/>
        <v>0.23467401342702077</v>
      </c>
      <c r="I969" s="54">
        <f t="shared" ca="1" si="198"/>
        <v>0.2533081458796847</v>
      </c>
      <c r="J969" s="54">
        <f t="shared" ca="1" si="199"/>
        <v>0.20915567727629999</v>
      </c>
      <c r="K969" s="54">
        <f t="shared" ca="1" si="200"/>
        <v>0.16478528019230276</v>
      </c>
      <c r="L969" s="54">
        <f t="shared" ca="1" si="201"/>
        <v>0.13807688322469169</v>
      </c>
      <c r="M969" s="54">
        <f ca="1">MIN(100,MAX(0,MCDA_Prioritisation!$F$2+(RAND()-0.5)*2*$B$7))</f>
        <v>88.629248472389122</v>
      </c>
      <c r="N969" s="54">
        <f ca="1">MIN(100,MAX(0,MCDA_Prioritisation!$F$3+(RAND()-0.5)*2*$B$7))</f>
        <v>85.702802940186643</v>
      </c>
      <c r="O969" s="54">
        <f ca="1">MIN(100,MAX(0,MCDA_Prioritisation!$F$4+(RAND()-0.5)*2*$B$7))</f>
        <v>96.453179685404649</v>
      </c>
      <c r="P969" s="54">
        <f ca="1">MIN(100,MAX(0,MCDA_Prioritisation!$F$5+(RAND()-0.5)*2*$B$7))</f>
        <v>66.959108535493414</v>
      </c>
      <c r="Q969" s="54">
        <f ca="1">MIN(100,MAX(0,MCDA_Prioritisation!$G$2+(RAND()-0.5)*2*$B$7))</f>
        <v>79.053506490494328</v>
      </c>
      <c r="R969" s="54">
        <f ca="1">MIN(100,MAX(0,MCDA_Prioritisation!$G$3+(RAND()-0.5)*2*$B$7))</f>
        <v>92.457007577616139</v>
      </c>
      <c r="S969" s="54">
        <f ca="1">MIN(100,MAX(0,MCDA_Prioritisation!$G$4+(RAND()-0.5)*2*$B$7))</f>
        <v>75.881875194429043</v>
      </c>
      <c r="T969" s="54">
        <f ca="1">MIN(100,MAX(0,MCDA_Prioritisation!$G$5+(RAND()-0.5)*2*$B$7))</f>
        <v>79.377515981888109</v>
      </c>
      <c r="U969" s="54">
        <f ca="1">MIN(100,MAX(0,MCDA_Prioritisation!$H$2+(RAND()-0.5)*2*$B$7))</f>
        <v>74.704119962473897</v>
      </c>
      <c r="V969" s="54">
        <f ca="1">MIN(100,MAX(0,MCDA_Prioritisation!$H$3+(RAND()-0.5)*2*$B$7))</f>
        <v>51.517059946353491</v>
      </c>
      <c r="W969" s="54">
        <f ca="1">MIN(100,MAX(0,MCDA_Prioritisation!$H$4+(RAND()-0.5)*2*$B$7))</f>
        <v>89.74907629012263</v>
      </c>
      <c r="X969" s="54">
        <f ca="1">MIN(100,MAX(0,MCDA_Prioritisation!$H$5+(RAND()-0.5)*2*$B$7))</f>
        <v>66.172506817649833</v>
      </c>
      <c r="Y969" s="54">
        <f ca="1">H969*MCDA_Prioritisation!$D$2+I969*MCDA_Prioritisation!$E$2+J969*M969+K969*Q969+L969*U969</f>
        <v>90.677292687084559</v>
      </c>
      <c r="Z969" s="54">
        <f ca="1">H969*MCDA_Prioritisation!$D$3+I969*MCDA_Prioritisation!$E$3+J969*N969+K969*R969+L969*V969</f>
        <v>79.206274402544025</v>
      </c>
      <c r="AA969" s="54">
        <f ca="1">H969*MCDA_Prioritisation!$D$4+I969*MCDA_Prioritisation!$E$4+J969*O969+K969*S969+L969*W969</f>
        <v>75.228345611753682</v>
      </c>
      <c r="AB969" s="54">
        <f ca="1">H969*MCDA_Prioritisation!$D$5+I969*MCDA_Prioritisation!$E$5+J969*P969+K969*T969+L969*X969</f>
        <v>69.978461752005941</v>
      </c>
      <c r="AC969" s="54">
        <f t="shared" ca="1" si="202"/>
        <v>1</v>
      </c>
      <c r="AD969" s="54">
        <f t="shared" ca="1" si="203"/>
        <v>2</v>
      </c>
      <c r="AE969" s="54">
        <f t="shared" ca="1" si="204"/>
        <v>3</v>
      </c>
      <c r="AF969" s="54">
        <f t="shared" ca="1" si="205"/>
        <v>4</v>
      </c>
      <c r="AG969" s="54">
        <f t="shared" ca="1" si="206"/>
        <v>1</v>
      </c>
      <c r="AH969" s="54">
        <f t="shared" ca="1" si="207"/>
        <v>1</v>
      </c>
      <c r="AI969" s="54">
        <f t="shared" ca="1" si="208"/>
        <v>1</v>
      </c>
      <c r="AJ969" s="54">
        <f t="shared" ca="1" si="209"/>
        <v>1</v>
      </c>
    </row>
    <row r="970" spans="1:36" x14ac:dyDescent="0.2">
      <c r="A970" s="54">
        <v>947</v>
      </c>
      <c r="B970" s="54">
        <f ca="1">MAX(0.02,MCDA_Prioritisation!$B$9+(RAND()-0.5)*2*$B$6)</f>
        <v>0.22667027839039164</v>
      </c>
      <c r="C970" s="54">
        <f ca="1">MAX(0.02,MCDA_Prioritisation!$B$10+(RAND()-0.5)*2*$B$6)</f>
        <v>0.26740748135492032</v>
      </c>
      <c r="D970" s="54">
        <f ca="1">MAX(0.02,MCDA_Prioritisation!$B$11+(RAND()-0.5)*2*$B$6)</f>
        <v>0.29426934011223599</v>
      </c>
      <c r="E970" s="54">
        <f ca="1">MAX(0.02,MCDA_Prioritisation!$B$12+(RAND()-0.5)*2*$B$6)</f>
        <v>9.0731458429237535E-2</v>
      </c>
      <c r="F970" s="54">
        <f ca="1">MAX(0.02,MCDA_Prioritisation!$B$13+(RAND()-0.5)*2*$B$6)</f>
        <v>9.5088924295860966E-2</v>
      </c>
      <c r="G970" s="54">
        <f t="shared" ca="1" si="196"/>
        <v>0.97416748258264652</v>
      </c>
      <c r="H970" s="54">
        <f t="shared" ca="1" si="197"/>
        <v>0.23268101475678374</v>
      </c>
      <c r="I970" s="54">
        <f t="shared" ca="1" si="198"/>
        <v>0.27449846780554388</v>
      </c>
      <c r="J970" s="54">
        <f t="shared" ca="1" si="199"/>
        <v>0.30207263676271473</v>
      </c>
      <c r="K970" s="54">
        <f t="shared" ca="1" si="200"/>
        <v>9.3137432783833504E-2</v>
      </c>
      <c r="L970" s="54">
        <f t="shared" ca="1" si="201"/>
        <v>9.7610447891124108E-2</v>
      </c>
      <c r="M970" s="54">
        <f ca="1">MIN(100,MAX(0,MCDA_Prioritisation!$F$2+(RAND()-0.5)*2*$B$7))</f>
        <v>81.521954395443956</v>
      </c>
      <c r="N970" s="54">
        <f ca="1">MIN(100,MAX(0,MCDA_Prioritisation!$F$3+(RAND()-0.5)*2*$B$7))</f>
        <v>100</v>
      </c>
      <c r="O970" s="54">
        <f ca="1">MIN(100,MAX(0,MCDA_Prioritisation!$F$4+(RAND()-0.5)*2*$B$7))</f>
        <v>91.2408419273672</v>
      </c>
      <c r="P970" s="54">
        <f ca="1">MIN(100,MAX(0,MCDA_Prioritisation!$F$5+(RAND()-0.5)*2*$B$7))</f>
        <v>65.456093333708679</v>
      </c>
      <c r="Q970" s="54">
        <f ca="1">MIN(100,MAX(0,MCDA_Prioritisation!$G$2+(RAND()-0.5)*2*$B$7))</f>
        <v>81.382405989153909</v>
      </c>
      <c r="R970" s="54">
        <f ca="1">MIN(100,MAX(0,MCDA_Prioritisation!$G$3+(RAND()-0.5)*2*$B$7))</f>
        <v>96.768761457656197</v>
      </c>
      <c r="S970" s="54">
        <f ca="1">MIN(100,MAX(0,MCDA_Prioritisation!$G$4+(RAND()-0.5)*2*$B$7))</f>
        <v>81.958331785250181</v>
      </c>
      <c r="T970" s="54">
        <f ca="1">MIN(100,MAX(0,MCDA_Prioritisation!$G$5+(RAND()-0.5)*2*$B$7))</f>
        <v>69.58435843299813</v>
      </c>
      <c r="U970" s="54">
        <f ca="1">MIN(100,MAX(0,MCDA_Prioritisation!$H$2+(RAND()-0.5)*2*$B$7))</f>
        <v>65.266243441440551</v>
      </c>
      <c r="V970" s="54">
        <f ca="1">MIN(100,MAX(0,MCDA_Prioritisation!$H$3+(RAND()-0.5)*2*$B$7))</f>
        <v>57.01497837555948</v>
      </c>
      <c r="W970" s="54">
        <f ca="1">MIN(100,MAX(0,MCDA_Prioritisation!$H$4+(RAND()-0.5)*2*$B$7))</f>
        <v>79.289693690971049</v>
      </c>
      <c r="X970" s="54">
        <f ca="1">MIN(100,MAX(0,MCDA_Prioritisation!$H$5+(RAND()-0.5)*2*$B$7))</f>
        <v>73.9357312089396</v>
      </c>
      <c r="Y970" s="54">
        <f ca="1">H970*MCDA_Prioritisation!$D$2+I970*MCDA_Prioritisation!$E$2+J970*M970+K970*Q970+L970*U970</f>
        <v>89.293915596605927</v>
      </c>
      <c r="Z970" s="54">
        <f ca="1">H970*MCDA_Prioritisation!$D$3+I970*MCDA_Prioritisation!$E$3+J970*N970+K970*R970+L970*V970</f>
        <v>85.084425444703115</v>
      </c>
      <c r="AA970" s="54">
        <f ca="1">H970*MCDA_Prioritisation!$D$4+I970*MCDA_Prioritisation!$E$4+J970*O970+K970*S970+L970*W970</f>
        <v>74.109434560891515</v>
      </c>
      <c r="AB970" s="54">
        <f ca="1">H970*MCDA_Prioritisation!$D$5+I970*MCDA_Prioritisation!$E$5+J970*P970+K970*T970+L970*X970</f>
        <v>68.902880655016943</v>
      </c>
      <c r="AC970" s="54">
        <f t="shared" ca="1" si="202"/>
        <v>1</v>
      </c>
      <c r="AD970" s="54">
        <f t="shared" ca="1" si="203"/>
        <v>2</v>
      </c>
      <c r="AE970" s="54">
        <f t="shared" ca="1" si="204"/>
        <v>3</v>
      </c>
      <c r="AF970" s="54">
        <f t="shared" ca="1" si="205"/>
        <v>4</v>
      </c>
      <c r="AG970" s="54">
        <f t="shared" ca="1" si="206"/>
        <v>1</v>
      </c>
      <c r="AH970" s="54">
        <f t="shared" ca="1" si="207"/>
        <v>1</v>
      </c>
      <c r="AI970" s="54">
        <f t="shared" ca="1" si="208"/>
        <v>1</v>
      </c>
      <c r="AJ970" s="54">
        <f t="shared" ca="1" si="209"/>
        <v>1</v>
      </c>
    </row>
    <row r="971" spans="1:36" x14ac:dyDescent="0.2">
      <c r="A971" s="54">
        <v>948</v>
      </c>
      <c r="B971" s="54">
        <f ca="1">MAX(0.02,MCDA_Prioritisation!$B$9+(RAND()-0.5)*2*$B$6)</f>
        <v>0.2154191929750042</v>
      </c>
      <c r="C971" s="54">
        <f ca="1">MAX(0.02,MCDA_Prioritisation!$B$10+(RAND()-0.5)*2*$B$6)</f>
        <v>0.29979066835548562</v>
      </c>
      <c r="D971" s="54">
        <f ca="1">MAX(0.02,MCDA_Prioritisation!$B$11+(RAND()-0.5)*2*$B$6)</f>
        <v>0.20513919737546965</v>
      </c>
      <c r="E971" s="54">
        <f ca="1">MAX(0.02,MCDA_Prioritisation!$B$12+(RAND()-0.5)*2*$B$6)</f>
        <v>0.16193690270022934</v>
      </c>
      <c r="F971" s="54">
        <f ca="1">MAX(0.02,MCDA_Prioritisation!$B$13+(RAND()-0.5)*2*$B$6)</f>
        <v>0.12582605275287348</v>
      </c>
      <c r="G971" s="54">
        <f t="shared" ca="1" si="196"/>
        <v>1.0081120141590623</v>
      </c>
      <c r="H971" s="54">
        <f t="shared" ca="1" si="197"/>
        <v>0.21368577097526273</v>
      </c>
      <c r="I971" s="54">
        <f t="shared" ca="1" si="198"/>
        <v>0.29737833112281903</v>
      </c>
      <c r="J971" s="54">
        <f t="shared" ca="1" si="199"/>
        <v>0.20348849581620235</v>
      </c>
      <c r="K971" s="54">
        <f t="shared" ca="1" si="200"/>
        <v>0.16063383872605902</v>
      </c>
      <c r="L971" s="54">
        <f t="shared" ca="1" si="201"/>
        <v>0.12481356335965693</v>
      </c>
      <c r="M971" s="54">
        <f ca="1">MIN(100,MAX(0,MCDA_Prioritisation!$F$2+(RAND()-0.5)*2*$B$7))</f>
        <v>87.010208933968286</v>
      </c>
      <c r="N971" s="54">
        <f ca="1">MIN(100,MAX(0,MCDA_Prioritisation!$F$3+(RAND()-0.5)*2*$B$7))</f>
        <v>94.99058302801528</v>
      </c>
      <c r="O971" s="54">
        <f ca="1">MIN(100,MAX(0,MCDA_Prioritisation!$F$4+(RAND()-0.5)*2*$B$7))</f>
        <v>95.931284500217572</v>
      </c>
      <c r="P971" s="54">
        <f ca="1">MIN(100,MAX(0,MCDA_Prioritisation!$F$5+(RAND()-0.5)*2*$B$7))</f>
        <v>77.849934343170048</v>
      </c>
      <c r="Q971" s="54">
        <f ca="1">MIN(100,MAX(0,MCDA_Prioritisation!$G$2+(RAND()-0.5)*2*$B$7))</f>
        <v>79.633170532243412</v>
      </c>
      <c r="R971" s="54">
        <f ca="1">MIN(100,MAX(0,MCDA_Prioritisation!$G$3+(RAND()-0.5)*2*$B$7))</f>
        <v>95.487468053589907</v>
      </c>
      <c r="S971" s="54">
        <f ca="1">MIN(100,MAX(0,MCDA_Prioritisation!$G$4+(RAND()-0.5)*2*$B$7))</f>
        <v>86.903611698984818</v>
      </c>
      <c r="T971" s="54">
        <f ca="1">MIN(100,MAX(0,MCDA_Prioritisation!$G$5+(RAND()-0.5)*2*$B$7))</f>
        <v>73.914358127350482</v>
      </c>
      <c r="U971" s="54">
        <f ca="1">MIN(100,MAX(0,MCDA_Prioritisation!$H$2+(RAND()-0.5)*2*$B$7))</f>
        <v>57.052512083207546</v>
      </c>
      <c r="V971" s="54">
        <f ca="1">MIN(100,MAX(0,MCDA_Prioritisation!$H$3+(RAND()-0.5)*2*$B$7))</f>
        <v>67.28689098704352</v>
      </c>
      <c r="W971" s="54">
        <f ca="1">MIN(100,MAX(0,MCDA_Prioritisation!$H$4+(RAND()-0.5)*2*$B$7))</f>
        <v>82.570683029121369</v>
      </c>
      <c r="X971" s="54">
        <f ca="1">MIN(100,MAX(0,MCDA_Prioritisation!$H$5+(RAND()-0.5)*2*$B$7))</f>
        <v>77.598707743841047</v>
      </c>
      <c r="Y971" s="54">
        <f ca="1">H971*MCDA_Prioritisation!$D$2+I971*MCDA_Prioritisation!$E$2+J971*M971+K971*Q971+L971*U971</f>
        <v>88.724695950681024</v>
      </c>
      <c r="Z971" s="54">
        <f ca="1">H971*MCDA_Prioritisation!$D$3+I971*MCDA_Prioritisation!$E$3+J971*N971+K971*R971+L971*V971</f>
        <v>83.369302001054933</v>
      </c>
      <c r="AA971" s="54">
        <f ca="1">H971*MCDA_Prioritisation!$D$4+I971*MCDA_Prioritisation!$E$4+J971*O971+K971*S971+L971*W971</f>
        <v>74.886971869414822</v>
      </c>
      <c r="AB971" s="54">
        <f ca="1">H971*MCDA_Prioritisation!$D$5+I971*MCDA_Prioritisation!$E$5+J971*P971+K971*T971+L971*X971</f>
        <v>73.748460992297865</v>
      </c>
      <c r="AC971" s="54">
        <f t="shared" ca="1" si="202"/>
        <v>1</v>
      </c>
      <c r="AD971" s="54">
        <f t="shared" ca="1" si="203"/>
        <v>2</v>
      </c>
      <c r="AE971" s="54">
        <f t="shared" ca="1" si="204"/>
        <v>3</v>
      </c>
      <c r="AF971" s="54">
        <f t="shared" ca="1" si="205"/>
        <v>4</v>
      </c>
      <c r="AG971" s="54">
        <f t="shared" ca="1" si="206"/>
        <v>1</v>
      </c>
      <c r="AH971" s="54">
        <f t="shared" ca="1" si="207"/>
        <v>1</v>
      </c>
      <c r="AI971" s="54">
        <f t="shared" ca="1" si="208"/>
        <v>1</v>
      </c>
      <c r="AJ971" s="54">
        <f t="shared" ca="1" si="209"/>
        <v>1</v>
      </c>
    </row>
    <row r="972" spans="1:36" x14ac:dyDescent="0.2">
      <c r="A972" s="54">
        <v>949</v>
      </c>
      <c r="B972" s="54">
        <f ca="1">MAX(0.02,MCDA_Prioritisation!$B$9+(RAND()-0.5)*2*$B$6)</f>
        <v>0.25876363760493798</v>
      </c>
      <c r="C972" s="54">
        <f ca="1">MAX(0.02,MCDA_Prioritisation!$B$10+(RAND()-0.5)*2*$B$6)</f>
        <v>0.31645769836341192</v>
      </c>
      <c r="D972" s="54">
        <f ca="1">MAX(0.02,MCDA_Prioritisation!$B$11+(RAND()-0.5)*2*$B$6)</f>
        <v>0.27876217196299086</v>
      </c>
      <c r="E972" s="54">
        <f ca="1">MAX(0.02,MCDA_Prioritisation!$B$12+(RAND()-0.5)*2*$B$6)</f>
        <v>0.13893620993978981</v>
      </c>
      <c r="F972" s="54">
        <f ca="1">MAX(0.02,MCDA_Prioritisation!$B$13+(RAND()-0.5)*2*$B$6)</f>
        <v>0.19327313595016044</v>
      </c>
      <c r="G972" s="54">
        <f t="shared" ca="1" si="196"/>
        <v>1.1861928538212909</v>
      </c>
      <c r="H972" s="54">
        <f t="shared" ca="1" si="197"/>
        <v>0.21814634675241662</v>
      </c>
      <c r="I972" s="54">
        <f t="shared" ca="1" si="198"/>
        <v>0.26678435748786655</v>
      </c>
      <c r="J972" s="54">
        <f t="shared" ca="1" si="199"/>
        <v>0.23500577588624433</v>
      </c>
      <c r="K972" s="54">
        <f t="shared" ca="1" si="200"/>
        <v>0.1171278426540931</v>
      </c>
      <c r="L972" s="54">
        <f t="shared" ca="1" si="201"/>
        <v>0.16293567721937946</v>
      </c>
      <c r="M972" s="54">
        <f ca="1">MIN(100,MAX(0,MCDA_Prioritisation!$F$2+(RAND()-0.5)*2*$B$7))</f>
        <v>78.287294506172714</v>
      </c>
      <c r="N972" s="54">
        <f ca="1">MIN(100,MAX(0,MCDA_Prioritisation!$F$3+(RAND()-0.5)*2*$B$7))</f>
        <v>87.932374217543924</v>
      </c>
      <c r="O972" s="54">
        <f ca="1">MIN(100,MAX(0,MCDA_Prioritisation!$F$4+(RAND()-0.5)*2*$B$7))</f>
        <v>88.812967526215957</v>
      </c>
      <c r="P972" s="54">
        <f ca="1">MIN(100,MAX(0,MCDA_Prioritisation!$F$5+(RAND()-0.5)*2*$B$7))</f>
        <v>78.84687832312315</v>
      </c>
      <c r="Q972" s="54">
        <f ca="1">MIN(100,MAX(0,MCDA_Prioritisation!$G$2+(RAND()-0.5)*2*$B$7))</f>
        <v>78.628297727391285</v>
      </c>
      <c r="R972" s="54">
        <f ca="1">MIN(100,MAX(0,MCDA_Prioritisation!$G$3+(RAND()-0.5)*2*$B$7))</f>
        <v>89.340381089568069</v>
      </c>
      <c r="S972" s="54">
        <f ca="1">MIN(100,MAX(0,MCDA_Prioritisation!$G$4+(RAND()-0.5)*2*$B$7))</f>
        <v>92.150580068540677</v>
      </c>
      <c r="T972" s="54">
        <f ca="1">MIN(100,MAX(0,MCDA_Prioritisation!$G$5+(RAND()-0.5)*2*$B$7))</f>
        <v>78.353269266749948</v>
      </c>
      <c r="U972" s="54">
        <f ca="1">MIN(100,MAX(0,MCDA_Prioritisation!$H$2+(RAND()-0.5)*2*$B$7))</f>
        <v>67.658491729721774</v>
      </c>
      <c r="V972" s="54">
        <f ca="1">MIN(100,MAX(0,MCDA_Prioritisation!$H$3+(RAND()-0.5)*2*$B$7))</f>
        <v>59.01214398563566</v>
      </c>
      <c r="W972" s="54">
        <f ca="1">MIN(100,MAX(0,MCDA_Prioritisation!$H$4+(RAND()-0.5)*2*$B$7))</f>
        <v>72.87125761323054</v>
      </c>
      <c r="X972" s="54">
        <f ca="1">MIN(100,MAX(0,MCDA_Prioritisation!$H$5+(RAND()-0.5)*2*$B$7))</f>
        <v>72.702617724066158</v>
      </c>
      <c r="Y972" s="54">
        <f ca="1">H972*MCDA_Prioritisation!$D$2+I972*MCDA_Prioritisation!$E$2+J972*M972+K972*Q972+L972*U972</f>
        <v>87.124581865483421</v>
      </c>
      <c r="Z972" s="54">
        <f ca="1">H972*MCDA_Prioritisation!$D$3+I972*MCDA_Prioritisation!$E$3+J972*N972+K972*R972+L972*V972</f>
        <v>79.211845500553054</v>
      </c>
      <c r="AA972" s="54">
        <f ca="1">H972*MCDA_Prioritisation!$D$4+I972*MCDA_Prioritisation!$E$4+J972*O972+K972*S972+L972*W972</f>
        <v>73.280589931433809</v>
      </c>
      <c r="AB972" s="54">
        <f ca="1">H972*MCDA_Prioritisation!$D$5+I972*MCDA_Prioritisation!$E$5+J972*P972+K972*T972+L972*X972</f>
        <v>73.565122082793337</v>
      </c>
      <c r="AC972" s="54">
        <f t="shared" ca="1" si="202"/>
        <v>1</v>
      </c>
      <c r="AD972" s="54">
        <f t="shared" ca="1" si="203"/>
        <v>2</v>
      </c>
      <c r="AE972" s="54">
        <f t="shared" ca="1" si="204"/>
        <v>4</v>
      </c>
      <c r="AF972" s="54">
        <f t="shared" ca="1" si="205"/>
        <v>3</v>
      </c>
      <c r="AG972" s="54">
        <f t="shared" ca="1" si="206"/>
        <v>1</v>
      </c>
      <c r="AH972" s="54">
        <f t="shared" ca="1" si="207"/>
        <v>1</v>
      </c>
      <c r="AI972" s="54">
        <f t="shared" ca="1" si="208"/>
        <v>0</v>
      </c>
      <c r="AJ972" s="54">
        <f t="shared" ca="1" si="209"/>
        <v>1</v>
      </c>
    </row>
    <row r="973" spans="1:36" x14ac:dyDescent="0.2">
      <c r="A973" s="54">
        <v>950</v>
      </c>
      <c r="B973" s="54">
        <f ca="1">MAX(0.02,MCDA_Prioritisation!$B$9+(RAND()-0.5)*2*$B$6)</f>
        <v>0.13379163938259153</v>
      </c>
      <c r="C973" s="54">
        <f ca="1">MAX(0.02,MCDA_Prioritisation!$B$10+(RAND()-0.5)*2*$B$6)</f>
        <v>0.29310540662609591</v>
      </c>
      <c r="D973" s="54">
        <f ca="1">MAX(0.02,MCDA_Prioritisation!$B$11+(RAND()-0.5)*2*$B$6)</f>
        <v>0.31294202964899581</v>
      </c>
      <c r="E973" s="54">
        <f ca="1">MAX(0.02,MCDA_Prioritisation!$B$12+(RAND()-0.5)*2*$B$6)</f>
        <v>0.20413226665656264</v>
      </c>
      <c r="F973" s="54">
        <f ca="1">MAX(0.02,MCDA_Prioritisation!$B$13+(RAND()-0.5)*2*$B$6)</f>
        <v>0.14584653806270811</v>
      </c>
      <c r="G973" s="54">
        <f t="shared" ca="1" si="196"/>
        <v>1.089817880376954</v>
      </c>
      <c r="H973" s="54">
        <f t="shared" ca="1" si="197"/>
        <v>0.12276513515846768</v>
      </c>
      <c r="I973" s="54">
        <f t="shared" ca="1" si="198"/>
        <v>0.26894897936957551</v>
      </c>
      <c r="J973" s="54">
        <f t="shared" ca="1" si="199"/>
        <v>0.28715075728134792</v>
      </c>
      <c r="K973" s="54">
        <f t="shared" ca="1" si="200"/>
        <v>0.18730860479730421</v>
      </c>
      <c r="L973" s="54">
        <f t="shared" ca="1" si="201"/>
        <v>0.13382652339330464</v>
      </c>
      <c r="M973" s="54">
        <f ca="1">MIN(100,MAX(0,MCDA_Prioritisation!$F$2+(RAND()-0.5)*2*$B$7))</f>
        <v>83.353149009611784</v>
      </c>
      <c r="N973" s="54">
        <f ca="1">MIN(100,MAX(0,MCDA_Prioritisation!$F$3+(RAND()-0.5)*2*$B$7))</f>
        <v>92.495473773916189</v>
      </c>
      <c r="O973" s="54">
        <f ca="1">MIN(100,MAX(0,MCDA_Prioritisation!$F$4+(RAND()-0.5)*2*$B$7))</f>
        <v>97.218952804413263</v>
      </c>
      <c r="P973" s="54">
        <f ca="1">MIN(100,MAX(0,MCDA_Prioritisation!$F$5+(RAND()-0.5)*2*$B$7))</f>
        <v>84.25321654195848</v>
      </c>
      <c r="Q973" s="54">
        <f ca="1">MIN(100,MAX(0,MCDA_Prioritisation!$G$2+(RAND()-0.5)*2*$B$7))</f>
        <v>70.320899900924047</v>
      </c>
      <c r="R973" s="54">
        <f ca="1">MIN(100,MAX(0,MCDA_Prioritisation!$G$3+(RAND()-0.5)*2*$B$7))</f>
        <v>94.994856867361847</v>
      </c>
      <c r="S973" s="54">
        <f ca="1">MIN(100,MAX(0,MCDA_Prioritisation!$G$4+(RAND()-0.5)*2*$B$7))</f>
        <v>83.293530254955158</v>
      </c>
      <c r="T973" s="54">
        <f ca="1">MIN(100,MAX(0,MCDA_Prioritisation!$G$5+(RAND()-0.5)*2*$B$7))</f>
        <v>72.322483883676853</v>
      </c>
      <c r="U973" s="54">
        <f ca="1">MIN(100,MAX(0,MCDA_Prioritisation!$H$2+(RAND()-0.5)*2*$B$7))</f>
        <v>70.009792752196702</v>
      </c>
      <c r="V973" s="54">
        <f ca="1">MIN(100,MAX(0,MCDA_Prioritisation!$H$3+(RAND()-0.5)*2*$B$7))</f>
        <v>61.060363543694137</v>
      </c>
      <c r="W973" s="54">
        <f ca="1">MIN(100,MAX(0,MCDA_Prioritisation!$H$4+(RAND()-0.5)*2*$B$7))</f>
        <v>84.266333665290503</v>
      </c>
      <c r="X973" s="54">
        <f ca="1">MIN(100,MAX(0,MCDA_Prioritisation!$H$5+(RAND()-0.5)*2*$B$7))</f>
        <v>68.404865309911415</v>
      </c>
      <c r="Y973" s="54">
        <f ca="1">H973*MCDA_Prioritisation!$D$2+I973*MCDA_Prioritisation!$E$2+J973*M973+K973*Q973+L973*U973</f>
        <v>85.647208128744609</v>
      </c>
      <c r="Z973" s="54">
        <f ca="1">H973*MCDA_Prioritisation!$D$3+I973*MCDA_Prioritisation!$E$3+J973*N973+K973*R973+L973*V973</f>
        <v>82.814206168709674</v>
      </c>
      <c r="AA973" s="54">
        <f ca="1">H973*MCDA_Prioritisation!$D$4+I973*MCDA_Prioritisation!$E$4+J973*O973+K973*S973+L973*W973</f>
        <v>78.0137479885978</v>
      </c>
      <c r="AB973" s="54">
        <f ca="1">H973*MCDA_Prioritisation!$D$5+I973*MCDA_Prioritisation!$E$5+J973*P973+K973*T973+L973*X973</f>
        <v>76.026416754646661</v>
      </c>
      <c r="AC973" s="54">
        <f t="shared" ca="1" si="202"/>
        <v>1</v>
      </c>
      <c r="AD973" s="54">
        <f t="shared" ca="1" si="203"/>
        <v>2</v>
      </c>
      <c r="AE973" s="54">
        <f t="shared" ca="1" si="204"/>
        <v>3</v>
      </c>
      <c r="AF973" s="54">
        <f t="shared" ca="1" si="205"/>
        <v>4</v>
      </c>
      <c r="AG973" s="54">
        <f t="shared" ca="1" si="206"/>
        <v>1</v>
      </c>
      <c r="AH973" s="54">
        <f t="shared" ca="1" si="207"/>
        <v>1</v>
      </c>
      <c r="AI973" s="54">
        <f t="shared" ca="1" si="208"/>
        <v>1</v>
      </c>
      <c r="AJ973" s="54">
        <f t="shared" ca="1" si="209"/>
        <v>1</v>
      </c>
    </row>
    <row r="974" spans="1:36" x14ac:dyDescent="0.2">
      <c r="A974" s="54">
        <v>951</v>
      </c>
      <c r="B974" s="54">
        <f ca="1">MAX(0.02,MCDA_Prioritisation!$B$9+(RAND()-0.5)*2*$B$6)</f>
        <v>0.18456435312866346</v>
      </c>
      <c r="C974" s="54">
        <f ca="1">MAX(0.02,MCDA_Prioritisation!$B$10+(RAND()-0.5)*2*$B$6)</f>
        <v>0.21918462027062804</v>
      </c>
      <c r="D974" s="54">
        <f ca="1">MAX(0.02,MCDA_Prioritisation!$B$11+(RAND()-0.5)*2*$B$6)</f>
        <v>0.27609472579858418</v>
      </c>
      <c r="E974" s="54">
        <f ca="1">MAX(0.02,MCDA_Prioritisation!$B$12+(RAND()-0.5)*2*$B$6)</f>
        <v>0.1855964670464644</v>
      </c>
      <c r="F974" s="54">
        <f ca="1">MAX(0.02,MCDA_Prioritisation!$B$13+(RAND()-0.5)*2*$B$6)</f>
        <v>0.21103457023008781</v>
      </c>
      <c r="G974" s="54">
        <f t="shared" ca="1" si="196"/>
        <v>1.0764747364744278</v>
      </c>
      <c r="H974" s="54">
        <f t="shared" ca="1" si="197"/>
        <v>0.1714525635159185</v>
      </c>
      <c r="I974" s="54">
        <f t="shared" ca="1" si="198"/>
        <v>0.20361334348494009</v>
      </c>
      <c r="J974" s="54">
        <f t="shared" ca="1" si="199"/>
        <v>0.25648045090479737</v>
      </c>
      <c r="K974" s="54">
        <f t="shared" ca="1" si="200"/>
        <v>0.17241135417103523</v>
      </c>
      <c r="L974" s="54">
        <f t="shared" ca="1" si="201"/>
        <v>0.19604228792330886</v>
      </c>
      <c r="M974" s="54">
        <f ca="1">MIN(100,MAX(0,MCDA_Prioritisation!$F$2+(RAND()-0.5)*2*$B$7))</f>
        <v>81.59835195214842</v>
      </c>
      <c r="N974" s="54">
        <f ca="1">MIN(100,MAX(0,MCDA_Prioritisation!$F$3+(RAND()-0.5)*2*$B$7))</f>
        <v>96.88450747162544</v>
      </c>
      <c r="O974" s="54">
        <f ca="1">MIN(100,MAX(0,MCDA_Prioritisation!$F$4+(RAND()-0.5)*2*$B$7))</f>
        <v>92.763540459152154</v>
      </c>
      <c r="P974" s="54">
        <f ca="1">MIN(100,MAX(0,MCDA_Prioritisation!$F$5+(RAND()-0.5)*2*$B$7))</f>
        <v>83.286007768236772</v>
      </c>
      <c r="Q974" s="54">
        <f ca="1">MIN(100,MAX(0,MCDA_Prioritisation!$G$2+(RAND()-0.5)*2*$B$7))</f>
        <v>78.678881283415834</v>
      </c>
      <c r="R974" s="54">
        <f ca="1">MIN(100,MAX(0,MCDA_Prioritisation!$G$3+(RAND()-0.5)*2*$B$7))</f>
        <v>88.555945379091071</v>
      </c>
      <c r="S974" s="54">
        <f ca="1">MIN(100,MAX(0,MCDA_Prioritisation!$G$4+(RAND()-0.5)*2*$B$7))</f>
        <v>91.195187802458321</v>
      </c>
      <c r="T974" s="54">
        <f ca="1">MIN(100,MAX(0,MCDA_Prioritisation!$G$5+(RAND()-0.5)*2*$B$7))</f>
        <v>79.922578278648544</v>
      </c>
      <c r="U974" s="54">
        <f ca="1">MIN(100,MAX(0,MCDA_Prioritisation!$H$2+(RAND()-0.5)*2*$B$7))</f>
        <v>73.767591559726299</v>
      </c>
      <c r="V974" s="54">
        <f ca="1">MIN(100,MAX(0,MCDA_Prioritisation!$H$3+(RAND()-0.5)*2*$B$7))</f>
        <v>65.866325346073097</v>
      </c>
      <c r="W974" s="54">
        <f ca="1">MIN(100,MAX(0,MCDA_Prioritisation!$H$4+(RAND()-0.5)*2*$B$7))</f>
        <v>89.092228848250201</v>
      </c>
      <c r="X974" s="54">
        <f ca="1">MIN(100,MAX(0,MCDA_Prioritisation!$H$5+(RAND()-0.5)*2*$B$7))</f>
        <v>83.728769735018318</v>
      </c>
      <c r="Y974" s="54">
        <f ca="1">H974*MCDA_Prioritisation!$D$2+I974*MCDA_Prioritisation!$E$2+J974*M974+K974*Q974+L974*U974</f>
        <v>86.461672692557997</v>
      </c>
      <c r="Z974" s="54">
        <f ca="1">H974*MCDA_Prioritisation!$D$3+I974*MCDA_Prioritisation!$E$3+J974*N974+K974*R974+L974*V974</f>
        <v>82.822273039510634</v>
      </c>
      <c r="AA974" s="54">
        <f ca="1">H974*MCDA_Prioritisation!$D$4+I974*MCDA_Prioritisation!$E$4+J974*O974+K974*S974+L974*W974</f>
        <v>80.026095881000899</v>
      </c>
      <c r="AB974" s="54">
        <f ca="1">H974*MCDA_Prioritisation!$D$5+I974*MCDA_Prioritisation!$E$5+J974*P974+K974*T974+L974*X974</f>
        <v>77.777200887708503</v>
      </c>
      <c r="AC974" s="54">
        <f t="shared" ca="1" si="202"/>
        <v>1</v>
      </c>
      <c r="AD974" s="54">
        <f t="shared" ca="1" si="203"/>
        <v>2</v>
      </c>
      <c r="AE974" s="54">
        <f t="shared" ca="1" si="204"/>
        <v>3</v>
      </c>
      <c r="AF974" s="54">
        <f t="shared" ca="1" si="205"/>
        <v>4</v>
      </c>
      <c r="AG974" s="54">
        <f t="shared" ca="1" si="206"/>
        <v>1</v>
      </c>
      <c r="AH974" s="54">
        <f t="shared" ca="1" si="207"/>
        <v>1</v>
      </c>
      <c r="AI974" s="54">
        <f t="shared" ca="1" si="208"/>
        <v>1</v>
      </c>
      <c r="AJ974" s="54">
        <f t="shared" ca="1" si="209"/>
        <v>1</v>
      </c>
    </row>
    <row r="975" spans="1:36" x14ac:dyDescent="0.2">
      <c r="A975" s="54">
        <v>952</v>
      </c>
      <c r="B975" s="54">
        <f ca="1">MAX(0.02,MCDA_Prioritisation!$B$9+(RAND()-0.5)*2*$B$6)</f>
        <v>0.17066908338876829</v>
      </c>
      <c r="C975" s="54">
        <f ca="1">MAX(0.02,MCDA_Prioritisation!$B$10+(RAND()-0.5)*2*$B$6)</f>
        <v>0.32302866258931295</v>
      </c>
      <c r="D975" s="54">
        <f ca="1">MAX(0.02,MCDA_Prioritisation!$B$11+(RAND()-0.5)*2*$B$6)</f>
        <v>0.27074722109005456</v>
      </c>
      <c r="E975" s="54">
        <f ca="1">MAX(0.02,MCDA_Prioritisation!$B$12+(RAND()-0.5)*2*$B$6)</f>
        <v>7.6247470316692101E-2</v>
      </c>
      <c r="F975" s="54">
        <f ca="1">MAX(0.02,MCDA_Prioritisation!$B$13+(RAND()-0.5)*2*$B$6)</f>
        <v>0.13675923462734088</v>
      </c>
      <c r="G975" s="54">
        <f t="shared" ca="1" si="196"/>
        <v>0.97745167201216876</v>
      </c>
      <c r="H975" s="54">
        <f t="shared" ca="1" si="197"/>
        <v>0.17460616036129054</v>
      </c>
      <c r="I975" s="54">
        <f t="shared" ca="1" si="198"/>
        <v>0.33048044403497773</v>
      </c>
      <c r="J975" s="54">
        <f t="shared" ca="1" si="199"/>
        <v>0.27699294895337179</v>
      </c>
      <c r="K975" s="54">
        <f t="shared" ca="1" si="200"/>
        <v>7.8006383844768601E-2</v>
      </c>
      <c r="L975" s="54">
        <f t="shared" ca="1" si="201"/>
        <v>0.13991406280559138</v>
      </c>
      <c r="M975" s="54">
        <f ca="1">MIN(100,MAX(0,MCDA_Prioritisation!$F$2+(RAND()-0.5)*2*$B$7))</f>
        <v>81.043521317481847</v>
      </c>
      <c r="N975" s="54">
        <f ca="1">MIN(100,MAX(0,MCDA_Prioritisation!$F$3+(RAND()-0.5)*2*$B$7))</f>
        <v>100</v>
      </c>
      <c r="O975" s="54">
        <f ca="1">MIN(100,MAX(0,MCDA_Prioritisation!$F$4+(RAND()-0.5)*2*$B$7))</f>
        <v>93.119632307750152</v>
      </c>
      <c r="P975" s="54">
        <f ca="1">MIN(100,MAX(0,MCDA_Prioritisation!$F$5+(RAND()-0.5)*2*$B$7))</f>
        <v>74.733188601858572</v>
      </c>
      <c r="Q975" s="54">
        <f ca="1">MIN(100,MAX(0,MCDA_Prioritisation!$G$2+(RAND()-0.5)*2*$B$7))</f>
        <v>88.826686678679295</v>
      </c>
      <c r="R975" s="54">
        <f ca="1">MIN(100,MAX(0,MCDA_Prioritisation!$G$3+(RAND()-0.5)*2*$B$7))</f>
        <v>98.51445010356548</v>
      </c>
      <c r="S975" s="54">
        <f ca="1">MIN(100,MAX(0,MCDA_Prioritisation!$G$4+(RAND()-0.5)*2*$B$7))</f>
        <v>94.159938893618744</v>
      </c>
      <c r="T975" s="54">
        <f ca="1">MIN(100,MAX(0,MCDA_Prioritisation!$G$5+(RAND()-0.5)*2*$B$7))</f>
        <v>73.962845240562771</v>
      </c>
      <c r="U975" s="54">
        <f ca="1">MIN(100,MAX(0,MCDA_Prioritisation!$H$2+(RAND()-0.5)*2*$B$7))</f>
        <v>71.922919843637359</v>
      </c>
      <c r="V975" s="54">
        <f ca="1">MIN(100,MAX(0,MCDA_Prioritisation!$H$3+(RAND()-0.5)*2*$B$7))</f>
        <v>63.027254738347047</v>
      </c>
      <c r="W975" s="54">
        <f ca="1">MIN(100,MAX(0,MCDA_Prioritisation!$H$4+(RAND()-0.5)*2*$B$7))</f>
        <v>84.970999862918518</v>
      </c>
      <c r="X975" s="54">
        <f ca="1">MIN(100,MAX(0,MCDA_Prioritisation!$H$5+(RAND()-0.5)*2*$B$7))</f>
        <v>68.427372589337324</v>
      </c>
      <c r="Y975" s="54">
        <f ca="1">H975*MCDA_Prioritisation!$D$2+I975*MCDA_Prioritisation!$E$2+J975*M975+K975*Q975+L975*U975</f>
        <v>89.949220943801805</v>
      </c>
      <c r="Z975" s="54">
        <f ca="1">H975*MCDA_Prioritisation!$D$3+I975*MCDA_Prioritisation!$E$3+J975*N975+K975*R975+L975*V975</f>
        <v>83.497418097552298</v>
      </c>
      <c r="AA975" s="54">
        <f ca="1">H975*MCDA_Prioritisation!$D$4+I975*MCDA_Prioritisation!$E$4+J975*O975+K975*S975+L975*W975</f>
        <v>75.211948311938755</v>
      </c>
      <c r="AB975" s="54">
        <f ca="1">H975*MCDA_Prioritisation!$D$5+I975*MCDA_Prioritisation!$E$5+J975*P975+K975*T975+L975*X975</f>
        <v>73.10187040290937</v>
      </c>
      <c r="AC975" s="54">
        <f t="shared" ca="1" si="202"/>
        <v>1</v>
      </c>
      <c r="AD975" s="54">
        <f t="shared" ca="1" si="203"/>
        <v>2</v>
      </c>
      <c r="AE975" s="54">
        <f t="shared" ca="1" si="204"/>
        <v>3</v>
      </c>
      <c r="AF975" s="54">
        <f t="shared" ca="1" si="205"/>
        <v>4</v>
      </c>
      <c r="AG975" s="54">
        <f t="shared" ca="1" si="206"/>
        <v>1</v>
      </c>
      <c r="AH975" s="54">
        <f t="shared" ca="1" si="207"/>
        <v>1</v>
      </c>
      <c r="AI975" s="54">
        <f t="shared" ca="1" si="208"/>
        <v>1</v>
      </c>
      <c r="AJ975" s="54">
        <f t="shared" ca="1" si="209"/>
        <v>1</v>
      </c>
    </row>
    <row r="976" spans="1:36" x14ac:dyDescent="0.2">
      <c r="A976" s="54">
        <v>953</v>
      </c>
      <c r="B976" s="54">
        <f ca="1">MAX(0.02,MCDA_Prioritisation!$B$9+(RAND()-0.5)*2*$B$6)</f>
        <v>0.18005240118848787</v>
      </c>
      <c r="C976" s="54">
        <f ca="1">MAX(0.02,MCDA_Prioritisation!$B$10+(RAND()-0.5)*2*$B$6)</f>
        <v>0.17540730863997889</v>
      </c>
      <c r="D976" s="54">
        <f ca="1">MAX(0.02,MCDA_Prioritisation!$B$11+(RAND()-0.5)*2*$B$6)</f>
        <v>0.24277444949442945</v>
      </c>
      <c r="E976" s="54">
        <f ca="1">MAX(0.02,MCDA_Prioritisation!$B$12+(RAND()-0.5)*2*$B$6)</f>
        <v>0.17761678977490972</v>
      </c>
      <c r="F976" s="54">
        <f ca="1">MAX(0.02,MCDA_Prioritisation!$B$13+(RAND()-0.5)*2*$B$6)</f>
        <v>0.21223208587272335</v>
      </c>
      <c r="G976" s="54">
        <f t="shared" ca="1" si="196"/>
        <v>0.98808303497052918</v>
      </c>
      <c r="H976" s="54">
        <f t="shared" ca="1" si="197"/>
        <v>0.18222395772017091</v>
      </c>
      <c r="I976" s="54">
        <f t="shared" ca="1" si="198"/>
        <v>0.17752284214171396</v>
      </c>
      <c r="J976" s="54">
        <f t="shared" ca="1" si="199"/>
        <v>0.24570247732435815</v>
      </c>
      <c r="K976" s="54">
        <f t="shared" ca="1" si="200"/>
        <v>0.17975897114781184</v>
      </c>
      <c r="L976" s="54">
        <f t="shared" ca="1" si="201"/>
        <v>0.21479175166594519</v>
      </c>
      <c r="M976" s="54">
        <f ca="1">MIN(100,MAX(0,MCDA_Prioritisation!$F$2+(RAND()-0.5)*2*$B$7))</f>
        <v>85.39325909928283</v>
      </c>
      <c r="N976" s="54">
        <f ca="1">MIN(100,MAX(0,MCDA_Prioritisation!$F$3+(RAND()-0.5)*2*$B$7))</f>
        <v>90.739312548627282</v>
      </c>
      <c r="O976" s="54">
        <f ca="1">MIN(100,MAX(0,MCDA_Prioritisation!$F$4+(RAND()-0.5)*2*$B$7))</f>
        <v>86.289723861039406</v>
      </c>
      <c r="P976" s="54">
        <f ca="1">MIN(100,MAX(0,MCDA_Prioritisation!$F$5+(RAND()-0.5)*2*$B$7))</f>
        <v>75.842888969940958</v>
      </c>
      <c r="Q976" s="54">
        <f ca="1">MIN(100,MAX(0,MCDA_Prioritisation!$G$2+(RAND()-0.5)*2*$B$7))</f>
        <v>85.555371758166416</v>
      </c>
      <c r="R976" s="54">
        <f ca="1">MIN(100,MAX(0,MCDA_Prioritisation!$G$3+(RAND()-0.5)*2*$B$7))</f>
        <v>100</v>
      </c>
      <c r="S976" s="54">
        <f ca="1">MIN(100,MAX(0,MCDA_Prioritisation!$G$4+(RAND()-0.5)*2*$B$7))</f>
        <v>80.111745475126298</v>
      </c>
      <c r="T976" s="54">
        <f ca="1">MIN(100,MAX(0,MCDA_Prioritisation!$G$5+(RAND()-0.5)*2*$B$7))</f>
        <v>78.621220763195723</v>
      </c>
      <c r="U976" s="54">
        <f ca="1">MIN(100,MAX(0,MCDA_Prioritisation!$H$2+(RAND()-0.5)*2*$B$7))</f>
        <v>66.965223997461408</v>
      </c>
      <c r="V976" s="54">
        <f ca="1">MIN(100,MAX(0,MCDA_Prioritisation!$H$3+(RAND()-0.5)*2*$B$7))</f>
        <v>58.570447681490947</v>
      </c>
      <c r="W976" s="54">
        <f ca="1">MIN(100,MAX(0,MCDA_Prioritisation!$H$4+(RAND()-0.5)*2*$B$7))</f>
        <v>72.620719251755901</v>
      </c>
      <c r="X976" s="54">
        <f ca="1">MIN(100,MAX(0,MCDA_Prioritisation!$H$5+(RAND()-0.5)*2*$B$7))</f>
        <v>72.499856619853006</v>
      </c>
      <c r="Y976" s="54">
        <f ca="1">H976*MCDA_Prioritisation!$D$2+I976*MCDA_Prioritisation!$E$2+J976*M976+K976*Q976+L976*U976</f>
        <v>86.718938660216736</v>
      </c>
      <c r="Z976" s="54">
        <f ca="1">H976*MCDA_Prioritisation!$D$3+I976*MCDA_Prioritisation!$E$3+J976*N976+K976*R976+L976*V976</f>
        <v>81.687770149997107</v>
      </c>
      <c r="AA976" s="54">
        <f ca="1">H976*MCDA_Prioritisation!$D$4+I976*MCDA_Prioritisation!$E$4+J976*O976+K976*S976+L976*W976</f>
        <v>73.572804669666723</v>
      </c>
      <c r="AB976" s="54">
        <f ca="1">H976*MCDA_Prioritisation!$D$5+I976*MCDA_Prioritisation!$E$5+J976*P976+K976*T976+L976*X976</f>
        <v>72.939782543990361</v>
      </c>
      <c r="AC976" s="54">
        <f t="shared" ca="1" si="202"/>
        <v>1</v>
      </c>
      <c r="AD976" s="54">
        <f t="shared" ca="1" si="203"/>
        <v>2</v>
      </c>
      <c r="AE976" s="54">
        <f t="shared" ca="1" si="204"/>
        <v>3</v>
      </c>
      <c r="AF976" s="54">
        <f t="shared" ca="1" si="205"/>
        <v>4</v>
      </c>
      <c r="AG976" s="54">
        <f t="shared" ca="1" si="206"/>
        <v>1</v>
      </c>
      <c r="AH976" s="54">
        <f t="shared" ca="1" si="207"/>
        <v>1</v>
      </c>
      <c r="AI976" s="54">
        <f t="shared" ca="1" si="208"/>
        <v>1</v>
      </c>
      <c r="AJ976" s="54">
        <f t="shared" ca="1" si="209"/>
        <v>1</v>
      </c>
    </row>
    <row r="977" spans="1:36" x14ac:dyDescent="0.2">
      <c r="A977" s="54">
        <v>954</v>
      </c>
      <c r="B977" s="54">
        <f ca="1">MAX(0.02,MCDA_Prioritisation!$B$9+(RAND()-0.5)*2*$B$6)</f>
        <v>0.22102786895539889</v>
      </c>
      <c r="C977" s="54">
        <f ca="1">MAX(0.02,MCDA_Prioritisation!$B$10+(RAND()-0.5)*2*$B$6)</f>
        <v>0.19075079358967931</v>
      </c>
      <c r="D977" s="54">
        <f ca="1">MAX(0.02,MCDA_Prioritisation!$B$11+(RAND()-0.5)*2*$B$6)</f>
        <v>0.21030581217731181</v>
      </c>
      <c r="E977" s="54">
        <f ca="1">MAX(0.02,MCDA_Prioritisation!$B$12+(RAND()-0.5)*2*$B$6)</f>
        <v>0.11194117942744891</v>
      </c>
      <c r="F977" s="54">
        <f ca="1">MAX(0.02,MCDA_Prioritisation!$B$13+(RAND()-0.5)*2*$B$6)</f>
        <v>0.16196768445151655</v>
      </c>
      <c r="G977" s="54">
        <f t="shared" ca="1" si="196"/>
        <v>0.89599333860135544</v>
      </c>
      <c r="H977" s="54">
        <f t="shared" ca="1" si="197"/>
        <v>0.2466847234605819</v>
      </c>
      <c r="I977" s="54">
        <f t="shared" ca="1" si="198"/>
        <v>0.21289309347705762</v>
      </c>
      <c r="J977" s="54">
        <f t="shared" ca="1" si="199"/>
        <v>0.23471805326767153</v>
      </c>
      <c r="K977" s="54">
        <f t="shared" ca="1" si="200"/>
        <v>0.12493528088299068</v>
      </c>
      <c r="L977" s="54">
        <f t="shared" ca="1" si="201"/>
        <v>0.18076884891169828</v>
      </c>
      <c r="M977" s="54">
        <f ca="1">MIN(100,MAX(0,MCDA_Prioritisation!$F$2+(RAND()-0.5)*2*$B$7))</f>
        <v>78.589683077229452</v>
      </c>
      <c r="N977" s="54">
        <f ca="1">MIN(100,MAX(0,MCDA_Prioritisation!$F$3+(RAND()-0.5)*2*$B$7))</f>
        <v>92.667658380816732</v>
      </c>
      <c r="O977" s="54">
        <f ca="1">MIN(100,MAX(0,MCDA_Prioritisation!$F$4+(RAND()-0.5)*2*$B$7))</f>
        <v>85.168394643211343</v>
      </c>
      <c r="P977" s="54">
        <f ca="1">MIN(100,MAX(0,MCDA_Prioritisation!$F$5+(RAND()-0.5)*2*$B$7))</f>
        <v>66.805140250755883</v>
      </c>
      <c r="Q977" s="54">
        <f ca="1">MIN(100,MAX(0,MCDA_Prioritisation!$G$2+(RAND()-0.5)*2*$B$7))</f>
        <v>78.928466272819279</v>
      </c>
      <c r="R977" s="54">
        <f ca="1">MIN(100,MAX(0,MCDA_Prioritisation!$G$3+(RAND()-0.5)*2*$B$7))</f>
        <v>94.12637624312822</v>
      </c>
      <c r="S977" s="54">
        <f ca="1">MIN(100,MAX(0,MCDA_Prioritisation!$G$4+(RAND()-0.5)*2*$B$7))</f>
        <v>79.004283734221062</v>
      </c>
      <c r="T977" s="54">
        <f ca="1">MIN(100,MAX(0,MCDA_Prioritisation!$G$5+(RAND()-0.5)*2*$B$7))</f>
        <v>61.631667160474926</v>
      </c>
      <c r="U977" s="54">
        <f ca="1">MIN(100,MAX(0,MCDA_Prioritisation!$H$2+(RAND()-0.5)*2*$B$7))</f>
        <v>58.178658002369843</v>
      </c>
      <c r="V977" s="54">
        <f ca="1">MIN(100,MAX(0,MCDA_Prioritisation!$H$3+(RAND()-0.5)*2*$B$7))</f>
        <v>62.956551898468895</v>
      </c>
      <c r="W977" s="54">
        <f ca="1">MIN(100,MAX(0,MCDA_Prioritisation!$H$4+(RAND()-0.5)*2*$B$7))</f>
        <v>85.651817850911286</v>
      </c>
      <c r="X977" s="54">
        <f ca="1">MIN(100,MAX(0,MCDA_Prioritisation!$H$5+(RAND()-0.5)*2*$B$7))</f>
        <v>77.629330104763923</v>
      </c>
      <c r="Y977" s="54">
        <f ca="1">H977*MCDA_Prioritisation!$D$2+I977*MCDA_Prioritisation!$E$2+J977*M977+K977*Q977+L977*U977</f>
        <v>84.782038254348606</v>
      </c>
      <c r="Z977" s="54">
        <f ca="1">H977*MCDA_Prioritisation!$D$3+I977*MCDA_Prioritisation!$E$3+J977*N977+K977*R977+L977*V977</f>
        <v>81.93366024381676</v>
      </c>
      <c r="AA977" s="54">
        <f ca="1">H977*MCDA_Prioritisation!$D$4+I977*MCDA_Prioritisation!$E$4+J977*O977+K977*S977+L977*W977</f>
        <v>74.134187224109354</v>
      </c>
      <c r="AB977" s="54">
        <f ca="1">H977*MCDA_Prioritisation!$D$5+I977*MCDA_Prioritisation!$E$5+J977*P977+K977*T977+L977*X977</f>
        <v>68.408691733523654</v>
      </c>
      <c r="AC977" s="54">
        <f t="shared" ca="1" si="202"/>
        <v>1</v>
      </c>
      <c r="AD977" s="54">
        <f t="shared" ca="1" si="203"/>
        <v>2</v>
      </c>
      <c r="AE977" s="54">
        <f t="shared" ca="1" si="204"/>
        <v>3</v>
      </c>
      <c r="AF977" s="54">
        <f t="shared" ca="1" si="205"/>
        <v>4</v>
      </c>
      <c r="AG977" s="54">
        <f t="shared" ca="1" si="206"/>
        <v>1</v>
      </c>
      <c r="AH977" s="54">
        <f t="shared" ca="1" si="207"/>
        <v>1</v>
      </c>
      <c r="AI977" s="54">
        <f t="shared" ca="1" si="208"/>
        <v>1</v>
      </c>
      <c r="AJ977" s="54">
        <f t="shared" ca="1" si="209"/>
        <v>1</v>
      </c>
    </row>
    <row r="978" spans="1:36" x14ac:dyDescent="0.2">
      <c r="A978" s="54">
        <v>955</v>
      </c>
      <c r="B978" s="54">
        <f ca="1">MAX(0.02,MCDA_Prioritisation!$B$9+(RAND()-0.5)*2*$B$6)</f>
        <v>0.23241309676261948</v>
      </c>
      <c r="C978" s="54">
        <f ca="1">MAX(0.02,MCDA_Prioritisation!$B$10+(RAND()-0.5)*2*$B$6)</f>
        <v>0.31335214343025208</v>
      </c>
      <c r="D978" s="54">
        <f ca="1">MAX(0.02,MCDA_Prioritisation!$B$11+(RAND()-0.5)*2*$B$6)</f>
        <v>0.30926525991074311</v>
      </c>
      <c r="E978" s="54">
        <f ca="1">MAX(0.02,MCDA_Prioritisation!$B$12+(RAND()-0.5)*2*$B$6)</f>
        <v>9.4236620414500066E-2</v>
      </c>
      <c r="F978" s="54">
        <f ca="1">MAX(0.02,MCDA_Prioritisation!$B$13+(RAND()-0.5)*2*$B$6)</f>
        <v>0.12167033051823591</v>
      </c>
      <c r="G978" s="54">
        <f t="shared" ca="1" si="196"/>
        <v>1.0709374510363507</v>
      </c>
      <c r="H978" s="54">
        <f t="shared" ca="1" si="197"/>
        <v>0.21701836698092156</v>
      </c>
      <c r="I978" s="54">
        <f t="shared" ca="1" si="198"/>
        <v>0.2925961204615824</v>
      </c>
      <c r="J978" s="54">
        <f t="shared" ca="1" si="199"/>
        <v>0.28877994658928569</v>
      </c>
      <c r="K978" s="54">
        <f t="shared" ca="1" si="200"/>
        <v>8.7994513893698348E-2</v>
      </c>
      <c r="L978" s="54">
        <f t="shared" ca="1" si="201"/>
        <v>0.11361105207451193</v>
      </c>
      <c r="M978" s="54">
        <f ca="1">MIN(100,MAX(0,MCDA_Prioritisation!$F$2+(RAND()-0.5)*2*$B$7))</f>
        <v>89.949765209135947</v>
      </c>
      <c r="N978" s="54">
        <f ca="1">MIN(100,MAX(0,MCDA_Prioritisation!$F$3+(RAND()-0.5)*2*$B$7))</f>
        <v>100</v>
      </c>
      <c r="O978" s="54">
        <f ca="1">MIN(100,MAX(0,MCDA_Prioritisation!$F$4+(RAND()-0.5)*2*$B$7))</f>
        <v>97.254185551496846</v>
      </c>
      <c r="P978" s="54">
        <f ca="1">MIN(100,MAX(0,MCDA_Prioritisation!$F$5+(RAND()-0.5)*2*$B$7))</f>
        <v>67.417996308477058</v>
      </c>
      <c r="Q978" s="54">
        <f ca="1">MIN(100,MAX(0,MCDA_Prioritisation!$G$2+(RAND()-0.5)*2*$B$7))</f>
        <v>84.130189258933456</v>
      </c>
      <c r="R978" s="54">
        <f ca="1">MIN(100,MAX(0,MCDA_Prioritisation!$G$3+(RAND()-0.5)*2*$B$7))</f>
        <v>86.567512306860024</v>
      </c>
      <c r="S978" s="54">
        <f ca="1">MIN(100,MAX(0,MCDA_Prioritisation!$G$4+(RAND()-0.5)*2*$B$7))</f>
        <v>88.857174948641585</v>
      </c>
      <c r="T978" s="54">
        <f ca="1">MIN(100,MAX(0,MCDA_Prioritisation!$G$5+(RAND()-0.5)*2*$B$7))</f>
        <v>65.871466583744791</v>
      </c>
      <c r="U978" s="54">
        <f ca="1">MIN(100,MAX(0,MCDA_Prioritisation!$H$2+(RAND()-0.5)*2*$B$7))</f>
        <v>71.781033248593815</v>
      </c>
      <c r="V978" s="54">
        <f ca="1">MIN(100,MAX(0,MCDA_Prioritisation!$H$3+(RAND()-0.5)*2*$B$7))</f>
        <v>56.424902855836706</v>
      </c>
      <c r="W978" s="54">
        <f ca="1">MIN(100,MAX(0,MCDA_Prioritisation!$H$4+(RAND()-0.5)*2*$B$7))</f>
        <v>88.668062911756223</v>
      </c>
      <c r="X978" s="54">
        <f ca="1">MIN(100,MAX(0,MCDA_Prioritisation!$H$5+(RAND()-0.5)*2*$B$7))</f>
        <v>75.720768422352421</v>
      </c>
      <c r="Y978" s="54">
        <f ca="1">H978*MCDA_Prioritisation!$D$2+I978*MCDA_Prioritisation!$E$2+J978*M978+K978*Q978+L978*U978</f>
        <v>92.49525095105642</v>
      </c>
      <c r="Z978" s="54">
        <f ca="1">H978*MCDA_Prioritisation!$D$3+I978*MCDA_Prioritisation!$E$3+J978*N978+K978*R978+L978*V978</f>
        <v>83.152390587251361</v>
      </c>
      <c r="AA978" s="54">
        <f ca="1">H978*MCDA_Prioritisation!$D$4+I978*MCDA_Prioritisation!$E$4+J978*O978+K978*S978+L978*W978</f>
        <v>77.049346038593512</v>
      </c>
      <c r="AB978" s="54">
        <f ca="1">H978*MCDA_Prioritisation!$D$5+I978*MCDA_Prioritisation!$E$5+J978*P978+K978*T978+L978*X978</f>
        <v>69.991125920257332</v>
      </c>
      <c r="AC978" s="54">
        <f t="shared" ca="1" si="202"/>
        <v>1</v>
      </c>
      <c r="AD978" s="54">
        <f t="shared" ca="1" si="203"/>
        <v>2</v>
      </c>
      <c r="AE978" s="54">
        <f t="shared" ca="1" si="204"/>
        <v>3</v>
      </c>
      <c r="AF978" s="54">
        <f t="shared" ca="1" si="205"/>
        <v>4</v>
      </c>
      <c r="AG978" s="54">
        <f t="shared" ca="1" si="206"/>
        <v>1</v>
      </c>
      <c r="AH978" s="54">
        <f t="shared" ca="1" si="207"/>
        <v>1</v>
      </c>
      <c r="AI978" s="54">
        <f t="shared" ca="1" si="208"/>
        <v>1</v>
      </c>
      <c r="AJ978" s="54">
        <f t="shared" ca="1" si="209"/>
        <v>1</v>
      </c>
    </row>
    <row r="979" spans="1:36" x14ac:dyDescent="0.2">
      <c r="A979" s="54">
        <v>956</v>
      </c>
      <c r="B979" s="54">
        <f ca="1">MAX(0.02,MCDA_Prioritisation!$B$9+(RAND()-0.5)*2*$B$6)</f>
        <v>0.18958802844623876</v>
      </c>
      <c r="C979" s="54">
        <f ca="1">MAX(0.02,MCDA_Prioritisation!$B$10+(RAND()-0.5)*2*$B$6)</f>
        <v>0.29160533653693432</v>
      </c>
      <c r="D979" s="54">
        <f ca="1">MAX(0.02,MCDA_Prioritisation!$B$11+(RAND()-0.5)*2*$B$6)</f>
        <v>0.18783584154187744</v>
      </c>
      <c r="E979" s="54">
        <f ca="1">MAX(0.02,MCDA_Prioritisation!$B$12+(RAND()-0.5)*2*$B$6)</f>
        <v>0.1492415165966314</v>
      </c>
      <c r="F979" s="54">
        <f ca="1">MAX(0.02,MCDA_Prioritisation!$B$13+(RAND()-0.5)*2*$B$6)</f>
        <v>0.14448841680595803</v>
      </c>
      <c r="G979" s="54">
        <f t="shared" ca="1" si="196"/>
        <v>0.96275913992763995</v>
      </c>
      <c r="H979" s="54">
        <f t="shared" ca="1" si="197"/>
        <v>0.19692155658006841</v>
      </c>
      <c r="I979" s="54">
        <f t="shared" ca="1" si="198"/>
        <v>0.30288503577213621</v>
      </c>
      <c r="J979" s="54">
        <f t="shared" ca="1" si="199"/>
        <v>0.1951015926537919</v>
      </c>
      <c r="K979" s="54">
        <f t="shared" ca="1" si="200"/>
        <v>0.15501438564150971</v>
      </c>
      <c r="L979" s="54">
        <f t="shared" ca="1" si="201"/>
        <v>0.15007742935249374</v>
      </c>
      <c r="M979" s="54">
        <f ca="1">MIN(100,MAX(0,MCDA_Prioritisation!$F$2+(RAND()-0.5)*2*$B$7))</f>
        <v>93.617174390072705</v>
      </c>
      <c r="N979" s="54">
        <f ca="1">MIN(100,MAX(0,MCDA_Prioritisation!$F$3+(RAND()-0.5)*2*$B$7))</f>
        <v>100</v>
      </c>
      <c r="O979" s="54">
        <f ca="1">MIN(100,MAX(0,MCDA_Prioritisation!$F$4+(RAND()-0.5)*2*$B$7))</f>
        <v>98.047105035081458</v>
      </c>
      <c r="P979" s="54">
        <f ca="1">MIN(100,MAX(0,MCDA_Prioritisation!$F$5+(RAND()-0.5)*2*$B$7))</f>
        <v>81.638280592474075</v>
      </c>
      <c r="Q979" s="54">
        <f ca="1">MIN(100,MAX(0,MCDA_Prioritisation!$G$2+(RAND()-0.5)*2*$B$7))</f>
        <v>83.156431751345778</v>
      </c>
      <c r="R979" s="54">
        <f ca="1">MIN(100,MAX(0,MCDA_Prioritisation!$G$3+(RAND()-0.5)*2*$B$7))</f>
        <v>93.438186617597921</v>
      </c>
      <c r="S979" s="54">
        <f ca="1">MIN(100,MAX(0,MCDA_Prioritisation!$G$4+(RAND()-0.5)*2*$B$7))</f>
        <v>81.61729898866021</v>
      </c>
      <c r="T979" s="54">
        <f ca="1">MIN(100,MAX(0,MCDA_Prioritisation!$G$5+(RAND()-0.5)*2*$B$7))</f>
        <v>64.374301819362429</v>
      </c>
      <c r="U979" s="54">
        <f ca="1">MIN(100,MAX(0,MCDA_Prioritisation!$H$2+(RAND()-0.5)*2*$B$7))</f>
        <v>66.232808585134563</v>
      </c>
      <c r="V979" s="54">
        <f ca="1">MIN(100,MAX(0,MCDA_Prioritisation!$H$3+(RAND()-0.5)*2*$B$7))</f>
        <v>55.62178523641164</v>
      </c>
      <c r="W979" s="54">
        <f ca="1">MIN(100,MAX(0,MCDA_Prioritisation!$H$4+(RAND()-0.5)*2*$B$7))</f>
        <v>76.804988914794862</v>
      </c>
      <c r="X979" s="54">
        <f ca="1">MIN(100,MAX(0,MCDA_Prioritisation!$H$5+(RAND()-0.5)*2*$B$7))</f>
        <v>74.897417114222208</v>
      </c>
      <c r="Y979" s="54">
        <f ca="1">H979*MCDA_Prioritisation!$D$2+I979*MCDA_Prioritisation!$E$2+J979*M979+K979*Q979+L979*U979</f>
        <v>91.07601188979919</v>
      </c>
      <c r="Z979" s="54">
        <f ca="1">H979*MCDA_Prioritisation!$D$3+I979*MCDA_Prioritisation!$E$3+J979*N979+K979*R979+L979*V979</f>
        <v>81.580321132497545</v>
      </c>
      <c r="AA979" s="54">
        <f ca="1">H979*MCDA_Prioritisation!$D$4+I979*MCDA_Prioritisation!$E$4+J979*O979+K979*S979+L979*W979</f>
        <v>73.541158633925136</v>
      </c>
      <c r="AB979" s="54">
        <f ca="1">H979*MCDA_Prioritisation!$D$5+I979*MCDA_Prioritisation!$E$5+J979*P979+K979*T979+L979*X979</f>
        <v>73.068778087083189</v>
      </c>
      <c r="AC979" s="54">
        <f t="shared" ca="1" si="202"/>
        <v>1</v>
      </c>
      <c r="AD979" s="54">
        <f t="shared" ca="1" si="203"/>
        <v>2</v>
      </c>
      <c r="AE979" s="54">
        <f t="shared" ca="1" si="204"/>
        <v>3</v>
      </c>
      <c r="AF979" s="54">
        <f t="shared" ca="1" si="205"/>
        <v>4</v>
      </c>
      <c r="AG979" s="54">
        <f t="shared" ca="1" si="206"/>
        <v>1</v>
      </c>
      <c r="AH979" s="54">
        <f t="shared" ca="1" si="207"/>
        <v>1</v>
      </c>
      <c r="AI979" s="54">
        <f t="shared" ca="1" si="208"/>
        <v>1</v>
      </c>
      <c r="AJ979" s="54">
        <f t="shared" ca="1" si="209"/>
        <v>1</v>
      </c>
    </row>
    <row r="980" spans="1:36" x14ac:dyDescent="0.2">
      <c r="A980" s="54">
        <v>957</v>
      </c>
      <c r="B980" s="54">
        <f ca="1">MAX(0.02,MCDA_Prioritisation!$B$9+(RAND()-0.5)*2*$B$6)</f>
        <v>0.13727835096489954</v>
      </c>
      <c r="C980" s="54">
        <f ca="1">MAX(0.02,MCDA_Prioritisation!$B$10+(RAND()-0.5)*2*$B$6)</f>
        <v>0.18399706807111288</v>
      </c>
      <c r="D980" s="54">
        <f ca="1">MAX(0.02,MCDA_Prioritisation!$B$11+(RAND()-0.5)*2*$B$6)</f>
        <v>0.28950735805390099</v>
      </c>
      <c r="E980" s="54">
        <f ca="1">MAX(0.02,MCDA_Prioritisation!$B$12+(RAND()-0.5)*2*$B$6)</f>
        <v>0.12867100554240957</v>
      </c>
      <c r="F980" s="54">
        <f ca="1">MAX(0.02,MCDA_Prioritisation!$B$13+(RAND()-0.5)*2*$B$6)</f>
        <v>0.15083262248430457</v>
      </c>
      <c r="G980" s="54">
        <f t="shared" ca="1" si="196"/>
        <v>0.89028640511662771</v>
      </c>
      <c r="H980" s="54">
        <f t="shared" ca="1" si="197"/>
        <v>0.15419571744096897</v>
      </c>
      <c r="I980" s="54">
        <f t="shared" ca="1" si="198"/>
        <v>0.20667177103194026</v>
      </c>
      <c r="J980" s="54">
        <f t="shared" ca="1" si="199"/>
        <v>0.32518452083515242</v>
      </c>
      <c r="K980" s="54">
        <f t="shared" ca="1" si="200"/>
        <v>0.14452765402562071</v>
      </c>
      <c r="L980" s="54">
        <f t="shared" ca="1" si="201"/>
        <v>0.16942033666631748</v>
      </c>
      <c r="M980" s="54">
        <f ca="1">MIN(100,MAX(0,MCDA_Prioritisation!$F$2+(RAND()-0.5)*2*$B$7))</f>
        <v>89.169303721807324</v>
      </c>
      <c r="N980" s="54">
        <f ca="1">MIN(100,MAX(0,MCDA_Prioritisation!$F$3+(RAND()-0.5)*2*$B$7))</f>
        <v>93.921230056413478</v>
      </c>
      <c r="O980" s="54">
        <f ca="1">MIN(100,MAX(0,MCDA_Prioritisation!$F$4+(RAND()-0.5)*2*$B$7))</f>
        <v>88.375741638199429</v>
      </c>
      <c r="P980" s="54">
        <f ca="1">MIN(100,MAX(0,MCDA_Prioritisation!$F$5+(RAND()-0.5)*2*$B$7))</f>
        <v>71.581620903852894</v>
      </c>
      <c r="Q980" s="54">
        <f ca="1">MIN(100,MAX(0,MCDA_Prioritisation!$G$2+(RAND()-0.5)*2*$B$7))</f>
        <v>70.770575770562019</v>
      </c>
      <c r="R980" s="54">
        <f ca="1">MIN(100,MAX(0,MCDA_Prioritisation!$G$3+(RAND()-0.5)*2*$B$7))</f>
        <v>100</v>
      </c>
      <c r="S980" s="54">
        <f ca="1">MIN(100,MAX(0,MCDA_Prioritisation!$G$4+(RAND()-0.5)*2*$B$7))</f>
        <v>85.394741138477627</v>
      </c>
      <c r="T980" s="54">
        <f ca="1">MIN(100,MAX(0,MCDA_Prioritisation!$G$5+(RAND()-0.5)*2*$B$7))</f>
        <v>78.091769018713379</v>
      </c>
      <c r="U980" s="54">
        <f ca="1">MIN(100,MAX(0,MCDA_Prioritisation!$H$2+(RAND()-0.5)*2*$B$7))</f>
        <v>69.542831126870581</v>
      </c>
      <c r="V980" s="54">
        <f ca="1">MIN(100,MAX(0,MCDA_Prioritisation!$H$3+(RAND()-0.5)*2*$B$7))</f>
        <v>56.210969876728939</v>
      </c>
      <c r="W980" s="54">
        <f ca="1">MIN(100,MAX(0,MCDA_Prioritisation!$H$4+(RAND()-0.5)*2*$B$7))</f>
        <v>87.023228871741253</v>
      </c>
      <c r="X980" s="54">
        <f ca="1">MIN(100,MAX(0,MCDA_Prioritisation!$H$5+(RAND()-0.5)*2*$B$7))</f>
        <v>82.870466908535974</v>
      </c>
      <c r="Y980" s="54">
        <f ca="1">H980*MCDA_Prioritisation!$D$2+I980*MCDA_Prioritisation!$E$2+J980*M980+K980*Q980+L980*U980</f>
        <v>87.093501303676049</v>
      </c>
      <c r="Z980" s="54">
        <f ca="1">H980*MCDA_Prioritisation!$D$3+I980*MCDA_Prioritisation!$E$3+J980*N980+K980*R980+L980*V980</f>
        <v>83.024669624190267</v>
      </c>
      <c r="AA980" s="54">
        <f ca="1">H980*MCDA_Prioritisation!$D$4+I980*MCDA_Prioritisation!$E$4+J980*O980+K980*S980+L980*W980</f>
        <v>77.834118534381076</v>
      </c>
      <c r="AB980" s="54">
        <f ca="1">H980*MCDA_Prioritisation!$D$5+I980*MCDA_Prioritisation!$E$5+J980*P980+K980*T980+L980*X980</f>
        <v>74.166889691948157</v>
      </c>
      <c r="AC980" s="54">
        <f t="shared" ca="1" si="202"/>
        <v>1</v>
      </c>
      <c r="AD980" s="54">
        <f t="shared" ca="1" si="203"/>
        <v>2</v>
      </c>
      <c r="AE980" s="54">
        <f t="shared" ca="1" si="204"/>
        <v>3</v>
      </c>
      <c r="AF980" s="54">
        <f t="shared" ca="1" si="205"/>
        <v>4</v>
      </c>
      <c r="AG980" s="54">
        <f t="shared" ca="1" si="206"/>
        <v>1</v>
      </c>
      <c r="AH980" s="54">
        <f t="shared" ca="1" si="207"/>
        <v>1</v>
      </c>
      <c r="AI980" s="54">
        <f t="shared" ca="1" si="208"/>
        <v>1</v>
      </c>
      <c r="AJ980" s="54">
        <f t="shared" ca="1" si="209"/>
        <v>1</v>
      </c>
    </row>
    <row r="981" spans="1:36" x14ac:dyDescent="0.2">
      <c r="A981" s="54">
        <v>958</v>
      </c>
      <c r="B981" s="54">
        <f ca="1">MAX(0.02,MCDA_Prioritisation!$B$9+(RAND()-0.5)*2*$B$6)</f>
        <v>0.19186683659032333</v>
      </c>
      <c r="C981" s="54">
        <f ca="1">MAX(0.02,MCDA_Prioritisation!$B$10+(RAND()-0.5)*2*$B$6)</f>
        <v>0.20255051062047497</v>
      </c>
      <c r="D981" s="54">
        <f ca="1">MAX(0.02,MCDA_Prioritisation!$B$11+(RAND()-0.5)*2*$B$6)</f>
        <v>0.31912594962607277</v>
      </c>
      <c r="E981" s="54">
        <f ca="1">MAX(0.02,MCDA_Prioritisation!$B$12+(RAND()-0.5)*2*$B$6)</f>
        <v>9.4175743182929955E-2</v>
      </c>
      <c r="F981" s="54">
        <f ca="1">MAX(0.02,MCDA_Prioritisation!$B$13+(RAND()-0.5)*2*$B$6)</f>
        <v>0.14123324018356409</v>
      </c>
      <c r="G981" s="54">
        <f t="shared" ca="1" si="196"/>
        <v>0.94895228020336519</v>
      </c>
      <c r="H981" s="54">
        <f t="shared" ca="1" si="197"/>
        <v>0.20218807688538912</v>
      </c>
      <c r="I981" s="54">
        <f t="shared" ca="1" si="198"/>
        <v>0.21344646600887812</v>
      </c>
      <c r="J981" s="54">
        <f t="shared" ca="1" si="199"/>
        <v>0.33629293725674225</v>
      </c>
      <c r="K981" s="54">
        <f t="shared" ca="1" si="200"/>
        <v>9.9241811361418117E-2</v>
      </c>
      <c r="L981" s="54">
        <f t="shared" ca="1" si="201"/>
        <v>0.14883070848757232</v>
      </c>
      <c r="M981" s="54">
        <f ca="1">MIN(100,MAX(0,MCDA_Prioritisation!$F$2+(RAND()-0.5)*2*$B$7))</f>
        <v>79.211035451629073</v>
      </c>
      <c r="N981" s="54">
        <f ca="1">MIN(100,MAX(0,MCDA_Prioritisation!$F$3+(RAND()-0.5)*2*$B$7))</f>
        <v>90.528859038732733</v>
      </c>
      <c r="O981" s="54">
        <f ca="1">MIN(100,MAX(0,MCDA_Prioritisation!$F$4+(RAND()-0.5)*2*$B$7))</f>
        <v>90.412684254263112</v>
      </c>
      <c r="P981" s="54">
        <f ca="1">MIN(100,MAX(0,MCDA_Prioritisation!$F$5+(RAND()-0.5)*2*$B$7))</f>
        <v>70.675683369393752</v>
      </c>
      <c r="Q981" s="54">
        <f ca="1">MIN(100,MAX(0,MCDA_Prioritisation!$G$2+(RAND()-0.5)*2*$B$7))</f>
        <v>73.353139747470138</v>
      </c>
      <c r="R981" s="54">
        <f ca="1">MIN(100,MAX(0,MCDA_Prioritisation!$G$3+(RAND()-0.5)*2*$B$7))</f>
        <v>86.747394065574511</v>
      </c>
      <c r="S981" s="54">
        <f ca="1">MIN(100,MAX(0,MCDA_Prioritisation!$G$4+(RAND()-0.5)*2*$B$7))</f>
        <v>78.793116699453805</v>
      </c>
      <c r="T981" s="54">
        <f ca="1">MIN(100,MAX(0,MCDA_Prioritisation!$G$5+(RAND()-0.5)*2*$B$7))</f>
        <v>77.288643804316351</v>
      </c>
      <c r="U981" s="54">
        <f ca="1">MIN(100,MAX(0,MCDA_Prioritisation!$H$2+(RAND()-0.5)*2*$B$7))</f>
        <v>65.423257483117354</v>
      </c>
      <c r="V981" s="54">
        <f ca="1">MIN(100,MAX(0,MCDA_Prioritisation!$H$3+(RAND()-0.5)*2*$B$7))</f>
        <v>57.411245469834661</v>
      </c>
      <c r="W981" s="54">
        <f ca="1">MIN(100,MAX(0,MCDA_Prioritisation!$H$4+(RAND()-0.5)*2*$B$7))</f>
        <v>74.774528128229605</v>
      </c>
      <c r="X981" s="54">
        <f ca="1">MIN(100,MAX(0,MCDA_Prioritisation!$H$5+(RAND()-0.5)*2*$B$7))</f>
        <v>67.659901340834537</v>
      </c>
      <c r="Y981" s="54">
        <f ca="1">H981*MCDA_Prioritisation!$D$2+I981*MCDA_Prioritisation!$E$2+J981*M981+K981*Q981+L981*U981</f>
        <v>85.21825428496642</v>
      </c>
      <c r="Z981" s="54">
        <f ca="1">H981*MCDA_Prioritisation!$D$3+I981*MCDA_Prioritisation!$E$3+J981*N981+K981*R981+L981*V981</f>
        <v>80.791718970948011</v>
      </c>
      <c r="AA981" s="54">
        <f ca="1">H981*MCDA_Prioritisation!$D$4+I981*MCDA_Prioritisation!$E$4+J981*O981+K981*S981+L981*W981</f>
        <v>75.075188376268429</v>
      </c>
      <c r="AB981" s="54">
        <f ca="1">H981*MCDA_Prioritisation!$D$5+I981*MCDA_Prioritisation!$E$5+J981*P981+K981*T981+L981*X981</f>
        <v>70.188088675471818</v>
      </c>
      <c r="AC981" s="54">
        <f t="shared" ca="1" si="202"/>
        <v>1</v>
      </c>
      <c r="AD981" s="54">
        <f t="shared" ca="1" si="203"/>
        <v>2</v>
      </c>
      <c r="AE981" s="54">
        <f t="shared" ca="1" si="204"/>
        <v>3</v>
      </c>
      <c r="AF981" s="54">
        <f t="shared" ca="1" si="205"/>
        <v>4</v>
      </c>
      <c r="AG981" s="54">
        <f t="shared" ca="1" si="206"/>
        <v>1</v>
      </c>
      <c r="AH981" s="54">
        <f t="shared" ca="1" si="207"/>
        <v>1</v>
      </c>
      <c r="AI981" s="54">
        <f t="shared" ca="1" si="208"/>
        <v>1</v>
      </c>
      <c r="AJ981" s="54">
        <f t="shared" ca="1" si="209"/>
        <v>1</v>
      </c>
    </row>
    <row r="982" spans="1:36" x14ac:dyDescent="0.2">
      <c r="A982" s="54">
        <v>959</v>
      </c>
      <c r="B982" s="54">
        <f ca="1">MAX(0.02,MCDA_Prioritisation!$B$9+(RAND()-0.5)*2*$B$6)</f>
        <v>0.13600143402764286</v>
      </c>
      <c r="C982" s="54">
        <f ca="1">MAX(0.02,MCDA_Prioritisation!$B$10+(RAND()-0.5)*2*$B$6)</f>
        <v>0.23669926611148037</v>
      </c>
      <c r="D982" s="54">
        <f ca="1">MAX(0.02,MCDA_Prioritisation!$B$11+(RAND()-0.5)*2*$B$6)</f>
        <v>0.2054406488350754</v>
      </c>
      <c r="E982" s="54">
        <f ca="1">MAX(0.02,MCDA_Prioritisation!$B$12+(RAND()-0.5)*2*$B$6)</f>
        <v>0.16319309834573878</v>
      </c>
      <c r="F982" s="54">
        <f ca="1">MAX(0.02,MCDA_Prioritisation!$B$13+(RAND()-0.5)*2*$B$6)</f>
        <v>0.15864985912318161</v>
      </c>
      <c r="G982" s="54">
        <f t="shared" ca="1" si="196"/>
        <v>0.89998430644311911</v>
      </c>
      <c r="H982" s="54">
        <f t="shared" ca="1" si="197"/>
        <v>0.15111533951646572</v>
      </c>
      <c r="I982" s="54">
        <f t="shared" ca="1" si="198"/>
        <v>0.26300377064012753</v>
      </c>
      <c r="J982" s="54">
        <f t="shared" ca="1" si="199"/>
        <v>0.22827136802752646</v>
      </c>
      <c r="K982" s="54">
        <f t="shared" ca="1" si="200"/>
        <v>0.18132882671110545</v>
      </c>
      <c r="L982" s="54">
        <f t="shared" ca="1" si="201"/>
        <v>0.1762806951047747</v>
      </c>
      <c r="M982" s="54">
        <f ca="1">MIN(100,MAX(0,MCDA_Prioritisation!$F$2+(RAND()-0.5)*2*$B$7))</f>
        <v>87.313067784437521</v>
      </c>
      <c r="N982" s="54">
        <f ca="1">MIN(100,MAX(0,MCDA_Prioritisation!$F$3+(RAND()-0.5)*2*$B$7))</f>
        <v>86.407277292787683</v>
      </c>
      <c r="O982" s="54">
        <f ca="1">MIN(100,MAX(0,MCDA_Prioritisation!$F$4+(RAND()-0.5)*2*$B$7))</f>
        <v>80.957415601292183</v>
      </c>
      <c r="P982" s="54">
        <f ca="1">MIN(100,MAX(0,MCDA_Prioritisation!$F$5+(RAND()-0.5)*2*$B$7))</f>
        <v>79.303958032956672</v>
      </c>
      <c r="Q982" s="54">
        <f ca="1">MIN(100,MAX(0,MCDA_Prioritisation!$G$2+(RAND()-0.5)*2*$B$7))</f>
        <v>79.012944045764073</v>
      </c>
      <c r="R982" s="54">
        <f ca="1">MIN(100,MAX(0,MCDA_Prioritisation!$G$3+(RAND()-0.5)*2*$B$7))</f>
        <v>91.165759554675589</v>
      </c>
      <c r="S982" s="54">
        <f ca="1">MIN(100,MAX(0,MCDA_Prioritisation!$G$4+(RAND()-0.5)*2*$B$7))</f>
        <v>91.481338780545755</v>
      </c>
      <c r="T982" s="54">
        <f ca="1">MIN(100,MAX(0,MCDA_Prioritisation!$G$5+(RAND()-0.5)*2*$B$7))</f>
        <v>76.90939516867266</v>
      </c>
      <c r="U982" s="54">
        <f ca="1">MIN(100,MAX(0,MCDA_Prioritisation!$H$2+(RAND()-0.5)*2*$B$7))</f>
        <v>63.379733901562417</v>
      </c>
      <c r="V982" s="54">
        <f ca="1">MIN(100,MAX(0,MCDA_Prioritisation!$H$3+(RAND()-0.5)*2*$B$7))</f>
        <v>60.005575727521844</v>
      </c>
      <c r="W982" s="54">
        <f ca="1">MIN(100,MAX(0,MCDA_Prioritisation!$H$4+(RAND()-0.5)*2*$B$7))</f>
        <v>76.468882642736446</v>
      </c>
      <c r="X982" s="54">
        <f ca="1">MIN(100,MAX(0,MCDA_Prioritisation!$H$5+(RAND()-0.5)*2*$B$7))</f>
        <v>65.852672832224059</v>
      </c>
      <c r="Y982" s="54">
        <f ca="1">H982*MCDA_Prioritisation!$D$2+I982*MCDA_Prioritisation!$E$2+J982*M982+K982*Q982+L982*U982</f>
        <v>86.842932432024725</v>
      </c>
      <c r="Z982" s="54">
        <f ca="1">H982*MCDA_Prioritisation!$D$3+I982*MCDA_Prioritisation!$E$3+J982*N982+K982*R982+L982*V982</f>
        <v>79.167662203923442</v>
      </c>
      <c r="AA982" s="54">
        <f ca="1">H982*MCDA_Prioritisation!$D$4+I982*MCDA_Prioritisation!$E$4+J982*O982+K982*S982+L982*W982</f>
        <v>73.416895738398821</v>
      </c>
      <c r="AB982" s="54">
        <f ca="1">H982*MCDA_Prioritisation!$D$5+I982*MCDA_Prioritisation!$E$5+J982*P982+K982*T982+L982*X982</f>
        <v>73.79407559857998</v>
      </c>
      <c r="AC982" s="54">
        <f t="shared" ca="1" si="202"/>
        <v>1</v>
      </c>
      <c r="AD982" s="54">
        <f t="shared" ca="1" si="203"/>
        <v>2</v>
      </c>
      <c r="AE982" s="54">
        <f t="shared" ca="1" si="204"/>
        <v>4</v>
      </c>
      <c r="AF982" s="54">
        <f t="shared" ca="1" si="205"/>
        <v>3</v>
      </c>
      <c r="AG982" s="54">
        <f t="shared" ca="1" si="206"/>
        <v>1</v>
      </c>
      <c r="AH982" s="54">
        <f t="shared" ca="1" si="207"/>
        <v>1</v>
      </c>
      <c r="AI982" s="54">
        <f t="shared" ca="1" si="208"/>
        <v>0</v>
      </c>
      <c r="AJ982" s="54">
        <f t="shared" ca="1" si="209"/>
        <v>1</v>
      </c>
    </row>
    <row r="983" spans="1:36" x14ac:dyDescent="0.2">
      <c r="A983" s="54">
        <v>960</v>
      </c>
      <c r="B983" s="54">
        <f ca="1">MAX(0.02,MCDA_Prioritisation!$B$9+(RAND()-0.5)*2*$B$6)</f>
        <v>0.16804767031081072</v>
      </c>
      <c r="C983" s="54">
        <f ca="1">MAX(0.02,MCDA_Prioritisation!$B$10+(RAND()-0.5)*2*$B$6)</f>
        <v>0.21884278862017126</v>
      </c>
      <c r="D983" s="54">
        <f ca="1">MAX(0.02,MCDA_Prioritisation!$B$11+(RAND()-0.5)*2*$B$6)</f>
        <v>0.30413828413036409</v>
      </c>
      <c r="E983" s="54">
        <f ca="1">MAX(0.02,MCDA_Prioritisation!$B$12+(RAND()-0.5)*2*$B$6)</f>
        <v>0.1397975632905786</v>
      </c>
      <c r="F983" s="54">
        <f ca="1">MAX(0.02,MCDA_Prioritisation!$B$13+(RAND()-0.5)*2*$B$6)</f>
        <v>7.1556680480579463E-2</v>
      </c>
      <c r="G983" s="54">
        <f t="shared" ca="1" si="196"/>
        <v>0.90238298683250406</v>
      </c>
      <c r="H983" s="54">
        <f t="shared" ca="1" si="197"/>
        <v>0.18622654988286355</v>
      </c>
      <c r="I983" s="54">
        <f t="shared" ca="1" si="198"/>
        <v>0.24251652769778093</v>
      </c>
      <c r="J983" s="54">
        <f t="shared" ca="1" si="199"/>
        <v>0.33703902729586449</v>
      </c>
      <c r="K983" s="54">
        <f t="shared" ca="1" si="200"/>
        <v>0.15492043326447061</v>
      </c>
      <c r="L983" s="54">
        <f t="shared" ca="1" si="201"/>
        <v>7.9297461859020466E-2</v>
      </c>
      <c r="M983" s="54">
        <f ca="1">MIN(100,MAX(0,MCDA_Prioritisation!$F$2+(RAND()-0.5)*2*$B$7))</f>
        <v>75.274893261743458</v>
      </c>
      <c r="N983" s="54">
        <f ca="1">MIN(100,MAX(0,MCDA_Prioritisation!$F$3+(RAND()-0.5)*2*$B$7))</f>
        <v>100</v>
      </c>
      <c r="O983" s="54">
        <f ca="1">MIN(100,MAX(0,MCDA_Prioritisation!$F$4+(RAND()-0.5)*2*$B$7))</f>
        <v>83.142100453044151</v>
      </c>
      <c r="P983" s="54">
        <f ca="1">MIN(100,MAX(0,MCDA_Prioritisation!$F$5+(RAND()-0.5)*2*$B$7))</f>
        <v>79.167407889459838</v>
      </c>
      <c r="Q983" s="54">
        <f ca="1">MIN(100,MAX(0,MCDA_Prioritisation!$G$2+(RAND()-0.5)*2*$B$7))</f>
        <v>84.95623973831141</v>
      </c>
      <c r="R983" s="54">
        <f ca="1">MIN(100,MAX(0,MCDA_Prioritisation!$G$3+(RAND()-0.5)*2*$B$7))</f>
        <v>93.655433051365492</v>
      </c>
      <c r="S983" s="54">
        <f ca="1">MIN(100,MAX(0,MCDA_Prioritisation!$G$4+(RAND()-0.5)*2*$B$7))</f>
        <v>76.684778700716763</v>
      </c>
      <c r="T983" s="54">
        <f ca="1">MIN(100,MAX(0,MCDA_Prioritisation!$G$5+(RAND()-0.5)*2*$B$7))</f>
        <v>64.408108447707804</v>
      </c>
      <c r="U983" s="54">
        <f ca="1">MIN(100,MAX(0,MCDA_Prioritisation!$H$2+(RAND()-0.5)*2*$B$7))</f>
        <v>61.782155867590141</v>
      </c>
      <c r="V983" s="54">
        <f ca="1">MIN(100,MAX(0,MCDA_Prioritisation!$H$3+(RAND()-0.5)*2*$B$7))</f>
        <v>61.772750035673155</v>
      </c>
      <c r="W983" s="54">
        <f ca="1">MIN(100,MAX(0,MCDA_Prioritisation!$H$4+(RAND()-0.5)*2*$B$7))</f>
        <v>70.279864672527836</v>
      </c>
      <c r="X983" s="54">
        <f ca="1">MIN(100,MAX(0,MCDA_Prioritisation!$H$5+(RAND()-0.5)*2*$B$7))</f>
        <v>70.778266011625391</v>
      </c>
      <c r="Y983" s="54">
        <f ca="1">H983*MCDA_Prioritisation!$D$2+I983*MCDA_Prioritisation!$E$2+J983*M983+K983*Q983+L983*U983</f>
        <v>86.305510180060196</v>
      </c>
      <c r="Z983" s="54">
        <f ca="1">H983*MCDA_Prioritisation!$D$3+I983*MCDA_Prioritisation!$E$3+J983*N983+K983*R983+L983*V983</f>
        <v>87.02464278215183</v>
      </c>
      <c r="AA983" s="54">
        <f ca="1">H983*MCDA_Prioritisation!$D$4+I983*MCDA_Prioritisation!$E$4+J983*O983+K983*S983+L983*W983</f>
        <v>71.671083113855261</v>
      </c>
      <c r="AB983" s="54">
        <f ca="1">H983*MCDA_Prioritisation!$D$5+I983*MCDA_Prioritisation!$E$5+J983*P983+K983*T983+L983*X983</f>
        <v>72.550750191728554</v>
      </c>
      <c r="AC983" s="54">
        <f t="shared" ca="1" si="202"/>
        <v>2</v>
      </c>
      <c r="AD983" s="54">
        <f t="shared" ca="1" si="203"/>
        <v>1</v>
      </c>
      <c r="AE983" s="54">
        <f t="shared" ca="1" si="204"/>
        <v>4</v>
      </c>
      <c r="AF983" s="54">
        <f t="shared" ca="1" si="205"/>
        <v>3</v>
      </c>
      <c r="AG983" s="54">
        <f t="shared" ca="1" si="206"/>
        <v>0</v>
      </c>
      <c r="AH983" s="54">
        <f t="shared" ca="1" si="207"/>
        <v>0</v>
      </c>
      <c r="AI983" s="54">
        <f t="shared" ca="1" si="208"/>
        <v>0</v>
      </c>
      <c r="AJ983" s="54">
        <f t="shared" ca="1" si="209"/>
        <v>1</v>
      </c>
    </row>
    <row r="984" spans="1:36" x14ac:dyDescent="0.2">
      <c r="A984" s="54">
        <v>961</v>
      </c>
      <c r="B984" s="54">
        <f ca="1">MAX(0.02,MCDA_Prioritisation!$B$9+(RAND()-0.5)*2*$B$6)</f>
        <v>0.15655518099622251</v>
      </c>
      <c r="C984" s="54">
        <f ca="1">MAX(0.02,MCDA_Prioritisation!$B$10+(RAND()-0.5)*2*$B$6)</f>
        <v>0.3296899638794385</v>
      </c>
      <c r="D984" s="54">
        <f ca="1">MAX(0.02,MCDA_Prioritisation!$B$11+(RAND()-0.5)*2*$B$6)</f>
        <v>0.32405578221330555</v>
      </c>
      <c r="E984" s="54">
        <f ca="1">MAX(0.02,MCDA_Prioritisation!$B$12+(RAND()-0.5)*2*$B$6)</f>
        <v>0.16240175469341206</v>
      </c>
      <c r="F984" s="54">
        <f ca="1">MAX(0.02,MCDA_Prioritisation!$B$13+(RAND()-0.5)*2*$B$6)</f>
        <v>0.19430576024219973</v>
      </c>
      <c r="G984" s="54">
        <f t="shared" ref="G984:G1023" ca="1" si="210">SUM(B984:F984)</f>
        <v>1.1670084420245783</v>
      </c>
      <c r="H984" s="54">
        <f t="shared" ref="H984:H1023" ca="1" si="211">B984/$G984</f>
        <v>0.13415085560531473</v>
      </c>
      <c r="I984" s="54">
        <f t="shared" ref="I984:I1023" ca="1" si="212">C984/$G984</f>
        <v>0.2825086366191813</v>
      </c>
      <c r="J984" s="54">
        <f t="shared" ref="J984:J1023" ca="1" si="213">D984/$G984</f>
        <v>0.27768075237837964</v>
      </c>
      <c r="K984" s="54">
        <f t="shared" ref="K984:K1023" ca="1" si="214">E984/$G984</f>
        <v>0.13916073684237473</v>
      </c>
      <c r="L984" s="54">
        <f t="shared" ref="L984:L1023" ca="1" si="215">F984/$G984</f>
        <v>0.16649901855474963</v>
      </c>
      <c r="M984" s="54">
        <f ca="1">MIN(100,MAX(0,MCDA_Prioritisation!$F$2+(RAND()-0.5)*2*$B$7))</f>
        <v>82.283292079593906</v>
      </c>
      <c r="N984" s="54">
        <f ca="1">MIN(100,MAX(0,MCDA_Prioritisation!$F$3+(RAND()-0.5)*2*$B$7))</f>
        <v>93.490855818758519</v>
      </c>
      <c r="O984" s="54">
        <f ca="1">MIN(100,MAX(0,MCDA_Prioritisation!$F$4+(RAND()-0.5)*2*$B$7))</f>
        <v>80.974182881804296</v>
      </c>
      <c r="P984" s="54">
        <f ca="1">MIN(100,MAX(0,MCDA_Prioritisation!$F$5+(RAND()-0.5)*2*$B$7))</f>
        <v>65.926909540803564</v>
      </c>
      <c r="Q984" s="54">
        <f ca="1">MIN(100,MAX(0,MCDA_Prioritisation!$G$2+(RAND()-0.5)*2*$B$7))</f>
        <v>84.285905482480985</v>
      </c>
      <c r="R984" s="54">
        <f ca="1">MIN(100,MAX(0,MCDA_Prioritisation!$G$3+(RAND()-0.5)*2*$B$7))</f>
        <v>87.742874811862038</v>
      </c>
      <c r="S984" s="54">
        <f ca="1">MIN(100,MAX(0,MCDA_Prioritisation!$G$4+(RAND()-0.5)*2*$B$7))</f>
        <v>89.378610711038277</v>
      </c>
      <c r="T984" s="54">
        <f ca="1">MIN(100,MAX(0,MCDA_Prioritisation!$G$5+(RAND()-0.5)*2*$B$7))</f>
        <v>76.907801071718112</v>
      </c>
      <c r="U984" s="54">
        <f ca="1">MIN(100,MAX(0,MCDA_Prioritisation!$H$2+(RAND()-0.5)*2*$B$7))</f>
        <v>72.220069249210482</v>
      </c>
      <c r="V984" s="54">
        <f ca="1">MIN(100,MAX(0,MCDA_Prioritisation!$H$3+(RAND()-0.5)*2*$B$7))</f>
        <v>58.441684943878066</v>
      </c>
      <c r="W984" s="54">
        <f ca="1">MIN(100,MAX(0,MCDA_Prioritisation!$H$4+(RAND()-0.5)*2*$B$7))</f>
        <v>75.774542170292136</v>
      </c>
      <c r="X984" s="54">
        <f ca="1">MIN(100,MAX(0,MCDA_Prioritisation!$H$5+(RAND()-0.5)*2*$B$7))</f>
        <v>82.101679364389796</v>
      </c>
      <c r="Y984" s="54">
        <f ca="1">H984*MCDA_Prioritisation!$D$2+I984*MCDA_Prioritisation!$E$2+J984*M984+K984*Q984+L984*U984</f>
        <v>88.268295037599586</v>
      </c>
      <c r="Z984" s="54">
        <f ca="1">H984*MCDA_Prioritisation!$D$3+I984*MCDA_Prioritisation!$E$3+J984*N984+K984*R984+L984*V984</f>
        <v>80.171900908715841</v>
      </c>
      <c r="AA984" s="54">
        <f ca="1">H984*MCDA_Prioritisation!$D$4+I984*MCDA_Prioritisation!$E$4+J984*O984+K984*S984+L984*W984</f>
        <v>72.290391215591725</v>
      </c>
      <c r="AB984" s="54">
        <f ca="1">H984*MCDA_Prioritisation!$D$5+I984*MCDA_Prioritisation!$E$5+J984*P984+K984*T984+L984*X984</f>
        <v>73.5556132561602</v>
      </c>
      <c r="AC984" s="54">
        <f t="shared" ref="AC984:AC1023" ca="1" si="216">SUMPRODUCT(--($Y984:$AB984&gt;Y984))+1</f>
        <v>1</v>
      </c>
      <c r="AD984" s="54">
        <f t="shared" ref="AD984:AD1023" ca="1" si="217">SUMPRODUCT(--($Y984:$AB984&gt;Z984))+1</f>
        <v>2</v>
      </c>
      <c r="AE984" s="54">
        <f t="shared" ref="AE984:AE1023" ca="1" si="218">SUMPRODUCT(--($Y984:$AB984&gt;AA984))+1</f>
        <v>4</v>
      </c>
      <c r="AF984" s="54">
        <f t="shared" ref="AF984:AF1023" ca="1" si="219">SUMPRODUCT(--($Y984:$AB984&gt;AB984))+1</f>
        <v>3</v>
      </c>
      <c r="AG984" s="54">
        <f t="shared" ref="AG984:AG1023" ca="1" si="220">IF(AC984=1,1,0)</f>
        <v>1</v>
      </c>
      <c r="AH984" s="54">
        <f t="shared" ref="AH984:AH1023" ca="1" si="221">IF(AD984=2,1,0)</f>
        <v>1</v>
      </c>
      <c r="AI984" s="54">
        <f t="shared" ref="AI984:AI1023" ca="1" si="222">IF(AND(AC984=1,AD984=2,AE984=3,AF984=4),1,0)</f>
        <v>0</v>
      </c>
      <c r="AJ984" s="54">
        <f t="shared" ref="AJ984:AJ1023" ca="1" si="223">IF(AND(AC984&lt;=2,AD984&lt;=2),1,0)</f>
        <v>1</v>
      </c>
    </row>
    <row r="985" spans="1:36" x14ac:dyDescent="0.2">
      <c r="A985" s="54">
        <v>962</v>
      </c>
      <c r="B985" s="54">
        <f ca="1">MAX(0.02,MCDA_Prioritisation!$B$9+(RAND()-0.5)*2*$B$6)</f>
        <v>0.25721868225269806</v>
      </c>
      <c r="C985" s="54">
        <f ca="1">MAX(0.02,MCDA_Prioritisation!$B$10+(RAND()-0.5)*2*$B$6)</f>
        <v>0.31173958626111231</v>
      </c>
      <c r="D985" s="54">
        <f ca="1">MAX(0.02,MCDA_Prioritisation!$B$11+(RAND()-0.5)*2*$B$6)</f>
        <v>0.32557169187611168</v>
      </c>
      <c r="E985" s="54">
        <f ca="1">MAX(0.02,MCDA_Prioritisation!$B$12+(RAND()-0.5)*2*$B$6)</f>
        <v>0.10760978983645902</v>
      </c>
      <c r="F985" s="54">
        <f ca="1">MAX(0.02,MCDA_Prioritisation!$B$13+(RAND()-0.5)*2*$B$6)</f>
        <v>9.6435862885065185E-2</v>
      </c>
      <c r="G985" s="54">
        <f t="shared" ca="1" si="210"/>
        <v>1.0985756131114464</v>
      </c>
      <c r="H985" s="54">
        <f t="shared" ca="1" si="211"/>
        <v>0.23413835077240533</v>
      </c>
      <c r="I985" s="54">
        <f t="shared" ca="1" si="212"/>
        <v>0.28376707305397603</v>
      </c>
      <c r="J985" s="54">
        <f t="shared" ca="1" si="213"/>
        <v>0.2963580185018031</v>
      </c>
      <c r="K985" s="54">
        <f t="shared" ca="1" si="214"/>
        <v>9.7953921925938853E-2</v>
      </c>
      <c r="L985" s="54">
        <f t="shared" ca="1" si="215"/>
        <v>8.7782635745876622E-2</v>
      </c>
      <c r="M985" s="54">
        <f ca="1">MIN(100,MAX(0,MCDA_Prioritisation!$F$2+(RAND()-0.5)*2*$B$7))</f>
        <v>77.780601187140491</v>
      </c>
      <c r="N985" s="54">
        <f ca="1">MIN(100,MAX(0,MCDA_Prioritisation!$F$3+(RAND()-0.5)*2*$B$7))</f>
        <v>100</v>
      </c>
      <c r="O985" s="54">
        <f ca="1">MIN(100,MAX(0,MCDA_Prioritisation!$F$4+(RAND()-0.5)*2*$B$7))</f>
        <v>86.21195590650359</v>
      </c>
      <c r="P985" s="54">
        <f ca="1">MIN(100,MAX(0,MCDA_Prioritisation!$F$5+(RAND()-0.5)*2*$B$7))</f>
        <v>72.338238867360118</v>
      </c>
      <c r="Q985" s="54">
        <f ca="1">MIN(100,MAX(0,MCDA_Prioritisation!$G$2+(RAND()-0.5)*2*$B$7))</f>
        <v>71.144933011458846</v>
      </c>
      <c r="R985" s="54">
        <f ca="1">MIN(100,MAX(0,MCDA_Prioritisation!$G$3+(RAND()-0.5)*2*$B$7))</f>
        <v>88.061209450587555</v>
      </c>
      <c r="S985" s="54">
        <f ca="1">MIN(100,MAX(0,MCDA_Prioritisation!$G$4+(RAND()-0.5)*2*$B$7))</f>
        <v>93.562490305676988</v>
      </c>
      <c r="T985" s="54">
        <f ca="1">MIN(100,MAX(0,MCDA_Prioritisation!$G$5+(RAND()-0.5)*2*$B$7))</f>
        <v>74.507981511080445</v>
      </c>
      <c r="U985" s="54">
        <f ca="1">MIN(100,MAX(0,MCDA_Prioritisation!$H$2+(RAND()-0.5)*2*$B$7))</f>
        <v>65.791028678971614</v>
      </c>
      <c r="V985" s="54">
        <f ca="1">MIN(100,MAX(0,MCDA_Prioritisation!$H$3+(RAND()-0.5)*2*$B$7))</f>
        <v>52.930887447282814</v>
      </c>
      <c r="W985" s="54">
        <f ca="1">MIN(100,MAX(0,MCDA_Prioritisation!$H$4+(RAND()-0.5)*2*$B$7))</f>
        <v>70.423084124202077</v>
      </c>
      <c r="X985" s="54">
        <f ca="1">MIN(100,MAX(0,MCDA_Prioritisation!$H$5+(RAND()-0.5)*2*$B$7))</f>
        <v>82.639673239921336</v>
      </c>
      <c r="Y985" s="54">
        <f ca="1">H985*MCDA_Prioritisation!$D$2+I985*MCDA_Prioritisation!$E$2+J985*M985+K985*Q985+L985*U985</f>
        <v>87.585682347841356</v>
      </c>
      <c r="Z985" s="54">
        <f ca="1">H985*MCDA_Prioritisation!$D$3+I985*MCDA_Prioritisation!$E$3+J985*N985+K985*R985+L985*V985</f>
        <v>84.008712617960171</v>
      </c>
      <c r="AA985" s="54">
        <f ca="1">H985*MCDA_Prioritisation!$D$4+I985*MCDA_Prioritisation!$E$4+J985*O985+K985*S985+L985*W985</f>
        <v>72.678563562692659</v>
      </c>
      <c r="AB985" s="54">
        <f ca="1">H985*MCDA_Prioritisation!$D$5+I985*MCDA_Prioritisation!$E$5+J985*P985+K985*T985+L985*X985</f>
        <v>72.280026922454184</v>
      </c>
      <c r="AC985" s="54">
        <f t="shared" ca="1" si="216"/>
        <v>1</v>
      </c>
      <c r="AD985" s="54">
        <f t="shared" ca="1" si="217"/>
        <v>2</v>
      </c>
      <c r="AE985" s="54">
        <f t="shared" ca="1" si="218"/>
        <v>3</v>
      </c>
      <c r="AF985" s="54">
        <f t="shared" ca="1" si="219"/>
        <v>4</v>
      </c>
      <c r="AG985" s="54">
        <f t="shared" ca="1" si="220"/>
        <v>1</v>
      </c>
      <c r="AH985" s="54">
        <f t="shared" ca="1" si="221"/>
        <v>1</v>
      </c>
      <c r="AI985" s="54">
        <f t="shared" ca="1" si="222"/>
        <v>1</v>
      </c>
      <c r="AJ985" s="54">
        <f t="shared" ca="1" si="223"/>
        <v>1</v>
      </c>
    </row>
    <row r="986" spans="1:36" x14ac:dyDescent="0.2">
      <c r="A986" s="54">
        <v>963</v>
      </c>
      <c r="B986" s="54">
        <f ca="1">MAX(0.02,MCDA_Prioritisation!$B$9+(RAND()-0.5)*2*$B$6)</f>
        <v>0.2572761105927901</v>
      </c>
      <c r="C986" s="54">
        <f ca="1">MAX(0.02,MCDA_Prioritisation!$B$10+(RAND()-0.5)*2*$B$6)</f>
        <v>0.19052360347959008</v>
      </c>
      <c r="D986" s="54">
        <f ca="1">MAX(0.02,MCDA_Prioritisation!$B$11+(RAND()-0.5)*2*$B$6)</f>
        <v>0.28974330439084922</v>
      </c>
      <c r="E986" s="54">
        <f ca="1">MAX(0.02,MCDA_Prioritisation!$B$12+(RAND()-0.5)*2*$B$6)</f>
        <v>0.1152058421974046</v>
      </c>
      <c r="F986" s="54">
        <f ca="1">MAX(0.02,MCDA_Prioritisation!$B$13+(RAND()-0.5)*2*$B$6)</f>
        <v>0.12685110880095213</v>
      </c>
      <c r="G986" s="54">
        <f t="shared" ca="1" si="210"/>
        <v>0.97959996946158623</v>
      </c>
      <c r="H986" s="54">
        <f t="shared" ca="1" si="211"/>
        <v>0.26263384913557702</v>
      </c>
      <c r="I986" s="54">
        <f t="shared" ca="1" si="212"/>
        <v>0.19449123052168615</v>
      </c>
      <c r="J986" s="54">
        <f t="shared" ca="1" si="213"/>
        <v>0.29577716764333889</v>
      </c>
      <c r="K986" s="54">
        <f t="shared" ca="1" si="214"/>
        <v>0.11760498753457979</v>
      </c>
      <c r="L986" s="54">
        <f t="shared" ca="1" si="215"/>
        <v>0.12949276516481806</v>
      </c>
      <c r="M986" s="54">
        <f ca="1">MIN(100,MAX(0,MCDA_Prioritisation!$F$2+(RAND()-0.5)*2*$B$7))</f>
        <v>88.270860826318142</v>
      </c>
      <c r="N986" s="54">
        <f ca="1">MIN(100,MAX(0,MCDA_Prioritisation!$F$3+(RAND()-0.5)*2*$B$7))</f>
        <v>97.986867160004749</v>
      </c>
      <c r="O986" s="54">
        <f ca="1">MIN(100,MAX(0,MCDA_Prioritisation!$F$4+(RAND()-0.5)*2*$B$7))</f>
        <v>96.544135426660048</v>
      </c>
      <c r="P986" s="54">
        <f ca="1">MIN(100,MAX(0,MCDA_Prioritisation!$F$5+(RAND()-0.5)*2*$B$7))</f>
        <v>68.450143419198426</v>
      </c>
      <c r="Q986" s="54">
        <f ca="1">MIN(100,MAX(0,MCDA_Prioritisation!$G$2+(RAND()-0.5)*2*$B$7))</f>
        <v>73.176456091549966</v>
      </c>
      <c r="R986" s="54">
        <f ca="1">MIN(100,MAX(0,MCDA_Prioritisation!$G$3+(RAND()-0.5)*2*$B$7))</f>
        <v>100</v>
      </c>
      <c r="S986" s="54">
        <f ca="1">MIN(100,MAX(0,MCDA_Prioritisation!$G$4+(RAND()-0.5)*2*$B$7))</f>
        <v>77.991463245846219</v>
      </c>
      <c r="T986" s="54">
        <f ca="1">MIN(100,MAX(0,MCDA_Prioritisation!$G$5+(RAND()-0.5)*2*$B$7))</f>
        <v>69.54425989790272</v>
      </c>
      <c r="U986" s="54">
        <f ca="1">MIN(100,MAX(0,MCDA_Prioritisation!$H$2+(RAND()-0.5)*2*$B$7))</f>
        <v>61.392026559542195</v>
      </c>
      <c r="V986" s="54">
        <f ca="1">MIN(100,MAX(0,MCDA_Prioritisation!$H$3+(RAND()-0.5)*2*$B$7))</f>
        <v>60.378976220240986</v>
      </c>
      <c r="W986" s="54">
        <f ca="1">MIN(100,MAX(0,MCDA_Prioritisation!$H$4+(RAND()-0.5)*2*$B$7))</f>
        <v>74.941828165809511</v>
      </c>
      <c r="X986" s="54">
        <f ca="1">MIN(100,MAX(0,MCDA_Prioritisation!$H$5+(RAND()-0.5)*2*$B$7))</f>
        <v>69.255966704077707</v>
      </c>
      <c r="Y986" s="54">
        <f ca="1">H986*MCDA_Prioritisation!$D$2+I986*MCDA_Prioritisation!$E$2+J986*M986+K986*Q986+L986*U986</f>
        <v>88.376752651112596</v>
      </c>
      <c r="Z986" s="54">
        <f ca="1">H986*MCDA_Prioritisation!$D$3+I986*MCDA_Prioritisation!$E$3+J986*N986+K986*R986+L986*V986</f>
        <v>85.659602439205926</v>
      </c>
      <c r="AA986" s="54">
        <f ca="1">H986*MCDA_Prioritisation!$D$4+I986*MCDA_Prioritisation!$E$4+J986*O986+K986*S986+L986*W986</f>
        <v>76.329050455807945</v>
      </c>
      <c r="AB986" s="54">
        <f ca="1">H986*MCDA_Prioritisation!$D$5+I986*MCDA_Prioritisation!$E$5+J986*P986+K986*T986+L986*X986</f>
        <v>67.687357621363205</v>
      </c>
      <c r="AC986" s="54">
        <f t="shared" ca="1" si="216"/>
        <v>1</v>
      </c>
      <c r="AD986" s="54">
        <f t="shared" ca="1" si="217"/>
        <v>2</v>
      </c>
      <c r="AE986" s="54">
        <f t="shared" ca="1" si="218"/>
        <v>3</v>
      </c>
      <c r="AF986" s="54">
        <f t="shared" ca="1" si="219"/>
        <v>4</v>
      </c>
      <c r="AG986" s="54">
        <f t="shared" ca="1" si="220"/>
        <v>1</v>
      </c>
      <c r="AH986" s="54">
        <f t="shared" ca="1" si="221"/>
        <v>1</v>
      </c>
      <c r="AI986" s="54">
        <f t="shared" ca="1" si="222"/>
        <v>1</v>
      </c>
      <c r="AJ986" s="54">
        <f t="shared" ca="1" si="223"/>
        <v>1</v>
      </c>
    </row>
    <row r="987" spans="1:36" x14ac:dyDescent="0.2">
      <c r="A987" s="54">
        <v>964</v>
      </c>
      <c r="B987" s="54">
        <f ca="1">MAX(0.02,MCDA_Prioritisation!$B$9+(RAND()-0.5)*2*$B$6)</f>
        <v>0.15071856375487802</v>
      </c>
      <c r="C987" s="54">
        <f ca="1">MAX(0.02,MCDA_Prioritisation!$B$10+(RAND()-0.5)*2*$B$6)</f>
        <v>0.30235373136899235</v>
      </c>
      <c r="D987" s="54">
        <f ca="1">MAX(0.02,MCDA_Prioritisation!$B$11+(RAND()-0.5)*2*$B$6)</f>
        <v>0.2214089278499026</v>
      </c>
      <c r="E987" s="54">
        <f ca="1">MAX(0.02,MCDA_Prioritisation!$B$12+(RAND()-0.5)*2*$B$6)</f>
        <v>7.189279563275755E-2</v>
      </c>
      <c r="F987" s="54">
        <f ca="1">MAX(0.02,MCDA_Prioritisation!$B$13+(RAND()-0.5)*2*$B$6)</f>
        <v>0.21894391131438665</v>
      </c>
      <c r="G987" s="54">
        <f t="shared" ca="1" si="210"/>
        <v>0.96531792992091714</v>
      </c>
      <c r="H987" s="54">
        <f t="shared" ca="1" si="211"/>
        <v>0.15613360021938627</v>
      </c>
      <c r="I987" s="54">
        <f t="shared" ca="1" si="212"/>
        <v>0.31321673616252255</v>
      </c>
      <c r="J987" s="54">
        <f t="shared" ca="1" si="213"/>
        <v>0.22936373705193824</v>
      </c>
      <c r="K987" s="54">
        <f t="shared" ca="1" si="214"/>
        <v>7.4475769489381921E-2</v>
      </c>
      <c r="L987" s="54">
        <f t="shared" ca="1" si="215"/>
        <v>0.22681015707677102</v>
      </c>
      <c r="M987" s="54">
        <f ca="1">MIN(100,MAX(0,MCDA_Prioritisation!$F$2+(RAND()-0.5)*2*$B$7))</f>
        <v>79.940900090687151</v>
      </c>
      <c r="N987" s="54">
        <f ca="1">MIN(100,MAX(0,MCDA_Prioritisation!$F$3+(RAND()-0.5)*2*$B$7))</f>
        <v>99.489890274962661</v>
      </c>
      <c r="O987" s="54">
        <f ca="1">MIN(100,MAX(0,MCDA_Prioritisation!$F$4+(RAND()-0.5)*2*$B$7))</f>
        <v>87.194113380729334</v>
      </c>
      <c r="P987" s="54">
        <f ca="1">MIN(100,MAX(0,MCDA_Prioritisation!$F$5+(RAND()-0.5)*2*$B$7))</f>
        <v>75.495068161689687</v>
      </c>
      <c r="Q987" s="54">
        <f ca="1">MIN(100,MAX(0,MCDA_Prioritisation!$G$2+(RAND()-0.5)*2*$B$7))</f>
        <v>76.137990865296487</v>
      </c>
      <c r="R987" s="54">
        <f ca="1">MIN(100,MAX(0,MCDA_Prioritisation!$G$3+(RAND()-0.5)*2*$B$7))</f>
        <v>100</v>
      </c>
      <c r="S987" s="54">
        <f ca="1">MIN(100,MAX(0,MCDA_Prioritisation!$G$4+(RAND()-0.5)*2*$B$7))</f>
        <v>82.870386626762311</v>
      </c>
      <c r="T987" s="54">
        <f ca="1">MIN(100,MAX(0,MCDA_Prioritisation!$G$5+(RAND()-0.5)*2*$B$7))</f>
        <v>72.435945155324418</v>
      </c>
      <c r="U987" s="54">
        <f ca="1">MIN(100,MAX(0,MCDA_Prioritisation!$H$2+(RAND()-0.5)*2*$B$7))</f>
        <v>62.282819266446921</v>
      </c>
      <c r="V987" s="54">
        <f ca="1">MIN(100,MAX(0,MCDA_Prioritisation!$H$3+(RAND()-0.5)*2*$B$7))</f>
        <v>60.295757844596494</v>
      </c>
      <c r="W987" s="54">
        <f ca="1">MIN(100,MAX(0,MCDA_Prioritisation!$H$4+(RAND()-0.5)*2*$B$7))</f>
        <v>80.80269026729988</v>
      </c>
      <c r="X987" s="54">
        <f ca="1">MIN(100,MAX(0,MCDA_Prioritisation!$H$5+(RAND()-0.5)*2*$B$7))</f>
        <v>83.036646238790453</v>
      </c>
      <c r="Y987" s="54">
        <f ca="1">H987*MCDA_Prioritisation!$D$2+I987*MCDA_Prioritisation!$E$2+J987*M987+K987*Q987+L987*U987</f>
        <v>85.067388704361974</v>
      </c>
      <c r="Z987" s="54">
        <f ca="1">H987*MCDA_Prioritisation!$D$3+I987*MCDA_Prioritisation!$E$3+J987*N987+K987*R987+L987*V987</f>
        <v>80.367622444175979</v>
      </c>
      <c r="AA987" s="54">
        <f ca="1">H987*MCDA_Prioritisation!$D$4+I987*MCDA_Prioritisation!$E$4+J987*O987+K987*S987+L987*W987</f>
        <v>72.454649695026717</v>
      </c>
      <c r="AB987" s="54">
        <f ca="1">H987*MCDA_Prioritisation!$D$5+I987*MCDA_Prioritisation!$E$5+J987*P987+K987*T987+L987*X987</f>
        <v>76.169718342363367</v>
      </c>
      <c r="AC987" s="54">
        <f t="shared" ca="1" si="216"/>
        <v>1</v>
      </c>
      <c r="AD987" s="54">
        <f t="shared" ca="1" si="217"/>
        <v>2</v>
      </c>
      <c r="AE987" s="54">
        <f t="shared" ca="1" si="218"/>
        <v>4</v>
      </c>
      <c r="AF987" s="54">
        <f t="shared" ca="1" si="219"/>
        <v>3</v>
      </c>
      <c r="AG987" s="54">
        <f t="shared" ca="1" si="220"/>
        <v>1</v>
      </c>
      <c r="AH987" s="54">
        <f t="shared" ca="1" si="221"/>
        <v>1</v>
      </c>
      <c r="AI987" s="54">
        <f t="shared" ca="1" si="222"/>
        <v>0</v>
      </c>
      <c r="AJ987" s="54">
        <f t="shared" ca="1" si="223"/>
        <v>1</v>
      </c>
    </row>
    <row r="988" spans="1:36" x14ac:dyDescent="0.2">
      <c r="A988" s="54">
        <v>965</v>
      </c>
      <c r="B988" s="54">
        <f ca="1">MAX(0.02,MCDA_Prioritisation!$B$9+(RAND()-0.5)*2*$B$6)</f>
        <v>0.18015401779391593</v>
      </c>
      <c r="C988" s="54">
        <f ca="1">MAX(0.02,MCDA_Prioritisation!$B$10+(RAND()-0.5)*2*$B$6)</f>
        <v>0.27859595383551711</v>
      </c>
      <c r="D988" s="54">
        <f ca="1">MAX(0.02,MCDA_Prioritisation!$B$11+(RAND()-0.5)*2*$B$6)</f>
        <v>0.28940231486994145</v>
      </c>
      <c r="E988" s="54">
        <f ca="1">MAX(0.02,MCDA_Prioritisation!$B$12+(RAND()-0.5)*2*$B$6)</f>
        <v>0.14344387339220113</v>
      </c>
      <c r="F988" s="54">
        <f ca="1">MAX(0.02,MCDA_Prioritisation!$B$13+(RAND()-0.5)*2*$B$6)</f>
        <v>8.5667679170493005E-2</v>
      </c>
      <c r="G988" s="54">
        <f t="shared" ca="1" si="210"/>
        <v>0.9772638390620686</v>
      </c>
      <c r="H988" s="54">
        <f t="shared" ca="1" si="211"/>
        <v>0.18434532271941956</v>
      </c>
      <c r="I988" s="54">
        <f t="shared" ca="1" si="212"/>
        <v>0.28507752226143995</v>
      </c>
      <c r="J988" s="54">
        <f t="shared" ca="1" si="213"/>
        <v>0.29613529458707488</v>
      </c>
      <c r="K988" s="54">
        <f t="shared" ca="1" si="214"/>
        <v>0.14678111238605918</v>
      </c>
      <c r="L988" s="54">
        <f t="shared" ca="1" si="215"/>
        <v>8.7660748046006459E-2</v>
      </c>
      <c r="M988" s="54">
        <f ca="1">MIN(100,MAX(0,MCDA_Prioritisation!$F$2+(RAND()-0.5)*2*$B$7))</f>
        <v>80.824564679606596</v>
      </c>
      <c r="N988" s="54">
        <f ca="1">MIN(100,MAX(0,MCDA_Prioritisation!$F$3+(RAND()-0.5)*2*$B$7))</f>
        <v>89.483293532070391</v>
      </c>
      <c r="O988" s="54">
        <f ca="1">MIN(100,MAX(0,MCDA_Prioritisation!$F$4+(RAND()-0.5)*2*$B$7))</f>
        <v>85.068074783737529</v>
      </c>
      <c r="P988" s="54">
        <f ca="1">MIN(100,MAX(0,MCDA_Prioritisation!$F$5+(RAND()-0.5)*2*$B$7))</f>
        <v>81.591682844351382</v>
      </c>
      <c r="Q988" s="54">
        <f ca="1">MIN(100,MAX(0,MCDA_Prioritisation!$G$2+(RAND()-0.5)*2*$B$7))</f>
        <v>89.034708462545566</v>
      </c>
      <c r="R988" s="54">
        <f ca="1">MIN(100,MAX(0,MCDA_Prioritisation!$G$3+(RAND()-0.5)*2*$B$7))</f>
        <v>100</v>
      </c>
      <c r="S988" s="54">
        <f ca="1">MIN(100,MAX(0,MCDA_Prioritisation!$G$4+(RAND()-0.5)*2*$B$7))</f>
        <v>91.424173231907389</v>
      </c>
      <c r="T988" s="54">
        <f ca="1">MIN(100,MAX(0,MCDA_Prioritisation!$G$5+(RAND()-0.5)*2*$B$7))</f>
        <v>75.094579470214782</v>
      </c>
      <c r="U988" s="54">
        <f ca="1">MIN(100,MAX(0,MCDA_Prioritisation!$H$2+(RAND()-0.5)*2*$B$7))</f>
        <v>60.480878095430349</v>
      </c>
      <c r="V988" s="54">
        <f ca="1">MIN(100,MAX(0,MCDA_Prioritisation!$H$3+(RAND()-0.5)*2*$B$7))</f>
        <v>61.670640312117577</v>
      </c>
      <c r="W988" s="54">
        <f ca="1">MIN(100,MAX(0,MCDA_Prioritisation!$H$4+(RAND()-0.5)*2*$B$7))</f>
        <v>85.83864254267074</v>
      </c>
      <c r="X988" s="54">
        <f ca="1">MIN(100,MAX(0,MCDA_Prioritisation!$H$5+(RAND()-0.5)*2*$B$7))</f>
        <v>77.236587760556063</v>
      </c>
      <c r="Y988" s="54">
        <f ca="1">H988*MCDA_Prioritisation!$D$2+I988*MCDA_Prioritisation!$E$2+J988*M988+K988*Q988+L988*U988</f>
        <v>89.247703334779004</v>
      </c>
      <c r="Z988" s="54">
        <f ca="1">H988*MCDA_Prioritisation!$D$3+I988*MCDA_Prioritisation!$E$3+J988*N988+K988*R988+L988*V988</f>
        <v>83.427476439539561</v>
      </c>
      <c r="AA988" s="54">
        <f ca="1">H988*MCDA_Prioritisation!$D$4+I988*MCDA_Prioritisation!$E$4+J988*O988+K988*S988+L988*W988</f>
        <v>74.522088462633377</v>
      </c>
      <c r="AB988" s="54">
        <f ca="1">H988*MCDA_Prioritisation!$D$5+I988*MCDA_Prioritisation!$E$5+J988*P988+K988*T988+L988*X988</f>
        <v>75.711980049556203</v>
      </c>
      <c r="AC988" s="54">
        <f t="shared" ca="1" si="216"/>
        <v>1</v>
      </c>
      <c r="AD988" s="54">
        <f t="shared" ca="1" si="217"/>
        <v>2</v>
      </c>
      <c r="AE988" s="54">
        <f t="shared" ca="1" si="218"/>
        <v>4</v>
      </c>
      <c r="AF988" s="54">
        <f t="shared" ca="1" si="219"/>
        <v>3</v>
      </c>
      <c r="AG988" s="54">
        <f t="shared" ca="1" si="220"/>
        <v>1</v>
      </c>
      <c r="AH988" s="54">
        <f t="shared" ca="1" si="221"/>
        <v>1</v>
      </c>
      <c r="AI988" s="54">
        <f t="shared" ca="1" si="222"/>
        <v>0</v>
      </c>
      <c r="AJ988" s="54">
        <f t="shared" ca="1" si="223"/>
        <v>1</v>
      </c>
    </row>
    <row r="989" spans="1:36" x14ac:dyDescent="0.2">
      <c r="A989" s="54">
        <v>966</v>
      </c>
      <c r="B989" s="54">
        <f ca="1">MAX(0.02,MCDA_Prioritisation!$B$9+(RAND()-0.5)*2*$B$6)</f>
        <v>0.20521425608383104</v>
      </c>
      <c r="C989" s="54">
        <f ca="1">MAX(0.02,MCDA_Prioritisation!$B$10+(RAND()-0.5)*2*$B$6)</f>
        <v>0.27254340018450857</v>
      </c>
      <c r="D989" s="54">
        <f ca="1">MAX(0.02,MCDA_Prioritisation!$B$11+(RAND()-0.5)*2*$B$6)</f>
        <v>0.25317178275394303</v>
      </c>
      <c r="E989" s="54">
        <f ca="1">MAX(0.02,MCDA_Prioritisation!$B$12+(RAND()-0.5)*2*$B$6)</f>
        <v>7.5997548647237873E-2</v>
      </c>
      <c r="F989" s="54">
        <f ca="1">MAX(0.02,MCDA_Prioritisation!$B$13+(RAND()-0.5)*2*$B$6)</f>
        <v>0.11783282158503128</v>
      </c>
      <c r="G989" s="54">
        <f t="shared" ca="1" si="210"/>
        <v>0.92475980925455181</v>
      </c>
      <c r="H989" s="54">
        <f t="shared" ca="1" si="211"/>
        <v>0.22191087245590191</v>
      </c>
      <c r="I989" s="54">
        <f t="shared" ca="1" si="212"/>
        <v>0.2947180418710082</v>
      </c>
      <c r="J989" s="54">
        <f t="shared" ca="1" si="213"/>
        <v>0.27377031335090635</v>
      </c>
      <c r="K989" s="54">
        <f t="shared" ca="1" si="214"/>
        <v>8.2180851597021112E-2</v>
      </c>
      <c r="L989" s="54">
        <f t="shared" ca="1" si="215"/>
        <v>0.12741992072516239</v>
      </c>
      <c r="M989" s="54">
        <f ca="1">MIN(100,MAX(0,MCDA_Prioritisation!$F$2+(RAND()-0.5)*2*$B$7))</f>
        <v>78.314833221621129</v>
      </c>
      <c r="N989" s="54">
        <f ca="1">MIN(100,MAX(0,MCDA_Prioritisation!$F$3+(RAND()-0.5)*2*$B$7))</f>
        <v>98.20326918913139</v>
      </c>
      <c r="O989" s="54">
        <f ca="1">MIN(100,MAX(0,MCDA_Prioritisation!$F$4+(RAND()-0.5)*2*$B$7))</f>
        <v>84.924845390158211</v>
      </c>
      <c r="P989" s="54">
        <f ca="1">MIN(100,MAX(0,MCDA_Prioritisation!$F$5+(RAND()-0.5)*2*$B$7))</f>
        <v>68.307813230536624</v>
      </c>
      <c r="Q989" s="54">
        <f ca="1">MIN(100,MAX(0,MCDA_Prioritisation!$G$2+(RAND()-0.5)*2*$B$7))</f>
        <v>86.757627378007243</v>
      </c>
      <c r="R989" s="54">
        <f ca="1">MIN(100,MAX(0,MCDA_Prioritisation!$G$3+(RAND()-0.5)*2*$B$7))</f>
        <v>90.551569903055736</v>
      </c>
      <c r="S989" s="54">
        <f ca="1">MIN(100,MAX(0,MCDA_Prioritisation!$G$4+(RAND()-0.5)*2*$B$7))</f>
        <v>88.635483937121762</v>
      </c>
      <c r="T989" s="54">
        <f ca="1">MIN(100,MAX(0,MCDA_Prioritisation!$G$5+(RAND()-0.5)*2*$B$7))</f>
        <v>78.450403549968883</v>
      </c>
      <c r="U989" s="54">
        <f ca="1">MIN(100,MAX(0,MCDA_Prioritisation!$H$2+(RAND()-0.5)*2*$B$7))</f>
        <v>72.556596483737607</v>
      </c>
      <c r="V989" s="54">
        <f ca="1">MIN(100,MAX(0,MCDA_Prioritisation!$H$3+(RAND()-0.5)*2*$B$7))</f>
        <v>65.418528780828424</v>
      </c>
      <c r="W989" s="54">
        <f ca="1">MIN(100,MAX(0,MCDA_Prioritisation!$H$4+(RAND()-0.5)*2*$B$7))</f>
        <v>84.602456460755064</v>
      </c>
      <c r="X989" s="54">
        <f ca="1">MIN(100,MAX(0,MCDA_Prioritisation!$H$5+(RAND()-0.5)*2*$B$7))</f>
        <v>76.055011199139201</v>
      </c>
      <c r="Y989" s="54">
        <f ca="1">H989*MCDA_Prioritisation!$D$2+I989*MCDA_Prioritisation!$E$2+J989*M989+K989*Q989+L989*U989</f>
        <v>89.478139336305304</v>
      </c>
      <c r="Z989" s="54">
        <f ca="1">H989*MCDA_Prioritisation!$D$3+I989*MCDA_Prioritisation!$E$3+J989*N989+K989*R989+L989*V989</f>
        <v>83.490716916146724</v>
      </c>
      <c r="AA989" s="54">
        <f ca="1">H989*MCDA_Prioritisation!$D$4+I989*MCDA_Prioritisation!$E$4+J989*O989+K989*S989+L989*W989</f>
        <v>72.842177569830994</v>
      </c>
      <c r="AB989" s="54">
        <f ca="1">H989*MCDA_Prioritisation!$D$5+I989*MCDA_Prioritisation!$E$5+J989*P989+K989*T989+L989*X989</f>
        <v>71.399920985215275</v>
      </c>
      <c r="AC989" s="54">
        <f t="shared" ca="1" si="216"/>
        <v>1</v>
      </c>
      <c r="AD989" s="54">
        <f t="shared" ca="1" si="217"/>
        <v>2</v>
      </c>
      <c r="AE989" s="54">
        <f t="shared" ca="1" si="218"/>
        <v>3</v>
      </c>
      <c r="AF989" s="54">
        <f t="shared" ca="1" si="219"/>
        <v>4</v>
      </c>
      <c r="AG989" s="54">
        <f t="shared" ca="1" si="220"/>
        <v>1</v>
      </c>
      <c r="AH989" s="54">
        <f t="shared" ca="1" si="221"/>
        <v>1</v>
      </c>
      <c r="AI989" s="54">
        <f t="shared" ca="1" si="222"/>
        <v>1</v>
      </c>
      <c r="AJ989" s="54">
        <f t="shared" ca="1" si="223"/>
        <v>1</v>
      </c>
    </row>
    <row r="990" spans="1:36" x14ac:dyDescent="0.2">
      <c r="A990" s="54">
        <v>967</v>
      </c>
      <c r="B990" s="54">
        <f ca="1">MAX(0.02,MCDA_Prioritisation!$B$9+(RAND()-0.5)*2*$B$6)</f>
        <v>0.27154452033733112</v>
      </c>
      <c r="C990" s="54">
        <f ca="1">MAX(0.02,MCDA_Prioritisation!$B$10+(RAND()-0.5)*2*$B$6)</f>
        <v>0.27584524173758473</v>
      </c>
      <c r="D990" s="54">
        <f ca="1">MAX(0.02,MCDA_Prioritisation!$B$11+(RAND()-0.5)*2*$B$6)</f>
        <v>0.26474783050305289</v>
      </c>
      <c r="E990" s="54">
        <f ca="1">MAX(0.02,MCDA_Prioritisation!$B$12+(RAND()-0.5)*2*$B$6)</f>
        <v>0.16922996885149003</v>
      </c>
      <c r="F990" s="54">
        <f ca="1">MAX(0.02,MCDA_Prioritisation!$B$13+(RAND()-0.5)*2*$B$6)</f>
        <v>0.10087846830582005</v>
      </c>
      <c r="G990" s="54">
        <f t="shared" ca="1" si="210"/>
        <v>1.0822460297352789</v>
      </c>
      <c r="H990" s="54">
        <f t="shared" ca="1" si="211"/>
        <v>0.25090830816330351</v>
      </c>
      <c r="I990" s="54">
        <f t="shared" ca="1" si="212"/>
        <v>0.25488219328931833</v>
      </c>
      <c r="J990" s="54">
        <f t="shared" ca="1" si="213"/>
        <v>0.24462813743729891</v>
      </c>
      <c r="K990" s="54">
        <f t="shared" ca="1" si="214"/>
        <v>0.15636922123233316</v>
      </c>
      <c r="L990" s="54">
        <f t="shared" ca="1" si="215"/>
        <v>9.3212139877745973E-2</v>
      </c>
      <c r="M990" s="54">
        <f ca="1">MIN(100,MAX(0,MCDA_Prioritisation!$F$2+(RAND()-0.5)*2*$B$7))</f>
        <v>87.528104145174382</v>
      </c>
      <c r="N990" s="54">
        <f ca="1">MIN(100,MAX(0,MCDA_Prioritisation!$F$3+(RAND()-0.5)*2*$B$7))</f>
        <v>91.480653500065586</v>
      </c>
      <c r="O990" s="54">
        <f ca="1">MIN(100,MAX(0,MCDA_Prioritisation!$F$4+(RAND()-0.5)*2*$B$7))</f>
        <v>85.028557259516163</v>
      </c>
      <c r="P990" s="54">
        <f ca="1">MIN(100,MAX(0,MCDA_Prioritisation!$F$5+(RAND()-0.5)*2*$B$7))</f>
        <v>71.141635367211819</v>
      </c>
      <c r="Q990" s="54">
        <f ca="1">MIN(100,MAX(0,MCDA_Prioritisation!$G$2+(RAND()-0.5)*2*$B$7))</f>
        <v>71.069674671084925</v>
      </c>
      <c r="R990" s="54">
        <f ca="1">MIN(100,MAX(0,MCDA_Prioritisation!$G$3+(RAND()-0.5)*2*$B$7))</f>
        <v>100</v>
      </c>
      <c r="S990" s="54">
        <f ca="1">MIN(100,MAX(0,MCDA_Prioritisation!$G$4+(RAND()-0.5)*2*$B$7))</f>
        <v>86.73894189998974</v>
      </c>
      <c r="T990" s="54">
        <f ca="1">MIN(100,MAX(0,MCDA_Prioritisation!$G$5+(RAND()-0.5)*2*$B$7))</f>
        <v>62.868391313676604</v>
      </c>
      <c r="U990" s="54">
        <f ca="1">MIN(100,MAX(0,MCDA_Prioritisation!$H$2+(RAND()-0.5)*2*$B$7))</f>
        <v>68.650123713638067</v>
      </c>
      <c r="V990" s="54">
        <f ca="1">MIN(100,MAX(0,MCDA_Prioritisation!$H$3+(RAND()-0.5)*2*$B$7))</f>
        <v>53.809348197082926</v>
      </c>
      <c r="W990" s="54">
        <f ca="1">MIN(100,MAX(0,MCDA_Prioritisation!$H$4+(RAND()-0.5)*2*$B$7))</f>
        <v>89.856335110194166</v>
      </c>
      <c r="X990" s="54">
        <f ca="1">MIN(100,MAX(0,MCDA_Prioritisation!$H$5+(RAND()-0.5)*2*$B$7))</f>
        <v>82.184061723833565</v>
      </c>
      <c r="Y990" s="54">
        <f ca="1">H990*MCDA_Prioritisation!$D$2+I990*MCDA_Prioritisation!$E$2+J990*M990+K990*Q990+L990*U990</f>
        <v>89.503021851487148</v>
      </c>
      <c r="Z990" s="54">
        <f ca="1">H990*MCDA_Prioritisation!$D$3+I990*MCDA_Prioritisation!$E$3+J990*N990+K990*R990+L990*V990</f>
        <v>83.496828353590359</v>
      </c>
      <c r="AA990" s="54">
        <f ca="1">H990*MCDA_Prioritisation!$D$4+I990*MCDA_Prioritisation!$E$4+J990*O990+K990*S990+L990*W990</f>
        <v>74.113824343255246</v>
      </c>
      <c r="AB990" s="54">
        <f ca="1">H990*MCDA_Prioritisation!$D$5+I990*MCDA_Prioritisation!$E$5+J990*P990+K990*T990+L990*X990</f>
        <v>69.644936465340876</v>
      </c>
      <c r="AC990" s="54">
        <f t="shared" ca="1" si="216"/>
        <v>1</v>
      </c>
      <c r="AD990" s="54">
        <f t="shared" ca="1" si="217"/>
        <v>2</v>
      </c>
      <c r="AE990" s="54">
        <f t="shared" ca="1" si="218"/>
        <v>3</v>
      </c>
      <c r="AF990" s="54">
        <f t="shared" ca="1" si="219"/>
        <v>4</v>
      </c>
      <c r="AG990" s="54">
        <f t="shared" ca="1" si="220"/>
        <v>1</v>
      </c>
      <c r="AH990" s="54">
        <f t="shared" ca="1" si="221"/>
        <v>1</v>
      </c>
      <c r="AI990" s="54">
        <f t="shared" ca="1" si="222"/>
        <v>1</v>
      </c>
      <c r="AJ990" s="54">
        <f t="shared" ca="1" si="223"/>
        <v>1</v>
      </c>
    </row>
    <row r="991" spans="1:36" x14ac:dyDescent="0.2">
      <c r="A991" s="54">
        <v>968</v>
      </c>
      <c r="B991" s="54">
        <f ca="1">MAX(0.02,MCDA_Prioritisation!$B$9+(RAND()-0.5)*2*$B$6)</f>
        <v>0.21948051611174543</v>
      </c>
      <c r="C991" s="54">
        <f ca="1">MAX(0.02,MCDA_Prioritisation!$B$10+(RAND()-0.5)*2*$B$6)</f>
        <v>0.31878293061685148</v>
      </c>
      <c r="D991" s="54">
        <f ca="1">MAX(0.02,MCDA_Prioritisation!$B$11+(RAND()-0.5)*2*$B$6)</f>
        <v>0.28079844095154788</v>
      </c>
      <c r="E991" s="54">
        <f ca="1">MAX(0.02,MCDA_Prioritisation!$B$12+(RAND()-0.5)*2*$B$6)</f>
        <v>0.11582897029533745</v>
      </c>
      <c r="F991" s="54">
        <f ca="1">MAX(0.02,MCDA_Prioritisation!$B$13+(RAND()-0.5)*2*$B$6)</f>
        <v>9.4869768945685329E-2</v>
      </c>
      <c r="G991" s="54">
        <f t="shared" ca="1" si="210"/>
        <v>1.0297606269211674</v>
      </c>
      <c r="H991" s="54">
        <f t="shared" ca="1" si="211"/>
        <v>0.21313741307818287</v>
      </c>
      <c r="I991" s="54">
        <f t="shared" ca="1" si="212"/>
        <v>0.30956993526734994</v>
      </c>
      <c r="J991" s="54">
        <f t="shared" ca="1" si="213"/>
        <v>0.27268321744937352</v>
      </c>
      <c r="K991" s="54">
        <f t="shared" ca="1" si="214"/>
        <v>0.11248145177355344</v>
      </c>
      <c r="L991" s="54">
        <f t="shared" ca="1" si="215"/>
        <v>9.2127982431540384E-2</v>
      </c>
      <c r="M991" s="54">
        <f ca="1">MIN(100,MAX(0,MCDA_Prioritisation!$F$2+(RAND()-0.5)*2*$B$7))</f>
        <v>84.784017459748739</v>
      </c>
      <c r="N991" s="54">
        <f ca="1">MIN(100,MAX(0,MCDA_Prioritisation!$F$3+(RAND()-0.5)*2*$B$7))</f>
        <v>91.22469942074747</v>
      </c>
      <c r="O991" s="54">
        <f ca="1">MIN(100,MAX(0,MCDA_Prioritisation!$F$4+(RAND()-0.5)*2*$B$7))</f>
        <v>94.009462805691044</v>
      </c>
      <c r="P991" s="54">
        <f ca="1">MIN(100,MAX(0,MCDA_Prioritisation!$F$5+(RAND()-0.5)*2*$B$7))</f>
        <v>67.689758962304737</v>
      </c>
      <c r="Q991" s="54">
        <f ca="1">MIN(100,MAX(0,MCDA_Prioritisation!$G$2+(RAND()-0.5)*2*$B$7))</f>
        <v>78.125789877194734</v>
      </c>
      <c r="R991" s="54">
        <f ca="1">MIN(100,MAX(0,MCDA_Prioritisation!$G$3+(RAND()-0.5)*2*$B$7))</f>
        <v>97.398318175606406</v>
      </c>
      <c r="S991" s="54">
        <f ca="1">MIN(100,MAX(0,MCDA_Prioritisation!$G$4+(RAND()-0.5)*2*$B$7))</f>
        <v>77.671110265685911</v>
      </c>
      <c r="T991" s="54">
        <f ca="1">MIN(100,MAX(0,MCDA_Prioritisation!$G$5+(RAND()-0.5)*2*$B$7))</f>
        <v>75.251144973774601</v>
      </c>
      <c r="U991" s="54">
        <f ca="1">MIN(100,MAX(0,MCDA_Prioritisation!$H$2+(RAND()-0.5)*2*$B$7))</f>
        <v>64.711268613994449</v>
      </c>
      <c r="V991" s="54">
        <f ca="1">MIN(100,MAX(0,MCDA_Prioritisation!$H$3+(RAND()-0.5)*2*$B$7))</f>
        <v>59.723807426384681</v>
      </c>
      <c r="W991" s="54">
        <f ca="1">MIN(100,MAX(0,MCDA_Prioritisation!$H$4+(RAND()-0.5)*2*$B$7))</f>
        <v>74.986586365648677</v>
      </c>
      <c r="X991" s="54">
        <f ca="1">MIN(100,MAX(0,MCDA_Prioritisation!$H$5+(RAND()-0.5)*2*$B$7))</f>
        <v>75.542545300013629</v>
      </c>
      <c r="Y991" s="54">
        <f ca="1">H991*MCDA_Prioritisation!$D$2+I991*MCDA_Prioritisation!$E$2+J991*M991+K991*Q991+L991*U991</f>
        <v>90.139334388096643</v>
      </c>
      <c r="Z991" s="54">
        <f ca="1">H991*MCDA_Prioritisation!$D$3+I991*MCDA_Prioritisation!$E$3+J991*N991+K991*R991+L991*V991</f>
        <v>82.474896000347258</v>
      </c>
      <c r="AA991" s="54">
        <f ca="1">H991*MCDA_Prioritisation!$D$4+I991*MCDA_Prioritisation!$E$4+J991*O991+K991*S991+L991*W991</f>
        <v>73.006994273190116</v>
      </c>
      <c r="AB991" s="54">
        <f ca="1">H991*MCDA_Prioritisation!$D$5+I991*MCDA_Prioritisation!$E$5+J991*P991+K991*T991+L991*X991</f>
        <v>71.226276720015065</v>
      </c>
      <c r="AC991" s="54">
        <f t="shared" ca="1" si="216"/>
        <v>1</v>
      </c>
      <c r="AD991" s="54">
        <f t="shared" ca="1" si="217"/>
        <v>2</v>
      </c>
      <c r="AE991" s="54">
        <f t="shared" ca="1" si="218"/>
        <v>3</v>
      </c>
      <c r="AF991" s="54">
        <f t="shared" ca="1" si="219"/>
        <v>4</v>
      </c>
      <c r="AG991" s="54">
        <f t="shared" ca="1" si="220"/>
        <v>1</v>
      </c>
      <c r="AH991" s="54">
        <f t="shared" ca="1" si="221"/>
        <v>1</v>
      </c>
      <c r="AI991" s="54">
        <f t="shared" ca="1" si="222"/>
        <v>1</v>
      </c>
      <c r="AJ991" s="54">
        <f t="shared" ca="1" si="223"/>
        <v>1</v>
      </c>
    </row>
    <row r="992" spans="1:36" x14ac:dyDescent="0.2">
      <c r="A992" s="54">
        <v>969</v>
      </c>
      <c r="B992" s="54">
        <f ca="1">MAX(0.02,MCDA_Prioritisation!$B$9+(RAND()-0.5)*2*$B$6)</f>
        <v>0.2471600529777449</v>
      </c>
      <c r="C992" s="54">
        <f ca="1">MAX(0.02,MCDA_Prioritisation!$B$10+(RAND()-0.5)*2*$B$6)</f>
        <v>0.17884685017551114</v>
      </c>
      <c r="D992" s="54">
        <f ca="1">MAX(0.02,MCDA_Prioritisation!$B$11+(RAND()-0.5)*2*$B$6)</f>
        <v>0.17593537738963799</v>
      </c>
      <c r="E992" s="54">
        <f ca="1">MAX(0.02,MCDA_Prioritisation!$B$12+(RAND()-0.5)*2*$B$6)</f>
        <v>0.12065353126961716</v>
      </c>
      <c r="F992" s="54">
        <f ca="1">MAX(0.02,MCDA_Prioritisation!$B$13+(RAND()-0.5)*2*$B$6)</f>
        <v>0.18060083627514584</v>
      </c>
      <c r="G992" s="54">
        <f t="shared" ca="1" si="210"/>
        <v>0.90319664808765698</v>
      </c>
      <c r="H992" s="54">
        <f t="shared" ca="1" si="211"/>
        <v>0.27365032133484796</v>
      </c>
      <c r="I992" s="54">
        <f t="shared" ca="1" si="212"/>
        <v>0.19801540512155855</v>
      </c>
      <c r="J992" s="54">
        <f t="shared" ca="1" si="213"/>
        <v>0.19479188475969977</v>
      </c>
      <c r="K992" s="54">
        <f t="shared" ca="1" si="214"/>
        <v>0.13358500778881047</v>
      </c>
      <c r="L992" s="54">
        <f t="shared" ca="1" si="215"/>
        <v>0.19995738099508334</v>
      </c>
      <c r="M992" s="54">
        <f ca="1">MIN(100,MAX(0,MCDA_Prioritisation!$F$2+(RAND()-0.5)*2*$B$7))</f>
        <v>81.261208109092081</v>
      </c>
      <c r="N992" s="54">
        <f ca="1">MIN(100,MAX(0,MCDA_Prioritisation!$F$3+(RAND()-0.5)*2*$B$7))</f>
        <v>87.367202470580821</v>
      </c>
      <c r="O992" s="54">
        <f ca="1">MIN(100,MAX(0,MCDA_Prioritisation!$F$4+(RAND()-0.5)*2*$B$7))</f>
        <v>85.981240840390385</v>
      </c>
      <c r="P992" s="54">
        <f ca="1">MIN(100,MAX(0,MCDA_Prioritisation!$F$5+(RAND()-0.5)*2*$B$7))</f>
        <v>84.105541969296254</v>
      </c>
      <c r="Q992" s="54">
        <f ca="1">MIN(100,MAX(0,MCDA_Prioritisation!$G$2+(RAND()-0.5)*2*$B$7))</f>
        <v>70.646783458900529</v>
      </c>
      <c r="R992" s="54">
        <f ca="1">MIN(100,MAX(0,MCDA_Prioritisation!$G$3+(RAND()-0.5)*2*$B$7))</f>
        <v>100</v>
      </c>
      <c r="S992" s="54">
        <f ca="1">MIN(100,MAX(0,MCDA_Prioritisation!$G$4+(RAND()-0.5)*2*$B$7))</f>
        <v>92.560739646347784</v>
      </c>
      <c r="T992" s="54">
        <f ca="1">MIN(100,MAX(0,MCDA_Prioritisation!$G$5+(RAND()-0.5)*2*$B$7))</f>
        <v>61.709303703224457</v>
      </c>
      <c r="U992" s="54">
        <f ca="1">MIN(100,MAX(0,MCDA_Prioritisation!$H$2+(RAND()-0.5)*2*$B$7))</f>
        <v>66.997887031992107</v>
      </c>
      <c r="V992" s="54">
        <f ca="1">MIN(100,MAX(0,MCDA_Prioritisation!$H$3+(RAND()-0.5)*2*$B$7))</f>
        <v>64.579752398760334</v>
      </c>
      <c r="W992" s="54">
        <f ca="1">MIN(100,MAX(0,MCDA_Prioritisation!$H$4+(RAND()-0.5)*2*$B$7))</f>
        <v>70.081998140591836</v>
      </c>
      <c r="X992" s="54">
        <f ca="1">MIN(100,MAX(0,MCDA_Prioritisation!$H$5+(RAND()-0.5)*2*$B$7))</f>
        <v>67.352197296752252</v>
      </c>
      <c r="Y992" s="54">
        <f ca="1">H992*MCDA_Prioritisation!$D$2+I992*MCDA_Prioritisation!$E$2+J992*M992+K992*Q992+L992*U992</f>
        <v>85.829669672794125</v>
      </c>
      <c r="Z992" s="54">
        <f ca="1">H992*MCDA_Prioritisation!$D$3+I992*MCDA_Prioritisation!$E$3+J992*N992+K992*R992+L992*V992</f>
        <v>81.607414488887542</v>
      </c>
      <c r="AA992" s="54">
        <f ca="1">H992*MCDA_Prioritisation!$D$4+I992*MCDA_Prioritisation!$E$4+J992*O992+K992*S992+L992*W992</f>
        <v>72.982827863139249</v>
      </c>
      <c r="AB992" s="54">
        <f ca="1">H992*MCDA_Prioritisation!$D$5+I992*MCDA_Prioritisation!$E$5+J992*P992+K992*T992+L992*X992</f>
        <v>69.269613566051873</v>
      </c>
      <c r="AC992" s="54">
        <f t="shared" ca="1" si="216"/>
        <v>1</v>
      </c>
      <c r="AD992" s="54">
        <f t="shared" ca="1" si="217"/>
        <v>2</v>
      </c>
      <c r="AE992" s="54">
        <f t="shared" ca="1" si="218"/>
        <v>3</v>
      </c>
      <c r="AF992" s="54">
        <f t="shared" ca="1" si="219"/>
        <v>4</v>
      </c>
      <c r="AG992" s="54">
        <f t="shared" ca="1" si="220"/>
        <v>1</v>
      </c>
      <c r="AH992" s="54">
        <f t="shared" ca="1" si="221"/>
        <v>1</v>
      </c>
      <c r="AI992" s="54">
        <f t="shared" ca="1" si="222"/>
        <v>1</v>
      </c>
      <c r="AJ992" s="54">
        <f t="shared" ca="1" si="223"/>
        <v>1</v>
      </c>
    </row>
    <row r="993" spans="1:36" x14ac:dyDescent="0.2">
      <c r="A993" s="54">
        <v>970</v>
      </c>
      <c r="B993" s="54">
        <f ca="1">MAX(0.02,MCDA_Prioritisation!$B$9+(RAND()-0.5)*2*$B$6)</f>
        <v>0.27596264983648566</v>
      </c>
      <c r="C993" s="54">
        <f ca="1">MAX(0.02,MCDA_Prioritisation!$B$10+(RAND()-0.5)*2*$B$6)</f>
        <v>0.32351241667415259</v>
      </c>
      <c r="D993" s="54">
        <f ca="1">MAX(0.02,MCDA_Prioritisation!$B$11+(RAND()-0.5)*2*$B$6)</f>
        <v>0.27060778525214402</v>
      </c>
      <c r="E993" s="54">
        <f ca="1">MAX(0.02,MCDA_Prioritisation!$B$12+(RAND()-0.5)*2*$B$6)</f>
        <v>9.7885803033934515E-2</v>
      </c>
      <c r="F993" s="54">
        <f ca="1">MAX(0.02,MCDA_Prioritisation!$B$13+(RAND()-0.5)*2*$B$6)</f>
        <v>0.20612470568917038</v>
      </c>
      <c r="G993" s="54">
        <f t="shared" ca="1" si="210"/>
        <v>1.1740933604858872</v>
      </c>
      <c r="H993" s="54">
        <f t="shared" ca="1" si="211"/>
        <v>0.23504319087732614</v>
      </c>
      <c r="I993" s="54">
        <f t="shared" ca="1" si="212"/>
        <v>0.27554232700904646</v>
      </c>
      <c r="J993" s="54">
        <f t="shared" ca="1" si="213"/>
        <v>0.23048234012681548</v>
      </c>
      <c r="K993" s="54">
        <f t="shared" ca="1" si="214"/>
        <v>8.337139645643292E-2</v>
      </c>
      <c r="L993" s="54">
        <f t="shared" ca="1" si="215"/>
        <v>0.17556074553037901</v>
      </c>
      <c r="M993" s="54">
        <f ca="1">MIN(100,MAX(0,MCDA_Prioritisation!$F$2+(RAND()-0.5)*2*$B$7))</f>
        <v>75.59436479133052</v>
      </c>
      <c r="N993" s="54">
        <f ca="1">MIN(100,MAX(0,MCDA_Prioritisation!$F$3+(RAND()-0.5)*2*$B$7))</f>
        <v>92.257129724998066</v>
      </c>
      <c r="O993" s="54">
        <f ca="1">MIN(100,MAX(0,MCDA_Prioritisation!$F$4+(RAND()-0.5)*2*$B$7))</f>
        <v>80.504552956917649</v>
      </c>
      <c r="P993" s="54">
        <f ca="1">MIN(100,MAX(0,MCDA_Prioritisation!$F$5+(RAND()-0.5)*2*$B$7))</f>
        <v>82.254279712357999</v>
      </c>
      <c r="Q993" s="54">
        <f ca="1">MIN(100,MAX(0,MCDA_Prioritisation!$G$2+(RAND()-0.5)*2*$B$7))</f>
        <v>79.045672686846714</v>
      </c>
      <c r="R993" s="54">
        <f ca="1">MIN(100,MAX(0,MCDA_Prioritisation!$G$3+(RAND()-0.5)*2*$B$7))</f>
        <v>97.314735027613139</v>
      </c>
      <c r="S993" s="54">
        <f ca="1">MIN(100,MAX(0,MCDA_Prioritisation!$G$4+(RAND()-0.5)*2*$B$7))</f>
        <v>92.319140237604586</v>
      </c>
      <c r="T993" s="54">
        <f ca="1">MIN(100,MAX(0,MCDA_Prioritisation!$G$5+(RAND()-0.5)*2*$B$7))</f>
        <v>62.895599411769361</v>
      </c>
      <c r="U993" s="54">
        <f ca="1">MIN(100,MAX(0,MCDA_Prioritisation!$H$2+(RAND()-0.5)*2*$B$7))</f>
        <v>65.971057842803361</v>
      </c>
      <c r="V993" s="54">
        <f ca="1">MIN(100,MAX(0,MCDA_Prioritisation!$H$3+(RAND()-0.5)*2*$B$7))</f>
        <v>63.340282703946116</v>
      </c>
      <c r="W993" s="54">
        <f ca="1">MIN(100,MAX(0,MCDA_Prioritisation!$H$4+(RAND()-0.5)*2*$B$7))</f>
        <v>78.585927871426236</v>
      </c>
      <c r="X993" s="54">
        <f ca="1">MIN(100,MAX(0,MCDA_Prioritisation!$H$5+(RAND()-0.5)*2*$B$7))</f>
        <v>73.796084908208712</v>
      </c>
      <c r="Y993" s="54">
        <f ca="1">H993*MCDA_Prioritisation!$D$2+I993*MCDA_Prioritisation!$E$2+J993*M993+K993*Q993+L993*U993</f>
        <v>86.653794100194105</v>
      </c>
      <c r="Z993" s="54">
        <f ca="1">H993*MCDA_Prioritisation!$D$3+I993*MCDA_Prioritisation!$E$3+J993*N993+K993*R993+L993*V993</f>
        <v>81.078445697596351</v>
      </c>
      <c r="AA993" s="54">
        <f ca="1">H993*MCDA_Prioritisation!$D$4+I993*MCDA_Prioritisation!$E$4+J993*O993+K993*S993+L993*W993</f>
        <v>71.444865043817217</v>
      </c>
      <c r="AB993" s="54">
        <f ca="1">H993*MCDA_Prioritisation!$D$5+I993*MCDA_Prioritisation!$E$5+J993*P993+K993*T993+L993*X993</f>
        <v>72.803279784776251</v>
      </c>
      <c r="AC993" s="54">
        <f t="shared" ca="1" si="216"/>
        <v>1</v>
      </c>
      <c r="AD993" s="54">
        <f t="shared" ca="1" si="217"/>
        <v>2</v>
      </c>
      <c r="AE993" s="54">
        <f t="shared" ca="1" si="218"/>
        <v>4</v>
      </c>
      <c r="AF993" s="54">
        <f t="shared" ca="1" si="219"/>
        <v>3</v>
      </c>
      <c r="AG993" s="54">
        <f t="shared" ca="1" si="220"/>
        <v>1</v>
      </c>
      <c r="AH993" s="54">
        <f t="shared" ca="1" si="221"/>
        <v>1</v>
      </c>
      <c r="AI993" s="54">
        <f t="shared" ca="1" si="222"/>
        <v>0</v>
      </c>
      <c r="AJ993" s="54">
        <f t="shared" ca="1" si="223"/>
        <v>1</v>
      </c>
    </row>
    <row r="994" spans="1:36" x14ac:dyDescent="0.2">
      <c r="A994" s="54">
        <v>971</v>
      </c>
      <c r="B994" s="54">
        <f ca="1">MAX(0.02,MCDA_Prioritisation!$B$9+(RAND()-0.5)*2*$B$6)</f>
        <v>0.20494587126634736</v>
      </c>
      <c r="C994" s="54">
        <f ca="1">MAX(0.02,MCDA_Prioritisation!$B$10+(RAND()-0.5)*2*$B$6)</f>
        <v>0.29493002208014818</v>
      </c>
      <c r="D994" s="54">
        <f ca="1">MAX(0.02,MCDA_Prioritisation!$B$11+(RAND()-0.5)*2*$B$6)</f>
        <v>0.32849475786925558</v>
      </c>
      <c r="E994" s="54">
        <f ca="1">MAX(0.02,MCDA_Prioritisation!$B$12+(RAND()-0.5)*2*$B$6)</f>
        <v>0.12801202022001723</v>
      </c>
      <c r="F994" s="54">
        <f ca="1">MAX(0.02,MCDA_Prioritisation!$B$13+(RAND()-0.5)*2*$B$6)</f>
        <v>0.10425154668515124</v>
      </c>
      <c r="G994" s="54">
        <f t="shared" ca="1" si="210"/>
        <v>1.0606342181209196</v>
      </c>
      <c r="H994" s="54">
        <f t="shared" ca="1" si="211"/>
        <v>0.19322954866517622</v>
      </c>
      <c r="I994" s="54">
        <f t="shared" ca="1" si="212"/>
        <v>0.2780694956293821</v>
      </c>
      <c r="J994" s="54">
        <f t="shared" ca="1" si="213"/>
        <v>0.3097154063643503</v>
      </c>
      <c r="K994" s="54">
        <f t="shared" ca="1" si="214"/>
        <v>0.120693843393824</v>
      </c>
      <c r="L994" s="54">
        <f t="shared" ca="1" si="215"/>
        <v>9.8291705947267341E-2</v>
      </c>
      <c r="M994" s="54">
        <f ca="1">MIN(100,MAX(0,MCDA_Prioritisation!$F$2+(RAND()-0.5)*2*$B$7))</f>
        <v>86.804369269798087</v>
      </c>
      <c r="N994" s="54">
        <f ca="1">MIN(100,MAX(0,MCDA_Prioritisation!$F$3+(RAND()-0.5)*2*$B$7))</f>
        <v>99.793143732029932</v>
      </c>
      <c r="O994" s="54">
        <f ca="1">MIN(100,MAX(0,MCDA_Prioritisation!$F$4+(RAND()-0.5)*2*$B$7))</f>
        <v>96.826957463949782</v>
      </c>
      <c r="P994" s="54">
        <f ca="1">MIN(100,MAX(0,MCDA_Prioritisation!$F$5+(RAND()-0.5)*2*$B$7))</f>
        <v>75.729533334163037</v>
      </c>
      <c r="Q994" s="54">
        <f ca="1">MIN(100,MAX(0,MCDA_Prioritisation!$G$2+(RAND()-0.5)*2*$B$7))</f>
        <v>80.285708092488036</v>
      </c>
      <c r="R994" s="54">
        <f ca="1">MIN(100,MAX(0,MCDA_Prioritisation!$G$3+(RAND()-0.5)*2*$B$7))</f>
        <v>93.330280382559508</v>
      </c>
      <c r="S994" s="54">
        <f ca="1">MIN(100,MAX(0,MCDA_Prioritisation!$G$4+(RAND()-0.5)*2*$B$7))</f>
        <v>89.104872654405128</v>
      </c>
      <c r="T994" s="54">
        <f ca="1">MIN(100,MAX(0,MCDA_Prioritisation!$G$5+(RAND()-0.5)*2*$B$7))</f>
        <v>65.0632629245071</v>
      </c>
      <c r="U994" s="54">
        <f ca="1">MIN(100,MAX(0,MCDA_Prioritisation!$H$2+(RAND()-0.5)*2*$B$7))</f>
        <v>74.187286475642878</v>
      </c>
      <c r="V994" s="54">
        <f ca="1">MIN(100,MAX(0,MCDA_Prioritisation!$H$3+(RAND()-0.5)*2*$B$7))</f>
        <v>58.035531459621389</v>
      </c>
      <c r="W994" s="54">
        <f ca="1">MIN(100,MAX(0,MCDA_Prioritisation!$H$4+(RAND()-0.5)*2*$B$7))</f>
        <v>84.663699361400845</v>
      </c>
      <c r="X994" s="54">
        <f ca="1">MIN(100,MAX(0,MCDA_Prioritisation!$H$5+(RAND()-0.5)*2*$B$7))</f>
        <v>73.717921781123081</v>
      </c>
      <c r="Y994" s="54">
        <f ca="1">H994*MCDA_Prioritisation!$D$2+I994*MCDA_Prioritisation!$E$2+J994*M994+K994*Q994+L994*U994</f>
        <v>90.99654055861906</v>
      </c>
      <c r="Z994" s="54">
        <f ca="1">H994*MCDA_Prioritisation!$D$3+I994*MCDA_Prioritisation!$E$3+J994*N994+K994*R994+L994*V994</f>
        <v>84.987163551195053</v>
      </c>
      <c r="AA994" s="54">
        <f ca="1">H994*MCDA_Prioritisation!$D$4+I994*MCDA_Prioritisation!$E$4+J994*O994+K994*S994+L994*W994</f>
        <v>77.687746349817672</v>
      </c>
      <c r="AB994" s="54">
        <f ca="1">H994*MCDA_Prioritisation!$D$5+I994*MCDA_Prioritisation!$E$5+J994*P994+K994*T994+L994*X994</f>
        <v>72.192145660430882</v>
      </c>
      <c r="AC994" s="54">
        <f t="shared" ca="1" si="216"/>
        <v>1</v>
      </c>
      <c r="AD994" s="54">
        <f t="shared" ca="1" si="217"/>
        <v>2</v>
      </c>
      <c r="AE994" s="54">
        <f t="shared" ca="1" si="218"/>
        <v>3</v>
      </c>
      <c r="AF994" s="54">
        <f t="shared" ca="1" si="219"/>
        <v>4</v>
      </c>
      <c r="AG994" s="54">
        <f t="shared" ca="1" si="220"/>
        <v>1</v>
      </c>
      <c r="AH994" s="54">
        <f t="shared" ca="1" si="221"/>
        <v>1</v>
      </c>
      <c r="AI994" s="54">
        <f t="shared" ca="1" si="222"/>
        <v>1</v>
      </c>
      <c r="AJ994" s="54">
        <f t="shared" ca="1" si="223"/>
        <v>1</v>
      </c>
    </row>
    <row r="995" spans="1:36" x14ac:dyDescent="0.2">
      <c r="A995" s="54">
        <v>972</v>
      </c>
      <c r="B995" s="54">
        <f ca="1">MAX(0.02,MCDA_Prioritisation!$B$9+(RAND()-0.5)*2*$B$6)</f>
        <v>0.23395854019121651</v>
      </c>
      <c r="C995" s="54">
        <f ca="1">MAX(0.02,MCDA_Prioritisation!$B$10+(RAND()-0.5)*2*$B$6)</f>
        <v>0.23950407631462847</v>
      </c>
      <c r="D995" s="54">
        <f ca="1">MAX(0.02,MCDA_Prioritisation!$B$11+(RAND()-0.5)*2*$B$6)</f>
        <v>0.28042490883180465</v>
      </c>
      <c r="E995" s="54">
        <f ca="1">MAX(0.02,MCDA_Prioritisation!$B$12+(RAND()-0.5)*2*$B$6)</f>
        <v>0.15926497859377609</v>
      </c>
      <c r="F995" s="54">
        <f ca="1">MAX(0.02,MCDA_Prioritisation!$B$13+(RAND()-0.5)*2*$B$6)</f>
        <v>0.12460734879549637</v>
      </c>
      <c r="G995" s="54">
        <f t="shared" ca="1" si="210"/>
        <v>1.0377598527269221</v>
      </c>
      <c r="H995" s="54">
        <f t="shared" ca="1" si="211"/>
        <v>0.22544574216900329</v>
      </c>
      <c r="I995" s="54">
        <f t="shared" ca="1" si="212"/>
        <v>0.23078949882796437</v>
      </c>
      <c r="J995" s="54">
        <f t="shared" ca="1" si="213"/>
        <v>0.27022138898024622</v>
      </c>
      <c r="K995" s="54">
        <f t="shared" ca="1" si="214"/>
        <v>0.15346997494196313</v>
      </c>
      <c r="L995" s="54">
        <f t="shared" ca="1" si="215"/>
        <v>0.12007339508082297</v>
      </c>
      <c r="M995" s="54">
        <f ca="1">MIN(100,MAX(0,MCDA_Prioritisation!$F$2+(RAND()-0.5)*2*$B$7))</f>
        <v>79.737581074037891</v>
      </c>
      <c r="N995" s="54">
        <f ca="1">MIN(100,MAX(0,MCDA_Prioritisation!$F$3+(RAND()-0.5)*2*$B$7))</f>
        <v>99.350455903613465</v>
      </c>
      <c r="O995" s="54">
        <f ca="1">MIN(100,MAX(0,MCDA_Prioritisation!$F$4+(RAND()-0.5)*2*$B$7))</f>
        <v>92.919764420402686</v>
      </c>
      <c r="P995" s="54">
        <f ca="1">MIN(100,MAX(0,MCDA_Prioritisation!$F$5+(RAND()-0.5)*2*$B$7))</f>
        <v>77.796189310892402</v>
      </c>
      <c r="Q995" s="54">
        <f ca="1">MIN(100,MAX(0,MCDA_Prioritisation!$G$2+(RAND()-0.5)*2*$B$7))</f>
        <v>72.943372373040759</v>
      </c>
      <c r="R995" s="54">
        <f ca="1">MIN(100,MAX(0,MCDA_Prioritisation!$G$3+(RAND()-0.5)*2*$B$7))</f>
        <v>96.246612997557961</v>
      </c>
      <c r="S995" s="54">
        <f ca="1">MIN(100,MAX(0,MCDA_Prioritisation!$G$4+(RAND()-0.5)*2*$B$7))</f>
        <v>85.458729685749162</v>
      </c>
      <c r="T995" s="54">
        <f ca="1">MIN(100,MAX(0,MCDA_Prioritisation!$G$5+(RAND()-0.5)*2*$B$7))</f>
        <v>70.355964314772592</v>
      </c>
      <c r="U995" s="54">
        <f ca="1">MIN(100,MAX(0,MCDA_Prioritisation!$H$2+(RAND()-0.5)*2*$B$7))</f>
        <v>65.539758365052293</v>
      </c>
      <c r="V995" s="54">
        <f ca="1">MIN(100,MAX(0,MCDA_Prioritisation!$H$3+(RAND()-0.5)*2*$B$7))</f>
        <v>69.945083866890911</v>
      </c>
      <c r="W995" s="54">
        <f ca="1">MIN(100,MAX(0,MCDA_Prioritisation!$H$4+(RAND()-0.5)*2*$B$7))</f>
        <v>84.389932636916527</v>
      </c>
      <c r="X995" s="54">
        <f ca="1">MIN(100,MAX(0,MCDA_Prioritisation!$H$5+(RAND()-0.5)*2*$B$7))</f>
        <v>67.491149819033353</v>
      </c>
      <c r="Y995" s="54">
        <f ca="1">H995*MCDA_Prioritisation!$D$2+I995*MCDA_Prioritisation!$E$2+J995*M995+K995*Q995+L995*U995</f>
        <v>86.234522841389733</v>
      </c>
      <c r="Z995" s="54">
        <f ca="1">H995*MCDA_Prioritisation!$D$3+I995*MCDA_Prioritisation!$E$3+J995*N995+K995*R995+L995*V995</f>
        <v>86.504063278226397</v>
      </c>
      <c r="AA995" s="54">
        <f ca="1">H995*MCDA_Prioritisation!$D$4+I995*MCDA_Prioritisation!$E$4+J995*O995+K995*S995+L995*W995</f>
        <v>76.644476928260531</v>
      </c>
      <c r="AB995" s="54">
        <f ca="1">H995*MCDA_Prioritisation!$D$5+I995*MCDA_Prioritisation!$E$5+J995*P995+K995*T995+L995*X995</f>
        <v>71.296646047289414</v>
      </c>
      <c r="AC995" s="54">
        <f t="shared" ca="1" si="216"/>
        <v>2</v>
      </c>
      <c r="AD995" s="54">
        <f t="shared" ca="1" si="217"/>
        <v>1</v>
      </c>
      <c r="AE995" s="54">
        <f t="shared" ca="1" si="218"/>
        <v>3</v>
      </c>
      <c r="AF995" s="54">
        <f t="shared" ca="1" si="219"/>
        <v>4</v>
      </c>
      <c r="AG995" s="54">
        <f t="shared" ca="1" si="220"/>
        <v>0</v>
      </c>
      <c r="AH995" s="54">
        <f t="shared" ca="1" si="221"/>
        <v>0</v>
      </c>
      <c r="AI995" s="54">
        <f t="shared" ca="1" si="222"/>
        <v>0</v>
      </c>
      <c r="AJ995" s="54">
        <f t="shared" ca="1" si="223"/>
        <v>1</v>
      </c>
    </row>
    <row r="996" spans="1:36" x14ac:dyDescent="0.2">
      <c r="A996" s="54">
        <v>973</v>
      </c>
      <c r="B996" s="54">
        <f ca="1">MAX(0.02,MCDA_Prioritisation!$B$9+(RAND()-0.5)*2*$B$6)</f>
        <v>0.14455654907778342</v>
      </c>
      <c r="C996" s="54">
        <f ca="1">MAX(0.02,MCDA_Prioritisation!$B$10+(RAND()-0.5)*2*$B$6)</f>
        <v>0.22043519520999383</v>
      </c>
      <c r="D996" s="54">
        <f ca="1">MAX(0.02,MCDA_Prioritisation!$B$11+(RAND()-0.5)*2*$B$6)</f>
        <v>0.20916789881550846</v>
      </c>
      <c r="E996" s="54">
        <f ca="1">MAX(0.02,MCDA_Prioritisation!$B$12+(RAND()-0.5)*2*$B$6)</f>
        <v>0.22474639784610134</v>
      </c>
      <c r="F996" s="54">
        <f ca="1">MAX(0.02,MCDA_Prioritisation!$B$13+(RAND()-0.5)*2*$B$6)</f>
        <v>0.14539859239438979</v>
      </c>
      <c r="G996" s="54">
        <f t="shared" ca="1" si="210"/>
        <v>0.9443046333437769</v>
      </c>
      <c r="H996" s="54">
        <f t="shared" ca="1" si="211"/>
        <v>0.15308253711083633</v>
      </c>
      <c r="I996" s="54">
        <f t="shared" ca="1" si="212"/>
        <v>0.23343652824135169</v>
      </c>
      <c r="J996" s="54">
        <f t="shared" ca="1" si="213"/>
        <v>0.22150468337198156</v>
      </c>
      <c r="K996" s="54">
        <f t="shared" ca="1" si="214"/>
        <v>0.23800200688444759</v>
      </c>
      <c r="L996" s="54">
        <f t="shared" ca="1" si="215"/>
        <v>0.15397424439138277</v>
      </c>
      <c r="M996" s="54">
        <f ca="1">MIN(100,MAX(0,MCDA_Prioritisation!$F$2+(RAND()-0.5)*2*$B$7))</f>
        <v>79.889970256164872</v>
      </c>
      <c r="N996" s="54">
        <f ca="1">MIN(100,MAX(0,MCDA_Prioritisation!$F$3+(RAND()-0.5)*2*$B$7))</f>
        <v>100</v>
      </c>
      <c r="O996" s="54">
        <f ca="1">MIN(100,MAX(0,MCDA_Prioritisation!$F$4+(RAND()-0.5)*2*$B$7))</f>
        <v>81.103921226113371</v>
      </c>
      <c r="P996" s="54">
        <f ca="1">MIN(100,MAX(0,MCDA_Prioritisation!$F$5+(RAND()-0.5)*2*$B$7))</f>
        <v>72.743224153718188</v>
      </c>
      <c r="Q996" s="54">
        <f ca="1">MIN(100,MAX(0,MCDA_Prioritisation!$G$2+(RAND()-0.5)*2*$B$7))</f>
        <v>87.491001631080152</v>
      </c>
      <c r="R996" s="54">
        <f ca="1">MIN(100,MAX(0,MCDA_Prioritisation!$G$3+(RAND()-0.5)*2*$B$7))</f>
        <v>86.350243590342615</v>
      </c>
      <c r="S996" s="54">
        <f ca="1">MIN(100,MAX(0,MCDA_Prioritisation!$G$4+(RAND()-0.5)*2*$B$7))</f>
        <v>76.979830657735093</v>
      </c>
      <c r="T996" s="54">
        <f ca="1">MIN(100,MAX(0,MCDA_Prioritisation!$G$5+(RAND()-0.5)*2*$B$7))</f>
        <v>68.254666255440526</v>
      </c>
      <c r="U996" s="54">
        <f ca="1">MIN(100,MAX(0,MCDA_Prioritisation!$H$2+(RAND()-0.5)*2*$B$7))</f>
        <v>67.331341077540159</v>
      </c>
      <c r="V996" s="54">
        <f ca="1">MIN(100,MAX(0,MCDA_Prioritisation!$H$3+(RAND()-0.5)*2*$B$7))</f>
        <v>64.167316611196497</v>
      </c>
      <c r="W996" s="54">
        <f ca="1">MIN(100,MAX(0,MCDA_Prioritisation!$H$4+(RAND()-0.5)*2*$B$7))</f>
        <v>84.921609483097768</v>
      </c>
      <c r="X996" s="54">
        <f ca="1">MIN(100,MAX(0,MCDA_Prioritisation!$H$5+(RAND()-0.5)*2*$B$7))</f>
        <v>67.354566508315372</v>
      </c>
      <c r="Y996" s="54">
        <f ca="1">H996*MCDA_Prioritisation!$D$2+I996*MCDA_Prioritisation!$E$2+J996*M996+K996*Q996+L996*U996</f>
        <v>87.538235440207899</v>
      </c>
      <c r="Z996" s="54">
        <f ca="1">H996*MCDA_Prioritisation!$D$3+I996*MCDA_Prioritisation!$E$3+J996*N996+K996*R996+L996*V996</f>
        <v>82.938245639789983</v>
      </c>
      <c r="AA996" s="54">
        <f ca="1">H996*MCDA_Prioritisation!$D$4+I996*MCDA_Prioritisation!$E$4+J996*O996+K996*S996+L996*W996</f>
        <v>72.754662743982749</v>
      </c>
      <c r="AB996" s="54">
        <f ca="1">H996*MCDA_Prioritisation!$D$5+I996*MCDA_Prioritisation!$E$5+J996*P996+K996*T996+L996*X996</f>
        <v>70.483462614260205</v>
      </c>
      <c r="AC996" s="54">
        <f t="shared" ca="1" si="216"/>
        <v>1</v>
      </c>
      <c r="AD996" s="54">
        <f t="shared" ca="1" si="217"/>
        <v>2</v>
      </c>
      <c r="AE996" s="54">
        <f t="shared" ca="1" si="218"/>
        <v>3</v>
      </c>
      <c r="AF996" s="54">
        <f t="shared" ca="1" si="219"/>
        <v>4</v>
      </c>
      <c r="AG996" s="54">
        <f t="shared" ca="1" si="220"/>
        <v>1</v>
      </c>
      <c r="AH996" s="54">
        <f t="shared" ca="1" si="221"/>
        <v>1</v>
      </c>
      <c r="AI996" s="54">
        <f t="shared" ca="1" si="222"/>
        <v>1</v>
      </c>
      <c r="AJ996" s="54">
        <f t="shared" ca="1" si="223"/>
        <v>1</v>
      </c>
    </row>
    <row r="997" spans="1:36" x14ac:dyDescent="0.2">
      <c r="A997" s="54">
        <v>974</v>
      </c>
      <c r="B997" s="54">
        <f ca="1">MAX(0.02,MCDA_Prioritisation!$B$9+(RAND()-0.5)*2*$B$6)</f>
        <v>0.19119529732926249</v>
      </c>
      <c r="C997" s="54">
        <f ca="1">MAX(0.02,MCDA_Prioritisation!$B$10+(RAND()-0.5)*2*$B$6)</f>
        <v>0.26375839256596262</v>
      </c>
      <c r="D997" s="54">
        <f ca="1">MAX(0.02,MCDA_Prioritisation!$B$11+(RAND()-0.5)*2*$B$6)</f>
        <v>0.19706021340564694</v>
      </c>
      <c r="E997" s="54">
        <f ca="1">MAX(0.02,MCDA_Prioritisation!$B$12+(RAND()-0.5)*2*$B$6)</f>
        <v>0.19316925822919734</v>
      </c>
      <c r="F997" s="54">
        <f ca="1">MAX(0.02,MCDA_Prioritisation!$B$13+(RAND()-0.5)*2*$B$6)</f>
        <v>0.13271771197316271</v>
      </c>
      <c r="G997" s="54">
        <f t="shared" ca="1" si="210"/>
        <v>0.97790087350323207</v>
      </c>
      <c r="H997" s="54">
        <f t="shared" ca="1" si="211"/>
        <v>0.19551603082664654</v>
      </c>
      <c r="I997" s="54">
        <f t="shared" ca="1" si="212"/>
        <v>0.26971894566478355</v>
      </c>
      <c r="J997" s="54">
        <f t="shared" ca="1" si="213"/>
        <v>0.20151348541053904</v>
      </c>
      <c r="K997" s="54">
        <f t="shared" ca="1" si="214"/>
        <v>0.19753460034981643</v>
      </c>
      <c r="L997" s="54">
        <f t="shared" ca="1" si="215"/>
        <v>0.13571693774821447</v>
      </c>
      <c r="M997" s="54">
        <f ca="1">MIN(100,MAX(0,MCDA_Prioritisation!$F$2+(RAND()-0.5)*2*$B$7))</f>
        <v>89.83024290112705</v>
      </c>
      <c r="N997" s="54">
        <f ca="1">MIN(100,MAX(0,MCDA_Prioritisation!$F$3+(RAND()-0.5)*2*$B$7))</f>
        <v>99.697175197343952</v>
      </c>
      <c r="O997" s="54">
        <f ca="1">MIN(100,MAX(0,MCDA_Prioritisation!$F$4+(RAND()-0.5)*2*$B$7))</f>
        <v>81.859289054255228</v>
      </c>
      <c r="P997" s="54">
        <f ca="1">MIN(100,MAX(0,MCDA_Prioritisation!$F$5+(RAND()-0.5)*2*$B$7))</f>
        <v>79.917831424128792</v>
      </c>
      <c r="Q997" s="54">
        <f ca="1">MIN(100,MAX(0,MCDA_Prioritisation!$G$2+(RAND()-0.5)*2*$B$7))</f>
        <v>82.385249878685443</v>
      </c>
      <c r="R997" s="54">
        <f ca="1">MIN(100,MAX(0,MCDA_Prioritisation!$G$3+(RAND()-0.5)*2*$B$7))</f>
        <v>100</v>
      </c>
      <c r="S997" s="54">
        <f ca="1">MIN(100,MAX(0,MCDA_Prioritisation!$G$4+(RAND()-0.5)*2*$B$7))</f>
        <v>82.353746534297741</v>
      </c>
      <c r="T997" s="54">
        <f ca="1">MIN(100,MAX(0,MCDA_Prioritisation!$G$5+(RAND()-0.5)*2*$B$7))</f>
        <v>67.19142482245735</v>
      </c>
      <c r="U997" s="54">
        <f ca="1">MIN(100,MAX(0,MCDA_Prioritisation!$H$2+(RAND()-0.5)*2*$B$7))</f>
        <v>71.153248989154932</v>
      </c>
      <c r="V997" s="54">
        <f ca="1">MIN(100,MAX(0,MCDA_Prioritisation!$H$3+(RAND()-0.5)*2*$B$7))</f>
        <v>58.730950005825648</v>
      </c>
      <c r="W997" s="54">
        <f ca="1">MIN(100,MAX(0,MCDA_Prioritisation!$H$4+(RAND()-0.5)*2*$B$7))</f>
        <v>75.267500989834886</v>
      </c>
      <c r="X997" s="54">
        <f ca="1">MIN(100,MAX(0,MCDA_Prioritisation!$H$5+(RAND()-0.5)*2*$B$7))</f>
        <v>65.149473697405654</v>
      </c>
      <c r="Y997" s="54">
        <f ca="1">H997*MCDA_Prioritisation!$D$2+I997*MCDA_Prioritisation!$E$2+J997*M997+K997*Q997+L997*U997</f>
        <v>90.556141464574694</v>
      </c>
      <c r="Z997" s="54">
        <f ca="1">H997*MCDA_Prioritisation!$D$3+I997*MCDA_Prioritisation!$E$3+J997*N997+K997*R997+L997*V997</f>
        <v>84.517976420392969</v>
      </c>
      <c r="AA997" s="54">
        <f ca="1">H997*MCDA_Prioritisation!$D$4+I997*MCDA_Prioritisation!$E$4+J997*O997+K997*S997+L997*W997</f>
        <v>71.305069322731981</v>
      </c>
      <c r="AB997" s="54">
        <f ca="1">H997*MCDA_Prioritisation!$D$5+I997*MCDA_Prioritisation!$E$5+J997*P997+K997*T997+L997*X997</f>
        <v>71.277137722638827</v>
      </c>
      <c r="AC997" s="54">
        <f t="shared" ca="1" si="216"/>
        <v>1</v>
      </c>
      <c r="AD997" s="54">
        <f t="shared" ca="1" si="217"/>
        <v>2</v>
      </c>
      <c r="AE997" s="54">
        <f t="shared" ca="1" si="218"/>
        <v>3</v>
      </c>
      <c r="AF997" s="54">
        <f t="shared" ca="1" si="219"/>
        <v>4</v>
      </c>
      <c r="AG997" s="54">
        <f t="shared" ca="1" si="220"/>
        <v>1</v>
      </c>
      <c r="AH997" s="54">
        <f t="shared" ca="1" si="221"/>
        <v>1</v>
      </c>
      <c r="AI997" s="54">
        <f t="shared" ca="1" si="222"/>
        <v>1</v>
      </c>
      <c r="AJ997" s="54">
        <f t="shared" ca="1" si="223"/>
        <v>1</v>
      </c>
    </row>
    <row r="998" spans="1:36" x14ac:dyDescent="0.2">
      <c r="A998" s="54">
        <v>975</v>
      </c>
      <c r="B998" s="54">
        <f ca="1">MAX(0.02,MCDA_Prioritisation!$B$9+(RAND()-0.5)*2*$B$6)</f>
        <v>0.25795559435870252</v>
      </c>
      <c r="C998" s="54">
        <f ca="1">MAX(0.02,MCDA_Prioritisation!$B$10+(RAND()-0.5)*2*$B$6)</f>
        <v>0.18197282966265774</v>
      </c>
      <c r="D998" s="54">
        <f ca="1">MAX(0.02,MCDA_Prioritisation!$B$11+(RAND()-0.5)*2*$B$6)</f>
        <v>0.29373184472298464</v>
      </c>
      <c r="E998" s="54">
        <f ca="1">MAX(0.02,MCDA_Prioritisation!$B$12+(RAND()-0.5)*2*$B$6)</f>
        <v>0.12972391430668073</v>
      </c>
      <c r="F998" s="54">
        <f ca="1">MAX(0.02,MCDA_Prioritisation!$B$13+(RAND()-0.5)*2*$B$6)</f>
        <v>0.11116141855827844</v>
      </c>
      <c r="G998" s="54">
        <f t="shared" ca="1" si="210"/>
        <v>0.97454560160930404</v>
      </c>
      <c r="H998" s="54">
        <f t="shared" ca="1" si="211"/>
        <v>0.26469320053646611</v>
      </c>
      <c r="I998" s="54">
        <f t="shared" ca="1" si="212"/>
        <v>0.18672582315507771</v>
      </c>
      <c r="J998" s="54">
        <f t="shared" ca="1" si="213"/>
        <v>0.30140389966147724</v>
      </c>
      <c r="K998" s="54">
        <f t="shared" ca="1" si="214"/>
        <v>0.13311220541395161</v>
      </c>
      <c r="L998" s="54">
        <f t="shared" ca="1" si="215"/>
        <v>0.11406487123302735</v>
      </c>
      <c r="M998" s="54">
        <f ca="1">MIN(100,MAX(0,MCDA_Prioritisation!$F$2+(RAND()-0.5)*2*$B$7))</f>
        <v>79.568405903194702</v>
      </c>
      <c r="N998" s="54">
        <f ca="1">MIN(100,MAX(0,MCDA_Prioritisation!$F$3+(RAND()-0.5)*2*$B$7))</f>
        <v>100</v>
      </c>
      <c r="O998" s="54">
        <f ca="1">MIN(100,MAX(0,MCDA_Prioritisation!$F$4+(RAND()-0.5)*2*$B$7))</f>
        <v>80.218497167590129</v>
      </c>
      <c r="P998" s="54">
        <f ca="1">MIN(100,MAX(0,MCDA_Prioritisation!$F$5+(RAND()-0.5)*2*$B$7))</f>
        <v>77.480354790008676</v>
      </c>
      <c r="Q998" s="54">
        <f ca="1">MIN(100,MAX(0,MCDA_Prioritisation!$G$2+(RAND()-0.5)*2*$B$7))</f>
        <v>77.950246233962432</v>
      </c>
      <c r="R998" s="54">
        <f ca="1">MIN(100,MAX(0,MCDA_Prioritisation!$G$3+(RAND()-0.5)*2*$B$7))</f>
        <v>94.761198865884452</v>
      </c>
      <c r="S998" s="54">
        <f ca="1">MIN(100,MAX(0,MCDA_Prioritisation!$G$4+(RAND()-0.5)*2*$B$7))</f>
        <v>90.012666842522947</v>
      </c>
      <c r="T998" s="54">
        <f ca="1">MIN(100,MAX(0,MCDA_Prioritisation!$G$5+(RAND()-0.5)*2*$B$7))</f>
        <v>76.955540427758962</v>
      </c>
      <c r="U998" s="54">
        <f ca="1">MIN(100,MAX(0,MCDA_Prioritisation!$H$2+(RAND()-0.5)*2*$B$7))</f>
        <v>64.039525598274835</v>
      </c>
      <c r="V998" s="54">
        <f ca="1">MIN(100,MAX(0,MCDA_Prioritisation!$H$3+(RAND()-0.5)*2*$B$7))</f>
        <v>61.881196484273936</v>
      </c>
      <c r="W998" s="54">
        <f ca="1">MIN(100,MAX(0,MCDA_Prioritisation!$H$4+(RAND()-0.5)*2*$B$7))</f>
        <v>77.07418517935966</v>
      </c>
      <c r="X998" s="54">
        <f ca="1">MIN(100,MAX(0,MCDA_Prioritisation!$H$5+(RAND()-0.5)*2*$B$7))</f>
        <v>70.949690011487675</v>
      </c>
      <c r="Y998" s="54">
        <f ca="1">H998*MCDA_Prioritisation!$D$2+I998*MCDA_Prioritisation!$E$2+J998*M998+K998*Q998+L998*U998</f>
        <v>86.804919628179263</v>
      </c>
      <c r="Z998" s="54">
        <f ca="1">H998*MCDA_Prioritisation!$D$3+I998*MCDA_Prioritisation!$E$3+J998*N998+K998*R998+L998*V998</f>
        <v>86.526141809891428</v>
      </c>
      <c r="AA998" s="54">
        <f ca="1">H998*MCDA_Prioritisation!$D$4+I998*MCDA_Prioritisation!$E$4+J998*O998+K998*S998+L998*W998</f>
        <v>73.568132836886548</v>
      </c>
      <c r="AB998" s="54">
        <f ca="1">H998*MCDA_Prioritisation!$D$5+I998*MCDA_Prioritisation!$E$5+J998*P998+K998*T998+L998*X998</f>
        <v>71.440241409331549</v>
      </c>
      <c r="AC998" s="54">
        <f t="shared" ca="1" si="216"/>
        <v>1</v>
      </c>
      <c r="AD998" s="54">
        <f t="shared" ca="1" si="217"/>
        <v>2</v>
      </c>
      <c r="AE998" s="54">
        <f t="shared" ca="1" si="218"/>
        <v>3</v>
      </c>
      <c r="AF998" s="54">
        <f t="shared" ca="1" si="219"/>
        <v>4</v>
      </c>
      <c r="AG998" s="54">
        <f t="shared" ca="1" si="220"/>
        <v>1</v>
      </c>
      <c r="AH998" s="54">
        <f t="shared" ca="1" si="221"/>
        <v>1</v>
      </c>
      <c r="AI998" s="54">
        <f t="shared" ca="1" si="222"/>
        <v>1</v>
      </c>
      <c r="AJ998" s="54">
        <f t="shared" ca="1" si="223"/>
        <v>1</v>
      </c>
    </row>
    <row r="999" spans="1:36" x14ac:dyDescent="0.2">
      <c r="A999" s="54">
        <v>976</v>
      </c>
      <c r="B999" s="54">
        <f ca="1">MAX(0.02,MCDA_Prioritisation!$B$9+(RAND()-0.5)*2*$B$6)</f>
        <v>0.18583694146455251</v>
      </c>
      <c r="C999" s="54">
        <f ca="1">MAX(0.02,MCDA_Prioritisation!$B$10+(RAND()-0.5)*2*$B$6)</f>
        <v>0.29890732243062934</v>
      </c>
      <c r="D999" s="54">
        <f ca="1">MAX(0.02,MCDA_Prioritisation!$B$11+(RAND()-0.5)*2*$B$6)</f>
        <v>0.24082568809791588</v>
      </c>
      <c r="E999" s="54">
        <f ca="1">MAX(0.02,MCDA_Prioritisation!$B$12+(RAND()-0.5)*2*$B$6)</f>
        <v>0.13038641635987538</v>
      </c>
      <c r="F999" s="54">
        <f ca="1">MAX(0.02,MCDA_Prioritisation!$B$13+(RAND()-0.5)*2*$B$6)</f>
        <v>0.17825092389321262</v>
      </c>
      <c r="G999" s="54">
        <f t="shared" ca="1" si="210"/>
        <v>1.0342072922461858</v>
      </c>
      <c r="H999" s="54">
        <f t="shared" ca="1" si="211"/>
        <v>0.17969022541016402</v>
      </c>
      <c r="I999" s="54">
        <f t="shared" ca="1" si="212"/>
        <v>0.28902070665295265</v>
      </c>
      <c r="J999" s="54">
        <f t="shared" ca="1" si="213"/>
        <v>0.23286017213712415</v>
      </c>
      <c r="K999" s="54">
        <f t="shared" ca="1" si="214"/>
        <v>0.12607377393045668</v>
      </c>
      <c r="L999" s="54">
        <f t="shared" ca="1" si="215"/>
        <v>0.17235512186930244</v>
      </c>
      <c r="M999" s="54">
        <f ca="1">MIN(100,MAX(0,MCDA_Prioritisation!$F$2+(RAND()-0.5)*2*$B$7))</f>
        <v>84.049326883418217</v>
      </c>
      <c r="N999" s="54">
        <f ca="1">MIN(100,MAX(0,MCDA_Prioritisation!$F$3+(RAND()-0.5)*2*$B$7))</f>
        <v>90.66959143068361</v>
      </c>
      <c r="O999" s="54">
        <f ca="1">MIN(100,MAX(0,MCDA_Prioritisation!$F$4+(RAND()-0.5)*2*$B$7))</f>
        <v>90.539499464597782</v>
      </c>
      <c r="P999" s="54">
        <f ca="1">MIN(100,MAX(0,MCDA_Prioritisation!$F$5+(RAND()-0.5)*2*$B$7))</f>
        <v>73.056936012213569</v>
      </c>
      <c r="Q999" s="54">
        <f ca="1">MIN(100,MAX(0,MCDA_Prioritisation!$G$2+(RAND()-0.5)*2*$B$7))</f>
        <v>73.147934045758248</v>
      </c>
      <c r="R999" s="54">
        <f ca="1">MIN(100,MAX(0,MCDA_Prioritisation!$G$3+(RAND()-0.5)*2*$B$7))</f>
        <v>100</v>
      </c>
      <c r="S999" s="54">
        <f ca="1">MIN(100,MAX(0,MCDA_Prioritisation!$G$4+(RAND()-0.5)*2*$B$7))</f>
        <v>78.499697835272826</v>
      </c>
      <c r="T999" s="54">
        <f ca="1">MIN(100,MAX(0,MCDA_Prioritisation!$G$5+(RAND()-0.5)*2*$B$7))</f>
        <v>74.644948128864598</v>
      </c>
      <c r="U999" s="54">
        <f ca="1">MIN(100,MAX(0,MCDA_Prioritisation!$H$2+(RAND()-0.5)*2*$B$7))</f>
        <v>67.3079638046311</v>
      </c>
      <c r="V999" s="54">
        <f ca="1">MIN(100,MAX(0,MCDA_Prioritisation!$H$3+(RAND()-0.5)*2*$B$7))</f>
        <v>61.863988666703655</v>
      </c>
      <c r="W999" s="54">
        <f ca="1">MIN(100,MAX(0,MCDA_Prioritisation!$H$4+(RAND()-0.5)*2*$B$7))</f>
        <v>80.6215779772741</v>
      </c>
      <c r="X999" s="54">
        <f ca="1">MIN(100,MAX(0,MCDA_Prioritisation!$H$5+(RAND()-0.5)*2*$B$7))</f>
        <v>65.10940632665698</v>
      </c>
      <c r="Y999" s="54">
        <f ca="1">H999*MCDA_Prioritisation!$D$2+I999*MCDA_Prioritisation!$E$2+J999*M999+K999*Q999+L999*U999</f>
        <v>87.265742337080525</v>
      </c>
      <c r="Z999" s="54">
        <f ca="1">H999*MCDA_Prioritisation!$D$3+I999*MCDA_Prioritisation!$E$3+J999*N999+K999*R999+L999*V999</f>
        <v>81.107334870503109</v>
      </c>
      <c r="AA999" s="54">
        <f ca="1">H999*MCDA_Prioritisation!$D$4+I999*MCDA_Prioritisation!$E$4+J999*O999+K999*S999+L999*W999</f>
        <v>73.152675274526629</v>
      </c>
      <c r="AB999" s="54">
        <f ca="1">H999*MCDA_Prioritisation!$D$5+I999*MCDA_Prioritisation!$E$5+J999*P999+K999*T999+L999*X999</f>
        <v>71.485993247808551</v>
      </c>
      <c r="AC999" s="54">
        <f t="shared" ca="1" si="216"/>
        <v>1</v>
      </c>
      <c r="AD999" s="54">
        <f t="shared" ca="1" si="217"/>
        <v>2</v>
      </c>
      <c r="AE999" s="54">
        <f t="shared" ca="1" si="218"/>
        <v>3</v>
      </c>
      <c r="AF999" s="54">
        <f t="shared" ca="1" si="219"/>
        <v>4</v>
      </c>
      <c r="AG999" s="54">
        <f t="shared" ca="1" si="220"/>
        <v>1</v>
      </c>
      <c r="AH999" s="54">
        <f t="shared" ca="1" si="221"/>
        <v>1</v>
      </c>
      <c r="AI999" s="54">
        <f t="shared" ca="1" si="222"/>
        <v>1</v>
      </c>
      <c r="AJ999" s="54">
        <f t="shared" ca="1" si="223"/>
        <v>1</v>
      </c>
    </row>
    <row r="1000" spans="1:36" x14ac:dyDescent="0.2">
      <c r="A1000" s="54">
        <v>977</v>
      </c>
      <c r="B1000" s="54">
        <f ca="1">MAX(0.02,MCDA_Prioritisation!$B$9+(RAND()-0.5)*2*$B$6)</f>
        <v>0.1239372666626825</v>
      </c>
      <c r="C1000" s="54">
        <f ca="1">MAX(0.02,MCDA_Prioritisation!$B$10+(RAND()-0.5)*2*$B$6)</f>
        <v>0.18323870481192267</v>
      </c>
      <c r="D1000" s="54">
        <f ca="1">MAX(0.02,MCDA_Prioritisation!$B$11+(RAND()-0.5)*2*$B$6)</f>
        <v>0.24386726123635757</v>
      </c>
      <c r="E1000" s="54">
        <f ca="1">MAX(0.02,MCDA_Prioritisation!$B$12+(RAND()-0.5)*2*$B$6)</f>
        <v>0.16118268290184121</v>
      </c>
      <c r="F1000" s="54">
        <f ca="1">MAX(0.02,MCDA_Prioritisation!$B$13+(RAND()-0.5)*2*$B$6)</f>
        <v>0.10993287821317735</v>
      </c>
      <c r="G1000" s="54">
        <f t="shared" ca="1" si="210"/>
        <v>0.82215879382598134</v>
      </c>
      <c r="H1000" s="54">
        <f t="shared" ca="1" si="211"/>
        <v>0.15074614246468199</v>
      </c>
      <c r="I1000" s="54">
        <f t="shared" ca="1" si="212"/>
        <v>0.22287507740348647</v>
      </c>
      <c r="J1000" s="54">
        <f t="shared" ca="1" si="213"/>
        <v>0.29661819963209524</v>
      </c>
      <c r="K1000" s="54">
        <f t="shared" ca="1" si="214"/>
        <v>0.19604811638851999</v>
      </c>
      <c r="L1000" s="54">
        <f t="shared" ca="1" si="215"/>
        <v>0.13371246411121623</v>
      </c>
      <c r="M1000" s="54">
        <f ca="1">MIN(100,MAX(0,MCDA_Prioritisation!$F$2+(RAND()-0.5)*2*$B$7))</f>
        <v>81.851044829040461</v>
      </c>
      <c r="N1000" s="54">
        <f ca="1">MIN(100,MAX(0,MCDA_Prioritisation!$F$3+(RAND()-0.5)*2*$B$7))</f>
        <v>100</v>
      </c>
      <c r="O1000" s="54">
        <f ca="1">MIN(100,MAX(0,MCDA_Prioritisation!$F$4+(RAND()-0.5)*2*$B$7))</f>
        <v>99.906234872595562</v>
      </c>
      <c r="P1000" s="54">
        <f ca="1">MIN(100,MAX(0,MCDA_Prioritisation!$F$5+(RAND()-0.5)*2*$B$7))</f>
        <v>73.345197220070574</v>
      </c>
      <c r="Q1000" s="54">
        <f ca="1">MIN(100,MAX(0,MCDA_Prioritisation!$G$2+(RAND()-0.5)*2*$B$7))</f>
        <v>70.288364943695711</v>
      </c>
      <c r="R1000" s="54">
        <f ca="1">MIN(100,MAX(0,MCDA_Prioritisation!$G$3+(RAND()-0.5)*2*$B$7))</f>
        <v>91.292921698641024</v>
      </c>
      <c r="S1000" s="54">
        <f ca="1">MIN(100,MAX(0,MCDA_Prioritisation!$G$4+(RAND()-0.5)*2*$B$7))</f>
        <v>86.254244870653906</v>
      </c>
      <c r="T1000" s="54">
        <f ca="1">MIN(100,MAX(0,MCDA_Prioritisation!$G$5+(RAND()-0.5)*2*$B$7))</f>
        <v>70.735555435968976</v>
      </c>
      <c r="U1000" s="54">
        <f ca="1">MIN(100,MAX(0,MCDA_Prioritisation!$H$2+(RAND()-0.5)*2*$B$7))</f>
        <v>74.684542496748321</v>
      </c>
      <c r="V1000" s="54">
        <f ca="1">MIN(100,MAX(0,MCDA_Prioritisation!$H$3+(RAND()-0.5)*2*$B$7))</f>
        <v>62.184431967835117</v>
      </c>
      <c r="W1000" s="54">
        <f ca="1">MIN(100,MAX(0,MCDA_Prioritisation!$H$4+(RAND()-0.5)*2*$B$7))</f>
        <v>84.774848604623458</v>
      </c>
      <c r="X1000" s="54">
        <f ca="1">MIN(100,MAX(0,MCDA_Prioritisation!$H$5+(RAND()-0.5)*2*$B$7))</f>
        <v>66.014435466326574</v>
      </c>
      <c r="Y1000" s="54">
        <f ca="1">H1000*MCDA_Prioritisation!$D$2+I1000*MCDA_Prioritisation!$E$2+J1000*M1000+K1000*Q1000+L1000*U1000</f>
        <v>85.406787301512239</v>
      </c>
      <c r="Z1000" s="54">
        <f ca="1">H1000*MCDA_Prioritisation!$D$3+I1000*MCDA_Prioritisation!$E$3+J1000*N1000+K1000*R1000+L1000*V1000</f>
        <v>85.258291850087176</v>
      </c>
      <c r="AA1000" s="54">
        <f ca="1">H1000*MCDA_Prioritisation!$D$4+I1000*MCDA_Prioritisation!$E$4+J1000*O1000+K1000*S1000+L1000*W1000</f>
        <v>80.533341247618296</v>
      </c>
      <c r="AB1000" s="54">
        <f ca="1">H1000*MCDA_Prioritisation!$D$5+I1000*MCDA_Prioritisation!$E$5+J1000*P1000+K1000*T1000+L1000*X1000</f>
        <v>71.192799110198223</v>
      </c>
      <c r="AC1000" s="54">
        <f t="shared" ca="1" si="216"/>
        <v>1</v>
      </c>
      <c r="AD1000" s="54">
        <f t="shared" ca="1" si="217"/>
        <v>2</v>
      </c>
      <c r="AE1000" s="54">
        <f t="shared" ca="1" si="218"/>
        <v>3</v>
      </c>
      <c r="AF1000" s="54">
        <f t="shared" ca="1" si="219"/>
        <v>4</v>
      </c>
      <c r="AG1000" s="54">
        <f t="shared" ca="1" si="220"/>
        <v>1</v>
      </c>
      <c r="AH1000" s="54">
        <f t="shared" ca="1" si="221"/>
        <v>1</v>
      </c>
      <c r="AI1000" s="54">
        <f t="shared" ca="1" si="222"/>
        <v>1</v>
      </c>
      <c r="AJ1000" s="54">
        <f t="shared" ca="1" si="223"/>
        <v>1</v>
      </c>
    </row>
    <row r="1001" spans="1:36" x14ac:dyDescent="0.2">
      <c r="A1001" s="54">
        <v>978</v>
      </c>
      <c r="B1001" s="54">
        <f ca="1">MAX(0.02,MCDA_Prioritisation!$B$9+(RAND()-0.5)*2*$B$6)</f>
        <v>0.15071065419975832</v>
      </c>
      <c r="C1001" s="54">
        <f ca="1">MAX(0.02,MCDA_Prioritisation!$B$10+(RAND()-0.5)*2*$B$6)</f>
        <v>0.28837812161611348</v>
      </c>
      <c r="D1001" s="54">
        <f ca="1">MAX(0.02,MCDA_Prioritisation!$B$11+(RAND()-0.5)*2*$B$6)</f>
        <v>0.27613419748358742</v>
      </c>
      <c r="E1001" s="54">
        <f ca="1">MAX(0.02,MCDA_Prioritisation!$B$12+(RAND()-0.5)*2*$B$6)</f>
        <v>0.11214150173813749</v>
      </c>
      <c r="F1001" s="54">
        <f ca="1">MAX(0.02,MCDA_Prioritisation!$B$13+(RAND()-0.5)*2*$B$6)</f>
        <v>0.16092365100645342</v>
      </c>
      <c r="G1001" s="54">
        <f t="shared" ca="1" si="210"/>
        <v>0.98828812604405025</v>
      </c>
      <c r="H1001" s="54">
        <f t="shared" ca="1" si="211"/>
        <v>0.15249667604833775</v>
      </c>
      <c r="I1001" s="54">
        <f t="shared" ca="1" si="212"/>
        <v>0.29179559484382572</v>
      </c>
      <c r="J1001" s="54">
        <f t="shared" ca="1" si="213"/>
        <v>0.27940657203775765</v>
      </c>
      <c r="K1001" s="54">
        <f t="shared" ca="1" si="214"/>
        <v>0.11347045338591782</v>
      </c>
      <c r="L1001" s="54">
        <f t="shared" ca="1" si="215"/>
        <v>0.16283070368416092</v>
      </c>
      <c r="M1001" s="54">
        <f ca="1">MIN(100,MAX(0,MCDA_Prioritisation!$F$2+(RAND()-0.5)*2*$B$7))</f>
        <v>77.279862227396706</v>
      </c>
      <c r="N1001" s="54">
        <f ca="1">MIN(100,MAX(0,MCDA_Prioritisation!$F$3+(RAND()-0.5)*2*$B$7))</f>
        <v>97.813035281060053</v>
      </c>
      <c r="O1001" s="54">
        <f ca="1">MIN(100,MAX(0,MCDA_Prioritisation!$F$4+(RAND()-0.5)*2*$B$7))</f>
        <v>87.33612958995667</v>
      </c>
      <c r="P1001" s="54">
        <f ca="1">MIN(100,MAX(0,MCDA_Prioritisation!$F$5+(RAND()-0.5)*2*$B$7))</f>
        <v>81.697321814368237</v>
      </c>
      <c r="Q1001" s="54">
        <f ca="1">MIN(100,MAX(0,MCDA_Prioritisation!$G$2+(RAND()-0.5)*2*$B$7))</f>
        <v>87.656185174227275</v>
      </c>
      <c r="R1001" s="54">
        <f ca="1">MIN(100,MAX(0,MCDA_Prioritisation!$G$3+(RAND()-0.5)*2*$B$7))</f>
        <v>100</v>
      </c>
      <c r="S1001" s="54">
        <f ca="1">MIN(100,MAX(0,MCDA_Prioritisation!$G$4+(RAND()-0.5)*2*$B$7))</f>
        <v>77.415546803838481</v>
      </c>
      <c r="T1001" s="54">
        <f ca="1">MIN(100,MAX(0,MCDA_Prioritisation!$G$5+(RAND()-0.5)*2*$B$7))</f>
        <v>63.411399343149697</v>
      </c>
      <c r="U1001" s="54">
        <f ca="1">MIN(100,MAX(0,MCDA_Prioritisation!$H$2+(RAND()-0.5)*2*$B$7))</f>
        <v>62.457882126022682</v>
      </c>
      <c r="V1001" s="54">
        <f ca="1">MIN(100,MAX(0,MCDA_Prioritisation!$H$3+(RAND()-0.5)*2*$B$7))</f>
        <v>54.50002665383721</v>
      </c>
      <c r="W1001" s="54">
        <f ca="1">MIN(100,MAX(0,MCDA_Prioritisation!$H$4+(RAND()-0.5)*2*$B$7))</f>
        <v>87.771673541541773</v>
      </c>
      <c r="X1001" s="54">
        <f ca="1">MIN(100,MAX(0,MCDA_Prioritisation!$H$5+(RAND()-0.5)*2*$B$7))</f>
        <v>71.543209965269043</v>
      </c>
      <c r="Y1001" s="54">
        <f ca="1">H1001*MCDA_Prioritisation!$D$2+I1001*MCDA_Prioritisation!$E$2+J1001*M1001+K1001*Q1001+L1001*U1001</f>
        <v>86.138176452725631</v>
      </c>
      <c r="Z1001" s="54">
        <f ca="1">H1001*MCDA_Prioritisation!$D$3+I1001*MCDA_Prioritisation!$E$3+J1001*N1001+K1001*R1001+L1001*V1001</f>
        <v>82.10015320902798</v>
      </c>
      <c r="AA1001" s="54">
        <f ca="1">H1001*MCDA_Prioritisation!$D$4+I1001*MCDA_Prioritisation!$E$4+J1001*O1001+K1001*S1001+L1001*W1001</f>
        <v>74.013684553102792</v>
      </c>
      <c r="AB1001" s="54">
        <f ca="1">H1001*MCDA_Prioritisation!$D$5+I1001*MCDA_Prioritisation!$E$5+J1001*P1001+K1001*T1001+L1001*X1001</f>
        <v>74.302773703867885</v>
      </c>
      <c r="AC1001" s="54">
        <f t="shared" ca="1" si="216"/>
        <v>1</v>
      </c>
      <c r="AD1001" s="54">
        <f t="shared" ca="1" si="217"/>
        <v>2</v>
      </c>
      <c r="AE1001" s="54">
        <f t="shared" ca="1" si="218"/>
        <v>4</v>
      </c>
      <c r="AF1001" s="54">
        <f t="shared" ca="1" si="219"/>
        <v>3</v>
      </c>
      <c r="AG1001" s="54">
        <f t="shared" ca="1" si="220"/>
        <v>1</v>
      </c>
      <c r="AH1001" s="54">
        <f t="shared" ca="1" si="221"/>
        <v>1</v>
      </c>
      <c r="AI1001" s="54">
        <f t="shared" ca="1" si="222"/>
        <v>0</v>
      </c>
      <c r="AJ1001" s="54">
        <f t="shared" ca="1" si="223"/>
        <v>1</v>
      </c>
    </row>
    <row r="1002" spans="1:36" x14ac:dyDescent="0.2">
      <c r="A1002" s="54">
        <v>979</v>
      </c>
      <c r="B1002" s="54">
        <f ca="1">MAX(0.02,MCDA_Prioritisation!$B$9+(RAND()-0.5)*2*$B$6)</f>
        <v>0.13850863979118586</v>
      </c>
      <c r="C1002" s="54">
        <f ca="1">MAX(0.02,MCDA_Prioritisation!$B$10+(RAND()-0.5)*2*$B$6)</f>
        <v>0.29447799505075967</v>
      </c>
      <c r="D1002" s="54">
        <f ca="1">MAX(0.02,MCDA_Prioritisation!$B$11+(RAND()-0.5)*2*$B$6)</f>
        <v>0.28711239154267226</v>
      </c>
      <c r="E1002" s="54">
        <f ca="1">MAX(0.02,MCDA_Prioritisation!$B$12+(RAND()-0.5)*2*$B$6)</f>
        <v>0.18681088544966018</v>
      </c>
      <c r="F1002" s="54">
        <f ca="1">MAX(0.02,MCDA_Prioritisation!$B$13+(RAND()-0.5)*2*$B$6)</f>
        <v>8.9593498208340006E-2</v>
      </c>
      <c r="G1002" s="54">
        <f t="shared" ca="1" si="210"/>
        <v>0.996503410042618</v>
      </c>
      <c r="H1002" s="54">
        <f t="shared" ca="1" si="211"/>
        <v>0.13899464707828965</v>
      </c>
      <c r="I1002" s="54">
        <f t="shared" ca="1" si="212"/>
        <v>0.2955112768135591</v>
      </c>
      <c r="J1002" s="54">
        <f t="shared" ca="1" si="213"/>
        <v>0.28811982844132283</v>
      </c>
      <c r="K1002" s="54">
        <f t="shared" ca="1" si="214"/>
        <v>0.18746637850609135</v>
      </c>
      <c r="L1002" s="54">
        <f t="shared" ca="1" si="215"/>
        <v>8.990786916073705E-2</v>
      </c>
      <c r="M1002" s="54">
        <f ca="1">MIN(100,MAX(0,MCDA_Prioritisation!$F$2+(RAND()-0.5)*2*$B$7))</f>
        <v>80.010435800093347</v>
      </c>
      <c r="N1002" s="54">
        <f ca="1">MIN(100,MAX(0,MCDA_Prioritisation!$F$3+(RAND()-0.5)*2*$B$7))</f>
        <v>99.496243262750895</v>
      </c>
      <c r="O1002" s="54">
        <f ca="1">MIN(100,MAX(0,MCDA_Prioritisation!$F$4+(RAND()-0.5)*2*$B$7))</f>
        <v>96.532361834666176</v>
      </c>
      <c r="P1002" s="54">
        <f ca="1">MIN(100,MAX(0,MCDA_Prioritisation!$F$5+(RAND()-0.5)*2*$B$7))</f>
        <v>82.110594521046096</v>
      </c>
      <c r="Q1002" s="54">
        <f ca="1">MIN(100,MAX(0,MCDA_Prioritisation!$G$2+(RAND()-0.5)*2*$B$7))</f>
        <v>73.248613879851675</v>
      </c>
      <c r="R1002" s="54">
        <f ca="1">MIN(100,MAX(0,MCDA_Prioritisation!$G$3+(RAND()-0.5)*2*$B$7))</f>
        <v>97.579830830092106</v>
      </c>
      <c r="S1002" s="54">
        <f ca="1">MIN(100,MAX(0,MCDA_Prioritisation!$G$4+(RAND()-0.5)*2*$B$7))</f>
        <v>75.423241181131658</v>
      </c>
      <c r="T1002" s="54">
        <f ca="1">MIN(100,MAX(0,MCDA_Prioritisation!$G$5+(RAND()-0.5)*2*$B$7))</f>
        <v>78.661602077920989</v>
      </c>
      <c r="U1002" s="54">
        <f ca="1">MIN(100,MAX(0,MCDA_Prioritisation!$H$2+(RAND()-0.5)*2*$B$7))</f>
        <v>59.209350356057371</v>
      </c>
      <c r="V1002" s="54">
        <f ca="1">MIN(100,MAX(0,MCDA_Prioritisation!$H$3+(RAND()-0.5)*2*$B$7))</f>
        <v>50.050717887923668</v>
      </c>
      <c r="W1002" s="54">
        <f ca="1">MIN(100,MAX(0,MCDA_Prioritisation!$H$4+(RAND()-0.5)*2*$B$7))</f>
        <v>70.103965180312571</v>
      </c>
      <c r="X1002" s="54">
        <f ca="1">MIN(100,MAX(0,MCDA_Prioritisation!$H$5+(RAND()-0.5)*2*$B$7))</f>
        <v>68.34518696214127</v>
      </c>
      <c r="Y1002" s="54">
        <f ca="1">H1002*MCDA_Prioritisation!$D$2+I1002*MCDA_Prioritisation!$E$2+J1002*M1002+K1002*Q1002+L1002*U1002</f>
        <v>85.558224324974717</v>
      </c>
      <c r="Z1002" s="54">
        <f ca="1">H1002*MCDA_Prioritisation!$D$3+I1002*MCDA_Prioritisation!$E$3+J1002*N1002+K1002*R1002+L1002*V1002</f>
        <v>85.099153487141962</v>
      </c>
      <c r="AA1002" s="54">
        <f ca="1">H1002*MCDA_Prioritisation!$D$4+I1002*MCDA_Prioritisation!$E$4+J1002*O1002+K1002*S1002+L1002*W1002</f>
        <v>74.052674584957003</v>
      </c>
      <c r="AB1002" s="54">
        <f ca="1">H1002*MCDA_Prioritisation!$D$5+I1002*MCDA_Prioritisation!$E$5+J1002*P1002+K1002*T1002+L1002*X1002</f>
        <v>76.775942690832821</v>
      </c>
      <c r="AC1002" s="54">
        <f t="shared" ca="1" si="216"/>
        <v>1</v>
      </c>
      <c r="AD1002" s="54">
        <f t="shared" ca="1" si="217"/>
        <v>2</v>
      </c>
      <c r="AE1002" s="54">
        <f t="shared" ca="1" si="218"/>
        <v>4</v>
      </c>
      <c r="AF1002" s="54">
        <f t="shared" ca="1" si="219"/>
        <v>3</v>
      </c>
      <c r="AG1002" s="54">
        <f t="shared" ca="1" si="220"/>
        <v>1</v>
      </c>
      <c r="AH1002" s="54">
        <f t="shared" ca="1" si="221"/>
        <v>1</v>
      </c>
      <c r="AI1002" s="54">
        <f t="shared" ca="1" si="222"/>
        <v>0</v>
      </c>
      <c r="AJ1002" s="54">
        <f t="shared" ca="1" si="223"/>
        <v>1</v>
      </c>
    </row>
    <row r="1003" spans="1:36" x14ac:dyDescent="0.2">
      <c r="A1003" s="54">
        <v>980</v>
      </c>
      <c r="B1003" s="54">
        <f ca="1">MAX(0.02,MCDA_Prioritisation!$B$9+(RAND()-0.5)*2*$B$6)</f>
        <v>0.198395108203758</v>
      </c>
      <c r="C1003" s="54">
        <f ca="1">MAX(0.02,MCDA_Prioritisation!$B$10+(RAND()-0.5)*2*$B$6)</f>
        <v>0.17174818726544991</v>
      </c>
      <c r="D1003" s="54">
        <f ca="1">MAX(0.02,MCDA_Prioritisation!$B$11+(RAND()-0.5)*2*$B$6)</f>
        <v>0.2645669310935943</v>
      </c>
      <c r="E1003" s="54">
        <f ca="1">MAX(0.02,MCDA_Prioritisation!$B$12+(RAND()-0.5)*2*$B$6)</f>
        <v>0.19418876536150292</v>
      </c>
      <c r="F1003" s="54">
        <f ca="1">MAX(0.02,MCDA_Prioritisation!$B$13+(RAND()-0.5)*2*$B$6)</f>
        <v>0.14047594762359181</v>
      </c>
      <c r="G1003" s="54">
        <f t="shared" ca="1" si="210"/>
        <v>0.96937493954789689</v>
      </c>
      <c r="H1003" s="54">
        <f t="shared" ca="1" si="211"/>
        <v>0.20466292258007696</v>
      </c>
      <c r="I1003" s="54">
        <f t="shared" ca="1" si="212"/>
        <v>0.17717415651940713</v>
      </c>
      <c r="J1003" s="54">
        <f t="shared" ca="1" si="213"/>
        <v>0.2729252844281127</v>
      </c>
      <c r="K1003" s="54">
        <f t="shared" ca="1" si="214"/>
        <v>0.20032369049283438</v>
      </c>
      <c r="L1003" s="54">
        <f t="shared" ca="1" si="215"/>
        <v>0.14491394597956891</v>
      </c>
      <c r="M1003" s="54">
        <f ca="1">MIN(100,MAX(0,MCDA_Prioritisation!$F$2+(RAND()-0.5)*2*$B$7))</f>
        <v>79.102857538522144</v>
      </c>
      <c r="N1003" s="54">
        <f ca="1">MIN(100,MAX(0,MCDA_Prioritisation!$F$3+(RAND()-0.5)*2*$B$7))</f>
        <v>85.750877718734031</v>
      </c>
      <c r="O1003" s="54">
        <f ca="1">MIN(100,MAX(0,MCDA_Prioritisation!$F$4+(RAND()-0.5)*2*$B$7))</f>
        <v>97.090771793449164</v>
      </c>
      <c r="P1003" s="54">
        <f ca="1">MIN(100,MAX(0,MCDA_Prioritisation!$F$5+(RAND()-0.5)*2*$B$7))</f>
        <v>75.706067910054898</v>
      </c>
      <c r="Q1003" s="54">
        <f ca="1">MIN(100,MAX(0,MCDA_Prioritisation!$G$2+(RAND()-0.5)*2*$B$7))</f>
        <v>75.61247604563988</v>
      </c>
      <c r="R1003" s="54">
        <f ca="1">MIN(100,MAX(0,MCDA_Prioritisation!$G$3+(RAND()-0.5)*2*$B$7))</f>
        <v>94.614269947016339</v>
      </c>
      <c r="S1003" s="54">
        <f ca="1">MIN(100,MAX(0,MCDA_Prioritisation!$G$4+(RAND()-0.5)*2*$B$7))</f>
        <v>83.363362393235207</v>
      </c>
      <c r="T1003" s="54">
        <f ca="1">MIN(100,MAX(0,MCDA_Prioritisation!$G$5+(RAND()-0.5)*2*$B$7))</f>
        <v>69.424903315712868</v>
      </c>
      <c r="U1003" s="54">
        <f ca="1">MIN(100,MAX(0,MCDA_Prioritisation!$H$2+(RAND()-0.5)*2*$B$7))</f>
        <v>60.533748922161195</v>
      </c>
      <c r="V1003" s="54">
        <f ca="1">MIN(100,MAX(0,MCDA_Prioritisation!$H$3+(RAND()-0.5)*2*$B$7))</f>
        <v>62.562850032804256</v>
      </c>
      <c r="W1003" s="54">
        <f ca="1">MIN(100,MAX(0,MCDA_Prioritisation!$H$4+(RAND()-0.5)*2*$B$7))</f>
        <v>73.721855720419981</v>
      </c>
      <c r="X1003" s="54">
        <f ca="1">MIN(100,MAX(0,MCDA_Prioritisation!$H$5+(RAND()-0.5)*2*$B$7))</f>
        <v>76.20968841613626</v>
      </c>
      <c r="Y1003" s="54">
        <f ca="1">H1003*MCDA_Prioritisation!$D$2+I1003*MCDA_Prioritisation!$E$2+J1003*M1003+K1003*Q1003+L1003*U1003</f>
        <v>83.692032472736514</v>
      </c>
      <c r="Z1003" s="54">
        <f ca="1">H1003*MCDA_Prioritisation!$D$3+I1003*MCDA_Prioritisation!$E$3+J1003*N1003+K1003*R1003+L1003*V1003</f>
        <v>82.195577639013294</v>
      </c>
      <c r="AA1003" s="54">
        <f ca="1">H1003*MCDA_Prioritisation!$D$4+I1003*MCDA_Prioritisation!$E$4+J1003*O1003+K1003*S1003+L1003*W1003</f>
        <v>77.797075628913291</v>
      </c>
      <c r="AB1003" s="54">
        <f ca="1">H1003*MCDA_Prioritisation!$D$5+I1003*MCDA_Prioritisation!$E$5+J1003*P1003+K1003*T1003+L1003*X1003</f>
        <v>71.374802250461656</v>
      </c>
      <c r="AC1003" s="54">
        <f t="shared" ca="1" si="216"/>
        <v>1</v>
      </c>
      <c r="AD1003" s="54">
        <f t="shared" ca="1" si="217"/>
        <v>2</v>
      </c>
      <c r="AE1003" s="54">
        <f t="shared" ca="1" si="218"/>
        <v>3</v>
      </c>
      <c r="AF1003" s="54">
        <f t="shared" ca="1" si="219"/>
        <v>4</v>
      </c>
      <c r="AG1003" s="54">
        <f t="shared" ca="1" si="220"/>
        <v>1</v>
      </c>
      <c r="AH1003" s="54">
        <f t="shared" ca="1" si="221"/>
        <v>1</v>
      </c>
      <c r="AI1003" s="54">
        <f t="shared" ca="1" si="222"/>
        <v>1</v>
      </c>
      <c r="AJ1003" s="54">
        <f t="shared" ca="1" si="223"/>
        <v>1</v>
      </c>
    </row>
    <row r="1004" spans="1:36" x14ac:dyDescent="0.2">
      <c r="A1004" s="54">
        <v>981</v>
      </c>
      <c r="B1004" s="54">
        <f ca="1">MAX(0.02,MCDA_Prioritisation!$B$9+(RAND()-0.5)*2*$B$6)</f>
        <v>0.1325987603721841</v>
      </c>
      <c r="C1004" s="54">
        <f ca="1">MAX(0.02,MCDA_Prioritisation!$B$10+(RAND()-0.5)*2*$B$6)</f>
        <v>0.25293503950627294</v>
      </c>
      <c r="D1004" s="54">
        <f ca="1">MAX(0.02,MCDA_Prioritisation!$B$11+(RAND()-0.5)*2*$B$6)</f>
        <v>0.30901723290406607</v>
      </c>
      <c r="E1004" s="54">
        <f ca="1">MAX(0.02,MCDA_Prioritisation!$B$12+(RAND()-0.5)*2*$B$6)</f>
        <v>0.1261708953344067</v>
      </c>
      <c r="F1004" s="54">
        <f ca="1">MAX(0.02,MCDA_Prioritisation!$B$13+(RAND()-0.5)*2*$B$6)</f>
        <v>0.1408604875264049</v>
      </c>
      <c r="G1004" s="54">
        <f t="shared" ca="1" si="210"/>
        <v>0.96158241564333469</v>
      </c>
      <c r="H1004" s="54">
        <f t="shared" ca="1" si="211"/>
        <v>0.13789640722940066</v>
      </c>
      <c r="I1004" s="54">
        <f t="shared" ca="1" si="212"/>
        <v>0.2630404169122102</v>
      </c>
      <c r="J1004" s="54">
        <f t="shared" ca="1" si="213"/>
        <v>0.32136323197769995</v>
      </c>
      <c r="K1004" s="54">
        <f t="shared" ca="1" si="214"/>
        <v>0.13121173316173179</v>
      </c>
      <c r="L1004" s="54">
        <f t="shared" ca="1" si="215"/>
        <v>0.1464882107189574</v>
      </c>
      <c r="M1004" s="54">
        <f ca="1">MIN(100,MAX(0,MCDA_Prioritisation!$F$2+(RAND()-0.5)*2*$B$7))</f>
        <v>94.214782454739762</v>
      </c>
      <c r="N1004" s="54">
        <f ca="1">MIN(100,MAX(0,MCDA_Prioritisation!$F$3+(RAND()-0.5)*2*$B$7))</f>
        <v>90.18257647583259</v>
      </c>
      <c r="O1004" s="54">
        <f ca="1">MIN(100,MAX(0,MCDA_Prioritisation!$F$4+(RAND()-0.5)*2*$B$7))</f>
        <v>98.345498470585554</v>
      </c>
      <c r="P1004" s="54">
        <f ca="1">MIN(100,MAX(0,MCDA_Prioritisation!$F$5+(RAND()-0.5)*2*$B$7))</f>
        <v>71.348114741505285</v>
      </c>
      <c r="Q1004" s="54">
        <f ca="1">MIN(100,MAX(0,MCDA_Prioritisation!$G$2+(RAND()-0.5)*2*$B$7))</f>
        <v>71.44138465832674</v>
      </c>
      <c r="R1004" s="54">
        <f ca="1">MIN(100,MAX(0,MCDA_Prioritisation!$G$3+(RAND()-0.5)*2*$B$7))</f>
        <v>95.462715075115298</v>
      </c>
      <c r="S1004" s="54">
        <f ca="1">MIN(100,MAX(0,MCDA_Prioritisation!$G$4+(RAND()-0.5)*2*$B$7))</f>
        <v>88.247933877036616</v>
      </c>
      <c r="T1004" s="54">
        <f ca="1">MIN(100,MAX(0,MCDA_Prioritisation!$G$5+(RAND()-0.5)*2*$B$7))</f>
        <v>66.385203365274847</v>
      </c>
      <c r="U1004" s="54">
        <f ca="1">MIN(100,MAX(0,MCDA_Prioritisation!$H$2+(RAND()-0.5)*2*$B$7))</f>
        <v>57.049688559945011</v>
      </c>
      <c r="V1004" s="54">
        <f ca="1">MIN(100,MAX(0,MCDA_Prioritisation!$H$3+(RAND()-0.5)*2*$B$7))</f>
        <v>56.857294491118736</v>
      </c>
      <c r="W1004" s="54">
        <f ca="1">MIN(100,MAX(0,MCDA_Prioritisation!$H$4+(RAND()-0.5)*2*$B$7))</f>
        <v>76.604957533786248</v>
      </c>
      <c r="X1004" s="54">
        <f ca="1">MIN(100,MAX(0,MCDA_Prioritisation!$H$5+(RAND()-0.5)*2*$B$7))</f>
        <v>80.039242768203124</v>
      </c>
      <c r="Y1004" s="54">
        <f ca="1">H1004*MCDA_Prioritisation!$D$2+I1004*MCDA_Prioritisation!$E$2+J1004*M1004+K1004*Q1004+L1004*U1004</f>
        <v>88.101904103605278</v>
      </c>
      <c r="Z1004" s="54">
        <f ca="1">H1004*MCDA_Prioritisation!$D$3+I1004*MCDA_Prioritisation!$E$3+J1004*N1004+K1004*R1004+L1004*V1004</f>
        <v>81.018038154227483</v>
      </c>
      <c r="AA1004" s="54">
        <f ca="1">H1004*MCDA_Prioritisation!$D$4+I1004*MCDA_Prioritisation!$E$4+J1004*O1004+K1004*S1004+L1004*W1004</f>
        <v>78.355469018093871</v>
      </c>
      <c r="AB1004" s="54">
        <f ca="1">H1004*MCDA_Prioritisation!$D$5+I1004*MCDA_Prioritisation!$E$5+J1004*P1004+K1004*T1004+L1004*X1004</f>
        <v>72.802266101847025</v>
      </c>
      <c r="AC1004" s="54">
        <f t="shared" ca="1" si="216"/>
        <v>1</v>
      </c>
      <c r="AD1004" s="54">
        <f t="shared" ca="1" si="217"/>
        <v>2</v>
      </c>
      <c r="AE1004" s="54">
        <f t="shared" ca="1" si="218"/>
        <v>3</v>
      </c>
      <c r="AF1004" s="54">
        <f t="shared" ca="1" si="219"/>
        <v>4</v>
      </c>
      <c r="AG1004" s="54">
        <f t="shared" ca="1" si="220"/>
        <v>1</v>
      </c>
      <c r="AH1004" s="54">
        <f t="shared" ca="1" si="221"/>
        <v>1</v>
      </c>
      <c r="AI1004" s="54">
        <f t="shared" ca="1" si="222"/>
        <v>1</v>
      </c>
      <c r="AJ1004" s="54">
        <f t="shared" ca="1" si="223"/>
        <v>1</v>
      </c>
    </row>
    <row r="1005" spans="1:36" x14ac:dyDescent="0.2">
      <c r="A1005" s="54">
        <v>982</v>
      </c>
      <c r="B1005" s="54">
        <f ca="1">MAX(0.02,MCDA_Prioritisation!$B$9+(RAND()-0.5)*2*$B$6)</f>
        <v>0.18640285722166464</v>
      </c>
      <c r="C1005" s="54">
        <f ca="1">MAX(0.02,MCDA_Prioritisation!$B$10+(RAND()-0.5)*2*$B$6)</f>
        <v>0.17135998212237857</v>
      </c>
      <c r="D1005" s="54">
        <f ca="1">MAX(0.02,MCDA_Prioritisation!$B$11+(RAND()-0.5)*2*$B$6)</f>
        <v>0.22823662130800229</v>
      </c>
      <c r="E1005" s="54">
        <f ca="1">MAX(0.02,MCDA_Prioritisation!$B$12+(RAND()-0.5)*2*$B$6)</f>
        <v>0.21371665446966132</v>
      </c>
      <c r="F1005" s="54">
        <f ca="1">MAX(0.02,MCDA_Prioritisation!$B$13+(RAND()-0.5)*2*$B$6)</f>
        <v>0.16216785863577399</v>
      </c>
      <c r="G1005" s="54">
        <f t="shared" ca="1" si="210"/>
        <v>0.96188397375748069</v>
      </c>
      <c r="H1005" s="54">
        <f t="shared" ca="1" si="211"/>
        <v>0.19378933666344908</v>
      </c>
      <c r="I1005" s="54">
        <f t="shared" ca="1" si="212"/>
        <v>0.17815036615381169</v>
      </c>
      <c r="J1005" s="54">
        <f t="shared" ca="1" si="213"/>
        <v>0.23728082339954598</v>
      </c>
      <c r="K1005" s="54">
        <f t="shared" ca="1" si="214"/>
        <v>0.2221854821375219</v>
      </c>
      <c r="L1005" s="54">
        <f t="shared" ca="1" si="215"/>
        <v>0.16859399164567149</v>
      </c>
      <c r="M1005" s="54">
        <f ca="1">MIN(100,MAX(0,MCDA_Prioritisation!$F$2+(RAND()-0.5)*2*$B$7))</f>
        <v>79.409583059561896</v>
      </c>
      <c r="N1005" s="54">
        <f ca="1">MIN(100,MAX(0,MCDA_Prioritisation!$F$3+(RAND()-0.5)*2*$B$7))</f>
        <v>91.630628467811491</v>
      </c>
      <c r="O1005" s="54">
        <f ca="1">MIN(100,MAX(0,MCDA_Prioritisation!$F$4+(RAND()-0.5)*2*$B$7))</f>
        <v>85.665623562704525</v>
      </c>
      <c r="P1005" s="54">
        <f ca="1">MIN(100,MAX(0,MCDA_Prioritisation!$F$5+(RAND()-0.5)*2*$B$7))</f>
        <v>75.219351814570473</v>
      </c>
      <c r="Q1005" s="54">
        <f ca="1">MIN(100,MAX(0,MCDA_Prioritisation!$G$2+(RAND()-0.5)*2*$B$7))</f>
        <v>84.171846406639091</v>
      </c>
      <c r="R1005" s="54">
        <f ca="1">MIN(100,MAX(0,MCDA_Prioritisation!$G$3+(RAND()-0.5)*2*$B$7))</f>
        <v>85.316718829052775</v>
      </c>
      <c r="S1005" s="54">
        <f ca="1">MIN(100,MAX(0,MCDA_Prioritisation!$G$4+(RAND()-0.5)*2*$B$7))</f>
        <v>92.951704252506957</v>
      </c>
      <c r="T1005" s="54">
        <f ca="1">MIN(100,MAX(0,MCDA_Prioritisation!$G$5+(RAND()-0.5)*2*$B$7))</f>
        <v>60.486801113676705</v>
      </c>
      <c r="U1005" s="54">
        <f ca="1">MIN(100,MAX(0,MCDA_Prioritisation!$H$2+(RAND()-0.5)*2*$B$7))</f>
        <v>72.572585121292775</v>
      </c>
      <c r="V1005" s="54">
        <f ca="1">MIN(100,MAX(0,MCDA_Prioritisation!$H$3+(RAND()-0.5)*2*$B$7))</f>
        <v>57.671301732210921</v>
      </c>
      <c r="W1005" s="54">
        <f ca="1">MIN(100,MAX(0,MCDA_Prioritisation!$H$4+(RAND()-0.5)*2*$B$7))</f>
        <v>87.811678405619674</v>
      </c>
      <c r="X1005" s="54">
        <f ca="1">MIN(100,MAX(0,MCDA_Prioritisation!$H$5+(RAND()-0.5)*2*$B$7))</f>
        <v>84.570790664248165</v>
      </c>
      <c r="Y1005" s="54">
        <f ca="1">H1005*MCDA_Prioritisation!$D$2+I1005*MCDA_Prioritisation!$E$2+J1005*M1005+K1005*Q1005+L1005*U1005</f>
        <v>86.973405621822124</v>
      </c>
      <c r="Z1005" s="54">
        <f ca="1">H1005*MCDA_Prioritisation!$D$3+I1005*MCDA_Prioritisation!$E$3+J1005*N1005+K1005*R1005+L1005*V1005</f>
        <v>80.31432801371983</v>
      </c>
      <c r="AA1005" s="54">
        <f ca="1">H1005*MCDA_Prioritisation!$D$4+I1005*MCDA_Prioritisation!$E$4+J1005*O1005+K1005*S1005+L1005*W1005</f>
        <v>78.995493190780394</v>
      </c>
      <c r="AB1005" s="54">
        <f ca="1">H1005*MCDA_Prioritisation!$D$5+I1005*MCDA_Prioritisation!$E$5+J1005*P1005+K1005*T1005+L1005*X1005</f>
        <v>70.811893703405602</v>
      </c>
      <c r="AC1005" s="54">
        <f t="shared" ca="1" si="216"/>
        <v>1</v>
      </c>
      <c r="AD1005" s="54">
        <f t="shared" ca="1" si="217"/>
        <v>2</v>
      </c>
      <c r="AE1005" s="54">
        <f t="shared" ca="1" si="218"/>
        <v>3</v>
      </c>
      <c r="AF1005" s="54">
        <f t="shared" ca="1" si="219"/>
        <v>4</v>
      </c>
      <c r="AG1005" s="54">
        <f t="shared" ca="1" si="220"/>
        <v>1</v>
      </c>
      <c r="AH1005" s="54">
        <f t="shared" ca="1" si="221"/>
        <v>1</v>
      </c>
      <c r="AI1005" s="54">
        <f t="shared" ca="1" si="222"/>
        <v>1</v>
      </c>
      <c r="AJ1005" s="54">
        <f t="shared" ca="1" si="223"/>
        <v>1</v>
      </c>
    </row>
    <row r="1006" spans="1:36" x14ac:dyDescent="0.2">
      <c r="A1006" s="54">
        <v>983</v>
      </c>
      <c r="B1006" s="54">
        <f ca="1">MAX(0.02,MCDA_Prioritisation!$B$9+(RAND()-0.5)*2*$B$6)</f>
        <v>0.18148443168689976</v>
      </c>
      <c r="C1006" s="54">
        <f ca="1">MAX(0.02,MCDA_Prioritisation!$B$10+(RAND()-0.5)*2*$B$6)</f>
        <v>0.22067914748288051</v>
      </c>
      <c r="D1006" s="54">
        <f ca="1">MAX(0.02,MCDA_Prioritisation!$B$11+(RAND()-0.5)*2*$B$6)</f>
        <v>0.17402457900497983</v>
      </c>
      <c r="E1006" s="54">
        <f ca="1">MAX(0.02,MCDA_Prioritisation!$B$12+(RAND()-0.5)*2*$B$6)</f>
        <v>0.11957103017297292</v>
      </c>
      <c r="F1006" s="54">
        <f ca="1">MAX(0.02,MCDA_Prioritisation!$B$13+(RAND()-0.5)*2*$B$6)</f>
        <v>0.19343818565910151</v>
      </c>
      <c r="G1006" s="54">
        <f t="shared" ca="1" si="210"/>
        <v>0.88919737400683452</v>
      </c>
      <c r="H1006" s="54">
        <f t="shared" ca="1" si="211"/>
        <v>0.20409915390225258</v>
      </c>
      <c r="I1006" s="54">
        <f t="shared" ca="1" si="212"/>
        <v>0.248177911826789</v>
      </c>
      <c r="J1006" s="54">
        <f t="shared" ca="1" si="213"/>
        <v>0.19570973114866874</v>
      </c>
      <c r="K1006" s="54">
        <f t="shared" ca="1" si="214"/>
        <v>0.13447074144424304</v>
      </c>
      <c r="L1006" s="54">
        <f t="shared" ca="1" si="215"/>
        <v>0.21754246167804664</v>
      </c>
      <c r="M1006" s="54">
        <f ca="1">MIN(100,MAX(0,MCDA_Prioritisation!$F$2+(RAND()-0.5)*2*$B$7))</f>
        <v>93.826353811796082</v>
      </c>
      <c r="N1006" s="54">
        <f ca="1">MIN(100,MAX(0,MCDA_Prioritisation!$F$3+(RAND()-0.5)*2*$B$7))</f>
        <v>95.059639525193603</v>
      </c>
      <c r="O1006" s="54">
        <f ca="1">MIN(100,MAX(0,MCDA_Prioritisation!$F$4+(RAND()-0.5)*2*$B$7))</f>
        <v>90.223785772861262</v>
      </c>
      <c r="P1006" s="54">
        <f ca="1">MIN(100,MAX(0,MCDA_Prioritisation!$F$5+(RAND()-0.5)*2*$B$7))</f>
        <v>66.585462760012945</v>
      </c>
      <c r="Q1006" s="54">
        <f ca="1">MIN(100,MAX(0,MCDA_Prioritisation!$G$2+(RAND()-0.5)*2*$B$7))</f>
        <v>82.508678639494789</v>
      </c>
      <c r="R1006" s="54">
        <f ca="1">MIN(100,MAX(0,MCDA_Prioritisation!$G$3+(RAND()-0.5)*2*$B$7))</f>
        <v>87.287469175340163</v>
      </c>
      <c r="S1006" s="54">
        <f ca="1">MIN(100,MAX(0,MCDA_Prioritisation!$G$4+(RAND()-0.5)*2*$B$7))</f>
        <v>79.371061162361102</v>
      </c>
      <c r="T1006" s="54">
        <f ca="1">MIN(100,MAX(0,MCDA_Prioritisation!$G$5+(RAND()-0.5)*2*$B$7))</f>
        <v>60.716889848625115</v>
      </c>
      <c r="U1006" s="54">
        <f ca="1">MIN(100,MAX(0,MCDA_Prioritisation!$H$2+(RAND()-0.5)*2*$B$7))</f>
        <v>61.772376106007286</v>
      </c>
      <c r="V1006" s="54">
        <f ca="1">MIN(100,MAX(0,MCDA_Prioritisation!$H$3+(RAND()-0.5)*2*$B$7))</f>
        <v>59.096185923355925</v>
      </c>
      <c r="W1006" s="54">
        <f ca="1">MIN(100,MAX(0,MCDA_Prioritisation!$H$4+(RAND()-0.5)*2*$B$7))</f>
        <v>84.34008933245623</v>
      </c>
      <c r="X1006" s="54">
        <f ca="1">MIN(100,MAX(0,MCDA_Prioritisation!$H$5+(RAND()-0.5)*2*$B$7))</f>
        <v>74.617529594423274</v>
      </c>
      <c r="Y1006" s="54">
        <f ca="1">H1006*MCDA_Prioritisation!$D$2+I1006*MCDA_Prioritisation!$E$2+J1006*M1006+K1006*Q1006+L1006*U1006</f>
        <v>88.12355500611126</v>
      </c>
      <c r="Z1006" s="54">
        <f ca="1">H1006*MCDA_Prioritisation!$D$3+I1006*MCDA_Prioritisation!$E$3+J1006*N1006+K1006*R1006+L1006*V1006</f>
        <v>79.084560579914026</v>
      </c>
      <c r="AA1006" s="54">
        <f ca="1">H1006*MCDA_Prioritisation!$D$4+I1006*MCDA_Prioritisation!$E$4+J1006*O1006+K1006*S1006+L1006*W1006</f>
        <v>74.427551221146516</v>
      </c>
      <c r="AB1006" s="54">
        <f ca="1">H1006*MCDA_Prioritisation!$D$5+I1006*MCDA_Prioritisation!$E$5+J1006*P1006+K1006*T1006+L1006*X1006</f>
        <v>69.130799710655538</v>
      </c>
      <c r="AC1006" s="54">
        <f t="shared" ca="1" si="216"/>
        <v>1</v>
      </c>
      <c r="AD1006" s="54">
        <f t="shared" ca="1" si="217"/>
        <v>2</v>
      </c>
      <c r="AE1006" s="54">
        <f t="shared" ca="1" si="218"/>
        <v>3</v>
      </c>
      <c r="AF1006" s="54">
        <f t="shared" ca="1" si="219"/>
        <v>4</v>
      </c>
      <c r="AG1006" s="54">
        <f t="shared" ca="1" si="220"/>
        <v>1</v>
      </c>
      <c r="AH1006" s="54">
        <f t="shared" ca="1" si="221"/>
        <v>1</v>
      </c>
      <c r="AI1006" s="54">
        <f t="shared" ca="1" si="222"/>
        <v>1</v>
      </c>
      <c r="AJ1006" s="54">
        <f t="shared" ca="1" si="223"/>
        <v>1</v>
      </c>
    </row>
    <row r="1007" spans="1:36" x14ac:dyDescent="0.2">
      <c r="A1007" s="54">
        <v>984</v>
      </c>
      <c r="B1007" s="54">
        <f ca="1">MAX(0.02,MCDA_Prioritisation!$B$9+(RAND()-0.5)*2*$B$6)</f>
        <v>0.15272742795563937</v>
      </c>
      <c r="C1007" s="54">
        <f ca="1">MAX(0.02,MCDA_Prioritisation!$B$10+(RAND()-0.5)*2*$B$6)</f>
        <v>0.23624312288135088</v>
      </c>
      <c r="D1007" s="54">
        <f ca="1">MAX(0.02,MCDA_Prioritisation!$B$11+(RAND()-0.5)*2*$B$6)</f>
        <v>0.22970742564287458</v>
      </c>
      <c r="E1007" s="54">
        <f ca="1">MAX(0.02,MCDA_Prioritisation!$B$12+(RAND()-0.5)*2*$B$6)</f>
        <v>0.17778613594435783</v>
      </c>
      <c r="F1007" s="54">
        <f ca="1">MAX(0.02,MCDA_Prioritisation!$B$13+(RAND()-0.5)*2*$B$6)</f>
        <v>8.2752120442786153E-2</v>
      </c>
      <c r="G1007" s="54">
        <f t="shared" ca="1" si="210"/>
        <v>0.87921623286700878</v>
      </c>
      <c r="H1007" s="54">
        <f t="shared" ca="1" si="211"/>
        <v>0.17370860801513555</v>
      </c>
      <c r="I1007" s="54">
        <f t="shared" ca="1" si="212"/>
        <v>0.26869740804374487</v>
      </c>
      <c r="J1007" s="54">
        <f t="shared" ca="1" si="213"/>
        <v>0.26126385871406038</v>
      </c>
      <c r="K1007" s="54">
        <f t="shared" ca="1" si="214"/>
        <v>0.20220979697408517</v>
      </c>
      <c r="L1007" s="54">
        <f t="shared" ca="1" si="215"/>
        <v>9.4120328252974061E-2</v>
      </c>
      <c r="M1007" s="54">
        <f ca="1">MIN(100,MAX(0,MCDA_Prioritisation!$F$2+(RAND()-0.5)*2*$B$7))</f>
        <v>81.432508920302467</v>
      </c>
      <c r="N1007" s="54">
        <f ca="1">MIN(100,MAX(0,MCDA_Prioritisation!$F$3+(RAND()-0.5)*2*$B$7))</f>
        <v>99.934375564740918</v>
      </c>
      <c r="O1007" s="54">
        <f ca="1">MIN(100,MAX(0,MCDA_Prioritisation!$F$4+(RAND()-0.5)*2*$B$7))</f>
        <v>94.430312055186747</v>
      </c>
      <c r="P1007" s="54">
        <f ca="1">MIN(100,MAX(0,MCDA_Prioritisation!$F$5+(RAND()-0.5)*2*$B$7))</f>
        <v>66.813091189604194</v>
      </c>
      <c r="Q1007" s="54">
        <f ca="1">MIN(100,MAX(0,MCDA_Prioritisation!$G$2+(RAND()-0.5)*2*$B$7))</f>
        <v>76.585743104348325</v>
      </c>
      <c r="R1007" s="54">
        <f ca="1">MIN(100,MAX(0,MCDA_Prioritisation!$G$3+(RAND()-0.5)*2*$B$7))</f>
        <v>92.521655806617304</v>
      </c>
      <c r="S1007" s="54">
        <f ca="1">MIN(100,MAX(0,MCDA_Prioritisation!$G$4+(RAND()-0.5)*2*$B$7))</f>
        <v>79.258146494502228</v>
      </c>
      <c r="T1007" s="54">
        <f ca="1">MIN(100,MAX(0,MCDA_Prioritisation!$G$5+(RAND()-0.5)*2*$B$7))</f>
        <v>71.680163163199879</v>
      </c>
      <c r="U1007" s="54">
        <f ca="1">MIN(100,MAX(0,MCDA_Prioritisation!$H$2+(RAND()-0.5)*2*$B$7))</f>
        <v>71.533250911446729</v>
      </c>
      <c r="V1007" s="54">
        <f ca="1">MIN(100,MAX(0,MCDA_Prioritisation!$H$3+(RAND()-0.5)*2*$B$7))</f>
        <v>67.487205046361979</v>
      </c>
      <c r="W1007" s="54">
        <f ca="1">MIN(100,MAX(0,MCDA_Prioritisation!$H$4+(RAND()-0.5)*2*$B$7))</f>
        <v>86.853148745911184</v>
      </c>
      <c r="X1007" s="54">
        <f ca="1">MIN(100,MAX(0,MCDA_Prioritisation!$H$5+(RAND()-0.5)*2*$B$7))</f>
        <v>65.056859694549189</v>
      </c>
      <c r="Y1007" s="54">
        <f ca="1">H1007*MCDA_Prioritisation!$D$2+I1007*MCDA_Prioritisation!$E$2+J1007*M1007+K1007*Q1007+L1007*U1007</f>
        <v>87.735093732200852</v>
      </c>
      <c r="Z1007" s="54">
        <f ca="1">H1007*MCDA_Prioritisation!$D$3+I1007*MCDA_Prioritisation!$E$3+J1007*N1007+K1007*R1007+L1007*V1007</f>
        <v>85.893156675103356</v>
      </c>
      <c r="AA1007" s="54">
        <f ca="1">H1007*MCDA_Prioritisation!$D$4+I1007*MCDA_Prioritisation!$E$4+J1007*O1007+K1007*S1007+L1007*W1007</f>
        <v>75.624916843653153</v>
      </c>
      <c r="AB1007" s="54">
        <f ca="1">H1007*MCDA_Prioritisation!$D$5+I1007*MCDA_Prioritisation!$E$5+J1007*P1007+K1007*T1007+L1007*X1007</f>
        <v>69.888198499555344</v>
      </c>
      <c r="AC1007" s="54">
        <f t="shared" ca="1" si="216"/>
        <v>1</v>
      </c>
      <c r="AD1007" s="54">
        <f t="shared" ca="1" si="217"/>
        <v>2</v>
      </c>
      <c r="AE1007" s="54">
        <f t="shared" ca="1" si="218"/>
        <v>3</v>
      </c>
      <c r="AF1007" s="54">
        <f t="shared" ca="1" si="219"/>
        <v>4</v>
      </c>
      <c r="AG1007" s="54">
        <f t="shared" ca="1" si="220"/>
        <v>1</v>
      </c>
      <c r="AH1007" s="54">
        <f t="shared" ca="1" si="221"/>
        <v>1</v>
      </c>
      <c r="AI1007" s="54">
        <f t="shared" ca="1" si="222"/>
        <v>1</v>
      </c>
      <c r="AJ1007" s="54">
        <f t="shared" ca="1" si="223"/>
        <v>1</v>
      </c>
    </row>
    <row r="1008" spans="1:36" x14ac:dyDescent="0.2">
      <c r="A1008" s="54">
        <v>985</v>
      </c>
      <c r="B1008" s="54">
        <f ca="1">MAX(0.02,MCDA_Prioritisation!$B$9+(RAND()-0.5)*2*$B$6)</f>
        <v>0.21317500347586799</v>
      </c>
      <c r="C1008" s="54">
        <f ca="1">MAX(0.02,MCDA_Prioritisation!$B$10+(RAND()-0.5)*2*$B$6)</f>
        <v>0.26958574409659602</v>
      </c>
      <c r="D1008" s="54">
        <f ca="1">MAX(0.02,MCDA_Prioritisation!$B$11+(RAND()-0.5)*2*$B$6)</f>
        <v>0.22250952870765334</v>
      </c>
      <c r="E1008" s="54">
        <f ca="1">MAX(0.02,MCDA_Prioritisation!$B$12+(RAND()-0.5)*2*$B$6)</f>
        <v>0.14792270868294929</v>
      </c>
      <c r="F1008" s="54">
        <f ca="1">MAX(0.02,MCDA_Prioritisation!$B$13+(RAND()-0.5)*2*$B$6)</f>
        <v>0.18386137174867825</v>
      </c>
      <c r="G1008" s="54">
        <f t="shared" ca="1" si="210"/>
        <v>1.037054356711745</v>
      </c>
      <c r="H1008" s="54">
        <f t="shared" ca="1" si="211"/>
        <v>0.2055581774438475</v>
      </c>
      <c r="I1008" s="54">
        <f t="shared" ca="1" si="212"/>
        <v>0.25995334029682776</v>
      </c>
      <c r="J1008" s="54">
        <f t="shared" ca="1" si="213"/>
        <v>0.21455917644777911</v>
      </c>
      <c r="K1008" s="54">
        <f t="shared" ca="1" si="214"/>
        <v>0.14263737259826703</v>
      </c>
      <c r="L1008" s="54">
        <f t="shared" ca="1" si="215"/>
        <v>0.17729193321327857</v>
      </c>
      <c r="M1008" s="54">
        <f ca="1">MIN(100,MAX(0,MCDA_Prioritisation!$F$2+(RAND()-0.5)*2*$B$7))</f>
        <v>92.440305951314841</v>
      </c>
      <c r="N1008" s="54">
        <f ca="1">MIN(100,MAX(0,MCDA_Prioritisation!$F$3+(RAND()-0.5)*2*$B$7))</f>
        <v>93.168629196976809</v>
      </c>
      <c r="O1008" s="54">
        <f ca="1">MIN(100,MAX(0,MCDA_Prioritisation!$F$4+(RAND()-0.5)*2*$B$7))</f>
        <v>85.803036797825641</v>
      </c>
      <c r="P1008" s="54">
        <f ca="1">MIN(100,MAX(0,MCDA_Prioritisation!$F$5+(RAND()-0.5)*2*$B$7))</f>
        <v>72.795704134917074</v>
      </c>
      <c r="Q1008" s="54">
        <f ca="1">MIN(100,MAX(0,MCDA_Prioritisation!$G$2+(RAND()-0.5)*2*$B$7))</f>
        <v>70.098737286964621</v>
      </c>
      <c r="R1008" s="54">
        <f ca="1">MIN(100,MAX(0,MCDA_Prioritisation!$G$3+(RAND()-0.5)*2*$B$7))</f>
        <v>100</v>
      </c>
      <c r="S1008" s="54">
        <f ca="1">MIN(100,MAX(0,MCDA_Prioritisation!$G$4+(RAND()-0.5)*2*$B$7))</f>
        <v>88.99346683941657</v>
      </c>
      <c r="T1008" s="54">
        <f ca="1">MIN(100,MAX(0,MCDA_Prioritisation!$G$5+(RAND()-0.5)*2*$B$7))</f>
        <v>67.277472571029023</v>
      </c>
      <c r="U1008" s="54">
        <f ca="1">MIN(100,MAX(0,MCDA_Prioritisation!$H$2+(RAND()-0.5)*2*$B$7))</f>
        <v>70.40413559268687</v>
      </c>
      <c r="V1008" s="54">
        <f ca="1">MIN(100,MAX(0,MCDA_Prioritisation!$H$3+(RAND()-0.5)*2*$B$7))</f>
        <v>65.289356357589583</v>
      </c>
      <c r="W1008" s="54">
        <f ca="1">MIN(100,MAX(0,MCDA_Prioritisation!$H$4+(RAND()-0.5)*2*$B$7))</f>
        <v>82.483174782894025</v>
      </c>
      <c r="X1008" s="54">
        <f ca="1">MIN(100,MAX(0,MCDA_Prioritisation!$H$5+(RAND()-0.5)*2*$B$7))</f>
        <v>68.24351282997209</v>
      </c>
      <c r="Y1008" s="54">
        <f ca="1">H1008*MCDA_Prioritisation!$D$2+I1008*MCDA_Prioritisation!$E$2+J1008*M1008+K1008*Q1008+L1008*U1008</f>
        <v>88.865852704068431</v>
      </c>
      <c r="Z1008" s="54">
        <f ca="1">H1008*MCDA_Prioritisation!$D$3+I1008*MCDA_Prioritisation!$E$3+J1008*N1008+K1008*R1008+L1008*V1008</f>
        <v>82.700030286747676</v>
      </c>
      <c r="AA1008" s="54">
        <f ca="1">H1008*MCDA_Prioritisation!$D$4+I1008*MCDA_Prioritisation!$E$4+J1008*O1008+K1008*S1008+L1008*W1008</f>
        <v>74.220360905135919</v>
      </c>
      <c r="AB1008" s="54">
        <f ca="1">H1008*MCDA_Prioritisation!$D$5+I1008*MCDA_Prioritisation!$E$5+J1008*P1008+K1008*T1008+L1008*X1008</f>
        <v>70.084188454365503</v>
      </c>
      <c r="AC1008" s="54">
        <f t="shared" ca="1" si="216"/>
        <v>1</v>
      </c>
      <c r="AD1008" s="54">
        <f t="shared" ca="1" si="217"/>
        <v>2</v>
      </c>
      <c r="AE1008" s="54">
        <f t="shared" ca="1" si="218"/>
        <v>3</v>
      </c>
      <c r="AF1008" s="54">
        <f t="shared" ca="1" si="219"/>
        <v>4</v>
      </c>
      <c r="AG1008" s="54">
        <f t="shared" ca="1" si="220"/>
        <v>1</v>
      </c>
      <c r="AH1008" s="54">
        <f t="shared" ca="1" si="221"/>
        <v>1</v>
      </c>
      <c r="AI1008" s="54">
        <f t="shared" ca="1" si="222"/>
        <v>1</v>
      </c>
      <c r="AJ1008" s="54">
        <f t="shared" ca="1" si="223"/>
        <v>1</v>
      </c>
    </row>
    <row r="1009" spans="1:36" x14ac:dyDescent="0.2">
      <c r="A1009" s="54">
        <v>986</v>
      </c>
      <c r="B1009" s="54">
        <f ca="1">MAX(0.02,MCDA_Prioritisation!$B$9+(RAND()-0.5)*2*$B$6)</f>
        <v>0.13071269528205426</v>
      </c>
      <c r="C1009" s="54">
        <f ca="1">MAX(0.02,MCDA_Prioritisation!$B$10+(RAND()-0.5)*2*$B$6)</f>
        <v>0.21922101776943759</v>
      </c>
      <c r="D1009" s="54">
        <f ca="1">MAX(0.02,MCDA_Prioritisation!$B$11+(RAND()-0.5)*2*$B$6)</f>
        <v>0.25685674918734175</v>
      </c>
      <c r="E1009" s="54">
        <f ca="1">MAX(0.02,MCDA_Prioritisation!$B$12+(RAND()-0.5)*2*$B$6)</f>
        <v>0.10059051185965871</v>
      </c>
      <c r="F1009" s="54">
        <f ca="1">MAX(0.02,MCDA_Prioritisation!$B$13+(RAND()-0.5)*2*$B$6)</f>
        <v>0.11877537156283351</v>
      </c>
      <c r="G1009" s="54">
        <f t="shared" ca="1" si="210"/>
        <v>0.82615634566132579</v>
      </c>
      <c r="H1009" s="54">
        <f t="shared" ca="1" si="211"/>
        <v>0.15821786756043216</v>
      </c>
      <c r="I1009" s="54">
        <f t="shared" ca="1" si="212"/>
        <v>0.2653505222355394</v>
      </c>
      <c r="J1009" s="54">
        <f t="shared" ca="1" si="213"/>
        <v>0.31090573901206531</v>
      </c>
      <c r="K1009" s="54">
        <f t="shared" ca="1" si="214"/>
        <v>0.12175723443622226</v>
      </c>
      <c r="L1009" s="54">
        <f t="shared" ca="1" si="215"/>
        <v>0.14376863675574095</v>
      </c>
      <c r="M1009" s="54">
        <f ca="1">MIN(100,MAX(0,MCDA_Prioritisation!$F$2+(RAND()-0.5)*2*$B$7))</f>
        <v>83.152013657145687</v>
      </c>
      <c r="N1009" s="54">
        <f ca="1">MIN(100,MAX(0,MCDA_Prioritisation!$F$3+(RAND()-0.5)*2*$B$7))</f>
        <v>96.9433398779437</v>
      </c>
      <c r="O1009" s="54">
        <f ca="1">MIN(100,MAX(0,MCDA_Prioritisation!$F$4+(RAND()-0.5)*2*$B$7))</f>
        <v>92.577979049762888</v>
      </c>
      <c r="P1009" s="54">
        <f ca="1">MIN(100,MAX(0,MCDA_Prioritisation!$F$5+(RAND()-0.5)*2*$B$7))</f>
        <v>74.139539347466851</v>
      </c>
      <c r="Q1009" s="54">
        <f ca="1">MIN(100,MAX(0,MCDA_Prioritisation!$G$2+(RAND()-0.5)*2*$B$7))</f>
        <v>77.078943986301468</v>
      </c>
      <c r="R1009" s="54">
        <f ca="1">MIN(100,MAX(0,MCDA_Prioritisation!$G$3+(RAND()-0.5)*2*$B$7))</f>
        <v>100</v>
      </c>
      <c r="S1009" s="54">
        <f ca="1">MIN(100,MAX(0,MCDA_Prioritisation!$G$4+(RAND()-0.5)*2*$B$7))</f>
        <v>78.305750886888916</v>
      </c>
      <c r="T1009" s="54">
        <f ca="1">MIN(100,MAX(0,MCDA_Prioritisation!$G$5+(RAND()-0.5)*2*$B$7))</f>
        <v>66.056989349433309</v>
      </c>
      <c r="U1009" s="54">
        <f ca="1">MIN(100,MAX(0,MCDA_Prioritisation!$H$2+(RAND()-0.5)*2*$B$7))</f>
        <v>56.421146902810939</v>
      </c>
      <c r="V1009" s="54">
        <f ca="1">MIN(100,MAX(0,MCDA_Prioritisation!$H$3+(RAND()-0.5)*2*$B$7))</f>
        <v>60.223145759180063</v>
      </c>
      <c r="W1009" s="54">
        <f ca="1">MIN(100,MAX(0,MCDA_Prioritisation!$H$4+(RAND()-0.5)*2*$B$7))</f>
        <v>83.057363911169986</v>
      </c>
      <c r="X1009" s="54">
        <f ca="1">MIN(100,MAX(0,MCDA_Prioritisation!$H$5+(RAND()-0.5)*2*$B$7))</f>
        <v>76.279467629048185</v>
      </c>
      <c r="Y1009" s="54">
        <f ca="1">H1009*MCDA_Prioritisation!$D$2+I1009*MCDA_Prioritisation!$E$2+J1009*M1009+K1009*Q1009+L1009*U1009</f>
        <v>85.705787663462459</v>
      </c>
      <c r="Z1009" s="54">
        <f ca="1">H1009*MCDA_Prioritisation!$D$3+I1009*MCDA_Prioritisation!$E$3+J1009*N1009+K1009*R1009+L1009*V1009</f>
        <v>84.100125075791397</v>
      </c>
      <c r="AA1009" s="54">
        <f ca="1">H1009*MCDA_Prioritisation!$D$4+I1009*MCDA_Prioritisation!$E$4+J1009*O1009+K1009*S1009+L1009*W1009</f>
        <v>75.749387689651229</v>
      </c>
      <c r="AB1009" s="54">
        <f ca="1">H1009*MCDA_Prioritisation!$D$5+I1009*MCDA_Prioritisation!$E$5+J1009*P1009+K1009*T1009+L1009*X1009</f>
        <v>72.771040431708499</v>
      </c>
      <c r="AC1009" s="54">
        <f t="shared" ca="1" si="216"/>
        <v>1</v>
      </c>
      <c r="AD1009" s="54">
        <f t="shared" ca="1" si="217"/>
        <v>2</v>
      </c>
      <c r="AE1009" s="54">
        <f t="shared" ca="1" si="218"/>
        <v>3</v>
      </c>
      <c r="AF1009" s="54">
        <f t="shared" ca="1" si="219"/>
        <v>4</v>
      </c>
      <c r="AG1009" s="54">
        <f t="shared" ca="1" si="220"/>
        <v>1</v>
      </c>
      <c r="AH1009" s="54">
        <f t="shared" ca="1" si="221"/>
        <v>1</v>
      </c>
      <c r="AI1009" s="54">
        <f t="shared" ca="1" si="222"/>
        <v>1</v>
      </c>
      <c r="AJ1009" s="54">
        <f t="shared" ca="1" si="223"/>
        <v>1</v>
      </c>
    </row>
    <row r="1010" spans="1:36" x14ac:dyDescent="0.2">
      <c r="A1010" s="54">
        <v>987</v>
      </c>
      <c r="B1010" s="54">
        <f ca="1">MAX(0.02,MCDA_Prioritisation!$B$9+(RAND()-0.5)*2*$B$6)</f>
        <v>0.17144213271277181</v>
      </c>
      <c r="C1010" s="54">
        <f ca="1">MAX(0.02,MCDA_Prioritisation!$B$10+(RAND()-0.5)*2*$B$6)</f>
        <v>0.28586539301869807</v>
      </c>
      <c r="D1010" s="54">
        <f ca="1">MAX(0.02,MCDA_Prioritisation!$B$11+(RAND()-0.5)*2*$B$6)</f>
        <v>0.21612084387290026</v>
      </c>
      <c r="E1010" s="54">
        <f ca="1">MAX(0.02,MCDA_Prioritisation!$B$12+(RAND()-0.5)*2*$B$6)</f>
        <v>0.11190933601379967</v>
      </c>
      <c r="F1010" s="54">
        <f ca="1">MAX(0.02,MCDA_Prioritisation!$B$13+(RAND()-0.5)*2*$B$6)</f>
        <v>0.22105794106619106</v>
      </c>
      <c r="G1010" s="54">
        <f t="shared" ca="1" si="210"/>
        <v>1.0063956466843609</v>
      </c>
      <c r="H1010" s="54">
        <f t="shared" ca="1" si="211"/>
        <v>0.17035261755910772</v>
      </c>
      <c r="I1010" s="54">
        <f t="shared" ca="1" si="212"/>
        <v>0.28404871777864016</v>
      </c>
      <c r="J1010" s="54">
        <f t="shared" ca="1" si="213"/>
        <v>0.21474739540549995</v>
      </c>
      <c r="K1010" s="54">
        <f t="shared" ca="1" si="214"/>
        <v>0.1111981519221517</v>
      </c>
      <c r="L1010" s="54">
        <f t="shared" ca="1" si="215"/>
        <v>0.2196531173346005</v>
      </c>
      <c r="M1010" s="54">
        <f ca="1">MIN(100,MAX(0,MCDA_Prioritisation!$F$2+(RAND()-0.5)*2*$B$7))</f>
        <v>89.728864621946599</v>
      </c>
      <c r="N1010" s="54">
        <f ca="1">MIN(100,MAX(0,MCDA_Prioritisation!$F$3+(RAND()-0.5)*2*$B$7))</f>
        <v>100</v>
      </c>
      <c r="O1010" s="54">
        <f ca="1">MIN(100,MAX(0,MCDA_Prioritisation!$F$4+(RAND()-0.5)*2*$B$7))</f>
        <v>80.439582003161178</v>
      </c>
      <c r="P1010" s="54">
        <f ca="1">MIN(100,MAX(0,MCDA_Prioritisation!$F$5+(RAND()-0.5)*2*$B$7))</f>
        <v>66.843512020101741</v>
      </c>
      <c r="Q1010" s="54">
        <f ca="1">MIN(100,MAX(0,MCDA_Prioritisation!$G$2+(RAND()-0.5)*2*$B$7))</f>
        <v>83.174322570356253</v>
      </c>
      <c r="R1010" s="54">
        <f ca="1">MIN(100,MAX(0,MCDA_Prioritisation!$G$3+(RAND()-0.5)*2*$B$7))</f>
        <v>100</v>
      </c>
      <c r="S1010" s="54">
        <f ca="1">MIN(100,MAX(0,MCDA_Prioritisation!$G$4+(RAND()-0.5)*2*$B$7))</f>
        <v>81.677801243480246</v>
      </c>
      <c r="T1010" s="54">
        <f ca="1">MIN(100,MAX(0,MCDA_Prioritisation!$G$5+(RAND()-0.5)*2*$B$7))</f>
        <v>71.534164129827886</v>
      </c>
      <c r="U1010" s="54">
        <f ca="1">MIN(100,MAX(0,MCDA_Prioritisation!$H$2+(RAND()-0.5)*2*$B$7))</f>
        <v>61.658880452942334</v>
      </c>
      <c r="V1010" s="54">
        <f ca="1">MIN(100,MAX(0,MCDA_Prioritisation!$H$3+(RAND()-0.5)*2*$B$7))</f>
        <v>63.075391448649</v>
      </c>
      <c r="W1010" s="54">
        <f ca="1">MIN(100,MAX(0,MCDA_Prioritisation!$H$4+(RAND()-0.5)*2*$B$7))</f>
        <v>71.152963652069701</v>
      </c>
      <c r="X1010" s="54">
        <f ca="1">MIN(100,MAX(0,MCDA_Prioritisation!$H$5+(RAND()-0.5)*2*$B$7))</f>
        <v>74.552253725873086</v>
      </c>
      <c r="Y1010" s="54">
        <f ca="1">H1010*MCDA_Prioritisation!$D$2+I1010*MCDA_Prioritisation!$E$2+J1010*M1010+K1010*Q1010+L1010*U1010</f>
        <v>87.501569764081296</v>
      </c>
      <c r="Z1010" s="54">
        <f ca="1">H1010*MCDA_Prioritisation!$D$3+I1010*MCDA_Prioritisation!$E$3+J1010*N1010+K1010*R1010+L1010*V1010</f>
        <v>81.995629991605682</v>
      </c>
      <c r="AA1010" s="54">
        <f ca="1">H1010*MCDA_Prioritisation!$D$4+I1010*MCDA_Prioritisation!$E$4+J1010*O1010+K1010*S1010+L1010*W1010</f>
        <v>69.341502823903198</v>
      </c>
      <c r="AB1010" s="54">
        <f ca="1">H1010*MCDA_Prioritisation!$D$5+I1010*MCDA_Prioritisation!$E$5+J1010*P1010+K1010*T1010+L1010*X1010</f>
        <v>71.612103556356473</v>
      </c>
      <c r="AC1010" s="54">
        <f t="shared" ca="1" si="216"/>
        <v>1</v>
      </c>
      <c r="AD1010" s="54">
        <f t="shared" ca="1" si="217"/>
        <v>2</v>
      </c>
      <c r="AE1010" s="54">
        <f t="shared" ca="1" si="218"/>
        <v>4</v>
      </c>
      <c r="AF1010" s="54">
        <f t="shared" ca="1" si="219"/>
        <v>3</v>
      </c>
      <c r="AG1010" s="54">
        <f t="shared" ca="1" si="220"/>
        <v>1</v>
      </c>
      <c r="AH1010" s="54">
        <f t="shared" ca="1" si="221"/>
        <v>1</v>
      </c>
      <c r="AI1010" s="54">
        <f t="shared" ca="1" si="222"/>
        <v>0</v>
      </c>
      <c r="AJ1010" s="54">
        <f t="shared" ca="1" si="223"/>
        <v>1</v>
      </c>
    </row>
    <row r="1011" spans="1:36" x14ac:dyDescent="0.2">
      <c r="A1011" s="54">
        <v>988</v>
      </c>
      <c r="B1011" s="54">
        <f ca="1">MAX(0.02,MCDA_Prioritisation!$B$9+(RAND()-0.5)*2*$B$6)</f>
        <v>0.20882552857659789</v>
      </c>
      <c r="C1011" s="54">
        <f ca="1">MAX(0.02,MCDA_Prioritisation!$B$10+(RAND()-0.5)*2*$B$6)</f>
        <v>0.24280638535170174</v>
      </c>
      <c r="D1011" s="54">
        <f ca="1">MAX(0.02,MCDA_Prioritisation!$B$11+(RAND()-0.5)*2*$B$6)</f>
        <v>0.28648451033604305</v>
      </c>
      <c r="E1011" s="54">
        <f ca="1">MAX(0.02,MCDA_Prioritisation!$B$12+(RAND()-0.5)*2*$B$6)</f>
        <v>0.12750770672093878</v>
      </c>
      <c r="F1011" s="54">
        <f ca="1">MAX(0.02,MCDA_Prioritisation!$B$13+(RAND()-0.5)*2*$B$6)</f>
        <v>0.18296890908468572</v>
      </c>
      <c r="G1011" s="54">
        <f t="shared" ca="1" si="210"/>
        <v>1.0485930400699672</v>
      </c>
      <c r="H1011" s="54">
        <f t="shared" ca="1" si="211"/>
        <v>0.19914830691863455</v>
      </c>
      <c r="I1011" s="54">
        <f t="shared" ca="1" si="212"/>
        <v>0.23155445065275324</v>
      </c>
      <c r="J1011" s="54">
        <f t="shared" ca="1" si="213"/>
        <v>0.27320847973292617</v>
      </c>
      <c r="K1011" s="54">
        <f t="shared" ca="1" si="214"/>
        <v>0.12159884897999212</v>
      </c>
      <c r="L1011" s="54">
        <f t="shared" ca="1" si="215"/>
        <v>0.17448991371569389</v>
      </c>
      <c r="M1011" s="54">
        <f ca="1">MIN(100,MAX(0,MCDA_Prioritisation!$F$2+(RAND()-0.5)*2*$B$7))</f>
        <v>90.252534716556809</v>
      </c>
      <c r="N1011" s="54">
        <f ca="1">MIN(100,MAX(0,MCDA_Prioritisation!$F$3+(RAND()-0.5)*2*$B$7))</f>
        <v>100</v>
      </c>
      <c r="O1011" s="54">
        <f ca="1">MIN(100,MAX(0,MCDA_Prioritisation!$F$4+(RAND()-0.5)*2*$B$7))</f>
        <v>89.050725165476635</v>
      </c>
      <c r="P1011" s="54">
        <f ca="1">MIN(100,MAX(0,MCDA_Prioritisation!$F$5+(RAND()-0.5)*2*$B$7))</f>
        <v>71.155286542731915</v>
      </c>
      <c r="Q1011" s="54">
        <f ca="1">MIN(100,MAX(0,MCDA_Prioritisation!$G$2+(RAND()-0.5)*2*$B$7))</f>
        <v>82.36037285335496</v>
      </c>
      <c r="R1011" s="54">
        <f ca="1">MIN(100,MAX(0,MCDA_Prioritisation!$G$3+(RAND()-0.5)*2*$B$7))</f>
        <v>90.646893421211288</v>
      </c>
      <c r="S1011" s="54">
        <f ca="1">MIN(100,MAX(0,MCDA_Prioritisation!$G$4+(RAND()-0.5)*2*$B$7))</f>
        <v>92.207530970659548</v>
      </c>
      <c r="T1011" s="54">
        <f ca="1">MIN(100,MAX(0,MCDA_Prioritisation!$G$5+(RAND()-0.5)*2*$B$7))</f>
        <v>61.027684648833585</v>
      </c>
      <c r="U1011" s="54">
        <f ca="1">MIN(100,MAX(0,MCDA_Prioritisation!$H$2+(RAND()-0.5)*2*$B$7))</f>
        <v>55.959364129852588</v>
      </c>
      <c r="V1011" s="54">
        <f ca="1">MIN(100,MAX(0,MCDA_Prioritisation!$H$3+(RAND()-0.5)*2*$B$7))</f>
        <v>53.566168911191497</v>
      </c>
      <c r="W1011" s="54">
        <f ca="1">MIN(100,MAX(0,MCDA_Prioritisation!$H$4+(RAND()-0.5)*2*$B$7))</f>
        <v>84.82200013676227</v>
      </c>
      <c r="X1011" s="54">
        <f ca="1">MIN(100,MAX(0,MCDA_Prioritisation!$H$5+(RAND()-0.5)*2*$B$7))</f>
        <v>72.450795367300628</v>
      </c>
      <c r="Y1011" s="54">
        <f ca="1">H1011*MCDA_Prioritisation!$D$2+I1011*MCDA_Prioritisation!$E$2+J1011*M1011+K1011*Q1011+L1011*U1011</f>
        <v>87.507304718226422</v>
      </c>
      <c r="Z1011" s="54">
        <f ca="1">H1011*MCDA_Prioritisation!$D$3+I1011*MCDA_Prioritisation!$E$3+J1011*N1011+K1011*R1011+L1011*V1011</f>
        <v>81.935418320813952</v>
      </c>
      <c r="AA1011" s="54">
        <f ca="1">H1011*MCDA_Prioritisation!$D$4+I1011*MCDA_Prioritisation!$E$4+J1011*O1011+K1011*S1011+L1011*W1011</f>
        <v>76.840086503283146</v>
      </c>
      <c r="AB1011" s="54">
        <f ca="1">H1011*MCDA_Prioritisation!$D$5+I1011*MCDA_Prioritisation!$E$5+J1011*P1011+K1011*T1011+L1011*X1011</f>
        <v>69.544654758442235</v>
      </c>
      <c r="AC1011" s="54">
        <f t="shared" ca="1" si="216"/>
        <v>1</v>
      </c>
      <c r="AD1011" s="54">
        <f t="shared" ca="1" si="217"/>
        <v>2</v>
      </c>
      <c r="AE1011" s="54">
        <f t="shared" ca="1" si="218"/>
        <v>3</v>
      </c>
      <c r="AF1011" s="54">
        <f t="shared" ca="1" si="219"/>
        <v>4</v>
      </c>
      <c r="AG1011" s="54">
        <f t="shared" ca="1" si="220"/>
        <v>1</v>
      </c>
      <c r="AH1011" s="54">
        <f t="shared" ca="1" si="221"/>
        <v>1</v>
      </c>
      <c r="AI1011" s="54">
        <f t="shared" ca="1" si="222"/>
        <v>1</v>
      </c>
      <c r="AJ1011" s="54">
        <f t="shared" ca="1" si="223"/>
        <v>1</v>
      </c>
    </row>
    <row r="1012" spans="1:36" x14ac:dyDescent="0.2">
      <c r="A1012" s="54">
        <v>989</v>
      </c>
      <c r="B1012" s="54">
        <f ca="1">MAX(0.02,MCDA_Prioritisation!$B$9+(RAND()-0.5)*2*$B$6)</f>
        <v>0.21885133338418611</v>
      </c>
      <c r="C1012" s="54">
        <f ca="1">MAX(0.02,MCDA_Prioritisation!$B$10+(RAND()-0.5)*2*$B$6)</f>
        <v>0.26055022472737688</v>
      </c>
      <c r="D1012" s="54">
        <f ca="1">MAX(0.02,MCDA_Prioritisation!$B$11+(RAND()-0.5)*2*$B$6)</f>
        <v>0.25552854915002643</v>
      </c>
      <c r="E1012" s="54">
        <f ca="1">MAX(0.02,MCDA_Prioritisation!$B$12+(RAND()-0.5)*2*$B$6)</f>
        <v>9.7346893827100281E-2</v>
      </c>
      <c r="F1012" s="54">
        <f ca="1">MAX(0.02,MCDA_Prioritisation!$B$13+(RAND()-0.5)*2*$B$6)</f>
        <v>0.12046584787916699</v>
      </c>
      <c r="G1012" s="54">
        <f t="shared" ca="1" si="210"/>
        <v>0.95274284896785677</v>
      </c>
      <c r="H1012" s="54">
        <f t="shared" ca="1" si="211"/>
        <v>0.22970661351200508</v>
      </c>
      <c r="I1012" s="54">
        <f t="shared" ca="1" si="212"/>
        <v>0.27347381826023781</v>
      </c>
      <c r="J1012" s="54">
        <f t="shared" ca="1" si="213"/>
        <v>0.2682030617462523</v>
      </c>
      <c r="K1012" s="54">
        <f t="shared" ca="1" si="214"/>
        <v>0.10217541273866285</v>
      </c>
      <c r="L1012" s="54">
        <f t="shared" ca="1" si="215"/>
        <v>0.12644109374284185</v>
      </c>
      <c r="M1012" s="54">
        <f ca="1">MIN(100,MAX(0,MCDA_Prioritisation!$F$2+(RAND()-0.5)*2*$B$7))</f>
        <v>84.466938221382193</v>
      </c>
      <c r="N1012" s="54">
        <f ca="1">MIN(100,MAX(0,MCDA_Prioritisation!$F$3+(RAND()-0.5)*2*$B$7))</f>
        <v>99.502824320278464</v>
      </c>
      <c r="O1012" s="54">
        <f ca="1">MIN(100,MAX(0,MCDA_Prioritisation!$F$4+(RAND()-0.5)*2*$B$7))</f>
        <v>86.392835320128668</v>
      </c>
      <c r="P1012" s="54">
        <f ca="1">MIN(100,MAX(0,MCDA_Prioritisation!$F$5+(RAND()-0.5)*2*$B$7))</f>
        <v>75.923417874827237</v>
      </c>
      <c r="Q1012" s="54">
        <f ca="1">MIN(100,MAX(0,MCDA_Prioritisation!$G$2+(RAND()-0.5)*2*$B$7))</f>
        <v>84.455847817936458</v>
      </c>
      <c r="R1012" s="54">
        <f ca="1">MIN(100,MAX(0,MCDA_Prioritisation!$G$3+(RAND()-0.5)*2*$B$7))</f>
        <v>97.340186398990156</v>
      </c>
      <c r="S1012" s="54">
        <f ca="1">MIN(100,MAX(0,MCDA_Prioritisation!$G$4+(RAND()-0.5)*2*$B$7))</f>
        <v>86.78050145187116</v>
      </c>
      <c r="T1012" s="54">
        <f ca="1">MIN(100,MAX(0,MCDA_Prioritisation!$G$5+(RAND()-0.5)*2*$B$7))</f>
        <v>73.49829188056529</v>
      </c>
      <c r="U1012" s="54">
        <f ca="1">MIN(100,MAX(0,MCDA_Prioritisation!$H$2+(RAND()-0.5)*2*$B$7))</f>
        <v>55.825306725506309</v>
      </c>
      <c r="V1012" s="54">
        <f ca="1">MIN(100,MAX(0,MCDA_Prioritisation!$H$3+(RAND()-0.5)*2*$B$7))</f>
        <v>64.864035183182494</v>
      </c>
      <c r="W1012" s="54">
        <f ca="1">MIN(100,MAX(0,MCDA_Prioritisation!$H$4+(RAND()-0.5)*2*$B$7))</f>
        <v>82.594545559255465</v>
      </c>
      <c r="X1012" s="54">
        <f ca="1">MIN(100,MAX(0,MCDA_Prioritisation!$H$5+(RAND()-0.5)*2*$B$7))</f>
        <v>78.873955810359064</v>
      </c>
      <c r="Y1012" s="54">
        <f ca="1">H1012*MCDA_Prioritisation!$D$2+I1012*MCDA_Prioritisation!$E$2+J1012*M1012+K1012*Q1012+L1012*U1012</f>
        <v>88.660258574424532</v>
      </c>
      <c r="Z1012" s="54">
        <f ca="1">H1012*MCDA_Prioritisation!$D$3+I1012*MCDA_Prioritisation!$E$3+J1012*N1012+K1012*R1012+L1012*V1012</f>
        <v>84.798852352046481</v>
      </c>
      <c r="AA1012" s="54">
        <f ca="1">H1012*MCDA_Prioritisation!$D$4+I1012*MCDA_Prioritisation!$E$4+J1012*O1012+K1012*S1012+L1012*W1012</f>
        <v>73.39317311184071</v>
      </c>
      <c r="AB1012" s="54">
        <f ca="1">H1012*MCDA_Prioritisation!$D$5+I1012*MCDA_Prioritisation!$E$5+J1012*P1012+K1012*T1012+L1012*X1012</f>
        <v>73.03406558141576</v>
      </c>
      <c r="AC1012" s="54">
        <f t="shared" ca="1" si="216"/>
        <v>1</v>
      </c>
      <c r="AD1012" s="54">
        <f t="shared" ca="1" si="217"/>
        <v>2</v>
      </c>
      <c r="AE1012" s="54">
        <f t="shared" ca="1" si="218"/>
        <v>3</v>
      </c>
      <c r="AF1012" s="54">
        <f t="shared" ca="1" si="219"/>
        <v>4</v>
      </c>
      <c r="AG1012" s="54">
        <f t="shared" ca="1" si="220"/>
        <v>1</v>
      </c>
      <c r="AH1012" s="54">
        <f t="shared" ca="1" si="221"/>
        <v>1</v>
      </c>
      <c r="AI1012" s="54">
        <f t="shared" ca="1" si="222"/>
        <v>1</v>
      </c>
      <c r="AJ1012" s="54">
        <f t="shared" ca="1" si="223"/>
        <v>1</v>
      </c>
    </row>
    <row r="1013" spans="1:36" x14ac:dyDescent="0.2">
      <c r="A1013" s="54">
        <v>990</v>
      </c>
      <c r="B1013" s="54">
        <f ca="1">MAX(0.02,MCDA_Prioritisation!$B$9+(RAND()-0.5)*2*$B$6)</f>
        <v>0.12385752016717101</v>
      </c>
      <c r="C1013" s="54">
        <f ca="1">MAX(0.02,MCDA_Prioritisation!$B$10+(RAND()-0.5)*2*$B$6)</f>
        <v>0.20816015806480925</v>
      </c>
      <c r="D1013" s="54">
        <f ca="1">MAX(0.02,MCDA_Prioritisation!$B$11+(RAND()-0.5)*2*$B$6)</f>
        <v>0.26667056952463736</v>
      </c>
      <c r="E1013" s="54">
        <f ca="1">MAX(0.02,MCDA_Prioritisation!$B$12+(RAND()-0.5)*2*$B$6)</f>
        <v>0.13404483079656629</v>
      </c>
      <c r="F1013" s="54">
        <f ca="1">MAX(0.02,MCDA_Prioritisation!$B$13+(RAND()-0.5)*2*$B$6)</f>
        <v>0.2040226818599086</v>
      </c>
      <c r="G1013" s="54">
        <f t="shared" ca="1" si="210"/>
        <v>0.93675576041309239</v>
      </c>
      <c r="H1013" s="54">
        <f t="shared" ca="1" si="211"/>
        <v>0.13221965148370379</v>
      </c>
      <c r="I1013" s="54">
        <f t="shared" ca="1" si="212"/>
        <v>0.22221390768177862</v>
      </c>
      <c r="J1013" s="54">
        <f t="shared" ca="1" si="213"/>
        <v>0.2846745980051838</v>
      </c>
      <c r="K1013" s="54">
        <f t="shared" ca="1" si="214"/>
        <v>0.14309474941200781</v>
      </c>
      <c r="L1013" s="54">
        <f t="shared" ca="1" si="215"/>
        <v>0.21779709341732606</v>
      </c>
      <c r="M1013" s="54">
        <f ca="1">MIN(100,MAX(0,MCDA_Prioritisation!$F$2+(RAND()-0.5)*2*$B$7))</f>
        <v>79.86546000366117</v>
      </c>
      <c r="N1013" s="54">
        <f ca="1">MIN(100,MAX(0,MCDA_Prioritisation!$F$3+(RAND()-0.5)*2*$B$7))</f>
        <v>100</v>
      </c>
      <c r="O1013" s="54">
        <f ca="1">MIN(100,MAX(0,MCDA_Prioritisation!$F$4+(RAND()-0.5)*2*$B$7))</f>
        <v>91.581818605090064</v>
      </c>
      <c r="P1013" s="54">
        <f ca="1">MIN(100,MAX(0,MCDA_Prioritisation!$F$5+(RAND()-0.5)*2*$B$7))</f>
        <v>79.979002925765769</v>
      </c>
      <c r="Q1013" s="54">
        <f ca="1">MIN(100,MAX(0,MCDA_Prioritisation!$G$2+(RAND()-0.5)*2*$B$7))</f>
        <v>89.065938861196898</v>
      </c>
      <c r="R1013" s="54">
        <f ca="1">MIN(100,MAX(0,MCDA_Prioritisation!$G$3+(RAND()-0.5)*2*$B$7))</f>
        <v>97.669861647255573</v>
      </c>
      <c r="S1013" s="54">
        <f ca="1">MIN(100,MAX(0,MCDA_Prioritisation!$G$4+(RAND()-0.5)*2*$B$7))</f>
        <v>75.753047285651832</v>
      </c>
      <c r="T1013" s="54">
        <f ca="1">MIN(100,MAX(0,MCDA_Prioritisation!$G$5+(RAND()-0.5)*2*$B$7))</f>
        <v>74.083739735664977</v>
      </c>
      <c r="U1013" s="54">
        <f ca="1">MIN(100,MAX(0,MCDA_Prioritisation!$H$2+(RAND()-0.5)*2*$B$7))</f>
        <v>62.418656056603844</v>
      </c>
      <c r="V1013" s="54">
        <f ca="1">MIN(100,MAX(0,MCDA_Prioritisation!$H$3+(RAND()-0.5)*2*$B$7))</f>
        <v>59.705290939233926</v>
      </c>
      <c r="W1013" s="54">
        <f ca="1">MIN(100,MAX(0,MCDA_Prioritisation!$H$4+(RAND()-0.5)*2*$B$7))</f>
        <v>86.526660113715195</v>
      </c>
      <c r="X1013" s="54">
        <f ca="1">MIN(100,MAX(0,MCDA_Prioritisation!$H$5+(RAND()-0.5)*2*$B$7))</f>
        <v>70.358120406012389</v>
      </c>
      <c r="Y1013" s="54">
        <f ca="1">H1013*MCDA_Prioritisation!$D$2+I1013*MCDA_Prioritisation!$E$2+J1013*M1013+K1013*Q1013+L1013*U1013</f>
        <v>84.518493704221839</v>
      </c>
      <c r="Z1013" s="54">
        <f ca="1">H1013*MCDA_Prioritisation!$D$3+I1013*MCDA_Prioritisation!$E$3+J1013*N1013+K1013*R1013+L1013*V1013</f>
        <v>83.163734101732601</v>
      </c>
      <c r="AA1013" s="54">
        <f ca="1">H1013*MCDA_Prioritisation!$D$4+I1013*MCDA_Prioritisation!$E$4+J1013*O1013+K1013*S1013+L1013*W1013</f>
        <v>77.083893654026014</v>
      </c>
      <c r="AB1013" s="54">
        <f ca="1">H1013*MCDA_Prioritisation!$D$5+I1013*MCDA_Prioritisation!$E$5+J1013*P1013+K1013*T1013+L1013*X1013</f>
        <v>74.396623966498481</v>
      </c>
      <c r="AC1013" s="54">
        <f t="shared" ca="1" si="216"/>
        <v>1</v>
      </c>
      <c r="AD1013" s="54">
        <f t="shared" ca="1" si="217"/>
        <v>2</v>
      </c>
      <c r="AE1013" s="54">
        <f t="shared" ca="1" si="218"/>
        <v>3</v>
      </c>
      <c r="AF1013" s="54">
        <f t="shared" ca="1" si="219"/>
        <v>4</v>
      </c>
      <c r="AG1013" s="54">
        <f t="shared" ca="1" si="220"/>
        <v>1</v>
      </c>
      <c r="AH1013" s="54">
        <f t="shared" ca="1" si="221"/>
        <v>1</v>
      </c>
      <c r="AI1013" s="54">
        <f t="shared" ca="1" si="222"/>
        <v>1</v>
      </c>
      <c r="AJ1013" s="54">
        <f t="shared" ca="1" si="223"/>
        <v>1</v>
      </c>
    </row>
    <row r="1014" spans="1:36" x14ac:dyDescent="0.2">
      <c r="A1014" s="54">
        <v>991</v>
      </c>
      <c r="B1014" s="54">
        <f ca="1">MAX(0.02,MCDA_Prioritisation!$B$9+(RAND()-0.5)*2*$B$6)</f>
        <v>0.12575198148983241</v>
      </c>
      <c r="C1014" s="54">
        <f ca="1">MAX(0.02,MCDA_Prioritisation!$B$10+(RAND()-0.5)*2*$B$6)</f>
        <v>0.17249279739175882</v>
      </c>
      <c r="D1014" s="54">
        <f ca="1">MAX(0.02,MCDA_Prioritisation!$B$11+(RAND()-0.5)*2*$B$6)</f>
        <v>0.31218395434171625</v>
      </c>
      <c r="E1014" s="54">
        <f ca="1">MAX(0.02,MCDA_Prioritisation!$B$12+(RAND()-0.5)*2*$B$6)</f>
        <v>0.16254142394107438</v>
      </c>
      <c r="F1014" s="54">
        <f ca="1">MAX(0.02,MCDA_Prioritisation!$B$13+(RAND()-0.5)*2*$B$6)</f>
        <v>9.4173544697126549E-2</v>
      </c>
      <c r="G1014" s="54">
        <f t="shared" ca="1" si="210"/>
        <v>0.86714370186150846</v>
      </c>
      <c r="H1014" s="54">
        <f t="shared" ca="1" si="211"/>
        <v>0.14501861827500911</v>
      </c>
      <c r="I1014" s="54">
        <f t="shared" ca="1" si="212"/>
        <v>0.19892065988770527</v>
      </c>
      <c r="J1014" s="54">
        <f t="shared" ca="1" si="213"/>
        <v>0.36001409417095109</v>
      </c>
      <c r="K1014" s="54">
        <f t="shared" ca="1" si="214"/>
        <v>0.18744462260654679</v>
      </c>
      <c r="L1014" s="54">
        <f t="shared" ca="1" si="215"/>
        <v>0.10860200505978766</v>
      </c>
      <c r="M1014" s="54">
        <f ca="1">MIN(100,MAX(0,MCDA_Prioritisation!$F$2+(RAND()-0.5)*2*$B$7))</f>
        <v>75.63010487998055</v>
      </c>
      <c r="N1014" s="54">
        <f ca="1">MIN(100,MAX(0,MCDA_Prioritisation!$F$3+(RAND()-0.5)*2*$B$7))</f>
        <v>97.576157111152412</v>
      </c>
      <c r="O1014" s="54">
        <f ca="1">MIN(100,MAX(0,MCDA_Prioritisation!$F$4+(RAND()-0.5)*2*$B$7))</f>
        <v>97.061236957863429</v>
      </c>
      <c r="P1014" s="54">
        <f ca="1">MIN(100,MAX(0,MCDA_Prioritisation!$F$5+(RAND()-0.5)*2*$B$7))</f>
        <v>80.015777007823246</v>
      </c>
      <c r="Q1014" s="54">
        <f ca="1">MIN(100,MAX(0,MCDA_Prioritisation!$G$2+(RAND()-0.5)*2*$B$7))</f>
        <v>87.997277880669046</v>
      </c>
      <c r="R1014" s="54">
        <f ca="1">MIN(100,MAX(0,MCDA_Prioritisation!$G$3+(RAND()-0.5)*2*$B$7))</f>
        <v>97.459501832415711</v>
      </c>
      <c r="S1014" s="54">
        <f ca="1">MIN(100,MAX(0,MCDA_Prioritisation!$G$4+(RAND()-0.5)*2*$B$7))</f>
        <v>93.028418625652847</v>
      </c>
      <c r="T1014" s="54">
        <f ca="1">MIN(100,MAX(0,MCDA_Prioritisation!$G$5+(RAND()-0.5)*2*$B$7))</f>
        <v>79.187999878509984</v>
      </c>
      <c r="U1014" s="54">
        <f ca="1">MIN(100,MAX(0,MCDA_Prioritisation!$H$2+(RAND()-0.5)*2*$B$7))</f>
        <v>72.427396703767542</v>
      </c>
      <c r="V1014" s="54">
        <f ca="1">MIN(100,MAX(0,MCDA_Prioritisation!$H$3+(RAND()-0.5)*2*$B$7))</f>
        <v>62.521608106821702</v>
      </c>
      <c r="W1014" s="54">
        <f ca="1">MIN(100,MAX(0,MCDA_Prioritisation!$H$4+(RAND()-0.5)*2*$B$7))</f>
        <v>89.405420104812308</v>
      </c>
      <c r="X1014" s="54">
        <f ca="1">MIN(100,MAX(0,MCDA_Prioritisation!$H$5+(RAND()-0.5)*2*$B$7))</f>
        <v>81.57278581184417</v>
      </c>
      <c r="Y1014" s="54">
        <f ca="1">H1014*MCDA_Prioritisation!$D$2+I1014*MCDA_Prioritisation!$E$2+J1014*M1014+K1014*Q1014+L1014*U1014</f>
        <v>85.982208562726896</v>
      </c>
      <c r="Z1014" s="54">
        <f ca="1">H1014*MCDA_Prioritisation!$D$3+I1014*MCDA_Prioritisation!$E$3+J1014*N1014+K1014*R1014+L1014*V1014</f>
        <v>87.328149309239677</v>
      </c>
      <c r="AA1014" s="54">
        <f ca="1">H1014*MCDA_Prioritisation!$D$4+I1014*MCDA_Prioritisation!$E$4+J1014*O1014+K1014*S1014+L1014*W1014</f>
        <v>83.039159892252727</v>
      </c>
      <c r="AB1014" s="54">
        <f ca="1">H1014*MCDA_Prioritisation!$D$5+I1014*MCDA_Prioritisation!$E$5+J1014*P1014+K1014*T1014+L1014*X1014</f>
        <v>76.933551661130593</v>
      </c>
      <c r="AC1014" s="54">
        <f t="shared" ca="1" si="216"/>
        <v>2</v>
      </c>
      <c r="AD1014" s="54">
        <f t="shared" ca="1" si="217"/>
        <v>1</v>
      </c>
      <c r="AE1014" s="54">
        <f t="shared" ca="1" si="218"/>
        <v>3</v>
      </c>
      <c r="AF1014" s="54">
        <f t="shared" ca="1" si="219"/>
        <v>4</v>
      </c>
      <c r="AG1014" s="54">
        <f t="shared" ca="1" si="220"/>
        <v>0</v>
      </c>
      <c r="AH1014" s="54">
        <f t="shared" ca="1" si="221"/>
        <v>0</v>
      </c>
      <c r="AI1014" s="54">
        <f t="shared" ca="1" si="222"/>
        <v>0</v>
      </c>
      <c r="AJ1014" s="54">
        <f t="shared" ca="1" si="223"/>
        <v>1</v>
      </c>
    </row>
    <row r="1015" spans="1:36" x14ac:dyDescent="0.2">
      <c r="A1015" s="54">
        <v>992</v>
      </c>
      <c r="B1015" s="54">
        <f ca="1">MAX(0.02,MCDA_Prioritisation!$B$9+(RAND()-0.5)*2*$B$6)</f>
        <v>0.14095814548475358</v>
      </c>
      <c r="C1015" s="54">
        <f ca="1">MAX(0.02,MCDA_Prioritisation!$B$10+(RAND()-0.5)*2*$B$6)</f>
        <v>0.32037859348761627</v>
      </c>
      <c r="D1015" s="54">
        <f ca="1">MAX(0.02,MCDA_Prioritisation!$B$11+(RAND()-0.5)*2*$B$6)</f>
        <v>0.29379952292563116</v>
      </c>
      <c r="E1015" s="54">
        <f ca="1">MAX(0.02,MCDA_Prioritisation!$B$12+(RAND()-0.5)*2*$B$6)</f>
        <v>0.21316973301244346</v>
      </c>
      <c r="F1015" s="54">
        <f ca="1">MAX(0.02,MCDA_Prioritisation!$B$13+(RAND()-0.5)*2*$B$6)</f>
        <v>0.16396293572372372</v>
      </c>
      <c r="G1015" s="54">
        <f t="shared" ca="1" si="210"/>
        <v>1.1322689306341682</v>
      </c>
      <c r="H1015" s="54">
        <f t="shared" ca="1" si="211"/>
        <v>0.12449175427414128</v>
      </c>
      <c r="I1015" s="54">
        <f t="shared" ca="1" si="212"/>
        <v>0.28295273748099459</v>
      </c>
      <c r="J1015" s="54">
        <f t="shared" ca="1" si="213"/>
        <v>0.25947856995517671</v>
      </c>
      <c r="K1015" s="54">
        <f t="shared" ca="1" si="214"/>
        <v>0.1882677579901888</v>
      </c>
      <c r="L1015" s="54">
        <f t="shared" ca="1" si="215"/>
        <v>0.14480918029949857</v>
      </c>
      <c r="M1015" s="54">
        <f ca="1">MIN(100,MAX(0,MCDA_Prioritisation!$F$2+(RAND()-0.5)*2*$B$7))</f>
        <v>88.377377381595167</v>
      </c>
      <c r="N1015" s="54">
        <f ca="1">MIN(100,MAX(0,MCDA_Prioritisation!$F$3+(RAND()-0.5)*2*$B$7))</f>
        <v>89.041124026411055</v>
      </c>
      <c r="O1015" s="54">
        <f ca="1">MIN(100,MAX(0,MCDA_Prioritisation!$F$4+(RAND()-0.5)*2*$B$7))</f>
        <v>88.169754286286803</v>
      </c>
      <c r="P1015" s="54">
        <f ca="1">MIN(100,MAX(0,MCDA_Prioritisation!$F$5+(RAND()-0.5)*2*$B$7))</f>
        <v>70.040736803131239</v>
      </c>
      <c r="Q1015" s="54">
        <f ca="1">MIN(100,MAX(0,MCDA_Prioritisation!$G$2+(RAND()-0.5)*2*$B$7))</f>
        <v>73.582241278777047</v>
      </c>
      <c r="R1015" s="54">
        <f ca="1">MIN(100,MAX(0,MCDA_Prioritisation!$G$3+(RAND()-0.5)*2*$B$7))</f>
        <v>93.328809684976335</v>
      </c>
      <c r="S1015" s="54">
        <f ca="1">MIN(100,MAX(0,MCDA_Prioritisation!$G$4+(RAND()-0.5)*2*$B$7))</f>
        <v>91.268910038707119</v>
      </c>
      <c r="T1015" s="54">
        <f ca="1">MIN(100,MAX(0,MCDA_Prioritisation!$G$5+(RAND()-0.5)*2*$B$7))</f>
        <v>75.259666513704801</v>
      </c>
      <c r="U1015" s="54">
        <f ca="1">MIN(100,MAX(0,MCDA_Prioritisation!$H$2+(RAND()-0.5)*2*$B$7))</f>
        <v>73.51612170013216</v>
      </c>
      <c r="V1015" s="54">
        <f ca="1">MIN(100,MAX(0,MCDA_Prioritisation!$H$3+(RAND()-0.5)*2*$B$7))</f>
        <v>54.180283099495071</v>
      </c>
      <c r="W1015" s="54">
        <f ca="1">MIN(100,MAX(0,MCDA_Prioritisation!$H$4+(RAND()-0.5)*2*$B$7))</f>
        <v>81.168372731228047</v>
      </c>
      <c r="X1015" s="54">
        <f ca="1">MIN(100,MAX(0,MCDA_Prioritisation!$H$5+(RAND()-0.5)*2*$B$7))</f>
        <v>74.138326959462105</v>
      </c>
      <c r="Y1015" s="54">
        <f ca="1">H1015*MCDA_Prioritisation!$D$2+I1015*MCDA_Prioritisation!$E$2+J1015*M1015+K1015*Q1015+L1015*U1015</f>
        <v>88.17545759052166</v>
      </c>
      <c r="Z1015" s="54">
        <f ca="1">H1015*MCDA_Prioritisation!$D$3+I1015*MCDA_Prioritisation!$E$3+J1015*N1015+K1015*R1015+L1015*V1015</f>
        <v>79.979438414086005</v>
      </c>
      <c r="AA1015" s="54">
        <f ca="1">H1015*MCDA_Prioritisation!$D$4+I1015*MCDA_Prioritisation!$E$4+J1015*O1015+K1015*S1015+L1015*W1015</f>
        <v>75.917739955284432</v>
      </c>
      <c r="AB1015" s="54">
        <f ca="1">H1015*MCDA_Prioritisation!$D$5+I1015*MCDA_Prioritisation!$E$5+J1015*P1015+K1015*T1015+L1015*X1015</f>
        <v>73.48021281980418</v>
      </c>
      <c r="AC1015" s="54">
        <f t="shared" ca="1" si="216"/>
        <v>1</v>
      </c>
      <c r="AD1015" s="54">
        <f t="shared" ca="1" si="217"/>
        <v>2</v>
      </c>
      <c r="AE1015" s="54">
        <f t="shared" ca="1" si="218"/>
        <v>3</v>
      </c>
      <c r="AF1015" s="54">
        <f t="shared" ca="1" si="219"/>
        <v>4</v>
      </c>
      <c r="AG1015" s="54">
        <f t="shared" ca="1" si="220"/>
        <v>1</v>
      </c>
      <c r="AH1015" s="54">
        <f t="shared" ca="1" si="221"/>
        <v>1</v>
      </c>
      <c r="AI1015" s="54">
        <f t="shared" ca="1" si="222"/>
        <v>1</v>
      </c>
      <c r="AJ1015" s="54">
        <f t="shared" ca="1" si="223"/>
        <v>1</v>
      </c>
    </row>
    <row r="1016" spans="1:36" x14ac:dyDescent="0.2">
      <c r="A1016" s="54">
        <v>993</v>
      </c>
      <c r="B1016" s="54">
        <f ca="1">MAX(0.02,MCDA_Prioritisation!$B$9+(RAND()-0.5)*2*$B$6)</f>
        <v>0.24595148811598677</v>
      </c>
      <c r="C1016" s="54">
        <f ca="1">MAX(0.02,MCDA_Prioritisation!$B$10+(RAND()-0.5)*2*$B$6)</f>
        <v>0.29005262907117541</v>
      </c>
      <c r="D1016" s="54">
        <f ca="1">MAX(0.02,MCDA_Prioritisation!$B$11+(RAND()-0.5)*2*$B$6)</f>
        <v>0.23146716154699554</v>
      </c>
      <c r="E1016" s="54">
        <f ca="1">MAX(0.02,MCDA_Prioritisation!$B$12+(RAND()-0.5)*2*$B$6)</f>
        <v>0.18459359033746328</v>
      </c>
      <c r="F1016" s="54">
        <f ca="1">MAX(0.02,MCDA_Prioritisation!$B$13+(RAND()-0.5)*2*$B$6)</f>
        <v>0.21591646662713571</v>
      </c>
      <c r="G1016" s="54">
        <f t="shared" ca="1" si="210"/>
        <v>1.1679813356987565</v>
      </c>
      <c r="H1016" s="54">
        <f t="shared" ca="1" si="211"/>
        <v>0.21057826918856012</v>
      </c>
      <c r="I1016" s="54">
        <f t="shared" ca="1" si="212"/>
        <v>0.24833669871757713</v>
      </c>
      <c r="J1016" s="54">
        <f t="shared" ca="1" si="213"/>
        <v>0.19817710649333106</v>
      </c>
      <c r="K1016" s="54">
        <f t="shared" ca="1" si="214"/>
        <v>0.15804498299369513</v>
      </c>
      <c r="L1016" s="54">
        <f t="shared" ca="1" si="215"/>
        <v>0.18486294260683672</v>
      </c>
      <c r="M1016" s="54">
        <f ca="1">MIN(100,MAX(0,MCDA_Prioritisation!$F$2+(RAND()-0.5)*2*$B$7))</f>
        <v>86.070427616185199</v>
      </c>
      <c r="N1016" s="54">
        <f ca="1">MIN(100,MAX(0,MCDA_Prioritisation!$F$3+(RAND()-0.5)*2*$B$7))</f>
        <v>89.174880023550116</v>
      </c>
      <c r="O1016" s="54">
        <f ca="1">MIN(100,MAX(0,MCDA_Prioritisation!$F$4+(RAND()-0.5)*2*$B$7))</f>
        <v>89.902615467612961</v>
      </c>
      <c r="P1016" s="54">
        <f ca="1">MIN(100,MAX(0,MCDA_Prioritisation!$F$5+(RAND()-0.5)*2*$B$7))</f>
        <v>65.337905458137911</v>
      </c>
      <c r="Q1016" s="54">
        <f ca="1">MIN(100,MAX(0,MCDA_Prioritisation!$G$2+(RAND()-0.5)*2*$B$7))</f>
        <v>76.242705327659664</v>
      </c>
      <c r="R1016" s="54">
        <f ca="1">MIN(100,MAX(0,MCDA_Prioritisation!$G$3+(RAND()-0.5)*2*$B$7))</f>
        <v>92.348491084630041</v>
      </c>
      <c r="S1016" s="54">
        <f ca="1">MIN(100,MAX(0,MCDA_Prioritisation!$G$4+(RAND()-0.5)*2*$B$7))</f>
        <v>90.475809722191201</v>
      </c>
      <c r="T1016" s="54">
        <f ca="1">MIN(100,MAX(0,MCDA_Prioritisation!$G$5+(RAND()-0.5)*2*$B$7))</f>
        <v>73.423100575184378</v>
      </c>
      <c r="U1016" s="54">
        <f ca="1">MIN(100,MAX(0,MCDA_Prioritisation!$H$2+(RAND()-0.5)*2*$B$7))</f>
        <v>73.782631082866416</v>
      </c>
      <c r="V1016" s="54">
        <f ca="1">MIN(100,MAX(0,MCDA_Prioritisation!$H$3+(RAND()-0.5)*2*$B$7))</f>
        <v>50.338660862724204</v>
      </c>
      <c r="W1016" s="54">
        <f ca="1">MIN(100,MAX(0,MCDA_Prioritisation!$H$4+(RAND()-0.5)*2*$B$7))</f>
        <v>85.122463532851711</v>
      </c>
      <c r="X1016" s="54">
        <f ca="1">MIN(100,MAX(0,MCDA_Prioritisation!$H$5+(RAND()-0.5)*2*$B$7))</f>
        <v>73.707685712410324</v>
      </c>
      <c r="Y1016" s="54">
        <f ca="1">H1016*MCDA_Prioritisation!$D$2+I1016*MCDA_Prioritisation!$E$2+J1016*M1016+K1016*Q1016+L1016*U1016</f>
        <v>88.638136452389631</v>
      </c>
      <c r="Z1016" s="54">
        <f ca="1">H1016*MCDA_Prioritisation!$D$3+I1016*MCDA_Prioritisation!$E$3+J1016*N1016+K1016*R1016+L1016*V1016</f>
        <v>78.038114331626801</v>
      </c>
      <c r="AA1016" s="54">
        <f ca="1">H1016*MCDA_Prioritisation!$D$4+I1016*MCDA_Prioritisation!$E$4+J1016*O1016+K1016*S1016+L1016*W1016</f>
        <v>76.06094797168285</v>
      </c>
      <c r="AB1016" s="54">
        <f ca="1">H1016*MCDA_Prioritisation!$D$5+I1016*MCDA_Prioritisation!$E$5+J1016*P1016+K1016*T1016+L1016*X1016</f>
        <v>70.237937173436535</v>
      </c>
      <c r="AC1016" s="54">
        <f t="shared" ca="1" si="216"/>
        <v>1</v>
      </c>
      <c r="AD1016" s="54">
        <f t="shared" ca="1" si="217"/>
        <v>2</v>
      </c>
      <c r="AE1016" s="54">
        <f t="shared" ca="1" si="218"/>
        <v>3</v>
      </c>
      <c r="AF1016" s="54">
        <f t="shared" ca="1" si="219"/>
        <v>4</v>
      </c>
      <c r="AG1016" s="54">
        <f t="shared" ca="1" si="220"/>
        <v>1</v>
      </c>
      <c r="AH1016" s="54">
        <f t="shared" ca="1" si="221"/>
        <v>1</v>
      </c>
      <c r="AI1016" s="54">
        <f t="shared" ca="1" si="222"/>
        <v>1</v>
      </c>
      <c r="AJ1016" s="54">
        <f t="shared" ca="1" si="223"/>
        <v>1</v>
      </c>
    </row>
    <row r="1017" spans="1:36" x14ac:dyDescent="0.2">
      <c r="A1017" s="54">
        <v>994</v>
      </c>
      <c r="B1017" s="54">
        <f ca="1">MAX(0.02,MCDA_Prioritisation!$B$9+(RAND()-0.5)*2*$B$6)</f>
        <v>0.18577108997136682</v>
      </c>
      <c r="C1017" s="54">
        <f ca="1">MAX(0.02,MCDA_Prioritisation!$B$10+(RAND()-0.5)*2*$B$6)</f>
        <v>0.25855266964847995</v>
      </c>
      <c r="D1017" s="54">
        <f ca="1">MAX(0.02,MCDA_Prioritisation!$B$11+(RAND()-0.5)*2*$B$6)</f>
        <v>0.22923080746565908</v>
      </c>
      <c r="E1017" s="54">
        <f ca="1">MAX(0.02,MCDA_Prioritisation!$B$12+(RAND()-0.5)*2*$B$6)</f>
        <v>8.5647983568543071E-2</v>
      </c>
      <c r="F1017" s="54">
        <f ca="1">MAX(0.02,MCDA_Prioritisation!$B$13+(RAND()-0.5)*2*$B$6)</f>
        <v>0.20329163351428173</v>
      </c>
      <c r="G1017" s="54">
        <f t="shared" ca="1" si="210"/>
        <v>0.96249418416833066</v>
      </c>
      <c r="H1017" s="54">
        <f t="shared" ca="1" si="211"/>
        <v>0.19301009089409449</v>
      </c>
      <c r="I1017" s="54">
        <f t="shared" ca="1" si="212"/>
        <v>0.26862777344664107</v>
      </c>
      <c r="J1017" s="54">
        <f t="shared" ca="1" si="213"/>
        <v>0.2381633169697874</v>
      </c>
      <c r="K1017" s="54">
        <f t="shared" ca="1" si="214"/>
        <v>8.8985455681012293E-2</v>
      </c>
      <c r="L1017" s="54">
        <f t="shared" ca="1" si="215"/>
        <v>0.21121336300846472</v>
      </c>
      <c r="M1017" s="54">
        <f ca="1">MIN(100,MAX(0,MCDA_Prioritisation!$F$2+(RAND()-0.5)*2*$B$7))</f>
        <v>78.826713407947224</v>
      </c>
      <c r="N1017" s="54">
        <f ca="1">MIN(100,MAX(0,MCDA_Prioritisation!$F$3+(RAND()-0.5)*2*$B$7))</f>
        <v>87.949599189249369</v>
      </c>
      <c r="O1017" s="54">
        <f ca="1">MIN(100,MAX(0,MCDA_Prioritisation!$F$4+(RAND()-0.5)*2*$B$7))</f>
        <v>99.550532560780979</v>
      </c>
      <c r="P1017" s="54">
        <f ca="1">MIN(100,MAX(0,MCDA_Prioritisation!$F$5+(RAND()-0.5)*2*$B$7))</f>
        <v>79.251337187601791</v>
      </c>
      <c r="Q1017" s="54">
        <f ca="1">MIN(100,MAX(0,MCDA_Prioritisation!$G$2+(RAND()-0.5)*2*$B$7))</f>
        <v>85.198516055064303</v>
      </c>
      <c r="R1017" s="54">
        <f ca="1">MIN(100,MAX(0,MCDA_Prioritisation!$G$3+(RAND()-0.5)*2*$B$7))</f>
        <v>99.02949046428445</v>
      </c>
      <c r="S1017" s="54">
        <f ca="1">MIN(100,MAX(0,MCDA_Prioritisation!$G$4+(RAND()-0.5)*2*$B$7))</f>
        <v>90.475042532184403</v>
      </c>
      <c r="T1017" s="54">
        <f ca="1">MIN(100,MAX(0,MCDA_Prioritisation!$G$5+(RAND()-0.5)*2*$B$7))</f>
        <v>79.449192400540497</v>
      </c>
      <c r="U1017" s="54">
        <f ca="1">MIN(100,MAX(0,MCDA_Prioritisation!$H$2+(RAND()-0.5)*2*$B$7))</f>
        <v>60.801855035922927</v>
      </c>
      <c r="V1017" s="54">
        <f ca="1">MIN(100,MAX(0,MCDA_Prioritisation!$H$3+(RAND()-0.5)*2*$B$7))</f>
        <v>68.133637380188745</v>
      </c>
      <c r="W1017" s="54">
        <f ca="1">MIN(100,MAX(0,MCDA_Prioritisation!$H$4+(RAND()-0.5)*2*$B$7))</f>
        <v>82.506797108659455</v>
      </c>
      <c r="X1017" s="54">
        <f ca="1">MIN(100,MAX(0,MCDA_Prioritisation!$H$5+(RAND()-0.5)*2*$B$7))</f>
        <v>74.696699826538321</v>
      </c>
      <c r="Y1017" s="54">
        <f ca="1">H1017*MCDA_Prioritisation!$D$2+I1017*MCDA_Prioritisation!$E$2+J1017*M1017+K1017*Q1017+L1017*U1017</f>
        <v>85.361011018933468</v>
      </c>
      <c r="Z1017" s="54">
        <f ca="1">H1017*MCDA_Prioritisation!$D$3+I1017*MCDA_Prioritisation!$E$3+J1017*N1017+K1017*R1017+L1017*V1017</f>
        <v>80.554324519960332</v>
      </c>
      <c r="AA1017" s="54">
        <f ca="1">H1017*MCDA_Prioritisation!$D$4+I1017*MCDA_Prioritisation!$E$4+J1017*O1017+K1017*S1017+L1017*W1017</f>
        <v>77.279298123454538</v>
      </c>
      <c r="AB1017" s="54">
        <f ca="1">H1017*MCDA_Prioritisation!$D$5+I1017*MCDA_Prioritisation!$E$5+J1017*P1017+K1017*T1017+L1017*X1017</f>
        <v>74.554861099131301</v>
      </c>
      <c r="AC1017" s="54">
        <f t="shared" ca="1" si="216"/>
        <v>1</v>
      </c>
      <c r="AD1017" s="54">
        <f t="shared" ca="1" si="217"/>
        <v>2</v>
      </c>
      <c r="AE1017" s="54">
        <f t="shared" ca="1" si="218"/>
        <v>3</v>
      </c>
      <c r="AF1017" s="54">
        <f t="shared" ca="1" si="219"/>
        <v>4</v>
      </c>
      <c r="AG1017" s="54">
        <f t="shared" ca="1" si="220"/>
        <v>1</v>
      </c>
      <c r="AH1017" s="54">
        <f t="shared" ca="1" si="221"/>
        <v>1</v>
      </c>
      <c r="AI1017" s="54">
        <f t="shared" ca="1" si="222"/>
        <v>1</v>
      </c>
      <c r="AJ1017" s="54">
        <f t="shared" ca="1" si="223"/>
        <v>1</v>
      </c>
    </row>
    <row r="1018" spans="1:36" x14ac:dyDescent="0.2">
      <c r="A1018" s="54">
        <v>995</v>
      </c>
      <c r="B1018" s="54">
        <f ca="1">MAX(0.02,MCDA_Prioritisation!$B$9+(RAND()-0.5)*2*$B$6)</f>
        <v>0.22605439329862689</v>
      </c>
      <c r="C1018" s="54">
        <f ca="1">MAX(0.02,MCDA_Prioritisation!$B$10+(RAND()-0.5)*2*$B$6)</f>
        <v>0.2449868444750033</v>
      </c>
      <c r="D1018" s="54">
        <f ca="1">MAX(0.02,MCDA_Prioritisation!$B$11+(RAND()-0.5)*2*$B$6)</f>
        <v>0.31326379669852777</v>
      </c>
      <c r="E1018" s="54">
        <f ca="1">MAX(0.02,MCDA_Prioritisation!$B$12+(RAND()-0.5)*2*$B$6)</f>
        <v>0.14452454876811172</v>
      </c>
      <c r="F1018" s="54">
        <f ca="1">MAX(0.02,MCDA_Prioritisation!$B$13+(RAND()-0.5)*2*$B$6)</f>
        <v>0.18018114266426019</v>
      </c>
      <c r="G1018" s="54">
        <f t="shared" ca="1" si="210"/>
        <v>1.1090107259045299</v>
      </c>
      <c r="H1018" s="54">
        <f t="shared" ca="1" si="211"/>
        <v>0.20383427140819824</v>
      </c>
      <c r="I1018" s="54">
        <f t="shared" ca="1" si="212"/>
        <v>0.22090574847703789</v>
      </c>
      <c r="J1018" s="54">
        <f t="shared" ca="1" si="213"/>
        <v>0.2824713858768354</v>
      </c>
      <c r="K1018" s="54">
        <f t="shared" ca="1" si="214"/>
        <v>0.13031844092421629</v>
      </c>
      <c r="L1018" s="54">
        <f t="shared" ca="1" si="215"/>
        <v>0.16247015331371217</v>
      </c>
      <c r="M1018" s="54">
        <f ca="1">MIN(100,MAX(0,MCDA_Prioritisation!$F$2+(RAND()-0.5)*2*$B$7))</f>
        <v>77.172044039214086</v>
      </c>
      <c r="N1018" s="54">
        <f ca="1">MIN(100,MAX(0,MCDA_Prioritisation!$F$3+(RAND()-0.5)*2*$B$7))</f>
        <v>90.492275419803619</v>
      </c>
      <c r="O1018" s="54">
        <f ca="1">MIN(100,MAX(0,MCDA_Prioritisation!$F$4+(RAND()-0.5)*2*$B$7))</f>
        <v>89.334219927834084</v>
      </c>
      <c r="P1018" s="54">
        <f ca="1">MIN(100,MAX(0,MCDA_Prioritisation!$F$5+(RAND()-0.5)*2*$B$7))</f>
        <v>78.8052544900481</v>
      </c>
      <c r="Q1018" s="54">
        <f ca="1">MIN(100,MAX(0,MCDA_Prioritisation!$G$2+(RAND()-0.5)*2*$B$7))</f>
        <v>71.26838184014332</v>
      </c>
      <c r="R1018" s="54">
        <f ca="1">MIN(100,MAX(0,MCDA_Prioritisation!$G$3+(RAND()-0.5)*2*$B$7))</f>
        <v>100</v>
      </c>
      <c r="S1018" s="54">
        <f ca="1">MIN(100,MAX(0,MCDA_Prioritisation!$G$4+(RAND()-0.5)*2*$B$7))</f>
        <v>85.827763484664501</v>
      </c>
      <c r="T1018" s="54">
        <f ca="1">MIN(100,MAX(0,MCDA_Prioritisation!$G$5+(RAND()-0.5)*2*$B$7))</f>
        <v>64.303190046056073</v>
      </c>
      <c r="U1018" s="54">
        <f ca="1">MIN(100,MAX(0,MCDA_Prioritisation!$H$2+(RAND()-0.5)*2*$B$7))</f>
        <v>72.222905421500556</v>
      </c>
      <c r="V1018" s="54">
        <f ca="1">MIN(100,MAX(0,MCDA_Prioritisation!$H$3+(RAND()-0.5)*2*$B$7))</f>
        <v>55.37041593309808</v>
      </c>
      <c r="W1018" s="54">
        <f ca="1">MIN(100,MAX(0,MCDA_Prioritisation!$H$4+(RAND()-0.5)*2*$B$7))</f>
        <v>76.569649645823617</v>
      </c>
      <c r="X1018" s="54">
        <f ca="1">MIN(100,MAX(0,MCDA_Prioritisation!$H$5+(RAND()-0.5)*2*$B$7))</f>
        <v>77.273453645586642</v>
      </c>
      <c r="Y1018" s="54">
        <f ca="1">H1018*MCDA_Prioritisation!$D$2+I1018*MCDA_Prioritisation!$E$2+J1018*M1018+K1018*Q1018+L1018*U1018</f>
        <v>85.294547144420719</v>
      </c>
      <c r="Z1018" s="54">
        <f ca="1">H1018*MCDA_Prioritisation!$D$3+I1018*MCDA_Prioritisation!$E$3+J1018*N1018+K1018*R1018+L1018*V1018</f>
        <v>81.469706177539706</v>
      </c>
      <c r="AA1018" s="54">
        <f ca="1">H1018*MCDA_Prioritisation!$D$4+I1018*MCDA_Prioritisation!$E$4+J1018*O1018+K1018*S1018+L1018*W1018</f>
        <v>75.102808814688544</v>
      </c>
      <c r="AB1018" s="54">
        <f ca="1">H1018*MCDA_Prioritisation!$D$5+I1018*MCDA_Prioritisation!$E$5+J1018*P1018+K1018*T1018+L1018*X1018</f>
        <v>72.589601328333515</v>
      </c>
      <c r="AC1018" s="54">
        <f t="shared" ca="1" si="216"/>
        <v>1</v>
      </c>
      <c r="AD1018" s="54">
        <f t="shared" ca="1" si="217"/>
        <v>2</v>
      </c>
      <c r="AE1018" s="54">
        <f t="shared" ca="1" si="218"/>
        <v>3</v>
      </c>
      <c r="AF1018" s="54">
        <f t="shared" ca="1" si="219"/>
        <v>4</v>
      </c>
      <c r="AG1018" s="54">
        <f t="shared" ca="1" si="220"/>
        <v>1</v>
      </c>
      <c r="AH1018" s="54">
        <f t="shared" ca="1" si="221"/>
        <v>1</v>
      </c>
      <c r="AI1018" s="54">
        <f t="shared" ca="1" si="222"/>
        <v>1</v>
      </c>
      <c r="AJ1018" s="54">
        <f t="shared" ca="1" si="223"/>
        <v>1</v>
      </c>
    </row>
    <row r="1019" spans="1:36" x14ac:dyDescent="0.2">
      <c r="A1019" s="54">
        <v>996</v>
      </c>
      <c r="B1019" s="54">
        <f ca="1">MAX(0.02,MCDA_Prioritisation!$B$9+(RAND()-0.5)*2*$B$6)</f>
        <v>0.27404193203090887</v>
      </c>
      <c r="C1019" s="54">
        <f ca="1">MAX(0.02,MCDA_Prioritisation!$B$10+(RAND()-0.5)*2*$B$6)</f>
        <v>0.18441134101374401</v>
      </c>
      <c r="D1019" s="54">
        <f ca="1">MAX(0.02,MCDA_Prioritisation!$B$11+(RAND()-0.5)*2*$B$6)</f>
        <v>0.24221893353905505</v>
      </c>
      <c r="E1019" s="54">
        <f ca="1">MAX(0.02,MCDA_Prioritisation!$B$12+(RAND()-0.5)*2*$B$6)</f>
        <v>0.1569976528520784</v>
      </c>
      <c r="F1019" s="54">
        <f ca="1">MAX(0.02,MCDA_Prioritisation!$B$13+(RAND()-0.5)*2*$B$6)</f>
        <v>0.10780172506728222</v>
      </c>
      <c r="G1019" s="54">
        <f t="shared" ca="1" si="210"/>
        <v>0.96547158450306858</v>
      </c>
      <c r="H1019" s="54">
        <f t="shared" ca="1" si="211"/>
        <v>0.28384256608852881</v>
      </c>
      <c r="I1019" s="54">
        <f t="shared" ca="1" si="212"/>
        <v>0.19100649255116206</v>
      </c>
      <c r="J1019" s="54">
        <f t="shared" ca="1" si="213"/>
        <v>0.25088147328926924</v>
      </c>
      <c r="K1019" s="54">
        <f t="shared" ca="1" si="214"/>
        <v>0.16261240141302097</v>
      </c>
      <c r="L1019" s="54">
        <f t="shared" ca="1" si="215"/>
        <v>0.11165706665801886</v>
      </c>
      <c r="M1019" s="54">
        <f ca="1">MIN(100,MAX(0,MCDA_Prioritisation!$F$2+(RAND()-0.5)*2*$B$7))</f>
        <v>88.053304311254337</v>
      </c>
      <c r="N1019" s="54">
        <f ca="1">MIN(100,MAX(0,MCDA_Prioritisation!$F$3+(RAND()-0.5)*2*$B$7))</f>
        <v>99.411141847712031</v>
      </c>
      <c r="O1019" s="54">
        <f ca="1">MIN(100,MAX(0,MCDA_Prioritisation!$F$4+(RAND()-0.5)*2*$B$7))</f>
        <v>98.220380560808977</v>
      </c>
      <c r="P1019" s="54">
        <f ca="1">MIN(100,MAX(0,MCDA_Prioritisation!$F$5+(RAND()-0.5)*2*$B$7))</f>
        <v>70.188272170113279</v>
      </c>
      <c r="Q1019" s="54">
        <f ca="1">MIN(100,MAX(0,MCDA_Prioritisation!$G$2+(RAND()-0.5)*2*$B$7))</f>
        <v>71.863992684044163</v>
      </c>
      <c r="R1019" s="54">
        <f ca="1">MIN(100,MAX(0,MCDA_Prioritisation!$G$3+(RAND()-0.5)*2*$B$7))</f>
        <v>89.648715569145395</v>
      </c>
      <c r="S1019" s="54">
        <f ca="1">MIN(100,MAX(0,MCDA_Prioritisation!$G$4+(RAND()-0.5)*2*$B$7))</f>
        <v>76.664179336021746</v>
      </c>
      <c r="T1019" s="54">
        <f ca="1">MIN(100,MAX(0,MCDA_Prioritisation!$G$5+(RAND()-0.5)*2*$B$7))</f>
        <v>72.680217832713524</v>
      </c>
      <c r="U1019" s="54">
        <f ca="1">MIN(100,MAX(0,MCDA_Prioritisation!$H$2+(RAND()-0.5)*2*$B$7))</f>
        <v>66.664393901204264</v>
      </c>
      <c r="V1019" s="54">
        <f ca="1">MIN(100,MAX(0,MCDA_Prioritisation!$H$3+(RAND()-0.5)*2*$B$7))</f>
        <v>53.45686509530956</v>
      </c>
      <c r="W1019" s="54">
        <f ca="1">MIN(100,MAX(0,MCDA_Prioritisation!$H$4+(RAND()-0.5)*2*$B$7))</f>
        <v>76.716098186651422</v>
      </c>
      <c r="X1019" s="54">
        <f ca="1">MIN(100,MAX(0,MCDA_Prioritisation!$H$5+(RAND()-0.5)*2*$B$7))</f>
        <v>80.410594183294108</v>
      </c>
      <c r="Y1019" s="54">
        <f ca="1">H1019*MCDA_Prioritisation!$D$2+I1019*MCDA_Prioritisation!$E$2+J1019*M1019+K1019*Q1019+L1019*U1019</f>
        <v>88.705375676588318</v>
      </c>
      <c r="Z1019" s="54">
        <f ca="1">H1019*MCDA_Prioritisation!$D$3+I1019*MCDA_Prioritisation!$E$3+J1019*N1019+K1019*R1019+L1019*V1019</f>
        <v>84.185567799709219</v>
      </c>
      <c r="AA1019" s="54">
        <f ca="1">H1019*MCDA_Prioritisation!$D$4+I1019*MCDA_Prioritisation!$E$4+J1019*O1019+K1019*S1019+L1019*W1019</f>
        <v>75.857778237947485</v>
      </c>
      <c r="AB1019" s="54">
        <f ca="1">H1019*MCDA_Prioritisation!$D$5+I1019*MCDA_Prioritisation!$E$5+J1019*P1019+K1019*T1019+L1019*X1019</f>
        <v>69.533159326757101</v>
      </c>
      <c r="AC1019" s="54">
        <f t="shared" ca="1" si="216"/>
        <v>1</v>
      </c>
      <c r="AD1019" s="54">
        <f t="shared" ca="1" si="217"/>
        <v>2</v>
      </c>
      <c r="AE1019" s="54">
        <f t="shared" ca="1" si="218"/>
        <v>3</v>
      </c>
      <c r="AF1019" s="54">
        <f t="shared" ca="1" si="219"/>
        <v>4</v>
      </c>
      <c r="AG1019" s="54">
        <f t="shared" ca="1" si="220"/>
        <v>1</v>
      </c>
      <c r="AH1019" s="54">
        <f t="shared" ca="1" si="221"/>
        <v>1</v>
      </c>
      <c r="AI1019" s="54">
        <f t="shared" ca="1" si="222"/>
        <v>1</v>
      </c>
      <c r="AJ1019" s="54">
        <f t="shared" ca="1" si="223"/>
        <v>1</v>
      </c>
    </row>
    <row r="1020" spans="1:36" x14ac:dyDescent="0.2">
      <c r="A1020" s="54">
        <v>997</v>
      </c>
      <c r="B1020" s="54">
        <f ca="1">MAX(0.02,MCDA_Prioritisation!$B$9+(RAND()-0.5)*2*$B$6)</f>
        <v>0.24248932466154713</v>
      </c>
      <c r="C1020" s="54">
        <f ca="1">MAX(0.02,MCDA_Prioritisation!$B$10+(RAND()-0.5)*2*$B$6)</f>
        <v>0.26352607209641205</v>
      </c>
      <c r="D1020" s="54">
        <f ca="1">MAX(0.02,MCDA_Prioritisation!$B$11+(RAND()-0.5)*2*$B$6)</f>
        <v>0.28431944270637144</v>
      </c>
      <c r="E1020" s="54">
        <f ca="1">MAX(0.02,MCDA_Prioritisation!$B$12+(RAND()-0.5)*2*$B$6)</f>
        <v>0.13093491520999023</v>
      </c>
      <c r="F1020" s="54">
        <f ca="1">MAX(0.02,MCDA_Prioritisation!$B$13+(RAND()-0.5)*2*$B$6)</f>
        <v>0.11948396234399707</v>
      </c>
      <c r="G1020" s="54">
        <f t="shared" ca="1" si="210"/>
        <v>1.0407537170183179</v>
      </c>
      <c r="H1020" s="54">
        <f t="shared" ca="1" si="211"/>
        <v>0.23299395495435851</v>
      </c>
      <c r="I1020" s="54">
        <f t="shared" ca="1" si="212"/>
        <v>0.2532069477987498</v>
      </c>
      <c r="J1020" s="54">
        <f t="shared" ca="1" si="213"/>
        <v>0.27318609394057752</v>
      </c>
      <c r="K1020" s="54">
        <f t="shared" ca="1" si="214"/>
        <v>0.12580778052381983</v>
      </c>
      <c r="L1020" s="54">
        <f t="shared" ca="1" si="215"/>
        <v>0.11480522278249435</v>
      </c>
      <c r="M1020" s="54">
        <f ca="1">MIN(100,MAX(0,MCDA_Prioritisation!$F$2+(RAND()-0.5)*2*$B$7))</f>
        <v>82.841804417913849</v>
      </c>
      <c r="N1020" s="54">
        <f ca="1">MIN(100,MAX(0,MCDA_Prioritisation!$F$3+(RAND()-0.5)*2*$B$7))</f>
        <v>88.728059723572485</v>
      </c>
      <c r="O1020" s="54">
        <f ca="1">MIN(100,MAX(0,MCDA_Prioritisation!$F$4+(RAND()-0.5)*2*$B$7))</f>
        <v>97.329855353048316</v>
      </c>
      <c r="P1020" s="54">
        <f ca="1">MIN(100,MAX(0,MCDA_Prioritisation!$F$5+(RAND()-0.5)*2*$B$7))</f>
        <v>66.697859839549366</v>
      </c>
      <c r="Q1020" s="54">
        <f ca="1">MIN(100,MAX(0,MCDA_Prioritisation!$G$2+(RAND()-0.5)*2*$B$7))</f>
        <v>73.276307442712252</v>
      </c>
      <c r="R1020" s="54">
        <f ca="1">MIN(100,MAX(0,MCDA_Prioritisation!$G$3+(RAND()-0.5)*2*$B$7))</f>
        <v>100</v>
      </c>
      <c r="S1020" s="54">
        <f ca="1">MIN(100,MAX(0,MCDA_Prioritisation!$G$4+(RAND()-0.5)*2*$B$7))</f>
        <v>86.756030406034299</v>
      </c>
      <c r="T1020" s="54">
        <f ca="1">MIN(100,MAX(0,MCDA_Prioritisation!$G$5+(RAND()-0.5)*2*$B$7))</f>
        <v>72.868031022395286</v>
      </c>
      <c r="U1020" s="54">
        <f ca="1">MIN(100,MAX(0,MCDA_Prioritisation!$H$2+(RAND()-0.5)*2*$B$7))</f>
        <v>73.81775928452106</v>
      </c>
      <c r="V1020" s="54">
        <f ca="1">MIN(100,MAX(0,MCDA_Prioritisation!$H$3+(RAND()-0.5)*2*$B$7))</f>
        <v>67.305706277724127</v>
      </c>
      <c r="W1020" s="54">
        <f ca="1">MIN(100,MAX(0,MCDA_Prioritisation!$H$4+(RAND()-0.5)*2*$B$7))</f>
        <v>81.028252323789204</v>
      </c>
      <c r="X1020" s="54">
        <f ca="1">MIN(100,MAX(0,MCDA_Prioritisation!$H$5+(RAND()-0.5)*2*$B$7))</f>
        <v>77.126989109486601</v>
      </c>
      <c r="Y1020" s="54">
        <f ca="1">H1020*MCDA_Prioritisation!$D$2+I1020*MCDA_Prioritisation!$E$2+J1020*M1020+K1020*Q1020+L1020*U1020</f>
        <v>88.944713143542643</v>
      </c>
      <c r="Z1020" s="54">
        <f ca="1">H1020*MCDA_Prioritisation!$D$3+I1020*MCDA_Prioritisation!$E$3+J1020*N1020+K1020*R1020+L1020*V1020</f>
        <v>83.325082693624651</v>
      </c>
      <c r="AA1020" s="54">
        <f ca="1">H1020*MCDA_Prioritisation!$D$4+I1020*MCDA_Prioritisation!$E$4+J1020*O1020+K1020*S1020+L1020*W1020</f>
        <v>76.841830606216178</v>
      </c>
      <c r="AB1020" s="54">
        <f ca="1">H1020*MCDA_Prioritisation!$D$5+I1020*MCDA_Prioritisation!$E$5+J1020*P1020+K1020*T1020+L1020*X1020</f>
        <v>69.901638135932657</v>
      </c>
      <c r="AC1020" s="54">
        <f t="shared" ca="1" si="216"/>
        <v>1</v>
      </c>
      <c r="AD1020" s="54">
        <f t="shared" ca="1" si="217"/>
        <v>2</v>
      </c>
      <c r="AE1020" s="54">
        <f t="shared" ca="1" si="218"/>
        <v>3</v>
      </c>
      <c r="AF1020" s="54">
        <f t="shared" ca="1" si="219"/>
        <v>4</v>
      </c>
      <c r="AG1020" s="54">
        <f t="shared" ca="1" si="220"/>
        <v>1</v>
      </c>
      <c r="AH1020" s="54">
        <f t="shared" ca="1" si="221"/>
        <v>1</v>
      </c>
      <c r="AI1020" s="54">
        <f t="shared" ca="1" si="222"/>
        <v>1</v>
      </c>
      <c r="AJ1020" s="54">
        <f t="shared" ca="1" si="223"/>
        <v>1</v>
      </c>
    </row>
    <row r="1021" spans="1:36" x14ac:dyDescent="0.2">
      <c r="A1021" s="54">
        <v>998</v>
      </c>
      <c r="B1021" s="54">
        <f ca="1">MAX(0.02,MCDA_Prioritisation!$B$9+(RAND()-0.5)*2*$B$6)</f>
        <v>0.21588034305841711</v>
      </c>
      <c r="C1021" s="54">
        <f ca="1">MAX(0.02,MCDA_Prioritisation!$B$10+(RAND()-0.5)*2*$B$6)</f>
        <v>0.30611697127939924</v>
      </c>
      <c r="D1021" s="54">
        <f ca="1">MAX(0.02,MCDA_Prioritisation!$B$11+(RAND()-0.5)*2*$B$6)</f>
        <v>0.24614423325921309</v>
      </c>
      <c r="E1021" s="54">
        <f ca="1">MAX(0.02,MCDA_Prioritisation!$B$12+(RAND()-0.5)*2*$B$6)</f>
        <v>0.16393205906001335</v>
      </c>
      <c r="F1021" s="54">
        <f ca="1">MAX(0.02,MCDA_Prioritisation!$B$13+(RAND()-0.5)*2*$B$6)</f>
        <v>0.15589614443517047</v>
      </c>
      <c r="G1021" s="54">
        <f t="shared" ca="1" si="210"/>
        <v>1.0879697510922133</v>
      </c>
      <c r="H1021" s="54">
        <f t="shared" ca="1" si="211"/>
        <v>0.19842494962906343</v>
      </c>
      <c r="I1021" s="54">
        <f t="shared" ca="1" si="212"/>
        <v>0.28136533297188482</v>
      </c>
      <c r="J1021" s="54">
        <f t="shared" ca="1" si="213"/>
        <v>0.22624179855378221</v>
      </c>
      <c r="K1021" s="54">
        <f t="shared" ca="1" si="214"/>
        <v>0.15067703756969519</v>
      </c>
      <c r="L1021" s="54">
        <f t="shared" ca="1" si="215"/>
        <v>0.14329088127557432</v>
      </c>
      <c r="M1021" s="54">
        <f ca="1">MIN(100,MAX(0,MCDA_Prioritisation!$F$2+(RAND()-0.5)*2*$B$7))</f>
        <v>88.56054229719858</v>
      </c>
      <c r="N1021" s="54">
        <f ca="1">MIN(100,MAX(0,MCDA_Prioritisation!$F$3+(RAND()-0.5)*2*$B$7))</f>
        <v>97.845516518526182</v>
      </c>
      <c r="O1021" s="54">
        <f ca="1">MIN(100,MAX(0,MCDA_Prioritisation!$F$4+(RAND()-0.5)*2*$B$7))</f>
        <v>95.303950619648347</v>
      </c>
      <c r="P1021" s="54">
        <f ca="1">MIN(100,MAX(0,MCDA_Prioritisation!$F$5+(RAND()-0.5)*2*$B$7))</f>
        <v>68.66931901549178</v>
      </c>
      <c r="Q1021" s="54">
        <f ca="1">MIN(100,MAX(0,MCDA_Prioritisation!$G$2+(RAND()-0.5)*2*$B$7))</f>
        <v>81.54012574674924</v>
      </c>
      <c r="R1021" s="54">
        <f ca="1">MIN(100,MAX(0,MCDA_Prioritisation!$G$3+(RAND()-0.5)*2*$B$7))</f>
        <v>100</v>
      </c>
      <c r="S1021" s="54">
        <f ca="1">MIN(100,MAX(0,MCDA_Prioritisation!$G$4+(RAND()-0.5)*2*$B$7))</f>
        <v>75.672631291815392</v>
      </c>
      <c r="T1021" s="54">
        <f ca="1">MIN(100,MAX(0,MCDA_Prioritisation!$G$5+(RAND()-0.5)*2*$B$7))</f>
        <v>74.773805656427228</v>
      </c>
      <c r="U1021" s="54">
        <f ca="1">MIN(100,MAX(0,MCDA_Prioritisation!$H$2+(RAND()-0.5)*2*$B$7))</f>
        <v>63.921134949646849</v>
      </c>
      <c r="V1021" s="54">
        <f ca="1">MIN(100,MAX(0,MCDA_Prioritisation!$H$3+(RAND()-0.5)*2*$B$7))</f>
        <v>58.23253296096869</v>
      </c>
      <c r="W1021" s="54">
        <f ca="1">MIN(100,MAX(0,MCDA_Prioritisation!$H$4+(RAND()-0.5)*2*$B$7))</f>
        <v>70.952907058978028</v>
      </c>
      <c r="X1021" s="54">
        <f ca="1">MIN(100,MAX(0,MCDA_Prioritisation!$H$5+(RAND()-0.5)*2*$B$7))</f>
        <v>67.431708473542912</v>
      </c>
      <c r="Y1021" s="54">
        <f ca="1">H1021*MCDA_Prioritisation!$D$2+I1021*MCDA_Prioritisation!$E$2+J1021*M1021+K1021*Q1021+L1021*U1021</f>
        <v>89.460664979961749</v>
      </c>
      <c r="Z1021" s="54">
        <f ca="1">H1021*MCDA_Prioritisation!$D$3+I1021*MCDA_Prioritisation!$E$3+J1021*N1021+K1021*R1021+L1021*V1021</f>
        <v>83.353287096372171</v>
      </c>
      <c r="AA1021" s="54">
        <f ca="1">H1021*MCDA_Prioritisation!$D$4+I1021*MCDA_Prioritisation!$E$4+J1021*O1021+K1021*S1021+L1021*W1021</f>
        <v>72.295116698592807</v>
      </c>
      <c r="AB1021" s="54">
        <f ca="1">H1021*MCDA_Prioritisation!$D$5+I1021*MCDA_Prioritisation!$E$5+J1021*P1021+K1021*T1021+L1021*X1021</f>
        <v>70.656762097431326</v>
      </c>
      <c r="AC1021" s="54">
        <f t="shared" ca="1" si="216"/>
        <v>1</v>
      </c>
      <c r="AD1021" s="54">
        <f t="shared" ca="1" si="217"/>
        <v>2</v>
      </c>
      <c r="AE1021" s="54">
        <f t="shared" ca="1" si="218"/>
        <v>3</v>
      </c>
      <c r="AF1021" s="54">
        <f t="shared" ca="1" si="219"/>
        <v>4</v>
      </c>
      <c r="AG1021" s="54">
        <f t="shared" ca="1" si="220"/>
        <v>1</v>
      </c>
      <c r="AH1021" s="54">
        <f t="shared" ca="1" si="221"/>
        <v>1</v>
      </c>
      <c r="AI1021" s="54">
        <f t="shared" ca="1" si="222"/>
        <v>1</v>
      </c>
      <c r="AJ1021" s="54">
        <f t="shared" ca="1" si="223"/>
        <v>1</v>
      </c>
    </row>
    <row r="1022" spans="1:36" x14ac:dyDescent="0.2">
      <c r="A1022" s="54">
        <v>999</v>
      </c>
      <c r="B1022" s="54">
        <f ca="1">MAX(0.02,MCDA_Prioritisation!$B$9+(RAND()-0.5)*2*$B$6)</f>
        <v>0.24792759469314007</v>
      </c>
      <c r="C1022" s="54">
        <f ca="1">MAX(0.02,MCDA_Prioritisation!$B$10+(RAND()-0.5)*2*$B$6)</f>
        <v>0.31680933760057506</v>
      </c>
      <c r="D1022" s="54">
        <f ca="1">MAX(0.02,MCDA_Prioritisation!$B$11+(RAND()-0.5)*2*$B$6)</f>
        <v>0.23062729796894055</v>
      </c>
      <c r="E1022" s="54">
        <f ca="1">MAX(0.02,MCDA_Prioritisation!$B$12+(RAND()-0.5)*2*$B$6)</f>
        <v>0.15235007419251428</v>
      </c>
      <c r="F1022" s="54">
        <f ca="1">MAX(0.02,MCDA_Prioritisation!$B$13+(RAND()-0.5)*2*$B$6)</f>
        <v>0.20088660763794292</v>
      </c>
      <c r="G1022" s="54">
        <f t="shared" ca="1" si="210"/>
        <v>1.1486009120931129</v>
      </c>
      <c r="H1022" s="54">
        <f t="shared" ca="1" si="211"/>
        <v>0.21585181770519218</v>
      </c>
      <c r="I1022" s="54">
        <f t="shared" ca="1" si="212"/>
        <v>0.27582194499850132</v>
      </c>
      <c r="J1022" s="54">
        <f t="shared" ca="1" si="213"/>
        <v>0.20078975694757625</v>
      </c>
      <c r="K1022" s="54">
        <f t="shared" ca="1" si="214"/>
        <v>0.13263969459582303</v>
      </c>
      <c r="L1022" s="54">
        <f t="shared" ca="1" si="215"/>
        <v>0.17489678575290715</v>
      </c>
      <c r="M1022" s="54">
        <f ca="1">MIN(100,MAX(0,MCDA_Prioritisation!$F$2+(RAND()-0.5)*2*$B$7))</f>
        <v>92.857545522503798</v>
      </c>
      <c r="N1022" s="54">
        <f ca="1">MIN(100,MAX(0,MCDA_Prioritisation!$F$3+(RAND()-0.5)*2*$B$7))</f>
        <v>86.210543655022491</v>
      </c>
      <c r="O1022" s="54">
        <f ca="1">MIN(100,MAX(0,MCDA_Prioritisation!$F$4+(RAND()-0.5)*2*$B$7))</f>
        <v>98.494391603136364</v>
      </c>
      <c r="P1022" s="54">
        <f ca="1">MIN(100,MAX(0,MCDA_Prioritisation!$F$5+(RAND()-0.5)*2*$B$7))</f>
        <v>71.793335619142596</v>
      </c>
      <c r="Q1022" s="54">
        <f ca="1">MIN(100,MAX(0,MCDA_Prioritisation!$G$2+(RAND()-0.5)*2*$B$7))</f>
        <v>77.24104798525407</v>
      </c>
      <c r="R1022" s="54">
        <f ca="1">MIN(100,MAX(0,MCDA_Prioritisation!$G$3+(RAND()-0.5)*2*$B$7))</f>
        <v>87.942191449352535</v>
      </c>
      <c r="S1022" s="54">
        <f ca="1">MIN(100,MAX(0,MCDA_Prioritisation!$G$4+(RAND()-0.5)*2*$B$7))</f>
        <v>83.82156426128563</v>
      </c>
      <c r="T1022" s="54">
        <f ca="1">MIN(100,MAX(0,MCDA_Prioritisation!$G$5+(RAND()-0.5)*2*$B$7))</f>
        <v>61.703809515966256</v>
      </c>
      <c r="U1022" s="54">
        <f ca="1">MIN(100,MAX(0,MCDA_Prioritisation!$H$2+(RAND()-0.5)*2*$B$7))</f>
        <v>59.760596757476947</v>
      </c>
      <c r="V1022" s="54">
        <f ca="1">MIN(100,MAX(0,MCDA_Prioritisation!$H$3+(RAND()-0.5)*2*$B$7))</f>
        <v>56.421572401471792</v>
      </c>
      <c r="W1022" s="54">
        <f ca="1">MIN(100,MAX(0,MCDA_Prioritisation!$H$4+(RAND()-0.5)*2*$B$7))</f>
        <v>82.101800649719678</v>
      </c>
      <c r="X1022" s="54">
        <f ca="1">MIN(100,MAX(0,MCDA_Prioritisation!$H$5+(RAND()-0.5)*2*$B$7))</f>
        <v>82.137963395005613</v>
      </c>
      <c r="Y1022" s="54">
        <f ca="1">H1022*MCDA_Prioritisation!$D$2+I1022*MCDA_Prioritisation!$E$2+J1022*M1022+K1022*Q1022+L1022*U1022</f>
        <v>88.509385569165119</v>
      </c>
      <c r="Z1022" s="54">
        <f ca="1">H1022*MCDA_Prioritisation!$D$3+I1022*MCDA_Prioritisation!$E$3+J1022*N1022+K1022*R1022+L1022*V1022</f>
        <v>77.767315616904042</v>
      </c>
      <c r="AA1022" s="54">
        <f ca="1">H1022*MCDA_Prioritisation!$D$4+I1022*MCDA_Prioritisation!$E$4+J1022*O1022+K1022*S1022+L1022*W1022</f>
        <v>75.32955771493377</v>
      </c>
      <c r="AB1022" s="54">
        <f ca="1">H1022*MCDA_Prioritisation!$D$5+I1022*MCDA_Prioritisation!$E$5+J1022*P1022+K1022*T1022+L1022*X1022</f>
        <v>71.616052041608285</v>
      </c>
      <c r="AC1022" s="54">
        <f t="shared" ca="1" si="216"/>
        <v>1</v>
      </c>
      <c r="AD1022" s="54">
        <f t="shared" ca="1" si="217"/>
        <v>2</v>
      </c>
      <c r="AE1022" s="54">
        <f t="shared" ca="1" si="218"/>
        <v>3</v>
      </c>
      <c r="AF1022" s="54">
        <f t="shared" ca="1" si="219"/>
        <v>4</v>
      </c>
      <c r="AG1022" s="54">
        <f t="shared" ca="1" si="220"/>
        <v>1</v>
      </c>
      <c r="AH1022" s="54">
        <f t="shared" ca="1" si="221"/>
        <v>1</v>
      </c>
      <c r="AI1022" s="54">
        <f t="shared" ca="1" si="222"/>
        <v>1</v>
      </c>
      <c r="AJ1022" s="54">
        <f t="shared" ca="1" si="223"/>
        <v>1</v>
      </c>
    </row>
    <row r="1023" spans="1:36" x14ac:dyDescent="0.2">
      <c r="A1023" s="54">
        <v>1000</v>
      </c>
      <c r="B1023" s="54">
        <f ca="1">MAX(0.02,MCDA_Prioritisation!$B$9+(RAND()-0.5)*2*$B$6)</f>
        <v>0.24777214252371391</v>
      </c>
      <c r="C1023" s="54">
        <f ca="1">MAX(0.02,MCDA_Prioritisation!$B$10+(RAND()-0.5)*2*$B$6)</f>
        <v>0.18798716576526486</v>
      </c>
      <c r="D1023" s="54">
        <f ca="1">MAX(0.02,MCDA_Prioritisation!$B$11+(RAND()-0.5)*2*$B$6)</f>
        <v>0.30084563512824536</v>
      </c>
      <c r="E1023" s="54">
        <f ca="1">MAX(0.02,MCDA_Prioritisation!$B$12+(RAND()-0.5)*2*$B$6)</f>
        <v>8.4748957959705357E-2</v>
      </c>
      <c r="F1023" s="54">
        <f ca="1">MAX(0.02,MCDA_Prioritisation!$B$13+(RAND()-0.5)*2*$B$6)</f>
        <v>0.19430103907141971</v>
      </c>
      <c r="G1023" s="54">
        <f t="shared" ca="1" si="210"/>
        <v>1.0156549404483493</v>
      </c>
      <c r="H1023" s="54">
        <f t="shared" ca="1" si="211"/>
        <v>0.24395307171384184</v>
      </c>
      <c r="I1023" s="54">
        <f t="shared" ca="1" si="212"/>
        <v>0.18508959911353365</v>
      </c>
      <c r="J1023" s="54">
        <f t="shared" ca="1" si="213"/>
        <v>0.2962085085663449</v>
      </c>
      <c r="K1023" s="54">
        <f t="shared" ca="1" si="214"/>
        <v>8.3442667961910272E-2</v>
      </c>
      <c r="L1023" s="54">
        <f t="shared" ca="1" si="215"/>
        <v>0.19130615264436929</v>
      </c>
      <c r="M1023" s="54">
        <f ca="1">MIN(100,MAX(0,MCDA_Prioritisation!$F$2+(RAND()-0.5)*2*$B$7))</f>
        <v>83.44611599118231</v>
      </c>
      <c r="N1023" s="54">
        <f ca="1">MIN(100,MAX(0,MCDA_Prioritisation!$F$3+(RAND()-0.5)*2*$B$7))</f>
        <v>99.268406534514327</v>
      </c>
      <c r="O1023" s="54">
        <f ca="1">MIN(100,MAX(0,MCDA_Prioritisation!$F$4+(RAND()-0.5)*2*$B$7))</f>
        <v>80.687092313146422</v>
      </c>
      <c r="P1023" s="54">
        <f ca="1">MIN(100,MAX(0,MCDA_Prioritisation!$F$5+(RAND()-0.5)*2*$B$7))</f>
        <v>66.960284518395994</v>
      </c>
      <c r="Q1023" s="54">
        <f ca="1">MIN(100,MAX(0,MCDA_Prioritisation!$G$2+(RAND()-0.5)*2*$B$7))</f>
        <v>71.886557722829664</v>
      </c>
      <c r="R1023" s="54">
        <f ca="1">MIN(100,MAX(0,MCDA_Prioritisation!$G$3+(RAND()-0.5)*2*$B$7))</f>
        <v>87.620981858010765</v>
      </c>
      <c r="S1023" s="54">
        <f ca="1">MIN(100,MAX(0,MCDA_Prioritisation!$G$4+(RAND()-0.5)*2*$B$7))</f>
        <v>84.281459664346215</v>
      </c>
      <c r="T1023" s="54">
        <f ca="1">MIN(100,MAX(0,MCDA_Prioritisation!$G$5+(RAND()-0.5)*2*$B$7))</f>
        <v>69.057771390712446</v>
      </c>
      <c r="U1023" s="54">
        <f ca="1">MIN(100,MAX(0,MCDA_Prioritisation!$H$2+(RAND()-0.5)*2*$B$7))</f>
        <v>61.398591885108047</v>
      </c>
      <c r="V1023" s="54">
        <f ca="1">MIN(100,MAX(0,MCDA_Prioritisation!$H$3+(RAND()-0.5)*2*$B$7))</f>
        <v>68.867591958231586</v>
      </c>
      <c r="W1023" s="54">
        <f ca="1">MIN(100,MAX(0,MCDA_Prioritisation!$H$4+(RAND()-0.5)*2*$B$7))</f>
        <v>84.455663469375367</v>
      </c>
      <c r="X1023" s="54">
        <f ca="1">MIN(100,MAX(0,MCDA_Prioritisation!$H$5+(RAND()-0.5)*2*$B$7))</f>
        <v>78.605611668820174</v>
      </c>
      <c r="Y1023" s="54">
        <f ca="1">H1023*MCDA_Prioritisation!$D$2+I1023*MCDA_Prioritisation!$E$2+J1023*M1023+K1023*Q1023+L1023*U1023</f>
        <v>85.366051204452475</v>
      </c>
      <c r="Z1023" s="54">
        <f ca="1">H1023*MCDA_Prioritisation!$D$3+I1023*MCDA_Prioritisation!$E$3+J1023*N1023+K1023*R1023+L1023*V1023</f>
        <v>84.67205835168977</v>
      </c>
      <c r="AA1023" s="54">
        <f ca="1">H1023*MCDA_Prioritisation!$D$4+I1023*MCDA_Prioritisation!$E$4+J1023*O1023+K1023*S1023+L1023*W1023</f>
        <v>74.17301530286322</v>
      </c>
      <c r="AB1023" s="54">
        <f ca="1">H1023*MCDA_Prioritisation!$D$5+I1023*MCDA_Prioritisation!$E$5+J1023*P1023+K1023*T1023+L1023*X1023</f>
        <v>69.146686852049044</v>
      </c>
      <c r="AC1023" s="54">
        <f t="shared" ca="1" si="216"/>
        <v>1</v>
      </c>
      <c r="AD1023" s="54">
        <f t="shared" ca="1" si="217"/>
        <v>2</v>
      </c>
      <c r="AE1023" s="54">
        <f t="shared" ca="1" si="218"/>
        <v>3</v>
      </c>
      <c r="AF1023" s="54">
        <f t="shared" ca="1" si="219"/>
        <v>4</v>
      </c>
      <c r="AG1023" s="54">
        <f t="shared" ca="1" si="220"/>
        <v>1</v>
      </c>
      <c r="AH1023" s="54">
        <f t="shared" ca="1" si="221"/>
        <v>1</v>
      </c>
      <c r="AI1023" s="54">
        <f t="shared" ca="1" si="222"/>
        <v>1</v>
      </c>
      <c r="AJ1023" s="54">
        <f t="shared" ca="1" si="223"/>
        <v>1</v>
      </c>
    </row>
  </sheetData>
  <mergeCells count="2">
    <mergeCell ref="A2:H2"/>
    <mergeCell ref="A3:H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7"/>
  <sheetViews>
    <sheetView zoomScaleNormal="100" workbookViewId="0"/>
  </sheetViews>
  <sheetFormatPr baseColWidth="10" defaultColWidth="8.83203125" defaultRowHeight="15" x14ac:dyDescent="0.2"/>
  <cols>
    <col min="1" max="1" width="4" style="10" bestFit="1" customWidth="1"/>
    <col min="2" max="2" width="23.83203125" style="10" bestFit="1" customWidth="1"/>
    <col min="3" max="3" width="36.33203125" style="10" bestFit="1" customWidth="1"/>
    <col min="4" max="4" width="37.1640625" style="10" bestFit="1" customWidth="1"/>
    <col min="5" max="5" width="92.83203125" style="10" customWidth="1"/>
    <col min="6" max="6" width="76.33203125" style="10" bestFit="1" customWidth="1"/>
    <col min="7" max="7" width="78.5" style="10" bestFit="1" customWidth="1"/>
    <col min="8" max="8" width="11.1640625" style="10" customWidth="1"/>
    <col min="9" max="9" width="9.5" style="10" customWidth="1"/>
    <col min="10" max="10" width="13.5" style="10" customWidth="1"/>
    <col min="11" max="11" width="10.83203125" style="10" customWidth="1"/>
    <col min="12" max="12" width="19.33203125" style="10" customWidth="1"/>
    <col min="13" max="16384" width="8.83203125" style="10"/>
  </cols>
  <sheetData>
    <row r="1" spans="1:26" ht="30" customHeight="1" x14ac:dyDescent="0.2">
      <c r="A1" s="3" t="s">
        <v>51</v>
      </c>
      <c r="B1" s="4" t="s">
        <v>13</v>
      </c>
      <c r="C1" s="4" t="s">
        <v>240</v>
      </c>
      <c r="D1" s="4" t="s">
        <v>241</v>
      </c>
      <c r="E1" s="4" t="s">
        <v>242</v>
      </c>
      <c r="F1" s="4" t="s">
        <v>243</v>
      </c>
      <c r="G1" s="4" t="s">
        <v>244</v>
      </c>
      <c r="H1" s="4" t="s">
        <v>245</v>
      </c>
      <c r="I1" s="4" t="s">
        <v>246</v>
      </c>
      <c r="J1" s="4" t="s">
        <v>247</v>
      </c>
      <c r="K1" s="4" t="s">
        <v>248</v>
      </c>
      <c r="L1" s="5" t="s">
        <v>249</v>
      </c>
      <c r="M1" s="2"/>
      <c r="N1" s="2"/>
      <c r="O1" s="2"/>
      <c r="P1" s="2"/>
      <c r="Q1" s="2"/>
      <c r="R1" s="2"/>
      <c r="S1" s="2"/>
      <c r="T1" s="2"/>
      <c r="U1" s="2"/>
      <c r="V1" s="2"/>
      <c r="W1" s="2"/>
      <c r="X1" s="2"/>
      <c r="Y1" s="2"/>
      <c r="Z1" s="2"/>
    </row>
    <row r="2" spans="1:26" x14ac:dyDescent="0.2">
      <c r="A2" s="11" t="s">
        <v>250</v>
      </c>
      <c r="B2" s="18" t="s">
        <v>251</v>
      </c>
      <c r="C2" s="18" t="s">
        <v>252</v>
      </c>
      <c r="D2" s="18" t="s">
        <v>253</v>
      </c>
      <c r="E2" s="18" t="s">
        <v>254</v>
      </c>
      <c r="F2" s="18" t="s">
        <v>255</v>
      </c>
      <c r="G2" s="18" t="s">
        <v>256</v>
      </c>
      <c r="H2" s="12">
        <v>5</v>
      </c>
      <c r="I2" s="12">
        <v>8</v>
      </c>
      <c r="J2" s="12">
        <f>H2*20*0.6+(6-I2)*20*0.2+(5-IFERROR(INDEX(MCDA_Prioritisation!$J$2:$J$5,MATCH(B2,MCDA_Prioritisation!$A$2:$A$5,0)),3))*20*0.2</f>
        <v>60</v>
      </c>
      <c r="K2" s="18" t="s">
        <v>257</v>
      </c>
      <c r="L2" s="58" t="s">
        <v>258</v>
      </c>
    </row>
    <row r="3" spans="1:26" x14ac:dyDescent="0.2">
      <c r="A3" s="11" t="s">
        <v>259</v>
      </c>
      <c r="B3" s="18" t="s">
        <v>251</v>
      </c>
      <c r="C3" s="18" t="s">
        <v>260</v>
      </c>
      <c r="D3" s="18" t="s">
        <v>261</v>
      </c>
      <c r="E3" s="18" t="s">
        <v>262</v>
      </c>
      <c r="F3" s="18" t="s">
        <v>263</v>
      </c>
      <c r="G3" s="18" t="s">
        <v>264</v>
      </c>
      <c r="H3" s="12">
        <v>5</v>
      </c>
      <c r="I3" s="12">
        <v>10</v>
      </c>
      <c r="J3" s="12">
        <f>H3*20*0.6+(6-I3)*20*0.2+(5-IFERROR(INDEX(MCDA_Prioritisation!$J$2:$J$5,MATCH(B3,MCDA_Prioritisation!$A$2:$A$5,0)),3))*20*0.2</f>
        <v>52</v>
      </c>
      <c r="K3" s="18" t="s">
        <v>257</v>
      </c>
      <c r="L3" s="58" t="s">
        <v>265</v>
      </c>
    </row>
    <row r="4" spans="1:26" x14ac:dyDescent="0.2">
      <c r="A4" s="11" t="s">
        <v>266</v>
      </c>
      <c r="B4" s="18" t="s">
        <v>227</v>
      </c>
      <c r="C4" s="18" t="s">
        <v>267</v>
      </c>
      <c r="D4" s="18" t="s">
        <v>268</v>
      </c>
      <c r="E4" s="18" t="s">
        <v>269</v>
      </c>
      <c r="F4" s="18" t="s">
        <v>270</v>
      </c>
      <c r="G4" s="18" t="s">
        <v>271</v>
      </c>
      <c r="H4" s="12">
        <v>4</v>
      </c>
      <c r="I4" s="12">
        <v>5</v>
      </c>
      <c r="J4" s="12">
        <f>H4*20*0.6+(6-I4)*20*0.2+(5-IFERROR(INDEX(MCDA_Prioritisation!$J$2:$J$5,MATCH(B4,MCDA_Prioritisation!$A$2:$A$5,0)),3))*20*0.2</f>
        <v>56</v>
      </c>
      <c r="K4" s="18" t="s">
        <v>257</v>
      </c>
      <c r="L4" s="58" t="s">
        <v>272</v>
      </c>
    </row>
    <row r="5" spans="1:26" x14ac:dyDescent="0.2">
      <c r="A5" s="11" t="s">
        <v>273</v>
      </c>
      <c r="B5" s="18" t="s">
        <v>251</v>
      </c>
      <c r="C5" s="18" t="s">
        <v>274</v>
      </c>
      <c r="D5" s="18" t="s">
        <v>275</v>
      </c>
      <c r="E5" s="18" t="s">
        <v>276</v>
      </c>
      <c r="F5" s="18" t="s">
        <v>277</v>
      </c>
      <c r="G5" s="18" t="s">
        <v>278</v>
      </c>
      <c r="H5" s="12">
        <v>5</v>
      </c>
      <c r="I5" s="12">
        <v>12</v>
      </c>
      <c r="J5" s="12">
        <f>H5*20*0.6+(6-I5)*20*0.2+(5-IFERROR(INDEX(MCDA_Prioritisation!$J$2:$J$5,MATCH(B5,MCDA_Prioritisation!$A$2:$A$5,0)),3))*20*0.2</f>
        <v>44</v>
      </c>
      <c r="K5" s="18" t="s">
        <v>279</v>
      </c>
      <c r="L5" s="58" t="s">
        <v>280</v>
      </c>
    </row>
    <row r="6" spans="1:26" x14ac:dyDescent="0.2">
      <c r="A6" s="11" t="s">
        <v>281</v>
      </c>
      <c r="B6" s="18" t="s">
        <v>282</v>
      </c>
      <c r="C6" s="18" t="s">
        <v>283</v>
      </c>
      <c r="D6" s="18" t="s">
        <v>284</v>
      </c>
      <c r="E6" s="18" t="s">
        <v>285</v>
      </c>
      <c r="F6" s="18" t="s">
        <v>286</v>
      </c>
      <c r="G6" s="18" t="s">
        <v>287</v>
      </c>
      <c r="H6" s="12">
        <v>5</v>
      </c>
      <c r="I6" s="12">
        <v>12</v>
      </c>
      <c r="J6" s="12">
        <f>H6*20*0.6+(6-I6)*20*0.2+(5-IFERROR(INDEX(MCDA_Prioritisation!$J$2:$J$5,MATCH(B6,MCDA_Prioritisation!$A$2:$A$5,0)),3))*20*0.2</f>
        <v>44</v>
      </c>
      <c r="K6" s="18" t="s">
        <v>279</v>
      </c>
      <c r="L6" s="58" t="s">
        <v>288</v>
      </c>
    </row>
    <row r="7" spans="1:26" x14ac:dyDescent="0.2">
      <c r="A7" s="11" t="s">
        <v>289</v>
      </c>
      <c r="B7" s="18" t="s">
        <v>225</v>
      </c>
      <c r="C7" s="18" t="s">
        <v>290</v>
      </c>
      <c r="D7" s="18" t="s">
        <v>291</v>
      </c>
      <c r="E7" s="18" t="s">
        <v>292</v>
      </c>
      <c r="F7" s="18" t="s">
        <v>293</v>
      </c>
      <c r="G7" s="18" t="s">
        <v>294</v>
      </c>
      <c r="H7" s="12">
        <v>5</v>
      </c>
      <c r="I7" s="12">
        <v>14</v>
      </c>
      <c r="J7" s="12">
        <f>H7*20*0.6+(6-I7)*20*0.2+(5-IFERROR(INDEX(MCDA_Prioritisation!$J$2:$J$5,MATCH(B7,MCDA_Prioritisation!$A$2:$A$5,0)),3))*20*0.2</f>
        <v>40</v>
      </c>
      <c r="K7" s="18" t="s">
        <v>295</v>
      </c>
      <c r="L7" s="58" t="s">
        <v>296</v>
      </c>
    </row>
    <row r="8" spans="1:26" x14ac:dyDescent="0.2">
      <c r="A8" s="11" t="s">
        <v>297</v>
      </c>
      <c r="B8" s="18" t="s">
        <v>224</v>
      </c>
      <c r="C8" s="18" t="s">
        <v>298</v>
      </c>
      <c r="D8" s="18" t="s">
        <v>299</v>
      </c>
      <c r="E8" s="18" t="s">
        <v>300</v>
      </c>
      <c r="F8" s="18" t="s">
        <v>301</v>
      </c>
      <c r="G8" s="18" t="s">
        <v>302</v>
      </c>
      <c r="H8" s="12">
        <v>5</v>
      </c>
      <c r="I8" s="12">
        <v>12</v>
      </c>
      <c r="J8" s="12">
        <f>H8*20*0.6+(6-I8)*20*0.2+(5-IFERROR(INDEX(MCDA_Prioritisation!$J$2:$J$5,MATCH(B8,MCDA_Prioritisation!$A$2:$A$5,0)),3))*20*0.2</f>
        <v>52</v>
      </c>
      <c r="K8" s="18" t="s">
        <v>295</v>
      </c>
      <c r="L8" s="58" t="s">
        <v>303</v>
      </c>
    </row>
    <row r="9" spans="1:26" x14ac:dyDescent="0.2">
      <c r="A9" s="11" t="s">
        <v>304</v>
      </c>
      <c r="B9" s="18" t="s">
        <v>251</v>
      </c>
      <c r="C9" s="18" t="s">
        <v>305</v>
      </c>
      <c r="D9" s="18" t="s">
        <v>306</v>
      </c>
      <c r="E9" s="18" t="s">
        <v>307</v>
      </c>
      <c r="F9" s="18" t="s">
        <v>308</v>
      </c>
      <c r="G9" s="18" t="s">
        <v>309</v>
      </c>
      <c r="H9" s="12">
        <v>4</v>
      </c>
      <c r="I9" s="12">
        <v>10</v>
      </c>
      <c r="J9" s="12">
        <f>H9*20*0.6+(6-I9)*20*0.2+(5-IFERROR(INDEX(MCDA_Prioritisation!$J$2:$J$5,MATCH(B9,MCDA_Prioritisation!$A$2:$A$5,0)),3))*20*0.2</f>
        <v>40</v>
      </c>
      <c r="K9" s="18" t="s">
        <v>295</v>
      </c>
      <c r="L9" s="58" t="s">
        <v>310</v>
      </c>
    </row>
    <row r="10" spans="1:26" x14ac:dyDescent="0.2">
      <c r="A10" s="11" t="s">
        <v>311</v>
      </c>
      <c r="B10" s="18" t="s">
        <v>251</v>
      </c>
      <c r="C10" s="18" t="s">
        <v>312</v>
      </c>
      <c r="D10" s="18" t="s">
        <v>313</v>
      </c>
      <c r="E10" s="18" t="s">
        <v>314</v>
      </c>
      <c r="F10" s="18" t="s">
        <v>315</v>
      </c>
      <c r="G10" s="18" t="s">
        <v>316</v>
      </c>
      <c r="H10" s="12">
        <v>4</v>
      </c>
      <c r="I10" s="12">
        <v>6</v>
      </c>
      <c r="J10" s="12">
        <f>H10*20*0.6+(6-I10)*20*0.2+(5-IFERROR(INDEX(MCDA_Prioritisation!$J$2:$J$5,MATCH(B10,MCDA_Prioritisation!$A$2:$A$5,0)),3))*20*0.2</f>
        <v>56</v>
      </c>
      <c r="K10" s="18" t="s">
        <v>257</v>
      </c>
      <c r="L10" s="58" t="s">
        <v>317</v>
      </c>
    </row>
    <row r="11" spans="1:26" x14ac:dyDescent="0.2">
      <c r="A11" s="11" t="s">
        <v>318</v>
      </c>
      <c r="B11" s="18" t="s">
        <v>251</v>
      </c>
      <c r="C11" s="18" t="s">
        <v>319</v>
      </c>
      <c r="D11" s="18" t="s">
        <v>320</v>
      </c>
      <c r="E11" s="18" t="s">
        <v>321</v>
      </c>
      <c r="F11" s="18" t="s">
        <v>322</v>
      </c>
      <c r="G11" s="18" t="s">
        <v>323</v>
      </c>
      <c r="H11" s="12">
        <v>4</v>
      </c>
      <c r="I11" s="12">
        <v>8</v>
      </c>
      <c r="J11" s="12">
        <f>H11*20*0.6+(6-I11)*20*0.2+(5-IFERROR(INDEX(MCDA_Prioritisation!$J$2:$J$5,MATCH(B11,MCDA_Prioritisation!$A$2:$A$5,0)),3))*20*0.2</f>
        <v>48</v>
      </c>
      <c r="K11" s="18" t="s">
        <v>279</v>
      </c>
      <c r="L11" s="58" t="s">
        <v>272</v>
      </c>
    </row>
    <row r="12" spans="1:26" x14ac:dyDescent="0.2">
      <c r="A12" s="11" t="s">
        <v>324</v>
      </c>
      <c r="B12" s="18" t="s">
        <v>251</v>
      </c>
      <c r="C12" s="18" t="s">
        <v>325</v>
      </c>
      <c r="D12" s="18" t="s">
        <v>326</v>
      </c>
      <c r="E12" s="18" t="s">
        <v>327</v>
      </c>
      <c r="F12" s="18" t="s">
        <v>328</v>
      </c>
      <c r="G12" s="18" t="s">
        <v>329</v>
      </c>
      <c r="H12" s="12">
        <v>5</v>
      </c>
      <c r="I12" s="12">
        <v>9</v>
      </c>
      <c r="J12" s="12">
        <f>H12*20*0.6+(6-I12)*20*0.2+(5-IFERROR(INDEX(MCDA_Prioritisation!$J$2:$J$5,MATCH(B12,MCDA_Prioritisation!$A$2:$A$5,0)),3))*20*0.2</f>
        <v>56</v>
      </c>
      <c r="K12" s="18" t="s">
        <v>279</v>
      </c>
      <c r="L12" s="58" t="s">
        <v>272</v>
      </c>
    </row>
    <row r="13" spans="1:26" x14ac:dyDescent="0.2">
      <c r="A13" s="11" t="s">
        <v>330</v>
      </c>
      <c r="B13" s="18" t="s">
        <v>251</v>
      </c>
      <c r="C13" s="18" t="s">
        <v>331</v>
      </c>
      <c r="D13" s="18" t="s">
        <v>332</v>
      </c>
      <c r="E13" s="18" t="s">
        <v>333</v>
      </c>
      <c r="F13" s="18" t="s">
        <v>334</v>
      </c>
      <c r="G13" s="18" t="s">
        <v>335</v>
      </c>
      <c r="H13" s="12">
        <v>4</v>
      </c>
      <c r="I13" s="12">
        <v>5</v>
      </c>
      <c r="J13" s="12">
        <f>H13*20*0.6+(6-I13)*20*0.2+(5-IFERROR(INDEX(MCDA_Prioritisation!$J$2:$J$5,MATCH(B13,MCDA_Prioritisation!$A$2:$A$5,0)),3))*20*0.2</f>
        <v>60</v>
      </c>
      <c r="K13" s="18" t="s">
        <v>257</v>
      </c>
      <c r="L13" s="58" t="s">
        <v>272</v>
      </c>
    </row>
    <row r="14" spans="1:26" x14ac:dyDescent="0.2">
      <c r="A14" s="11" t="s">
        <v>336</v>
      </c>
      <c r="B14" s="18" t="s">
        <v>251</v>
      </c>
      <c r="C14" s="18" t="s">
        <v>337</v>
      </c>
      <c r="D14" s="18" t="s">
        <v>338</v>
      </c>
      <c r="E14" s="18" t="s">
        <v>339</v>
      </c>
      <c r="F14" s="18" t="s">
        <v>340</v>
      </c>
      <c r="G14" s="18" t="s">
        <v>341</v>
      </c>
      <c r="H14" s="12">
        <v>3</v>
      </c>
      <c r="I14" s="12">
        <v>4</v>
      </c>
      <c r="J14" s="12">
        <f>H14*20*0.6+(6-I14)*20*0.2+(5-IFERROR(INDEX(MCDA_Prioritisation!$J$2:$J$5,MATCH(B14,MCDA_Prioritisation!$A$2:$A$5,0)),3))*20*0.2</f>
        <v>52</v>
      </c>
      <c r="K14" s="18" t="s">
        <v>257</v>
      </c>
      <c r="L14" s="58" t="s">
        <v>342</v>
      </c>
    </row>
    <row r="15" spans="1:26" x14ac:dyDescent="0.2">
      <c r="A15" s="11" t="s">
        <v>343</v>
      </c>
      <c r="B15" s="18" t="s">
        <v>251</v>
      </c>
      <c r="C15" s="18" t="s">
        <v>344</v>
      </c>
      <c r="D15" s="18" t="s">
        <v>345</v>
      </c>
      <c r="E15" s="18" t="s">
        <v>346</v>
      </c>
      <c r="F15" s="18" t="s">
        <v>347</v>
      </c>
      <c r="G15" s="18" t="s">
        <v>348</v>
      </c>
      <c r="H15" s="12">
        <v>4</v>
      </c>
      <c r="I15" s="12">
        <v>15</v>
      </c>
      <c r="J15" s="12">
        <f>H15*20*0.6+(6-I15)*20*0.2+(5-IFERROR(INDEX(MCDA_Prioritisation!$J$2:$J$5,MATCH(B15,MCDA_Prioritisation!$A$2:$A$5,0)),3))*20*0.2</f>
        <v>20</v>
      </c>
      <c r="K15" s="18" t="s">
        <v>349</v>
      </c>
      <c r="L15" s="58" t="s">
        <v>350</v>
      </c>
    </row>
    <row r="16" spans="1:26" x14ac:dyDescent="0.2">
      <c r="A16" s="11" t="s">
        <v>351</v>
      </c>
      <c r="B16" s="18" t="s">
        <v>251</v>
      </c>
      <c r="C16" s="18" t="s">
        <v>352</v>
      </c>
      <c r="D16" s="18" t="s">
        <v>353</v>
      </c>
      <c r="E16" s="18" t="s">
        <v>354</v>
      </c>
      <c r="F16" s="18" t="s">
        <v>355</v>
      </c>
      <c r="G16" s="18" t="s">
        <v>356</v>
      </c>
      <c r="H16" s="12">
        <v>3</v>
      </c>
      <c r="I16" s="12">
        <v>8</v>
      </c>
      <c r="J16" s="12">
        <f>H16*20*0.6+(6-I16)*20*0.2+(5-IFERROR(INDEX(MCDA_Prioritisation!$J$2:$J$5,MATCH(B16,MCDA_Prioritisation!$A$2:$A$5,0)),3))*20*0.2</f>
        <v>36</v>
      </c>
      <c r="K16" s="18" t="s">
        <v>349</v>
      </c>
      <c r="L16" s="58" t="s">
        <v>357</v>
      </c>
    </row>
    <row r="17" spans="1:12" x14ac:dyDescent="0.2">
      <c r="A17" s="14" t="s">
        <v>358</v>
      </c>
      <c r="B17" s="59" t="s">
        <v>251</v>
      </c>
      <c r="C17" s="59" t="s">
        <v>359</v>
      </c>
      <c r="D17" s="59" t="s">
        <v>360</v>
      </c>
      <c r="E17" s="59" t="s">
        <v>361</v>
      </c>
      <c r="F17" s="59" t="s">
        <v>362</v>
      </c>
      <c r="G17" s="59" t="s">
        <v>363</v>
      </c>
      <c r="H17" s="15">
        <v>3</v>
      </c>
      <c r="I17" s="15">
        <v>7</v>
      </c>
      <c r="J17" s="15">
        <f>H17*20*0.6+(6-I17)*20*0.2+(5-IFERROR(INDEX(MCDA_Prioritisation!$J$2:$J$5,MATCH(B17,MCDA_Prioritisation!$A$2:$A$5,0)),3))*20*0.2</f>
        <v>40</v>
      </c>
      <c r="K17" s="59" t="s">
        <v>349</v>
      </c>
      <c r="L17" s="60" t="s">
        <v>364</v>
      </c>
    </row>
  </sheetData>
  <pageMargins left="0.7" right="0.7" top="0.75" bottom="0.75"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1"/>
  <sheetViews>
    <sheetView zoomScaleNormal="100" workbookViewId="0">
      <selection sqref="A1:F1"/>
    </sheetView>
  </sheetViews>
  <sheetFormatPr baseColWidth="10" defaultColWidth="8.83203125" defaultRowHeight="15" x14ac:dyDescent="0.2"/>
  <cols>
    <col min="1" max="1" width="33.5" style="10" customWidth="1"/>
    <col min="2" max="2" width="43.5" style="10" customWidth="1"/>
    <col min="3" max="3" width="13" style="10" customWidth="1"/>
    <col min="4" max="4" width="20.1640625" style="10" customWidth="1"/>
    <col min="5" max="5" width="15.1640625" style="10" customWidth="1"/>
    <col min="6" max="6" width="51" style="10" customWidth="1"/>
    <col min="7" max="16384" width="8.83203125" style="10"/>
  </cols>
  <sheetData>
    <row r="1" spans="1:26" ht="15" customHeight="1" x14ac:dyDescent="0.2">
      <c r="A1" s="8" t="s">
        <v>365</v>
      </c>
      <c r="B1" s="8"/>
      <c r="C1" s="8"/>
      <c r="D1" s="8"/>
      <c r="E1" s="8"/>
      <c r="F1" s="8"/>
      <c r="G1" s="2"/>
      <c r="H1" s="2"/>
      <c r="I1" s="2"/>
      <c r="J1" s="2"/>
      <c r="K1" s="2"/>
      <c r="L1" s="2"/>
      <c r="M1" s="2"/>
      <c r="N1" s="2"/>
      <c r="O1" s="2"/>
      <c r="P1" s="2"/>
      <c r="Q1" s="2"/>
      <c r="R1" s="2"/>
      <c r="S1" s="2"/>
      <c r="T1" s="2"/>
      <c r="U1" s="2"/>
      <c r="V1" s="2"/>
      <c r="W1" s="2"/>
      <c r="X1" s="2"/>
      <c r="Y1" s="2"/>
      <c r="Z1" s="2"/>
    </row>
    <row r="2" spans="1:26" x14ac:dyDescent="0.2">
      <c r="A2" s="18"/>
      <c r="B2" s="18"/>
      <c r="C2" s="18"/>
      <c r="D2" s="18"/>
      <c r="E2" s="18"/>
      <c r="F2" s="18"/>
    </row>
    <row r="3" spans="1:26" ht="31.5" customHeight="1" x14ac:dyDescent="0.2">
      <c r="A3" s="17" t="s">
        <v>366</v>
      </c>
      <c r="B3" s="17" t="s">
        <v>367</v>
      </c>
      <c r="C3" s="17" t="s">
        <v>368</v>
      </c>
      <c r="D3" s="17" t="s">
        <v>369</v>
      </c>
      <c r="E3" s="17" t="s">
        <v>370</v>
      </c>
      <c r="F3" s="17" t="s">
        <v>371</v>
      </c>
    </row>
    <row r="4" spans="1:26" ht="15" customHeight="1" x14ac:dyDescent="0.2">
      <c r="A4" s="21" t="s">
        <v>372</v>
      </c>
      <c r="B4" s="21" t="s">
        <v>373</v>
      </c>
      <c r="C4" s="21" t="s">
        <v>374</v>
      </c>
      <c r="D4" s="36">
        <f>Case_Data!$N$6*Sources_Assumptions!$D$4*Sources_Assumptions!$D$5/60*Sources_Assumptions!$D$7*Sources_Assumptions!$D$6</f>
        <v>126413.12666666668</v>
      </c>
      <c r="E4" s="36">
        <f>D4*(1/(1+Sources_Assumptions!$D$28)+1/(1+Sources_Assumptions!$D$28)^2+1/(1+Sources_Assumptions!$D$28)^3)</f>
        <v>354163.69054225512</v>
      </c>
      <c r="F4" s="21" t="s">
        <v>375</v>
      </c>
    </row>
    <row r="5" spans="1:26" ht="15" customHeight="1" x14ac:dyDescent="0.2">
      <c r="A5" s="21" t="s">
        <v>376</v>
      </c>
      <c r="B5" s="21" t="s">
        <v>377</v>
      </c>
      <c r="C5" s="21" t="s">
        <v>374</v>
      </c>
      <c r="D5" s="36">
        <f>Case_Data!$N$6*Sources_Assumptions!$D$8*Sources_Assumptions!$D$9*Sources_Assumptions!$D$6</f>
        <v>109395.97500000001</v>
      </c>
      <c r="E5" s="36">
        <f>D5*(1/(1+Sources_Assumptions!$D$28)+1/(1+Sources_Assumptions!$D$28)^2+1/(1+Sources_Assumptions!$D$28)^3)</f>
        <v>306487.80912310543</v>
      </c>
      <c r="F5" s="21" t="s">
        <v>378</v>
      </c>
    </row>
    <row r="6" spans="1:26" ht="30" customHeight="1" x14ac:dyDescent="0.2">
      <c r="A6" s="21" t="s">
        <v>379</v>
      </c>
      <c r="B6" s="21" t="s">
        <v>380</v>
      </c>
      <c r="C6" s="21" t="s">
        <v>374</v>
      </c>
      <c r="D6" s="36">
        <f>Sources_Assumptions!$D$10*Sources_Assumptions!$D$11*Sources_Assumptions!$D$12</f>
        <v>154594.44</v>
      </c>
      <c r="E6" s="36">
        <f>D6*(1/(1+Sources_Assumptions!$D$28)+1/(1+Sources_Assumptions!$D$28)^2+1/(1+Sources_Assumptions!$D$28)^3)</f>
        <v>433117.50014763675</v>
      </c>
      <c r="F6" s="21" t="s">
        <v>381</v>
      </c>
    </row>
    <row r="7" spans="1:26" ht="15" customHeight="1" x14ac:dyDescent="0.2">
      <c r="A7" s="21" t="s">
        <v>382</v>
      </c>
      <c r="B7" s="21" t="s">
        <v>383</v>
      </c>
      <c r="C7" s="21" t="s">
        <v>374</v>
      </c>
      <c r="D7" s="36">
        <f>Sources_Assumptions!$D$13</f>
        <v>60000</v>
      </c>
      <c r="E7" s="36">
        <f>D7*(1/(1+Sources_Assumptions!$D$28)+1/(1+Sources_Assumptions!$D$28)^2+1/(1+Sources_Assumptions!$D$28)^3)</f>
        <v>168098.21885481913</v>
      </c>
      <c r="F7" s="21" t="s">
        <v>384</v>
      </c>
    </row>
    <row r="8" spans="1:26" ht="15" customHeight="1" x14ac:dyDescent="0.2">
      <c r="A8" s="21" t="s">
        <v>385</v>
      </c>
      <c r="B8" s="21" t="s">
        <v>386</v>
      </c>
      <c r="C8" s="21" t="s">
        <v>374</v>
      </c>
      <c r="D8" s="36">
        <f>Sources_Assumptions!$D$14</f>
        <v>35000</v>
      </c>
      <c r="E8" s="36">
        <f>D8*(1/(1+Sources_Assumptions!$D$28)+1/(1+Sources_Assumptions!$D$28)^2+1/(1+Sources_Assumptions!$D$28)^3)</f>
        <v>98057.294331977828</v>
      </c>
      <c r="F8" s="21" t="s">
        <v>387</v>
      </c>
    </row>
    <row r="9" spans="1:26" ht="15" customHeight="1" x14ac:dyDescent="0.2">
      <c r="A9" s="21" t="s">
        <v>388</v>
      </c>
      <c r="B9" s="21" t="s">
        <v>389</v>
      </c>
      <c r="C9" s="21" t="s">
        <v>374</v>
      </c>
      <c r="D9" s="36">
        <f>SUM(D4:D8)</f>
        <v>485403.54166666669</v>
      </c>
      <c r="E9" s="36">
        <f>D9*(1/(1+Sources_Assumptions!$D$28)+1/(1+Sources_Assumptions!$D$28)^2+1/(1+Sources_Assumptions!$D$28)^3)</f>
        <v>1359924.5129997942</v>
      </c>
      <c r="F9" s="21"/>
    </row>
    <row r="10" spans="1:26" ht="15" customHeight="1" x14ac:dyDescent="0.2">
      <c r="A10" s="21" t="s">
        <v>390</v>
      </c>
      <c r="B10" s="21" t="s">
        <v>391</v>
      </c>
      <c r="C10" s="21" t="s">
        <v>392</v>
      </c>
      <c r="D10" s="36">
        <f>Sources_Assumptions!$D$15*Sources_Assumptions!$D$16*Sources_Assumptions!$D$17</f>
        <v>15412.5</v>
      </c>
      <c r="E10" s="36">
        <f t="shared" ref="E10:E17" si="0">D10</f>
        <v>15412.5</v>
      </c>
      <c r="F10" s="21"/>
    </row>
    <row r="11" spans="1:26" ht="15" customHeight="1" x14ac:dyDescent="0.2">
      <c r="A11" s="21" t="s">
        <v>393</v>
      </c>
      <c r="B11" s="21" t="s">
        <v>394</v>
      </c>
      <c r="C11" s="21" t="s">
        <v>392</v>
      </c>
      <c r="D11" s="36">
        <f>Sources_Assumptions!$D$23</f>
        <v>72000</v>
      </c>
      <c r="E11" s="36">
        <f t="shared" si="0"/>
        <v>72000</v>
      </c>
      <c r="F11" s="21"/>
    </row>
    <row r="12" spans="1:26" ht="15" customHeight="1" x14ac:dyDescent="0.2">
      <c r="A12" s="21" t="s">
        <v>395</v>
      </c>
      <c r="B12" s="21" t="s">
        <v>396</v>
      </c>
      <c r="C12" s="21" t="s">
        <v>392</v>
      </c>
      <c r="D12" s="36">
        <f>Sources_Assumptions!$D$15*Sources_Assumptions!$D$18*Sources_Assumptions!$D$19</f>
        <v>48977.5</v>
      </c>
      <c r="E12" s="36">
        <f t="shared" si="0"/>
        <v>48977.5</v>
      </c>
      <c r="F12" s="21"/>
    </row>
    <row r="13" spans="1:26" ht="15" customHeight="1" x14ac:dyDescent="0.2">
      <c r="A13" s="21" t="s">
        <v>397</v>
      </c>
      <c r="B13" s="21" t="s">
        <v>398</v>
      </c>
      <c r="C13" s="21" t="s">
        <v>392</v>
      </c>
      <c r="D13" s="36">
        <f>Sources_Assumptions!$D$15*Sources_Assumptions!$D$20*Sources_Assumptions!$D$21</f>
        <v>18837.5</v>
      </c>
      <c r="E13" s="36">
        <f t="shared" si="0"/>
        <v>18837.5</v>
      </c>
      <c r="F13" s="21"/>
    </row>
    <row r="14" spans="1:26" ht="30" customHeight="1" x14ac:dyDescent="0.2">
      <c r="A14" s="21" t="s">
        <v>174</v>
      </c>
      <c r="B14" s="21" t="s">
        <v>394</v>
      </c>
      <c r="C14" s="21" t="s">
        <v>392</v>
      </c>
      <c r="D14" s="36">
        <f>Sources_Assumptions!$D$22</f>
        <v>30000</v>
      </c>
      <c r="E14" s="36">
        <f t="shared" si="0"/>
        <v>30000</v>
      </c>
      <c r="F14" s="21"/>
    </row>
    <row r="15" spans="1:26" ht="15" customHeight="1" x14ac:dyDescent="0.2">
      <c r="A15" s="21" t="s">
        <v>184</v>
      </c>
      <c r="B15" s="21" t="s">
        <v>394</v>
      </c>
      <c r="C15" s="21" t="s">
        <v>392</v>
      </c>
      <c r="D15" s="36">
        <f>Sources_Assumptions!$D$24</f>
        <v>70000</v>
      </c>
      <c r="E15" s="36">
        <f t="shared" si="0"/>
        <v>70000</v>
      </c>
      <c r="F15" s="21"/>
    </row>
    <row r="16" spans="1:26" ht="15" customHeight="1" x14ac:dyDescent="0.2">
      <c r="A16" s="21" t="s">
        <v>399</v>
      </c>
      <c r="B16" s="21" t="s">
        <v>400</v>
      </c>
      <c r="C16" s="21" t="s">
        <v>392</v>
      </c>
      <c r="D16" s="36">
        <f>SUM(D10:D15)*Sources_Assumptions!$D$25</f>
        <v>51045.5</v>
      </c>
      <c r="E16" s="36">
        <f t="shared" si="0"/>
        <v>51045.5</v>
      </c>
      <c r="F16" s="21"/>
    </row>
    <row r="17" spans="1:6" ht="15" customHeight="1" x14ac:dyDescent="0.2">
      <c r="A17" s="21" t="s">
        <v>401</v>
      </c>
      <c r="B17" s="21" t="s">
        <v>402</v>
      </c>
      <c r="C17" s="21" t="s">
        <v>392</v>
      </c>
      <c r="D17" s="36">
        <f>SUM(D10:D16)</f>
        <v>306273</v>
      </c>
      <c r="E17" s="36">
        <f t="shared" si="0"/>
        <v>306273</v>
      </c>
      <c r="F17" s="21"/>
    </row>
    <row r="18" spans="1:6" ht="15" customHeight="1" x14ac:dyDescent="0.2">
      <c r="A18" s="21" t="s">
        <v>194</v>
      </c>
      <c r="B18" s="21" t="s">
        <v>403</v>
      </c>
      <c r="C18" s="21" t="s">
        <v>404</v>
      </c>
      <c r="D18" s="36">
        <f>Sources_Assumptions!$D$26</f>
        <v>95000</v>
      </c>
      <c r="E18" s="36">
        <f>D18*(1/(1+Sources_Assumptions!$D$28)+1/(1+Sources_Assumptions!$D$28)^2+1/(1+Sources_Assumptions!$D$28)^3)</f>
        <v>266155.51318679698</v>
      </c>
      <c r="F18" s="21"/>
    </row>
    <row r="19" spans="1:6" ht="15" customHeight="1" x14ac:dyDescent="0.2">
      <c r="A19" s="21" t="s">
        <v>33</v>
      </c>
      <c r="B19" s="21" t="s">
        <v>405</v>
      </c>
      <c r="C19" s="21" t="s">
        <v>374</v>
      </c>
      <c r="D19" s="36">
        <f>D9-D18</f>
        <v>390403.54166666669</v>
      </c>
      <c r="E19" s="36">
        <f>D19*(1/(1+Sources_Assumptions!$D$28)+1/(1+Sources_Assumptions!$D$28)^2+1/(1+Sources_Assumptions!$D$28)^3)</f>
        <v>1093768.9998129974</v>
      </c>
      <c r="F19" s="21"/>
    </row>
    <row r="20" spans="1:6" ht="15" customHeight="1" x14ac:dyDescent="0.2">
      <c r="A20" s="21" t="s">
        <v>406</v>
      </c>
      <c r="B20" s="21" t="s">
        <v>407</v>
      </c>
      <c r="C20" s="21" t="s">
        <v>408</v>
      </c>
      <c r="D20" s="36">
        <f>D9*(1/(1+Sources_Assumptions!$D$28)+1/(1+Sources_Assumptions!$D$28)^2+1/(1+Sources_Assumptions!$D$28)^3)</f>
        <v>1359924.5129997942</v>
      </c>
      <c r="E20" s="36">
        <f>D20</f>
        <v>1359924.5129997942</v>
      </c>
      <c r="F20" s="21"/>
    </row>
    <row r="21" spans="1:6" ht="15" customHeight="1" x14ac:dyDescent="0.2">
      <c r="A21" s="21" t="s">
        <v>409</v>
      </c>
      <c r="B21" s="21" t="s">
        <v>410</v>
      </c>
      <c r="C21" s="21" t="s">
        <v>408</v>
      </c>
      <c r="D21" s="36">
        <f>D17+D18*(1/(1+Sources_Assumptions!$D$28)+1/(1+Sources_Assumptions!$D$28)^2+1/(1+Sources_Assumptions!$D$28)^3)</f>
        <v>572428.51318679703</v>
      </c>
      <c r="E21" s="36">
        <f>D21</f>
        <v>572428.51318679703</v>
      </c>
      <c r="F21" s="21"/>
    </row>
    <row r="22" spans="1:6" ht="15" customHeight="1" x14ac:dyDescent="0.2">
      <c r="A22" s="21" t="s">
        <v>411</v>
      </c>
      <c r="B22" s="21" t="s">
        <v>412</v>
      </c>
      <c r="C22" s="21" t="s">
        <v>408</v>
      </c>
      <c r="D22" s="36">
        <f>D20-D21</f>
        <v>787495.99981299718</v>
      </c>
      <c r="E22" s="36">
        <f>D22</f>
        <v>787495.99981299718</v>
      </c>
      <c r="F22" s="21"/>
    </row>
    <row r="23" spans="1:6" ht="15" customHeight="1" x14ac:dyDescent="0.2">
      <c r="A23" s="21" t="s">
        <v>413</v>
      </c>
      <c r="B23" s="21" t="s">
        <v>414</v>
      </c>
      <c r="C23" s="21" t="s">
        <v>415</v>
      </c>
      <c r="D23" s="22">
        <f>D20/D21</f>
        <v>2.3757106462584936</v>
      </c>
      <c r="E23" s="22">
        <f>D23</f>
        <v>2.3757106462584936</v>
      </c>
      <c r="F23" s="21"/>
    </row>
    <row r="24" spans="1:6" ht="15" customHeight="1" x14ac:dyDescent="0.2">
      <c r="A24" s="21" t="s">
        <v>416</v>
      </c>
      <c r="B24" s="21" t="s">
        <v>417</v>
      </c>
      <c r="C24" s="21" t="s">
        <v>418</v>
      </c>
      <c r="D24" s="61">
        <f>D17/D19</f>
        <v>0.78450364126435412</v>
      </c>
      <c r="E24" s="61">
        <f>D24</f>
        <v>0.78450364126435412</v>
      </c>
      <c r="F24" s="21"/>
    </row>
    <row r="26" spans="1:6" ht="13.5" customHeight="1" x14ac:dyDescent="0.2">
      <c r="A26" s="62" t="s">
        <v>419</v>
      </c>
      <c r="B26" s="62"/>
      <c r="C26" s="62"/>
      <c r="D26" s="62"/>
      <c r="E26" s="62"/>
      <c r="F26" s="62"/>
    </row>
    <row r="27" spans="1:6" x14ac:dyDescent="0.2">
      <c r="A27" s="62"/>
      <c r="B27" s="62"/>
      <c r="C27" s="62"/>
      <c r="D27" s="62"/>
      <c r="E27" s="62"/>
      <c r="F27" s="62"/>
    </row>
    <row r="28" spans="1:6" x14ac:dyDescent="0.2">
      <c r="A28" s="62"/>
      <c r="B28" s="62"/>
      <c r="C28" s="62"/>
      <c r="D28" s="62"/>
      <c r="E28" s="62"/>
      <c r="F28" s="62"/>
    </row>
    <row r="29" spans="1:6" x14ac:dyDescent="0.2">
      <c r="A29" s="62"/>
      <c r="B29" s="62"/>
      <c r="C29" s="62"/>
      <c r="D29" s="62"/>
      <c r="E29" s="62"/>
      <c r="F29" s="62"/>
    </row>
    <row r="30" spans="1:6" x14ac:dyDescent="0.2">
      <c r="A30" s="62"/>
      <c r="B30" s="62"/>
      <c r="C30" s="62"/>
      <c r="D30" s="62"/>
      <c r="E30" s="62"/>
      <c r="F30" s="62"/>
    </row>
    <row r="31" spans="1:6" x14ac:dyDescent="0.2">
      <c r="A31" s="62"/>
      <c r="B31" s="62"/>
      <c r="C31" s="62"/>
      <c r="D31" s="62"/>
      <c r="E31" s="62"/>
      <c r="F31" s="62"/>
    </row>
  </sheetData>
  <mergeCells count="2">
    <mergeCell ref="A1:F1"/>
    <mergeCell ref="A26:F31"/>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4"/>
  <sheetViews>
    <sheetView zoomScale="80" zoomScaleNormal="80" workbookViewId="0">
      <selection sqref="A1:I1"/>
    </sheetView>
  </sheetViews>
  <sheetFormatPr baseColWidth="10" defaultColWidth="8.83203125" defaultRowHeight="15" x14ac:dyDescent="0.2"/>
  <cols>
    <col min="1" max="1" width="17.6640625" style="10" bestFit="1" customWidth="1"/>
    <col min="2" max="2" width="13.6640625" style="10" customWidth="1"/>
    <col min="3" max="4" width="13.83203125" style="10" customWidth="1"/>
    <col min="5" max="5" width="11.6640625" style="10" customWidth="1"/>
    <col min="6" max="6" width="15.83203125" style="10" customWidth="1"/>
    <col min="7" max="7" width="16.83203125" style="10" customWidth="1"/>
    <col min="8" max="8" width="17.33203125" style="10" customWidth="1"/>
    <col min="9" max="9" width="96.83203125" style="10" customWidth="1"/>
    <col min="10" max="16384" width="8.83203125" style="10"/>
  </cols>
  <sheetData>
    <row r="1" spans="1:26" ht="29" customHeight="1" x14ac:dyDescent="0.2">
      <c r="A1" s="9" t="s">
        <v>420</v>
      </c>
      <c r="B1" s="9"/>
      <c r="C1" s="9"/>
      <c r="D1" s="9"/>
      <c r="E1" s="9"/>
      <c r="F1" s="9"/>
      <c r="G1" s="9"/>
      <c r="H1" s="9"/>
      <c r="I1" s="9"/>
      <c r="J1" s="2"/>
      <c r="K1" s="2"/>
      <c r="L1" s="2"/>
      <c r="M1" s="2"/>
      <c r="N1" s="2"/>
      <c r="O1" s="2"/>
      <c r="P1" s="2"/>
      <c r="Q1" s="2"/>
      <c r="R1" s="2"/>
      <c r="S1" s="2"/>
      <c r="T1" s="2"/>
      <c r="U1" s="2"/>
      <c r="V1" s="2"/>
      <c r="W1" s="2"/>
      <c r="X1" s="2"/>
      <c r="Y1" s="2"/>
      <c r="Z1" s="2"/>
    </row>
    <row r="2" spans="1:26" x14ac:dyDescent="0.2">
      <c r="A2" s="18"/>
      <c r="B2" s="18"/>
      <c r="C2" s="18"/>
      <c r="D2" s="18"/>
      <c r="E2" s="18"/>
      <c r="F2" s="18"/>
      <c r="G2" s="18"/>
      <c r="H2" s="18"/>
      <c r="I2" s="18"/>
    </row>
    <row r="3" spans="1:26" ht="31.5" customHeight="1" x14ac:dyDescent="0.2">
      <c r="A3" s="17" t="s">
        <v>36</v>
      </c>
      <c r="B3" s="17" t="s">
        <v>421</v>
      </c>
      <c r="C3" s="17" t="s">
        <v>422</v>
      </c>
      <c r="D3" s="17" t="s">
        <v>423</v>
      </c>
      <c r="E3" s="17" t="s">
        <v>424</v>
      </c>
      <c r="F3" s="17" t="s">
        <v>33</v>
      </c>
      <c r="G3" s="17" t="s">
        <v>24</v>
      </c>
      <c r="H3" s="17" t="s">
        <v>37</v>
      </c>
      <c r="I3" s="17" t="s">
        <v>425</v>
      </c>
    </row>
    <row r="4" spans="1:26" ht="30" customHeight="1" x14ac:dyDescent="0.2">
      <c r="A4" s="21" t="s">
        <v>426</v>
      </c>
      <c r="B4" s="21" t="s">
        <v>55</v>
      </c>
      <c r="C4" s="21" t="s">
        <v>55</v>
      </c>
      <c r="D4" s="22">
        <v>1.1499999999999999</v>
      </c>
      <c r="E4" s="22">
        <v>1.05</v>
      </c>
      <c r="F4" s="36">
        <f>Cost_Benefit!$D$19*D4</f>
        <v>448964.07291666663</v>
      </c>
      <c r="G4" s="36">
        <f>Cost_Benefit!$D$17*E4</f>
        <v>321586.65000000002</v>
      </c>
      <c r="H4" s="36">
        <f>F4*(1/(1+Sources_Assumptions!$D$28)+1/(1+Sources_Assumptions!$D$28)^2+1/(1+Sources_Assumptions!$D$28)^3)-G4</f>
        <v>936247.69978494674</v>
      </c>
      <c r="I4" s="21" t="s">
        <v>427</v>
      </c>
    </row>
    <row r="5" spans="1:26" ht="30" customHeight="1" x14ac:dyDescent="0.2">
      <c r="A5" s="21" t="s">
        <v>428</v>
      </c>
      <c r="B5" s="21" t="s">
        <v>55</v>
      </c>
      <c r="C5" s="21" t="s">
        <v>53</v>
      </c>
      <c r="D5" s="22">
        <v>0.75</v>
      </c>
      <c r="E5" s="22">
        <v>1.35</v>
      </c>
      <c r="F5" s="36">
        <f>Cost_Benefit!$D$19*D5</f>
        <v>292802.65625</v>
      </c>
      <c r="G5" s="36">
        <f>Cost_Benefit!$D$17*E5</f>
        <v>413468.55000000005</v>
      </c>
      <c r="H5" s="36">
        <f>F5*(1/(1+Sources_Assumptions!$D$28)+1/(1+Sources_Assumptions!$D$28)^2+1/(1+Sources_Assumptions!$D$28)^3)-G5</f>
        <v>406858.1998597479</v>
      </c>
      <c r="I5" s="21" t="s">
        <v>569</v>
      </c>
    </row>
    <row r="6" spans="1:26" ht="30" customHeight="1" x14ac:dyDescent="0.2">
      <c r="A6" s="21" t="s">
        <v>429</v>
      </c>
      <c r="B6" s="21" t="s">
        <v>53</v>
      </c>
      <c r="C6" s="21" t="s">
        <v>55</v>
      </c>
      <c r="D6" s="22">
        <v>1</v>
      </c>
      <c r="E6" s="22">
        <v>1</v>
      </c>
      <c r="F6" s="36">
        <f>Cost_Benefit!$D$19*D6</f>
        <v>390403.54166666669</v>
      </c>
      <c r="G6" s="36">
        <f>Cost_Benefit!$D$17*E6</f>
        <v>306273</v>
      </c>
      <c r="H6" s="36">
        <f>F6*(1/(1+Sources_Assumptions!$D$28)+1/(1+Sources_Assumptions!$D$28)^2+1/(1+Sources_Assumptions!$D$28)^3)-G6</f>
        <v>787495.99981299741</v>
      </c>
      <c r="I6" s="21" t="s">
        <v>430</v>
      </c>
    </row>
    <row r="7" spans="1:26" ht="30" customHeight="1" x14ac:dyDescent="0.2">
      <c r="A7" s="21" t="s">
        <v>431</v>
      </c>
      <c r="B7" s="21" t="s">
        <v>53</v>
      </c>
      <c r="C7" s="21" t="s">
        <v>53</v>
      </c>
      <c r="D7" s="22">
        <v>0.55000000000000004</v>
      </c>
      <c r="E7" s="22">
        <v>0.9</v>
      </c>
      <c r="F7" s="36">
        <f>Cost_Benefit!$D$19*D7</f>
        <v>214721.94791666669</v>
      </c>
      <c r="G7" s="36">
        <f>Cost_Benefit!$D$17*E7</f>
        <v>275645.7</v>
      </c>
      <c r="H7" s="36">
        <f>F7*(1/(1+Sources_Assumptions!$D$28)+1/(1+Sources_Assumptions!$D$28)^2+1/(1+Sources_Assumptions!$D$28)^3)-G7</f>
        <v>325927.24989714852</v>
      </c>
      <c r="I7" s="21" t="s">
        <v>432</v>
      </c>
    </row>
    <row r="10" spans="1:26" ht="13.5" customHeight="1" x14ac:dyDescent="0.2">
      <c r="A10" s="63" t="s">
        <v>433</v>
      </c>
      <c r="B10" s="63"/>
      <c r="C10" s="63"/>
      <c r="D10" s="63"/>
      <c r="E10" s="63"/>
      <c r="F10" s="63"/>
      <c r="G10" s="63"/>
      <c r="H10" s="63"/>
      <c r="I10" s="63"/>
    </row>
    <row r="11" spans="1:26" x14ac:dyDescent="0.2">
      <c r="A11" s="63"/>
      <c r="B11" s="63"/>
      <c r="C11" s="63"/>
      <c r="D11" s="63"/>
      <c r="E11" s="63"/>
      <c r="F11" s="63"/>
      <c r="G11" s="63"/>
      <c r="H11" s="63"/>
      <c r="I11" s="63"/>
    </row>
    <row r="12" spans="1:26" x14ac:dyDescent="0.2">
      <c r="A12" s="63"/>
      <c r="B12" s="63"/>
      <c r="C12" s="63"/>
      <c r="D12" s="63"/>
      <c r="E12" s="63"/>
      <c r="F12" s="63"/>
      <c r="G12" s="63"/>
      <c r="H12" s="63"/>
      <c r="I12" s="63"/>
    </row>
    <row r="13" spans="1:26" x14ac:dyDescent="0.2">
      <c r="G13" s="64"/>
    </row>
    <row r="14" spans="1:26" x14ac:dyDescent="0.2">
      <c r="G14" s="64"/>
    </row>
  </sheetData>
  <mergeCells count="2">
    <mergeCell ref="A1:I1"/>
    <mergeCell ref="A10:I12"/>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1"/>
  <sheetViews>
    <sheetView zoomScaleNormal="100" workbookViewId="0"/>
  </sheetViews>
  <sheetFormatPr baseColWidth="10" defaultColWidth="8.83203125" defaultRowHeight="15" x14ac:dyDescent="0.2"/>
  <cols>
    <col min="1" max="1" width="31.33203125" style="10" bestFit="1" customWidth="1"/>
    <col min="2" max="2" width="49" style="10" bestFit="1" customWidth="1"/>
    <col min="3" max="3" width="44.33203125" style="10" bestFit="1" customWidth="1"/>
    <col min="4" max="4" width="42.33203125" style="10" bestFit="1" customWidth="1"/>
    <col min="5" max="5" width="43.33203125" style="10" bestFit="1" customWidth="1"/>
    <col min="6" max="6" width="56.83203125" style="10" bestFit="1" customWidth="1"/>
    <col min="7" max="7" width="19.6640625" style="10" bestFit="1" customWidth="1"/>
    <col min="8" max="8" width="34.5" style="10" bestFit="1" customWidth="1"/>
    <col min="9" max="16384" width="8.83203125" style="10"/>
  </cols>
  <sheetData>
    <row r="1" spans="1:8" ht="15.75" customHeight="1" x14ac:dyDescent="0.2">
      <c r="A1" s="65" t="s">
        <v>434</v>
      </c>
      <c r="B1" s="66" t="s">
        <v>1</v>
      </c>
      <c r="C1" s="66" t="s">
        <v>435</v>
      </c>
      <c r="D1" s="66" t="s">
        <v>436</v>
      </c>
      <c r="E1" s="66" t="s">
        <v>437</v>
      </c>
      <c r="F1" s="66" t="s">
        <v>438</v>
      </c>
      <c r="G1" s="66" t="s">
        <v>249</v>
      </c>
      <c r="H1" s="67" t="s">
        <v>439</v>
      </c>
    </row>
    <row r="2" spans="1:8" x14ac:dyDescent="0.2">
      <c r="A2" s="11" t="s">
        <v>440</v>
      </c>
      <c r="B2" s="18" t="s">
        <v>441</v>
      </c>
      <c r="C2" s="18" t="s">
        <v>442</v>
      </c>
      <c r="D2" s="18" t="s">
        <v>443</v>
      </c>
      <c r="E2" s="18" t="s">
        <v>444</v>
      </c>
      <c r="F2" s="18" t="s">
        <v>445</v>
      </c>
      <c r="G2" s="18" t="s">
        <v>446</v>
      </c>
      <c r="H2" s="58" t="s">
        <v>447</v>
      </c>
    </row>
    <row r="3" spans="1:8" x14ac:dyDescent="0.2">
      <c r="A3" s="11" t="s">
        <v>448</v>
      </c>
      <c r="B3" s="18" t="s">
        <v>449</v>
      </c>
      <c r="C3" s="18" t="s">
        <v>450</v>
      </c>
      <c r="D3" s="18" t="s">
        <v>451</v>
      </c>
      <c r="E3" s="18" t="s">
        <v>452</v>
      </c>
      <c r="F3" s="18" t="s">
        <v>453</v>
      </c>
      <c r="G3" s="18" t="s">
        <v>454</v>
      </c>
      <c r="H3" s="58" t="s">
        <v>455</v>
      </c>
    </row>
    <row r="4" spans="1:8" x14ac:dyDescent="0.2">
      <c r="A4" s="11" t="s">
        <v>456</v>
      </c>
      <c r="B4" s="18" t="s">
        <v>457</v>
      </c>
      <c r="C4" s="18" t="s">
        <v>458</v>
      </c>
      <c r="D4" s="18" t="s">
        <v>459</v>
      </c>
      <c r="E4" s="18" t="s">
        <v>460</v>
      </c>
      <c r="F4" s="18" t="s">
        <v>461</v>
      </c>
      <c r="G4" s="18" t="s">
        <v>462</v>
      </c>
      <c r="H4" s="58" t="s">
        <v>463</v>
      </c>
    </row>
    <row r="5" spans="1:8" x14ac:dyDescent="0.2">
      <c r="A5" s="11" t="s">
        <v>464</v>
      </c>
      <c r="B5" s="18" t="s">
        <v>465</v>
      </c>
      <c r="C5" s="18" t="s">
        <v>466</v>
      </c>
      <c r="D5" s="18" t="s">
        <v>467</v>
      </c>
      <c r="E5" s="18" t="s">
        <v>468</v>
      </c>
      <c r="F5" s="18" t="s">
        <v>469</v>
      </c>
      <c r="G5" s="18" t="s">
        <v>470</v>
      </c>
      <c r="H5" s="58" t="s">
        <v>471</v>
      </c>
    </row>
    <row r="6" spans="1:8" x14ac:dyDescent="0.2">
      <c r="A6" s="11" t="s">
        <v>472</v>
      </c>
      <c r="B6" s="18" t="s">
        <v>473</v>
      </c>
      <c r="C6" s="18" t="s">
        <v>474</v>
      </c>
      <c r="D6" s="18" t="s">
        <v>475</v>
      </c>
      <c r="E6" s="18" t="s">
        <v>476</v>
      </c>
      <c r="F6" s="18" t="s">
        <v>477</v>
      </c>
      <c r="G6" s="18" t="s">
        <v>478</v>
      </c>
      <c r="H6" s="58" t="s">
        <v>479</v>
      </c>
    </row>
    <row r="7" spans="1:8" x14ac:dyDescent="0.2">
      <c r="A7" s="11" t="s">
        <v>480</v>
      </c>
      <c r="B7" s="18" t="s">
        <v>481</v>
      </c>
      <c r="C7" s="18" t="s">
        <v>482</v>
      </c>
      <c r="D7" s="18" t="s">
        <v>483</v>
      </c>
      <c r="E7" s="18" t="s">
        <v>484</v>
      </c>
      <c r="F7" s="18" t="s">
        <v>485</v>
      </c>
      <c r="G7" s="18" t="s">
        <v>486</v>
      </c>
      <c r="H7" s="58" t="s">
        <v>487</v>
      </c>
    </row>
    <row r="8" spans="1:8" x14ac:dyDescent="0.2">
      <c r="A8" s="14" t="s">
        <v>488</v>
      </c>
      <c r="B8" s="59" t="s">
        <v>489</v>
      </c>
      <c r="C8" s="59" t="s">
        <v>490</v>
      </c>
      <c r="D8" s="59" t="s">
        <v>491</v>
      </c>
      <c r="E8" s="59" t="s">
        <v>492</v>
      </c>
      <c r="F8" s="59" t="s">
        <v>493</v>
      </c>
      <c r="G8" s="59" t="s">
        <v>494</v>
      </c>
      <c r="H8" s="60" t="s">
        <v>495</v>
      </c>
    </row>
    <row r="10" spans="1:8" ht="13.5" customHeight="1" x14ac:dyDescent="0.2">
      <c r="A10" s="63" t="s">
        <v>496</v>
      </c>
      <c r="B10" s="63"/>
      <c r="C10" s="63"/>
      <c r="D10" s="63"/>
      <c r="E10" s="63"/>
      <c r="F10" s="63"/>
      <c r="G10" s="63"/>
      <c r="H10" s="63"/>
    </row>
    <row r="11" spans="1:8" x14ac:dyDescent="0.2">
      <c r="A11" s="63"/>
      <c r="B11" s="63"/>
      <c r="C11" s="63"/>
      <c r="D11" s="63"/>
      <c r="E11" s="63"/>
      <c r="F11" s="63"/>
      <c r="G11" s="63"/>
      <c r="H11" s="63"/>
    </row>
  </sheetData>
  <mergeCells count="1">
    <mergeCell ref="A10:H11"/>
  </mergeCells>
  <pageMargins left="0.7" right="0.7" top="0.75" bottom="0.75"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2"/>
  <sheetViews>
    <sheetView zoomScaleNormal="100" workbookViewId="0">
      <selection sqref="A1:P1"/>
    </sheetView>
  </sheetViews>
  <sheetFormatPr baseColWidth="10" defaultColWidth="8.83203125" defaultRowHeight="15" x14ac:dyDescent="0.2"/>
  <cols>
    <col min="1" max="1" width="12.6640625" style="10" customWidth="1"/>
    <col min="2" max="2" width="20.83203125" style="10" customWidth="1"/>
    <col min="3" max="3" width="9" style="10" customWidth="1"/>
    <col min="4" max="4" width="18.5" style="10" customWidth="1"/>
    <col min="5" max="5" width="17.6640625" style="10" customWidth="1"/>
    <col min="6" max="6" width="9.5" style="10" customWidth="1"/>
    <col min="7" max="7" width="13.5" style="10" customWidth="1"/>
    <col min="8" max="8" width="12" style="10" customWidth="1"/>
    <col min="9" max="9" width="13.6640625" style="10" customWidth="1"/>
    <col min="10" max="10" width="10.5" style="10" customWidth="1"/>
    <col min="11" max="11" width="13.33203125" style="10" customWidth="1"/>
    <col min="12" max="12" width="16.83203125" style="10" customWidth="1"/>
    <col min="13" max="13" width="15.83203125" style="10" customWidth="1"/>
    <col min="14" max="14" width="15" style="10" customWidth="1"/>
    <col min="15" max="15" width="13.5" style="10" customWidth="1"/>
    <col min="16" max="16" width="8.5" style="10" customWidth="1"/>
    <col min="17" max="16384" width="8.83203125" style="10"/>
  </cols>
  <sheetData>
    <row r="1" spans="1:26" ht="200" customHeight="1" x14ac:dyDescent="0.2">
      <c r="A1" s="69" t="s">
        <v>566</v>
      </c>
      <c r="B1" s="70"/>
      <c r="C1" s="70"/>
      <c r="D1" s="70"/>
      <c r="E1" s="70"/>
      <c r="F1" s="70"/>
      <c r="G1" s="70"/>
      <c r="H1" s="70"/>
      <c r="I1" s="70"/>
      <c r="J1" s="70"/>
      <c r="K1" s="70"/>
      <c r="L1" s="70"/>
      <c r="M1" s="70"/>
      <c r="N1" s="70"/>
      <c r="O1" s="70"/>
      <c r="P1" s="70"/>
    </row>
    <row r="2" spans="1:26" ht="30" customHeight="1" x14ac:dyDescent="0.2">
      <c r="A2" s="7" t="s">
        <v>497</v>
      </c>
      <c r="B2" s="7" t="s">
        <v>498</v>
      </c>
      <c r="C2" s="7" t="s">
        <v>499</v>
      </c>
      <c r="D2" s="7" t="s">
        <v>500</v>
      </c>
      <c r="E2" s="7" t="s">
        <v>501</v>
      </c>
      <c r="F2" s="7" t="s">
        <v>502</v>
      </c>
      <c r="G2" s="7" t="s">
        <v>503</v>
      </c>
      <c r="H2" s="7" t="s">
        <v>504</v>
      </c>
      <c r="I2" s="7" t="s">
        <v>505</v>
      </c>
      <c r="J2" s="7" t="s">
        <v>506</v>
      </c>
      <c r="K2" s="7" t="s">
        <v>507</v>
      </c>
      <c r="L2" s="7" t="s">
        <v>508</v>
      </c>
      <c r="M2" s="7" t="s">
        <v>509</v>
      </c>
      <c r="N2" s="7" t="s">
        <v>510</v>
      </c>
      <c r="O2" s="7" t="s">
        <v>37</v>
      </c>
      <c r="P2" s="7" t="s">
        <v>511</v>
      </c>
      <c r="Q2" s="2"/>
      <c r="R2" s="2"/>
      <c r="S2" s="2"/>
      <c r="T2" s="2"/>
      <c r="U2" s="2"/>
      <c r="V2" s="2"/>
      <c r="W2" s="2"/>
      <c r="X2" s="2"/>
      <c r="Y2" s="2"/>
      <c r="Z2" s="2"/>
    </row>
    <row r="3" spans="1:26" x14ac:dyDescent="0.2">
      <c r="A3" s="10">
        <v>1</v>
      </c>
      <c r="B3" s="40">
        <v>0.15500440229590054</v>
      </c>
      <c r="C3" s="12">
        <v>2.0383705258169793</v>
      </c>
      <c r="D3" s="40">
        <v>0.57625772271700004</v>
      </c>
      <c r="E3" s="40">
        <v>2.8124448078981339E-2</v>
      </c>
      <c r="F3" s="37">
        <v>19.912078277672812</v>
      </c>
      <c r="G3" s="12">
        <v>18.955300473045391</v>
      </c>
      <c r="H3" s="37">
        <v>164713.49134410074</v>
      </c>
      <c r="I3" s="37">
        <v>40836.19552276723</v>
      </c>
      <c r="J3" s="37">
        <v>579936.8386362379</v>
      </c>
      <c r="K3" s="37">
        <v>142905.80625543697</v>
      </c>
      <c r="L3" s="37">
        <v>44262.175100349908</v>
      </c>
      <c r="M3" s="37">
        <v>181043.98065361724</v>
      </c>
      <c r="N3" s="37">
        <v>244198.6718051823</v>
      </c>
      <c r="O3" s="37">
        <v>910950.66151988716</v>
      </c>
      <c r="P3" s="68">
        <v>1</v>
      </c>
    </row>
    <row r="4" spans="1:26" x14ac:dyDescent="0.2">
      <c r="A4" s="10">
        <v>2</v>
      </c>
      <c r="B4" s="40">
        <v>0.17627684145402078</v>
      </c>
      <c r="C4" s="12">
        <v>5.2697390733352787</v>
      </c>
      <c r="D4" s="40">
        <v>0.76303948403611499</v>
      </c>
      <c r="E4" s="40">
        <v>3.6114678385752455E-2</v>
      </c>
      <c r="F4" s="37">
        <v>20.275770493481566</v>
      </c>
      <c r="G4" s="12">
        <v>2.6625710873469726</v>
      </c>
      <c r="H4" s="37">
        <v>108983.03910669676</v>
      </c>
      <c r="I4" s="37">
        <v>58828.910231956601</v>
      </c>
      <c r="J4" s="37">
        <v>394528.63410772418</v>
      </c>
      <c r="K4" s="37">
        <v>141497.05118740338</v>
      </c>
      <c r="L4" s="37">
        <v>172313.86079267252</v>
      </c>
      <c r="M4" s="37">
        <v>313454.75457568065</v>
      </c>
      <c r="N4" s="37">
        <v>34301.557184049692</v>
      </c>
      <c r="O4" s="37">
        <v>1136243.9857947505</v>
      </c>
      <c r="P4" s="68">
        <v>1</v>
      </c>
    </row>
    <row r="5" spans="1:26" x14ac:dyDescent="0.2">
      <c r="A5" s="10">
        <v>3</v>
      </c>
      <c r="B5" s="40">
        <v>7.383617371702611E-2</v>
      </c>
      <c r="C5" s="12">
        <v>5.9522494922136771</v>
      </c>
      <c r="D5" s="40">
        <v>0.60375884316373019</v>
      </c>
      <c r="E5" s="40">
        <v>2.9947519337361762E-2</v>
      </c>
      <c r="F5" s="37">
        <v>13.479737302245116</v>
      </c>
      <c r="G5" s="12">
        <v>16.67577502671783</v>
      </c>
      <c r="H5" s="37">
        <v>158431.54831665533</v>
      </c>
      <c r="I5" s="37">
        <v>49713.614054872705</v>
      </c>
      <c r="J5" s="37">
        <v>387308.53917172615</v>
      </c>
      <c r="K5" s="37">
        <v>168938.02558730976</v>
      </c>
      <c r="L5" s="37">
        <v>64506.376037310212</v>
      </c>
      <c r="M5" s="37">
        <v>136732.74084012525</v>
      </c>
      <c r="N5" s="37">
        <v>214831.84181845232</v>
      </c>
      <c r="O5" s="37">
        <v>888215.40972527559</v>
      </c>
      <c r="P5" s="68">
        <v>1</v>
      </c>
    </row>
    <row r="6" spans="1:26" x14ac:dyDescent="0.2">
      <c r="A6" s="10">
        <v>4</v>
      </c>
      <c r="B6" s="40">
        <v>0.10484582116552937</v>
      </c>
      <c r="C6" s="12">
        <v>3.6959665876965708</v>
      </c>
      <c r="D6" s="40">
        <v>0.46866606964439994</v>
      </c>
      <c r="E6" s="40">
        <v>2.8723857297048062E-2</v>
      </c>
      <c r="F6" s="37">
        <v>16.193659476780205</v>
      </c>
      <c r="G6" s="12">
        <v>25.025862847946392</v>
      </c>
      <c r="H6" s="37">
        <v>45566.995787696702</v>
      </c>
      <c r="I6" s="37">
        <v>16646.221009278441</v>
      </c>
      <c r="J6" s="37">
        <v>370749.48652505269</v>
      </c>
      <c r="K6" s="37">
        <v>91259.893687623611</v>
      </c>
      <c r="L6" s="37">
        <v>44150.080951700649</v>
      </c>
      <c r="M6" s="37">
        <v>122297.62064902303</v>
      </c>
      <c r="N6" s="37">
        <v>322404.93770792312</v>
      </c>
      <c r="O6" s="37">
        <v>917459.90182980429</v>
      </c>
      <c r="P6" s="68">
        <v>1</v>
      </c>
    </row>
    <row r="7" spans="1:26" x14ac:dyDescent="0.2">
      <c r="A7" s="10">
        <v>5</v>
      </c>
      <c r="B7" s="40">
        <v>0.16015236350946779</v>
      </c>
      <c r="C7" s="12">
        <v>5.1851712609159364</v>
      </c>
      <c r="D7" s="40">
        <v>0.62990702991966996</v>
      </c>
      <c r="E7" s="40">
        <v>2.1481550281106716E-2</v>
      </c>
      <c r="F7" s="37">
        <v>14.801189193249957</v>
      </c>
      <c r="G7" s="12">
        <v>14.486190780126702</v>
      </c>
      <c r="H7" s="37">
        <v>59010.772968465244</v>
      </c>
      <c r="I7" s="37">
        <v>53511.529379392581</v>
      </c>
      <c r="J7" s="37">
        <v>272722.07000536821</v>
      </c>
      <c r="K7" s="37">
        <v>92493.034250248005</v>
      </c>
      <c r="L7" s="37">
        <v>127163.28612675854</v>
      </c>
      <c r="M7" s="37">
        <v>112358.3667006118</v>
      </c>
      <c r="N7" s="37">
        <v>186623.71261557087</v>
      </c>
      <c r="O7" s="37">
        <v>977297.28326743655</v>
      </c>
      <c r="P7" s="68">
        <v>1</v>
      </c>
    </row>
    <row r="8" spans="1:26" x14ac:dyDescent="0.2">
      <c r="A8" s="10">
        <v>6</v>
      </c>
      <c r="B8" s="40">
        <v>0.113035592971402</v>
      </c>
      <c r="C8" s="12">
        <v>3.7124020193623175</v>
      </c>
      <c r="D8" s="40">
        <v>0.60253537759962894</v>
      </c>
      <c r="E8" s="40">
        <v>2.6122469772315009E-2</v>
      </c>
      <c r="F8" s="37">
        <v>13.502529876711588</v>
      </c>
      <c r="G8" s="12">
        <v>13.423030728524932</v>
      </c>
      <c r="H8" s="37">
        <v>83680.816760936519</v>
      </c>
      <c r="I8" s="37">
        <v>22757.277754504437</v>
      </c>
      <c r="J8" s="37">
        <v>320329.61473143497</v>
      </c>
      <c r="K8" s="37">
        <v>111312.94883275348</v>
      </c>
      <c r="L8" s="37">
        <v>61466.940687006958</v>
      </c>
      <c r="M8" s="37">
        <v>119228.11164328674</v>
      </c>
      <c r="N8" s="37">
        <v>172927.159881592</v>
      </c>
      <c r="O8" s="37">
        <v>656733.88014193019</v>
      </c>
      <c r="P8" s="68">
        <v>1</v>
      </c>
    </row>
    <row r="9" spans="1:26" x14ac:dyDescent="0.2">
      <c r="A9" s="10">
        <v>7</v>
      </c>
      <c r="B9" s="40">
        <v>0.10085398848195402</v>
      </c>
      <c r="C9" s="12">
        <v>7.6701278163149116</v>
      </c>
      <c r="D9" s="40">
        <v>0.43699472158741304</v>
      </c>
      <c r="E9" s="40">
        <v>2.5347809239199878E-2</v>
      </c>
      <c r="F9" s="37">
        <v>20.465603562597899</v>
      </c>
      <c r="G9" s="12">
        <v>13.525884493803488</v>
      </c>
      <c r="H9" s="37">
        <v>184270.67680788017</v>
      </c>
      <c r="I9" s="37">
        <v>14612.585870919514</v>
      </c>
      <c r="J9" s="37">
        <v>385685.05547716981</v>
      </c>
      <c r="K9" s="37">
        <v>112018.96704854598</v>
      </c>
      <c r="L9" s="37">
        <v>82178.971175001541</v>
      </c>
      <c r="M9" s="37">
        <v>127176.80506352149</v>
      </c>
      <c r="N9" s="37">
        <v>174252.21156868615</v>
      </c>
      <c r="O9" s="37">
        <v>932407.49229611561</v>
      </c>
      <c r="P9" s="68">
        <v>1</v>
      </c>
    </row>
    <row r="10" spans="1:26" x14ac:dyDescent="0.2">
      <c r="A10" s="10">
        <v>8</v>
      </c>
      <c r="B10" s="40">
        <v>0.20942812410284115</v>
      </c>
      <c r="C10" s="12">
        <v>6.8173742968830648</v>
      </c>
      <c r="D10" s="40">
        <v>0.47310577115196667</v>
      </c>
      <c r="E10" s="40">
        <v>1.4096357818467528E-2</v>
      </c>
      <c r="F10" s="37">
        <v>25.448814320652811</v>
      </c>
      <c r="G10" s="12">
        <v>14.045110291414131</v>
      </c>
      <c r="H10" s="37">
        <v>78886.057938592974</v>
      </c>
      <c r="I10" s="37">
        <v>14950.519793885858</v>
      </c>
      <c r="J10" s="37">
        <v>334365.57493436721</v>
      </c>
      <c r="K10" s="37">
        <v>127341.24933333487</v>
      </c>
      <c r="L10" s="37">
        <v>164209.8547303784</v>
      </c>
      <c r="M10" s="37">
        <v>95213.700849274013</v>
      </c>
      <c r="N10" s="37">
        <v>180941.3300199504</v>
      </c>
      <c r="O10" s="37">
        <v>805509.04666696419</v>
      </c>
      <c r="P10" s="68">
        <v>1</v>
      </c>
    </row>
    <row r="11" spans="1:26" x14ac:dyDescent="0.2">
      <c r="A11" s="10">
        <v>9</v>
      </c>
      <c r="B11" s="40">
        <v>0.19407741744020585</v>
      </c>
      <c r="C11" s="12">
        <v>8.6305427679476487</v>
      </c>
      <c r="D11" s="40">
        <v>0.54959604750830326</v>
      </c>
      <c r="E11" s="40">
        <v>1.2500715921013423E-2</v>
      </c>
      <c r="F11" s="37">
        <v>11.577367096800991</v>
      </c>
      <c r="G11" s="12">
        <v>14.221557083249202</v>
      </c>
      <c r="H11" s="37">
        <v>101906.81103907587</v>
      </c>
      <c r="I11" s="37">
        <v>27484.276895587347</v>
      </c>
      <c r="J11" s="37">
        <v>432423.5985774094</v>
      </c>
      <c r="K11" s="37">
        <v>179474.34836581507</v>
      </c>
      <c r="L11" s="37">
        <v>223792.50822016466</v>
      </c>
      <c r="M11" s="37">
        <v>44622.615553429117</v>
      </c>
      <c r="N11" s="37">
        <v>183214.47110107867</v>
      </c>
      <c r="O11" s="37">
        <v>692563.46154987928</v>
      </c>
      <c r="P11" s="68">
        <v>1</v>
      </c>
    </row>
    <row r="12" spans="1:26" x14ac:dyDescent="0.2">
      <c r="A12" s="10">
        <v>10</v>
      </c>
      <c r="B12" s="40">
        <v>0.13768285130118013</v>
      </c>
      <c r="C12" s="12">
        <v>3.4146238813761443</v>
      </c>
      <c r="D12" s="40">
        <v>0.5257935758694221</v>
      </c>
      <c r="E12" s="40">
        <v>3.1230431806192453E-2</v>
      </c>
      <c r="F12" s="37">
        <v>16.743232666441571</v>
      </c>
      <c r="G12" s="12">
        <v>6.5043744746682659</v>
      </c>
      <c r="H12" s="37">
        <v>188701.97474010187</v>
      </c>
      <c r="I12" s="37">
        <v>54051.64288697196</v>
      </c>
      <c r="J12" s="37">
        <v>458077.23681384779</v>
      </c>
      <c r="K12" s="37">
        <v>135606.52616728161</v>
      </c>
      <c r="L12" s="37">
        <v>60093.407384307102</v>
      </c>
      <c r="M12" s="37">
        <v>154240.8141237068</v>
      </c>
      <c r="N12" s="37">
        <v>83795.010788469561</v>
      </c>
      <c r="O12" s="37">
        <v>677359.89931046811</v>
      </c>
      <c r="P12" s="68">
        <v>1</v>
      </c>
    </row>
    <row r="13" spans="1:26" x14ac:dyDescent="0.2">
      <c r="A13" s="10">
        <v>11</v>
      </c>
      <c r="B13" s="40">
        <v>0.10773928404030528</v>
      </c>
      <c r="C13" s="12">
        <v>4.6569736247062785</v>
      </c>
      <c r="D13" s="40">
        <v>0.50949898070229693</v>
      </c>
      <c r="E13" s="40">
        <v>2.2686368458214576E-2</v>
      </c>
      <c r="F13" s="37">
        <v>8.8837220888029194</v>
      </c>
      <c r="G13" s="12">
        <v>7.6210620193653495</v>
      </c>
      <c r="H13" s="37">
        <v>124559.74917671112</v>
      </c>
      <c r="I13" s="37">
        <v>28042.638309227321</v>
      </c>
      <c r="J13" s="37">
        <v>368695.20701435331</v>
      </c>
      <c r="K13" s="37">
        <v>98088.992317633427</v>
      </c>
      <c r="L13" s="37">
        <v>62145.546644300448</v>
      </c>
      <c r="M13" s="37">
        <v>57606.30198854371</v>
      </c>
      <c r="N13" s="37">
        <v>98181.151257421297</v>
      </c>
      <c r="O13" s="37">
        <v>394600.68869834836</v>
      </c>
      <c r="P13" s="68">
        <v>1</v>
      </c>
    </row>
    <row r="14" spans="1:26" x14ac:dyDescent="0.2">
      <c r="A14" s="10">
        <v>12</v>
      </c>
      <c r="B14" s="40">
        <v>0.12675345749648986</v>
      </c>
      <c r="C14" s="12">
        <v>2.7277371813112437</v>
      </c>
      <c r="D14" s="40">
        <v>0.58475837982274825</v>
      </c>
      <c r="E14" s="40">
        <v>2.397744938553302E-2</v>
      </c>
      <c r="F14" s="37">
        <v>12.864038844092114</v>
      </c>
      <c r="G14" s="12">
        <v>12.27022357248736</v>
      </c>
      <c r="H14" s="37">
        <v>85101.228608340694</v>
      </c>
      <c r="I14" s="37">
        <v>45072.107946248565</v>
      </c>
      <c r="J14" s="37">
        <v>253587.03778019384</v>
      </c>
      <c r="K14" s="37">
        <v>100738.32125273625</v>
      </c>
      <c r="L14" s="37">
        <v>49150.463963770118</v>
      </c>
      <c r="M14" s="37">
        <v>101186.7184750223</v>
      </c>
      <c r="N14" s="37">
        <v>158075.69515529025</v>
      </c>
      <c r="O14" s="37">
        <v>692940.11288081412</v>
      </c>
      <c r="P14" s="68">
        <v>1</v>
      </c>
    </row>
    <row r="15" spans="1:26" x14ac:dyDescent="0.2">
      <c r="A15" s="10">
        <v>13</v>
      </c>
      <c r="B15" s="40">
        <v>7.6607634800881813E-2</v>
      </c>
      <c r="C15" s="12">
        <v>3.9922944771725981</v>
      </c>
      <c r="D15" s="40">
        <v>0.37528184187654856</v>
      </c>
      <c r="E15" s="40">
        <v>1.7180031168963019E-2</v>
      </c>
      <c r="F15" s="37">
        <v>12.194229643967276</v>
      </c>
      <c r="G15" s="12">
        <v>6.4446003062459924</v>
      </c>
      <c r="H15" s="37">
        <v>41334.777557779642</v>
      </c>
      <c r="I15" s="37">
        <v>33626.653708610604</v>
      </c>
      <c r="J15" s="37">
        <v>304090.88412400056</v>
      </c>
      <c r="K15" s="37">
        <v>178890.86234879956</v>
      </c>
      <c r="L15" s="37">
        <v>27902.364193436631</v>
      </c>
      <c r="M15" s="37">
        <v>44106.500395476374</v>
      </c>
      <c r="N15" s="37">
        <v>83024.94794732731</v>
      </c>
      <c r="O15" s="37">
        <v>-160914.95915622998</v>
      </c>
      <c r="P15" s="68">
        <v>0</v>
      </c>
    </row>
    <row r="16" spans="1:26" x14ac:dyDescent="0.2">
      <c r="A16" s="10">
        <v>14</v>
      </c>
      <c r="B16" s="40">
        <v>0.13904195101454492</v>
      </c>
      <c r="C16" s="12">
        <v>4.5284760108952238</v>
      </c>
      <c r="D16" s="40">
        <v>0.52502460494724168</v>
      </c>
      <c r="E16" s="40">
        <v>3.8282147969515387E-2</v>
      </c>
      <c r="F16" s="37">
        <v>14.633095754712299</v>
      </c>
      <c r="G16" s="12">
        <v>10.046920221035885</v>
      </c>
      <c r="H16" s="37">
        <v>187129.23563528131</v>
      </c>
      <c r="I16" s="37">
        <v>39623.671654444821</v>
      </c>
      <c r="J16" s="37">
        <v>429921.75227149902</v>
      </c>
      <c r="K16" s="37">
        <v>145794.3874496856</v>
      </c>
      <c r="L16" s="37">
        <v>80364.900421853279</v>
      </c>
      <c r="M16" s="37">
        <v>164998.08390583689</v>
      </c>
      <c r="N16" s="37">
        <v>129433.16710797658</v>
      </c>
      <c r="O16" s="37">
        <v>846937.38899866736</v>
      </c>
      <c r="P16" s="68">
        <v>1</v>
      </c>
    </row>
    <row r="17" spans="1:16" x14ac:dyDescent="0.2">
      <c r="A17" s="10">
        <v>15</v>
      </c>
      <c r="B17" s="40">
        <v>0.14128620674616504</v>
      </c>
      <c r="C17" s="12">
        <v>6.8137495622198285</v>
      </c>
      <c r="D17" s="40">
        <v>0.53244245796339307</v>
      </c>
      <c r="E17" s="40">
        <v>4.128513169796405E-2</v>
      </c>
      <c r="F17" s="37">
        <v>13.010001299648057</v>
      </c>
      <c r="G17" s="12">
        <v>2.1040555397783693</v>
      </c>
      <c r="H17" s="37">
        <v>135510.15758038172</v>
      </c>
      <c r="I17" s="37">
        <v>60119.631377362428</v>
      </c>
      <c r="J17" s="37">
        <v>301171.08283476485</v>
      </c>
      <c r="K17" s="37">
        <v>146175.0788332895</v>
      </c>
      <c r="L17" s="37">
        <v>124608.43501711386</v>
      </c>
      <c r="M17" s="37">
        <v>160439.17712314514</v>
      </c>
      <c r="N17" s="37">
        <v>27106.273991744561</v>
      </c>
      <c r="O17" s="37">
        <v>711924.9330536027</v>
      </c>
      <c r="P17" s="68">
        <v>1</v>
      </c>
    </row>
    <row r="18" spans="1:16" x14ac:dyDescent="0.2">
      <c r="A18" s="10">
        <v>16</v>
      </c>
      <c r="B18" s="40">
        <v>0.11822245464352571</v>
      </c>
      <c r="C18" s="12">
        <v>8.8051577502256215</v>
      </c>
      <c r="D18" s="40">
        <v>0.54608051065883179</v>
      </c>
      <c r="E18" s="40">
        <v>3.5456639655570027E-2</v>
      </c>
      <c r="F18" s="37">
        <v>13.165949157065977</v>
      </c>
      <c r="G18" s="12">
        <v>15.321198345564335</v>
      </c>
      <c r="H18" s="37">
        <v>97068.489665294997</v>
      </c>
      <c r="I18" s="37">
        <v>54606.842838108591</v>
      </c>
      <c r="J18" s="37">
        <v>417394.73814597505</v>
      </c>
      <c r="K18" s="37">
        <v>68515.959086963383</v>
      </c>
      <c r="L18" s="37">
        <v>138191.91017977768</v>
      </c>
      <c r="M18" s="37">
        <v>143012.22263960858</v>
      </c>
      <c r="N18" s="37">
        <v>197381.00653012042</v>
      </c>
      <c r="O18" s="37">
        <v>1156409.4626444229</v>
      </c>
      <c r="P18" s="68">
        <v>1</v>
      </c>
    </row>
    <row r="19" spans="1:16" x14ac:dyDescent="0.2">
      <c r="A19" s="10">
        <v>17</v>
      </c>
      <c r="B19" s="40">
        <v>9.7221311090682855E-2</v>
      </c>
      <c r="C19" s="12">
        <v>4.6331583860169996</v>
      </c>
      <c r="D19" s="40">
        <v>0.32316997655597901</v>
      </c>
      <c r="E19" s="40">
        <v>2.0582424830982916E-2</v>
      </c>
      <c r="F19" s="37">
        <v>11.140481139755034</v>
      </c>
      <c r="G19" s="12">
        <v>20.826071080649264</v>
      </c>
      <c r="H19" s="37">
        <v>74188.848020177014</v>
      </c>
      <c r="I19" s="37">
        <v>55914.278445547992</v>
      </c>
      <c r="J19" s="37">
        <v>296667.08259322651</v>
      </c>
      <c r="K19" s="37">
        <v>155507.48559627275</v>
      </c>
      <c r="L19" s="37">
        <v>35388.198670431841</v>
      </c>
      <c r="M19" s="37">
        <v>41571.742105184348</v>
      </c>
      <c r="N19" s="37">
        <v>268299.56634276401</v>
      </c>
      <c r="O19" s="37">
        <v>599450.92854509363</v>
      </c>
      <c r="P19" s="68">
        <v>1</v>
      </c>
    </row>
    <row r="20" spans="1:16" x14ac:dyDescent="0.2">
      <c r="A20" s="10">
        <v>18</v>
      </c>
      <c r="B20" s="40">
        <v>0.12742820549650752</v>
      </c>
      <c r="C20" s="12">
        <v>9.0443808025803154</v>
      </c>
      <c r="D20" s="40">
        <v>0.35337338630417692</v>
      </c>
      <c r="E20" s="40">
        <v>1.1219183057513094E-2</v>
      </c>
      <c r="F20" s="37">
        <v>11.91173609138438</v>
      </c>
      <c r="G20" s="12">
        <v>10.401117522452669</v>
      </c>
      <c r="H20" s="37">
        <v>59746.443746310171</v>
      </c>
      <c r="I20" s="37">
        <v>12945.79346030339</v>
      </c>
      <c r="J20" s="37">
        <v>453641.79251257231</v>
      </c>
      <c r="K20" s="37">
        <v>126975.97197026778</v>
      </c>
      <c r="L20" s="37">
        <v>99007.267485666278</v>
      </c>
      <c r="M20" s="37">
        <v>26493.349417186946</v>
      </c>
      <c r="N20" s="37">
        <v>133996.24489647982</v>
      </c>
      <c r="O20" s="37">
        <v>121290.89315951662</v>
      </c>
      <c r="P20" s="68">
        <v>1</v>
      </c>
    </row>
    <row r="21" spans="1:16" x14ac:dyDescent="0.2">
      <c r="A21" s="10">
        <v>19</v>
      </c>
      <c r="B21" s="40">
        <v>9.2952091411386023E-2</v>
      </c>
      <c r="C21" s="12">
        <v>9.5338903842293163</v>
      </c>
      <c r="D21" s="40">
        <v>0.65288387883652099</v>
      </c>
      <c r="E21" s="40">
        <v>7.5891174092517057E-3</v>
      </c>
      <c r="F21" s="37">
        <v>24.781169419888982</v>
      </c>
      <c r="G21" s="12">
        <v>12.481090309369829</v>
      </c>
      <c r="H21" s="37">
        <v>49165.091318298553</v>
      </c>
      <c r="I21" s="37">
        <v>31026.265233797003</v>
      </c>
      <c r="J21" s="37">
        <v>233233.59975983523</v>
      </c>
      <c r="K21" s="37">
        <v>99281.050806061336</v>
      </c>
      <c r="L21" s="37">
        <v>140654.65010190191</v>
      </c>
      <c r="M21" s="37">
        <v>68883.585625817883</v>
      </c>
      <c r="N21" s="37">
        <v>160792.26391387128</v>
      </c>
      <c r="O21" s="37">
        <v>750815.62982003111</v>
      </c>
      <c r="P21" s="68">
        <v>1</v>
      </c>
    </row>
    <row r="22" spans="1:16" x14ac:dyDescent="0.2">
      <c r="A22" s="10">
        <v>20</v>
      </c>
      <c r="B22" s="40">
        <v>0.11511898640900946</v>
      </c>
      <c r="C22" s="12">
        <v>7.2718192673240356</v>
      </c>
      <c r="D22" s="40">
        <v>0.63430634826180232</v>
      </c>
      <c r="E22" s="40">
        <v>5.5731693475685913E-3</v>
      </c>
      <c r="F22" s="37">
        <v>12.995324350035339</v>
      </c>
      <c r="G22" s="12">
        <v>19.191549122886549</v>
      </c>
      <c r="H22" s="37">
        <v>181143.89948173647</v>
      </c>
      <c r="I22" s="37">
        <v>57852.74201964309</v>
      </c>
      <c r="J22" s="37">
        <v>430618.14644538169</v>
      </c>
      <c r="K22" s="37">
        <v>90672.917654378616</v>
      </c>
      <c r="L22" s="37">
        <v>129085.63664738147</v>
      </c>
      <c r="M22" s="37">
        <v>25772.417211864402</v>
      </c>
      <c r="N22" s="37">
        <v>247242.23244876144</v>
      </c>
      <c r="O22" s="37">
        <v>1111470.1155876811</v>
      </c>
      <c r="P22" s="68">
        <v>1</v>
      </c>
    </row>
    <row r="23" spans="1:16" x14ac:dyDescent="0.2">
      <c r="A23" s="10">
        <v>21</v>
      </c>
      <c r="B23" s="40">
        <v>0.17159367252544877</v>
      </c>
      <c r="C23" s="12">
        <v>7.9405260491980858</v>
      </c>
      <c r="D23" s="40">
        <v>0.60424559920728216</v>
      </c>
      <c r="E23" s="40">
        <v>3.9167223219896123E-2</v>
      </c>
      <c r="F23" s="37">
        <v>21.965358270195686</v>
      </c>
      <c r="G23" s="12">
        <v>18.904446109421752</v>
      </c>
      <c r="H23" s="37">
        <v>236457.38341270652</v>
      </c>
      <c r="I23" s="37">
        <v>34898.690065224509</v>
      </c>
      <c r="J23" s="37">
        <v>504945.24422894721</v>
      </c>
      <c r="K23" s="37">
        <v>140646.34659930522</v>
      </c>
      <c r="L23" s="37">
        <v>200148.74428638234</v>
      </c>
      <c r="M23" s="37">
        <v>291636.11382521421</v>
      </c>
      <c r="N23" s="37">
        <v>243543.52164968621</v>
      </c>
      <c r="O23" s="37">
        <v>1921379.1422138624</v>
      </c>
      <c r="P23" s="68">
        <v>1</v>
      </c>
    </row>
    <row r="24" spans="1:16" x14ac:dyDescent="0.2">
      <c r="A24" s="10">
        <v>22</v>
      </c>
      <c r="B24" s="40">
        <v>0.23304660399846155</v>
      </c>
      <c r="C24" s="12">
        <v>5.1100140611701654</v>
      </c>
      <c r="D24" s="40">
        <v>0.50086320846494492</v>
      </c>
      <c r="E24" s="40">
        <v>2.5594867441275655E-2</v>
      </c>
      <c r="F24" s="37">
        <v>21.538971057574738</v>
      </c>
      <c r="G24" s="12">
        <v>16.2491108393261</v>
      </c>
      <c r="H24" s="37">
        <v>69445.339855528087</v>
      </c>
      <c r="I24" s="37">
        <v>44124.122968397991</v>
      </c>
      <c r="J24" s="37">
        <v>253601.55595954062</v>
      </c>
      <c r="K24" s="37">
        <v>149406.31716759095</v>
      </c>
      <c r="L24" s="37">
        <v>145001.61342326432</v>
      </c>
      <c r="M24" s="37">
        <v>154904.38095011536</v>
      </c>
      <c r="N24" s="37">
        <v>209335.18255862902</v>
      </c>
      <c r="O24" s="37">
        <v>1072705.5011283397</v>
      </c>
      <c r="P24" s="68">
        <v>1</v>
      </c>
    </row>
    <row r="25" spans="1:16" x14ac:dyDescent="0.2">
      <c r="A25" s="10">
        <v>23</v>
      </c>
      <c r="B25" s="40">
        <v>0.15114752824839514</v>
      </c>
      <c r="C25" s="12">
        <v>3.4834725808804428</v>
      </c>
      <c r="D25" s="40">
        <v>0.55842505256110342</v>
      </c>
      <c r="E25" s="40">
        <v>2.6931184616713271E-2</v>
      </c>
      <c r="F25" s="37">
        <v>15.516141396343235</v>
      </c>
      <c r="G25" s="12">
        <v>15.44646651432306</v>
      </c>
      <c r="H25" s="37">
        <v>159239.02504878168</v>
      </c>
      <c r="I25" s="37">
        <v>36663.05853792245</v>
      </c>
      <c r="J25" s="37">
        <v>288208.97184729279</v>
      </c>
      <c r="K25" s="37">
        <v>212463.81575857528</v>
      </c>
      <c r="L25" s="37">
        <v>71477.140389928463</v>
      </c>
      <c r="M25" s="37">
        <v>130909.39367787997</v>
      </c>
      <c r="N25" s="37">
        <v>198994.82006337712</v>
      </c>
      <c r="O25" s="37">
        <v>789915.91201513377</v>
      </c>
      <c r="P25" s="68">
        <v>1</v>
      </c>
    </row>
    <row r="26" spans="1:16" x14ac:dyDescent="0.2">
      <c r="A26" s="10">
        <v>24</v>
      </c>
      <c r="B26" s="40">
        <v>9.3691219602937498E-2</v>
      </c>
      <c r="C26" s="12">
        <v>8.3684285467167943</v>
      </c>
      <c r="D26" s="40">
        <v>0.70911429404147275</v>
      </c>
      <c r="E26" s="40">
        <v>4.6229367946845019E-2</v>
      </c>
      <c r="F26" s="37">
        <v>22.237564850768251</v>
      </c>
      <c r="G26" s="12">
        <v>17.223935390485433</v>
      </c>
      <c r="H26" s="37">
        <v>156182.74891056886</v>
      </c>
      <c r="I26" s="37">
        <v>15675.436916035971</v>
      </c>
      <c r="J26" s="37">
        <v>457628.2698656976</v>
      </c>
      <c r="K26" s="37">
        <v>86260.691817250277</v>
      </c>
      <c r="L26" s="37">
        <v>135159.90378239582</v>
      </c>
      <c r="M26" s="37">
        <v>408966.89585380448</v>
      </c>
      <c r="N26" s="37">
        <v>221893.72052402308</v>
      </c>
      <c r="O26" s="37">
        <v>1928296.2522440387</v>
      </c>
      <c r="P26" s="68">
        <v>1</v>
      </c>
    </row>
    <row r="27" spans="1:16" x14ac:dyDescent="0.2">
      <c r="A27" s="10">
        <v>25</v>
      </c>
      <c r="B27" s="40">
        <v>9.6482647408105346E-2</v>
      </c>
      <c r="C27" s="12">
        <v>5.2491467778591296</v>
      </c>
      <c r="D27" s="40">
        <v>0.42746743246251295</v>
      </c>
      <c r="E27" s="40">
        <v>1.8853722330813991E-2</v>
      </c>
      <c r="F27" s="37">
        <v>9.9182176767929633</v>
      </c>
      <c r="G27" s="12">
        <v>8.4012363602533107</v>
      </c>
      <c r="H27" s="37">
        <v>76587.615257946629</v>
      </c>
      <c r="I27" s="37">
        <v>14726.130264377076</v>
      </c>
      <c r="J27" s="37">
        <v>493438.932537716</v>
      </c>
      <c r="K27" s="37">
        <v>194370.46648861037</v>
      </c>
      <c r="L27" s="37">
        <v>52629.566234394355</v>
      </c>
      <c r="M27" s="37">
        <v>44843.603804559854</v>
      </c>
      <c r="N27" s="37">
        <v>108232.03586841657</v>
      </c>
      <c r="O27" s="37">
        <v>-205855.14109201648</v>
      </c>
      <c r="P27" s="68">
        <v>0</v>
      </c>
    </row>
    <row r="28" spans="1:16" x14ac:dyDescent="0.2">
      <c r="A28" s="10">
        <v>26</v>
      </c>
      <c r="B28" s="40">
        <v>0.16203666001970921</v>
      </c>
      <c r="C28" s="12">
        <v>6.9082585404781938</v>
      </c>
      <c r="D28" s="40">
        <v>0.29698049855897046</v>
      </c>
      <c r="E28" s="40">
        <v>2.325013353951054E-2</v>
      </c>
      <c r="F28" s="37">
        <v>19.501724405894453</v>
      </c>
      <c r="G28" s="12">
        <v>13.522048656806152</v>
      </c>
      <c r="H28" s="37">
        <v>143894.7674844689</v>
      </c>
      <c r="I28" s="37">
        <v>56701.296637272411</v>
      </c>
      <c r="J28" s="37">
        <v>415075.81419589272</v>
      </c>
      <c r="K28" s="37">
        <v>111932.83553051819</v>
      </c>
      <c r="L28" s="37">
        <v>80816.237385442975</v>
      </c>
      <c r="M28" s="37">
        <v>75542.809120651829</v>
      </c>
      <c r="N28" s="37">
        <v>174202.79497930827</v>
      </c>
      <c r="O28" s="37">
        <v>759440.64545690082</v>
      </c>
      <c r="P28" s="68">
        <v>1</v>
      </c>
    </row>
    <row r="29" spans="1:16" x14ac:dyDescent="0.2">
      <c r="A29" s="10">
        <v>27</v>
      </c>
      <c r="B29" s="40">
        <v>0.11819347377226998</v>
      </c>
      <c r="C29" s="12">
        <v>4.7070531176275789</v>
      </c>
      <c r="D29" s="40">
        <v>0.27510177818779669</v>
      </c>
      <c r="E29" s="40">
        <v>2.5403511670715188E-2</v>
      </c>
      <c r="F29" s="37">
        <v>10.540348685639184</v>
      </c>
      <c r="G29" s="12">
        <v>2.2755018811534331</v>
      </c>
      <c r="H29" s="37">
        <v>106361.48568847112</v>
      </c>
      <c r="I29" s="37">
        <v>49128.36922955991</v>
      </c>
      <c r="J29" s="37">
        <v>423763.27486515243</v>
      </c>
      <c r="K29" s="37">
        <v>119226.94259491823</v>
      </c>
      <c r="L29" s="37">
        <v>37207.014482338454</v>
      </c>
      <c r="M29" s="37">
        <v>41324.619484454619</v>
      </c>
      <c r="N29" s="37">
        <v>29314.994919655132</v>
      </c>
      <c r="O29" s="37">
        <v>-20020.654909946374</v>
      </c>
      <c r="P29" s="68">
        <v>0</v>
      </c>
    </row>
    <row r="30" spans="1:16" x14ac:dyDescent="0.2">
      <c r="A30" s="10">
        <v>28</v>
      </c>
      <c r="B30" s="40">
        <v>0.13987458320374049</v>
      </c>
      <c r="C30" s="12">
        <v>3.0224441427232454</v>
      </c>
      <c r="D30" s="40">
        <v>0.42250587159187547</v>
      </c>
      <c r="E30" s="40">
        <v>4.700687276705523E-2</v>
      </c>
      <c r="F30" s="37">
        <v>17.798816201088449</v>
      </c>
      <c r="G30" s="12">
        <v>4.5245570573007363</v>
      </c>
      <c r="H30" s="37">
        <v>35146.431434147838</v>
      </c>
      <c r="I30" s="37">
        <v>17539.170959454586</v>
      </c>
      <c r="J30" s="37">
        <v>541941.90010362968</v>
      </c>
      <c r="K30" s="37">
        <v>134739.64415335323</v>
      </c>
      <c r="L30" s="37">
        <v>43422.884277191522</v>
      </c>
      <c r="M30" s="37">
        <v>198313.35362338353</v>
      </c>
      <c r="N30" s="37">
        <v>58289.280376787945</v>
      </c>
      <c r="O30" s="37">
        <v>68735.049292464275</v>
      </c>
      <c r="P30" s="68">
        <v>1</v>
      </c>
    </row>
    <row r="31" spans="1:16" x14ac:dyDescent="0.2">
      <c r="A31" s="10">
        <v>29</v>
      </c>
      <c r="B31" s="40">
        <v>0.14215404284884073</v>
      </c>
      <c r="C31" s="12">
        <v>5.266375768403309</v>
      </c>
      <c r="D31" s="40">
        <v>0.75110897870251159</v>
      </c>
      <c r="E31" s="40">
        <v>1.8687231335583268E-2</v>
      </c>
      <c r="F31" s="37">
        <v>27.369635057121634</v>
      </c>
      <c r="G31" s="12">
        <v>21.367054178523134</v>
      </c>
      <c r="H31" s="37">
        <v>90680.690943054593</v>
      </c>
      <c r="I31" s="37">
        <v>14466.424049976242</v>
      </c>
      <c r="J31" s="37">
        <v>382500.60711672093</v>
      </c>
      <c r="K31" s="37">
        <v>144794.48925191668</v>
      </c>
      <c r="L31" s="37">
        <v>136698.21461989108</v>
      </c>
      <c r="M31" s="37">
        <v>215518.05253599075</v>
      </c>
      <c r="N31" s="37">
        <v>275268.98126487032</v>
      </c>
      <c r="O31" s="37">
        <v>1264407.7199168298</v>
      </c>
      <c r="P31" s="68">
        <v>1</v>
      </c>
    </row>
    <row r="32" spans="1:16" x14ac:dyDescent="0.2">
      <c r="A32" s="10">
        <v>30</v>
      </c>
      <c r="B32" s="40">
        <v>0.17697006931009512</v>
      </c>
      <c r="C32" s="12">
        <v>6.3518019796935397</v>
      </c>
      <c r="D32" s="40">
        <v>0.41425041268977969</v>
      </c>
      <c r="E32" s="40">
        <v>3.1964085960813793E-2</v>
      </c>
      <c r="F32" s="37">
        <v>11.757748915226305</v>
      </c>
      <c r="G32" s="12">
        <v>11.321383860250997</v>
      </c>
      <c r="H32" s="37">
        <v>102708.05449897045</v>
      </c>
      <c r="I32" s="37">
        <v>22521.153338933938</v>
      </c>
      <c r="J32" s="37">
        <v>160408.58007853036</v>
      </c>
      <c r="K32" s="37">
        <v>119869.4869479169</v>
      </c>
      <c r="L32" s="37">
        <v>113200.55355547059</v>
      </c>
      <c r="M32" s="37">
        <v>87340.596432996681</v>
      </c>
      <c r="N32" s="37">
        <v>145851.91649171177</v>
      </c>
      <c r="O32" s="37">
        <v>825075.03715718503</v>
      </c>
      <c r="P32" s="68">
        <v>1</v>
      </c>
    </row>
    <row r="33" spans="1:16" x14ac:dyDescent="0.2">
      <c r="A33" s="10">
        <v>31</v>
      </c>
      <c r="B33" s="40">
        <v>0.1079402084833184</v>
      </c>
      <c r="C33" s="12">
        <v>4.8735612532849455</v>
      </c>
      <c r="D33" s="40">
        <v>0.70701456523136275</v>
      </c>
      <c r="E33" s="40">
        <v>2.2114612333291456E-2</v>
      </c>
      <c r="F33" s="37">
        <v>12.542594874437011</v>
      </c>
      <c r="G33" s="12">
        <v>17.997536802380843</v>
      </c>
      <c r="H33" s="37">
        <v>87671.341505925753</v>
      </c>
      <c r="I33" s="37">
        <v>58462.512014027161</v>
      </c>
      <c r="J33" s="37">
        <v>230773.10048940853</v>
      </c>
      <c r="K33" s="37">
        <v>132541.18993876223</v>
      </c>
      <c r="L33" s="37">
        <v>90416.32931848451</v>
      </c>
      <c r="M33" s="37">
        <v>110017.5117101186</v>
      </c>
      <c r="N33" s="37">
        <v>231859.92694528811</v>
      </c>
      <c r="O33" s="37">
        <v>1018438.8154429328</v>
      </c>
      <c r="P33" s="68">
        <v>1</v>
      </c>
    </row>
    <row r="34" spans="1:16" x14ac:dyDescent="0.2">
      <c r="A34" s="10">
        <v>32</v>
      </c>
      <c r="B34" s="40">
        <v>0.16659712050685799</v>
      </c>
      <c r="C34" s="12">
        <v>4.414654305016021</v>
      </c>
      <c r="D34" s="40">
        <v>0.73850431823364349</v>
      </c>
      <c r="E34" s="40">
        <v>1.8308971231267221E-2</v>
      </c>
      <c r="F34" s="37">
        <v>21.369082445910788</v>
      </c>
      <c r="G34" s="12">
        <v>18.087400547470647</v>
      </c>
      <c r="H34" s="37">
        <v>93428.933060802519</v>
      </c>
      <c r="I34" s="37">
        <v>22823.462763266853</v>
      </c>
      <c r="J34" s="37">
        <v>333661.16295525309</v>
      </c>
      <c r="K34" s="37">
        <v>93678.626390285761</v>
      </c>
      <c r="L34" s="37">
        <v>132040.16568898977</v>
      </c>
      <c r="M34" s="37">
        <v>162094.98851111971</v>
      </c>
      <c r="N34" s="37">
        <v>233017.62989099318</v>
      </c>
      <c r="O34" s="37">
        <v>1206473.0787902768</v>
      </c>
      <c r="P34" s="68">
        <v>1</v>
      </c>
    </row>
    <row r="35" spans="1:16" x14ac:dyDescent="0.2">
      <c r="A35" s="10">
        <v>33</v>
      </c>
      <c r="B35" s="40">
        <v>0.18407903142593232</v>
      </c>
      <c r="C35" s="12">
        <v>5.2409346174427993</v>
      </c>
      <c r="D35" s="40">
        <v>0.73563769164899684</v>
      </c>
      <c r="E35" s="40">
        <v>2.7312877054013626E-2</v>
      </c>
      <c r="F35" s="37">
        <v>9.2517488004764878</v>
      </c>
      <c r="G35" s="12">
        <v>13.368571361625818</v>
      </c>
      <c r="H35" s="37">
        <v>56564.568970962609</v>
      </c>
      <c r="I35" s="37">
        <v>39085.605765282227</v>
      </c>
      <c r="J35" s="37">
        <v>423618.49397301057</v>
      </c>
      <c r="K35" s="37">
        <v>95655.042889701668</v>
      </c>
      <c r="L35" s="37">
        <v>172530.49358695716</v>
      </c>
      <c r="M35" s="37">
        <v>104285.03402593113</v>
      </c>
      <c r="N35" s="37">
        <v>172225.56693754843</v>
      </c>
      <c r="O35" s="37">
        <v>834418.00367068336</v>
      </c>
      <c r="P35" s="68">
        <v>1</v>
      </c>
    </row>
    <row r="36" spans="1:16" x14ac:dyDescent="0.2">
      <c r="A36" s="10">
        <v>34</v>
      </c>
      <c r="B36" s="40">
        <v>5.4309049923759595E-2</v>
      </c>
      <c r="C36" s="12">
        <v>6.1472464391644195</v>
      </c>
      <c r="D36" s="40">
        <v>0.66432972264712997</v>
      </c>
      <c r="E36" s="40">
        <v>3.9696025891310154E-2</v>
      </c>
      <c r="F36" s="37">
        <v>17.137041583278261</v>
      </c>
      <c r="G36" s="12">
        <v>13.652269104861382</v>
      </c>
      <c r="H36" s="37">
        <v>39743.570842456873</v>
      </c>
      <c r="I36" s="37">
        <v>23064.878699373116</v>
      </c>
      <c r="J36" s="37">
        <v>376429.4546318099</v>
      </c>
      <c r="K36" s="37">
        <v>67044.545467033589</v>
      </c>
      <c r="L36" s="37">
        <v>53916.953188204396</v>
      </c>
      <c r="M36" s="37">
        <v>253532.2999872264</v>
      </c>
      <c r="N36" s="37">
        <v>175880.40808294556</v>
      </c>
      <c r="O36" s="37">
        <v>965816.79532337817</v>
      </c>
      <c r="P36" s="68">
        <v>1</v>
      </c>
    </row>
    <row r="37" spans="1:16" x14ac:dyDescent="0.2">
      <c r="A37" s="10">
        <v>35</v>
      </c>
      <c r="B37" s="40">
        <v>0.20983082943565839</v>
      </c>
      <c r="C37" s="12">
        <v>7.7344038250866163</v>
      </c>
      <c r="D37" s="40">
        <v>0.4460862955991074</v>
      </c>
      <c r="E37" s="40">
        <v>3.3109935607474557E-2</v>
      </c>
      <c r="F37" s="37">
        <v>20.150831665245541</v>
      </c>
      <c r="G37" s="12">
        <v>8.8509267223585883</v>
      </c>
      <c r="H37" s="37">
        <v>83452.952249260765</v>
      </c>
      <c r="I37" s="37">
        <v>48527.707744482061</v>
      </c>
      <c r="J37" s="37">
        <v>494274.31143835647</v>
      </c>
      <c r="K37" s="37">
        <v>203999.11107181173</v>
      </c>
      <c r="L37" s="37">
        <v>175996.42726518001</v>
      </c>
      <c r="M37" s="37">
        <v>166969.41457241433</v>
      </c>
      <c r="N37" s="37">
        <v>114025.33834367178</v>
      </c>
      <c r="O37" s="37">
        <v>584279.52306041424</v>
      </c>
      <c r="P37" s="68">
        <v>1</v>
      </c>
    </row>
    <row r="38" spans="1:16" x14ac:dyDescent="0.2">
      <c r="A38" s="10">
        <v>36</v>
      </c>
      <c r="B38" s="40">
        <v>0.12997967584418063</v>
      </c>
      <c r="C38" s="12">
        <v>2.1634399502212251</v>
      </c>
      <c r="D38" s="40">
        <v>0.65023661171131986</v>
      </c>
      <c r="E38" s="40">
        <v>2.0278383861927547E-2</v>
      </c>
      <c r="F38" s="37">
        <v>17.640196450485238</v>
      </c>
      <c r="G38" s="12">
        <v>8.3187710356382354</v>
      </c>
      <c r="H38" s="37">
        <v>84255.112883217778</v>
      </c>
      <c r="I38" s="37">
        <v>49370.553079609934</v>
      </c>
      <c r="J38" s="37">
        <v>460325.39602784673</v>
      </c>
      <c r="K38" s="37">
        <v>140203.53568734258</v>
      </c>
      <c r="L38" s="37">
        <v>44450.898419354162</v>
      </c>
      <c r="M38" s="37">
        <v>130489.30199201491</v>
      </c>
      <c r="N38" s="37">
        <v>107169.64581189275</v>
      </c>
      <c r="O38" s="37">
        <v>311615.17875527404</v>
      </c>
      <c r="P38" s="68">
        <v>1</v>
      </c>
    </row>
    <row r="39" spans="1:16" x14ac:dyDescent="0.2">
      <c r="A39" s="10">
        <v>37</v>
      </c>
      <c r="B39" s="40">
        <v>8.432458352724681E-2</v>
      </c>
      <c r="C39" s="12">
        <v>7.7187661986180434</v>
      </c>
      <c r="D39" s="40">
        <v>0.66792871184854685</v>
      </c>
      <c r="E39" s="40">
        <v>2.1311268222058602E-2</v>
      </c>
      <c r="F39" s="37">
        <v>14.922048307526188</v>
      </c>
      <c r="G39" s="12">
        <v>3.3880156605755771</v>
      </c>
      <c r="H39" s="37">
        <v>167468.66110137402</v>
      </c>
      <c r="I39" s="37">
        <v>38016.554686937379</v>
      </c>
      <c r="J39" s="37">
        <v>247268.93051533314</v>
      </c>
      <c r="K39" s="37">
        <v>186475.55968643501</v>
      </c>
      <c r="L39" s="37">
        <v>105686.86934715965</v>
      </c>
      <c r="M39" s="37">
        <v>119161.12131312538</v>
      </c>
      <c r="N39" s="37">
        <v>43647.365313159287</v>
      </c>
      <c r="O39" s="37">
        <v>558215.74351291137</v>
      </c>
      <c r="P39" s="68">
        <v>1</v>
      </c>
    </row>
    <row r="40" spans="1:16" x14ac:dyDescent="0.2">
      <c r="A40" s="10">
        <v>38</v>
      </c>
      <c r="B40" s="40">
        <v>0.12284350756348873</v>
      </c>
      <c r="C40" s="12">
        <v>7.5218030598843928</v>
      </c>
      <c r="D40" s="40">
        <v>0.74499863256390841</v>
      </c>
      <c r="E40" s="40">
        <v>3.870708892511944E-2</v>
      </c>
      <c r="F40" s="37">
        <v>14.686009137864728</v>
      </c>
      <c r="G40" s="12">
        <v>3.2291658304089639</v>
      </c>
      <c r="H40" s="37">
        <v>177730.44985594045</v>
      </c>
      <c r="I40" s="37">
        <v>37671.949718043237</v>
      </c>
      <c r="J40" s="37">
        <v>221450.62281412279</v>
      </c>
      <c r="K40" s="37">
        <v>79243.564052738104</v>
      </c>
      <c r="L40" s="37">
        <v>167347.20831033553</v>
      </c>
      <c r="M40" s="37">
        <v>237583.62907941896</v>
      </c>
      <c r="N40" s="37">
        <v>41600.923601600727</v>
      </c>
      <c r="O40" s="37">
        <v>1411036.9008062151</v>
      </c>
      <c r="P40" s="68">
        <v>1</v>
      </c>
    </row>
    <row r="41" spans="1:16" x14ac:dyDescent="0.2">
      <c r="A41" s="10">
        <v>39</v>
      </c>
      <c r="B41" s="40">
        <v>0.11360067787560937</v>
      </c>
      <c r="C41" s="12">
        <v>7.4368643757728989</v>
      </c>
      <c r="D41" s="40">
        <v>0.685103445983825</v>
      </c>
      <c r="E41" s="40">
        <v>2.0700648980296596E-2</v>
      </c>
      <c r="F41" s="37">
        <v>7.7876819991388277</v>
      </c>
      <c r="G41" s="12">
        <v>7.8106201687266115</v>
      </c>
      <c r="H41" s="37">
        <v>25435.340443184032</v>
      </c>
      <c r="I41" s="37">
        <v>36356.087967310545</v>
      </c>
      <c r="J41" s="37">
        <v>436430.08246912831</v>
      </c>
      <c r="K41" s="37">
        <v>170783.23687455623</v>
      </c>
      <c r="L41" s="37">
        <v>140707.02017253623</v>
      </c>
      <c r="M41" s="37">
        <v>61960.520064847478</v>
      </c>
      <c r="N41" s="37">
        <v>100623.20425308299</v>
      </c>
      <c r="O41" s="37">
        <v>107925.00205462414</v>
      </c>
      <c r="P41" s="68">
        <v>1</v>
      </c>
    </row>
    <row r="42" spans="1:16" x14ac:dyDescent="0.2">
      <c r="A42" s="10">
        <v>40</v>
      </c>
      <c r="B42" s="40">
        <v>0.12017232856372696</v>
      </c>
      <c r="C42" s="12">
        <v>8.0446184773733638</v>
      </c>
      <c r="D42" s="40">
        <v>0.6734950182107049</v>
      </c>
      <c r="E42" s="40">
        <v>3.1406203684918005E-2</v>
      </c>
      <c r="F42" s="37">
        <v>15.720215921021067</v>
      </c>
      <c r="G42" s="12">
        <v>12.975412711256553</v>
      </c>
      <c r="H42" s="37">
        <v>60523.21455290218</v>
      </c>
      <c r="I42" s="37">
        <v>47735.409649363995</v>
      </c>
      <c r="J42" s="37">
        <v>394481.46365946962</v>
      </c>
      <c r="K42" s="37">
        <v>115912.87032019086</v>
      </c>
      <c r="L42" s="37">
        <v>158282.58918836724</v>
      </c>
      <c r="M42" s="37">
        <v>186541.33025074736</v>
      </c>
      <c r="N42" s="37">
        <v>167160.5551554657</v>
      </c>
      <c r="O42" s="37">
        <v>1018468.7550333603</v>
      </c>
      <c r="P42" s="68">
        <v>1</v>
      </c>
    </row>
    <row r="43" spans="1:16" x14ac:dyDescent="0.2">
      <c r="A43" s="10">
        <v>41</v>
      </c>
      <c r="B43" s="40">
        <v>0.15626328654409405</v>
      </c>
      <c r="C43" s="12">
        <v>5.1527690134969104</v>
      </c>
      <c r="D43" s="40">
        <v>0.58901980940097343</v>
      </c>
      <c r="E43" s="40">
        <v>2.7527024987694708E-2</v>
      </c>
      <c r="F43" s="37">
        <v>25.407829971353756</v>
      </c>
      <c r="G43" s="12">
        <v>16.749892486897284</v>
      </c>
      <c r="H43" s="37">
        <v>39287.096772043376</v>
      </c>
      <c r="I43" s="37">
        <v>35405.579607050837</v>
      </c>
      <c r="J43" s="37">
        <v>425882.25741444493</v>
      </c>
      <c r="K43" s="37">
        <v>199027.45403339833</v>
      </c>
      <c r="L43" s="37">
        <v>115296.562454795</v>
      </c>
      <c r="M43" s="37">
        <v>231112.52602574212</v>
      </c>
      <c r="N43" s="37">
        <v>215786.68742267441</v>
      </c>
      <c r="O43" s="37">
        <v>800845.30777946231</v>
      </c>
      <c r="P43" s="68">
        <v>1</v>
      </c>
    </row>
    <row r="44" spans="1:16" x14ac:dyDescent="0.2">
      <c r="A44" s="10">
        <v>42</v>
      </c>
      <c r="B44" s="40">
        <v>0.15578386621956258</v>
      </c>
      <c r="C44" s="12">
        <v>6.2381083381034541</v>
      </c>
      <c r="D44" s="40">
        <v>0.79477608898360619</v>
      </c>
      <c r="E44" s="40">
        <v>3.2548771444685279E-2</v>
      </c>
      <c r="F44" s="37">
        <v>16.593164260672417</v>
      </c>
      <c r="G44" s="12">
        <v>7.002376296486446</v>
      </c>
      <c r="H44" s="37">
        <v>44812.111729536926</v>
      </c>
      <c r="I44" s="37">
        <v>73472.070724974474</v>
      </c>
      <c r="J44" s="37">
        <v>399608.16968683619</v>
      </c>
      <c r="K44" s="37">
        <v>152638.02281013568</v>
      </c>
      <c r="L44" s="37">
        <v>187762.56659490883</v>
      </c>
      <c r="M44" s="37">
        <v>240810.45479524828</v>
      </c>
      <c r="N44" s="37">
        <v>90210.703518716356</v>
      </c>
      <c r="O44" s="37">
        <v>957588.50953727786</v>
      </c>
      <c r="P44" s="68">
        <v>1</v>
      </c>
    </row>
    <row r="45" spans="1:16" x14ac:dyDescent="0.2">
      <c r="A45" s="10">
        <v>43</v>
      </c>
      <c r="B45" s="40">
        <v>0.14010407955354126</v>
      </c>
      <c r="C45" s="12">
        <v>4.9482949854917253</v>
      </c>
      <c r="D45" s="40">
        <v>0.5206446098628712</v>
      </c>
      <c r="E45" s="40">
        <v>2.1762997668460717E-2</v>
      </c>
      <c r="F45" s="37">
        <v>11.255331452383723</v>
      </c>
      <c r="G45" s="12">
        <v>14.549666157204555</v>
      </c>
      <c r="H45" s="37">
        <v>74683.782799729524</v>
      </c>
      <c r="I45" s="37">
        <v>40216.62349441259</v>
      </c>
      <c r="J45" s="37">
        <v>432704.11159142666</v>
      </c>
      <c r="K45" s="37">
        <v>159617.97112856747</v>
      </c>
      <c r="L45" s="37">
        <v>87747.867130590224</v>
      </c>
      <c r="M45" s="37">
        <v>71545.959589451886</v>
      </c>
      <c r="N45" s="37">
        <v>187441.45764666586</v>
      </c>
      <c r="O45" s="37">
        <v>413439.90034142381</v>
      </c>
      <c r="P45" s="68">
        <v>1</v>
      </c>
    </row>
    <row r="46" spans="1:16" x14ac:dyDescent="0.2">
      <c r="A46" s="10">
        <v>44</v>
      </c>
      <c r="B46" s="40">
        <v>0.18335196103983242</v>
      </c>
      <c r="C46" s="12">
        <v>3.8624477526580985</v>
      </c>
      <c r="D46" s="40">
        <v>0.41181353167804674</v>
      </c>
      <c r="E46" s="40">
        <v>2.6774245842909831E-2</v>
      </c>
      <c r="F46" s="37">
        <v>26.312771365210786</v>
      </c>
      <c r="G46" s="12">
        <v>21.542904073866293</v>
      </c>
      <c r="H46" s="37">
        <v>163959.1325272547</v>
      </c>
      <c r="I46" s="37">
        <v>38114.031967452953</v>
      </c>
      <c r="J46" s="37">
        <v>428417.5161659139</v>
      </c>
      <c r="K46" s="37">
        <v>131629.31541595276</v>
      </c>
      <c r="L46" s="37">
        <v>70898.593478559516</v>
      </c>
      <c r="M46" s="37">
        <v>162761.31265724188</v>
      </c>
      <c r="N46" s="37">
        <v>277534.43260608986</v>
      </c>
      <c r="O46" s="37">
        <v>1201121.5403440089</v>
      </c>
      <c r="P46" s="68">
        <v>1</v>
      </c>
    </row>
    <row r="47" spans="1:16" x14ac:dyDescent="0.2">
      <c r="A47" s="10">
        <v>45</v>
      </c>
      <c r="B47" s="40">
        <v>0.20578329857212518</v>
      </c>
      <c r="C47" s="12">
        <v>4.9054672507002612</v>
      </c>
      <c r="D47" s="40">
        <v>0.57572859261200848</v>
      </c>
      <c r="E47" s="40">
        <v>2.5890358460686821E-2</v>
      </c>
      <c r="F47" s="37">
        <v>13.066089656687687</v>
      </c>
      <c r="G47" s="12">
        <v>21.337277246863938</v>
      </c>
      <c r="H47" s="37">
        <v>22995.660264373662</v>
      </c>
      <c r="I47" s="37">
        <v>39245.213426328934</v>
      </c>
      <c r="J47" s="37">
        <v>311920.11182606994</v>
      </c>
      <c r="K47" s="37">
        <v>143439.55345732474</v>
      </c>
      <c r="L47" s="37">
        <v>141285.35042747969</v>
      </c>
      <c r="M47" s="37">
        <v>109261.76903153172</v>
      </c>
      <c r="N47" s="37">
        <v>274885.36892530601</v>
      </c>
      <c r="O47" s="37">
        <v>932661.75456938299</v>
      </c>
      <c r="P47" s="68">
        <v>1</v>
      </c>
    </row>
    <row r="48" spans="1:16" x14ac:dyDescent="0.2">
      <c r="A48" s="10">
        <v>46</v>
      </c>
      <c r="B48" s="40">
        <v>0.14871511755741096</v>
      </c>
      <c r="C48" s="12">
        <v>3.787731219940865</v>
      </c>
      <c r="D48" s="40">
        <v>0.48598748022832644</v>
      </c>
      <c r="E48" s="40">
        <v>1.9606127016667391E-2</v>
      </c>
      <c r="F48" s="37">
        <v>8.0720875429724916</v>
      </c>
      <c r="G48" s="12">
        <v>16.774598531094806</v>
      </c>
      <c r="H48" s="37">
        <v>116148.73586928335</v>
      </c>
      <c r="I48" s="37">
        <v>25547.107714914713</v>
      </c>
      <c r="J48" s="37">
        <v>466960.34775848273</v>
      </c>
      <c r="K48" s="37">
        <v>129802.50134136929</v>
      </c>
      <c r="L48" s="37">
        <v>66550.01890722863</v>
      </c>
      <c r="M48" s="37">
        <v>43148.876125468596</v>
      </c>
      <c r="N48" s="37">
        <v>216104.97217828536</v>
      </c>
      <c r="O48" s="37">
        <v>479144.64259865857</v>
      </c>
      <c r="P48" s="68">
        <v>1</v>
      </c>
    </row>
    <row r="49" spans="1:16" x14ac:dyDescent="0.2">
      <c r="A49" s="10">
        <v>47</v>
      </c>
      <c r="B49" s="40">
        <v>0.11089657499855669</v>
      </c>
      <c r="C49" s="12">
        <v>4.0214440887410561</v>
      </c>
      <c r="D49" s="40">
        <v>0.29770219366557493</v>
      </c>
      <c r="E49" s="40">
        <v>2.725412713567326E-2</v>
      </c>
      <c r="F49" s="37">
        <v>22.718170866097957</v>
      </c>
      <c r="G49" s="12">
        <v>5.6669841251388782</v>
      </c>
      <c r="H49" s="37">
        <v>211820.58244573881</v>
      </c>
      <c r="I49" s="37">
        <v>63199.422925090206</v>
      </c>
      <c r="J49" s="37">
        <v>387016.80861381249</v>
      </c>
      <c r="K49" s="37">
        <v>126612.84413294832</v>
      </c>
      <c r="L49" s="37">
        <v>32275.355359875135</v>
      </c>
      <c r="M49" s="37">
        <v>103408.06364557041</v>
      </c>
      <c r="N49" s="37">
        <v>73007.019776227913</v>
      </c>
      <c r="O49" s="37">
        <v>613441.03339648212</v>
      </c>
      <c r="P49" s="68">
        <v>1</v>
      </c>
    </row>
    <row r="50" spans="1:16" x14ac:dyDescent="0.2">
      <c r="A50" s="10">
        <v>48</v>
      </c>
      <c r="B50" s="40">
        <v>0.1326736518430473</v>
      </c>
      <c r="C50" s="12">
        <v>5.1678443380273063</v>
      </c>
      <c r="D50" s="40">
        <v>0.80047092233007999</v>
      </c>
      <c r="E50" s="40">
        <v>4.1189661875334488E-2</v>
      </c>
      <c r="F50" s="37">
        <v>12.115450579788192</v>
      </c>
      <c r="G50" s="12">
        <v>18.039678769252831</v>
      </c>
      <c r="H50" s="37">
        <v>19498.552009422452</v>
      </c>
      <c r="I50" s="37">
        <v>15462.456890261936</v>
      </c>
      <c r="J50" s="37">
        <v>525157.78489965829</v>
      </c>
      <c r="K50" s="37">
        <v>146943.28095862651</v>
      </c>
      <c r="L50" s="37">
        <v>133422.32273893792</v>
      </c>
      <c r="M50" s="37">
        <v>224099.08830543936</v>
      </c>
      <c r="N50" s="37">
        <v>232402.83642604423</v>
      </c>
      <c r="O50" s="37">
        <v>813862.12814406585</v>
      </c>
      <c r="P50" s="68">
        <v>1</v>
      </c>
    </row>
    <row r="51" spans="1:16" x14ac:dyDescent="0.2">
      <c r="A51" s="10">
        <v>49</v>
      </c>
      <c r="B51" s="40">
        <v>0.118280773962777</v>
      </c>
      <c r="C51" s="12">
        <v>4.4808333494087016</v>
      </c>
      <c r="D51" s="40">
        <v>0.61226433568069583</v>
      </c>
      <c r="E51" s="40">
        <v>2.6934698202790663E-2</v>
      </c>
      <c r="F51" s="37">
        <v>8.3426666217801397</v>
      </c>
      <c r="G51" s="12">
        <v>13.041298658598389</v>
      </c>
      <c r="H51" s="37">
        <v>114206.02822314913</v>
      </c>
      <c r="I51" s="37">
        <v>25523.849410243394</v>
      </c>
      <c r="J51" s="37">
        <v>409774.37245850812</v>
      </c>
      <c r="K51" s="37">
        <v>202114.69632751134</v>
      </c>
      <c r="L51" s="37">
        <v>78886.146494249231</v>
      </c>
      <c r="M51" s="37">
        <v>77183.185275233714</v>
      </c>
      <c r="N51" s="37">
        <v>168009.35524989743</v>
      </c>
      <c r="O51" s="37">
        <v>323396.84671989258</v>
      </c>
      <c r="P51" s="68">
        <v>1</v>
      </c>
    </row>
    <row r="52" spans="1:16" x14ac:dyDescent="0.2">
      <c r="A52" s="10">
        <v>50</v>
      </c>
      <c r="B52" s="40">
        <v>0.16563875159904445</v>
      </c>
      <c r="C52" s="12">
        <v>1.8406954409290832</v>
      </c>
      <c r="D52" s="40">
        <v>0.46847337174284531</v>
      </c>
      <c r="E52" s="40">
        <v>3.2323384276427641E-2</v>
      </c>
      <c r="F52" s="37">
        <v>15.408100552033581</v>
      </c>
      <c r="G52" s="12">
        <v>9.541505334288015</v>
      </c>
      <c r="H52" s="37">
        <v>73143.032016389829</v>
      </c>
      <c r="I52" s="37">
        <v>39685.591055662124</v>
      </c>
      <c r="J52" s="37">
        <v>309117.52512512542</v>
      </c>
      <c r="K52" s="37">
        <v>132239.86035921786</v>
      </c>
      <c r="L52" s="37">
        <v>34723.030773002232</v>
      </c>
      <c r="M52" s="37">
        <v>130893.34662047258</v>
      </c>
      <c r="N52" s="37">
        <v>122921.97282593904</v>
      </c>
      <c r="O52" s="37">
        <v>444878.94703238527</v>
      </c>
      <c r="P52" s="68">
        <v>1</v>
      </c>
    </row>
    <row r="53" spans="1:16" x14ac:dyDescent="0.2">
      <c r="A53" s="10">
        <v>51</v>
      </c>
      <c r="B53" s="40">
        <v>0.18235365133006412</v>
      </c>
      <c r="C53" s="12">
        <v>5.7201667293842151</v>
      </c>
      <c r="D53" s="40">
        <v>0.72527341423631742</v>
      </c>
      <c r="E53" s="40">
        <v>3.0080692067020725E-2</v>
      </c>
      <c r="F53" s="37">
        <v>14.486051473562492</v>
      </c>
      <c r="G53" s="12">
        <v>24.382351154342498</v>
      </c>
      <c r="H53" s="37">
        <v>97281.486470013449</v>
      </c>
      <c r="I53" s="37">
        <v>61104.433714320563</v>
      </c>
      <c r="J53" s="37">
        <v>267141.53174724086</v>
      </c>
      <c r="K53" s="37">
        <v>94681.135700541578</v>
      </c>
      <c r="L53" s="37">
        <v>183913.55493560113</v>
      </c>
      <c r="M53" s="37">
        <v>177299.02120092712</v>
      </c>
      <c r="N53" s="37">
        <v>314114.66021574434</v>
      </c>
      <c r="O53" s="37">
        <v>1803357.9079064275</v>
      </c>
      <c r="P53" s="68">
        <v>1</v>
      </c>
    </row>
    <row r="54" spans="1:16" x14ac:dyDescent="0.2">
      <c r="A54" s="10">
        <v>52</v>
      </c>
      <c r="B54" s="40">
        <v>0.11848857115030278</v>
      </c>
      <c r="C54" s="12">
        <v>4.924046383850591</v>
      </c>
      <c r="D54" s="40">
        <v>0.52070446291125028</v>
      </c>
      <c r="E54" s="40">
        <v>2.4105057921292729E-2</v>
      </c>
      <c r="F54" s="37">
        <v>14.169988815289072</v>
      </c>
      <c r="G54" s="12">
        <v>15.515098437791048</v>
      </c>
      <c r="H54" s="37">
        <v>116961.24710403764</v>
      </c>
      <c r="I54" s="37">
        <v>28764.293088503979</v>
      </c>
      <c r="J54" s="37">
        <v>289410.28260406433</v>
      </c>
      <c r="K54" s="37">
        <v>185914.11107278027</v>
      </c>
      <c r="L54" s="37">
        <v>73854.800131181546</v>
      </c>
      <c r="M54" s="37">
        <v>99778.212354140618</v>
      </c>
      <c r="N54" s="37">
        <v>199878.99621126516</v>
      </c>
      <c r="O54" s="37">
        <v>644440.98738749046</v>
      </c>
      <c r="P54" s="68">
        <v>1</v>
      </c>
    </row>
    <row r="55" spans="1:16" x14ac:dyDescent="0.2">
      <c r="A55" s="10">
        <v>53</v>
      </c>
      <c r="B55" s="40">
        <v>0.14013963314602063</v>
      </c>
      <c r="C55" s="12">
        <v>5.2044243078086003</v>
      </c>
      <c r="D55" s="40">
        <v>0.70125960572002133</v>
      </c>
      <c r="E55" s="40">
        <v>4.2941828124305227E-2</v>
      </c>
      <c r="F55" s="37">
        <v>13.491960767750491</v>
      </c>
      <c r="G55" s="12">
        <v>11.71937284584968</v>
      </c>
      <c r="H55" s="37">
        <v>215950.68709421525</v>
      </c>
      <c r="I55" s="37">
        <v>35217.730139234118</v>
      </c>
      <c r="J55" s="37">
        <v>539598.25898587005</v>
      </c>
      <c r="K55" s="37">
        <v>175130.99650416611</v>
      </c>
      <c r="L55" s="37">
        <v>124337.26943733644</v>
      </c>
      <c r="M55" s="37">
        <v>227929.82346628842</v>
      </c>
      <c r="N55" s="37">
        <v>150979.15685461147</v>
      </c>
      <c r="O55" s="37">
        <v>1083344.2946913633</v>
      </c>
      <c r="P55" s="68">
        <v>1</v>
      </c>
    </row>
    <row r="56" spans="1:16" x14ac:dyDescent="0.2">
      <c r="A56" s="10">
        <v>54</v>
      </c>
      <c r="B56" s="40">
        <v>0.17984360718755293</v>
      </c>
      <c r="C56" s="12">
        <v>7.71812706474919</v>
      </c>
      <c r="D56" s="40">
        <v>0.62548064223000599</v>
      </c>
      <c r="E56" s="40">
        <v>1.2498687225147381E-2</v>
      </c>
      <c r="F56" s="37">
        <v>9.5471979132998293</v>
      </c>
      <c r="G56" s="12">
        <v>14.991193797349917</v>
      </c>
      <c r="H56" s="37">
        <v>106180.84236523602</v>
      </c>
      <c r="I56" s="37">
        <v>28342.858483207659</v>
      </c>
      <c r="J56" s="37">
        <v>583736.63016785798</v>
      </c>
      <c r="K56" s="37">
        <v>84953.809156912757</v>
      </c>
      <c r="L56" s="37">
        <v>211061.79721709489</v>
      </c>
      <c r="M56" s="37">
        <v>41871.732529423003</v>
      </c>
      <c r="N56" s="37">
        <v>193129.60083606534</v>
      </c>
      <c r="O56" s="37">
        <v>804847.17399730021</v>
      </c>
      <c r="P56" s="68">
        <v>1</v>
      </c>
    </row>
    <row r="57" spans="1:16" x14ac:dyDescent="0.2">
      <c r="A57" s="10">
        <v>55</v>
      </c>
      <c r="B57" s="40">
        <v>0.12162654092326666</v>
      </c>
      <c r="C57" s="12">
        <v>3.4111389253192104</v>
      </c>
      <c r="D57" s="40">
        <v>0.21495513773894001</v>
      </c>
      <c r="E57" s="40">
        <v>2.0556941124498795E-2</v>
      </c>
      <c r="F57" s="37">
        <v>19.345460119154986</v>
      </c>
      <c r="G57" s="12">
        <v>14.263479664671925</v>
      </c>
      <c r="H57" s="37">
        <v>45328.974018681525</v>
      </c>
      <c r="I57" s="37">
        <v>54451.881660520863</v>
      </c>
      <c r="J57" s="37">
        <v>322176.63872425474</v>
      </c>
      <c r="K57" s="37">
        <v>89911.500200982846</v>
      </c>
      <c r="L57" s="37">
        <v>21680.256805275283</v>
      </c>
      <c r="M57" s="37">
        <v>47957.012137172358</v>
      </c>
      <c r="N57" s="37">
        <v>183754.55426761199</v>
      </c>
      <c r="O57" s="37">
        <v>415385.61512774532</v>
      </c>
      <c r="P57" s="68">
        <v>1</v>
      </c>
    </row>
    <row r="58" spans="1:16" x14ac:dyDescent="0.2">
      <c r="A58" s="10">
        <v>56</v>
      </c>
      <c r="B58" s="40">
        <v>0.18949833872360816</v>
      </c>
      <c r="C58" s="12">
        <v>8.6101271198852558</v>
      </c>
      <c r="D58" s="40">
        <v>0.44537261140463569</v>
      </c>
      <c r="E58" s="40">
        <v>2.7758872572852422E-2</v>
      </c>
      <c r="F58" s="37">
        <v>22.010567436847357</v>
      </c>
      <c r="G58" s="12">
        <v>13.558348313005002</v>
      </c>
      <c r="H58" s="37">
        <v>36431.707472119444</v>
      </c>
      <c r="I58" s="37">
        <v>46001.53433411022</v>
      </c>
      <c r="J58" s="37">
        <v>334566.00760451204</v>
      </c>
      <c r="K58" s="37">
        <v>174464.95225681821</v>
      </c>
      <c r="L58" s="37">
        <v>176655.5580915623</v>
      </c>
      <c r="M58" s="37">
        <v>152659.31182871968</v>
      </c>
      <c r="N58" s="37">
        <v>174670.43873116275</v>
      </c>
      <c r="O58" s="37">
        <v>819578.42753545055</v>
      </c>
      <c r="P58" s="68">
        <v>1</v>
      </c>
    </row>
    <row r="59" spans="1:16" x14ac:dyDescent="0.2">
      <c r="A59" s="10">
        <v>57</v>
      </c>
      <c r="B59" s="40">
        <v>0.12902562642479684</v>
      </c>
      <c r="C59" s="12">
        <v>4.476710242655539</v>
      </c>
      <c r="D59" s="40">
        <v>0.76505247969144596</v>
      </c>
      <c r="E59" s="40">
        <v>3.2997575510533908E-2</v>
      </c>
      <c r="F59" s="37">
        <v>25.753683885321628</v>
      </c>
      <c r="G59" s="12">
        <v>14.501391413961288</v>
      </c>
      <c r="H59" s="37">
        <v>114421.01233028411</v>
      </c>
      <c r="I59" s="37">
        <v>50609.959562622404</v>
      </c>
      <c r="J59" s="37">
        <v>202714.76519145526</v>
      </c>
      <c r="K59" s="37">
        <v>100531.89188640912</v>
      </c>
      <c r="L59" s="37">
        <v>107427.38847363176</v>
      </c>
      <c r="M59" s="37">
        <v>364736.60477439873</v>
      </c>
      <c r="N59" s="37">
        <v>186819.54040517946</v>
      </c>
      <c r="O59" s="37">
        <v>1824220.8802856454</v>
      </c>
      <c r="P59" s="68">
        <v>1</v>
      </c>
    </row>
    <row r="60" spans="1:16" x14ac:dyDescent="0.2">
      <c r="A60" s="10">
        <v>58</v>
      </c>
      <c r="B60" s="40">
        <v>0.1493913177747771</v>
      </c>
      <c r="C60" s="12">
        <v>2.9513987800245891</v>
      </c>
      <c r="D60" s="40">
        <v>0.44394823124381366</v>
      </c>
      <c r="E60" s="40">
        <v>7.6738066599983694E-3</v>
      </c>
      <c r="F60" s="37">
        <v>18.42702262640924</v>
      </c>
      <c r="G60" s="12">
        <v>13.383946820527342</v>
      </c>
      <c r="H60" s="37">
        <v>135905.66338348686</v>
      </c>
      <c r="I60" s="37">
        <v>58417.356057608376</v>
      </c>
      <c r="J60" s="37">
        <v>334634.1123059963</v>
      </c>
      <c r="K60" s="37">
        <v>97029.075827134307</v>
      </c>
      <c r="L60" s="37">
        <v>47585.475259055485</v>
      </c>
      <c r="M60" s="37">
        <v>35218.032033043317</v>
      </c>
      <c r="N60" s="37">
        <v>172423.6469757671</v>
      </c>
      <c r="O60" s="37">
        <v>653002.03207201103</v>
      </c>
      <c r="P60" s="68">
        <v>1</v>
      </c>
    </row>
    <row r="61" spans="1:16" x14ac:dyDescent="0.2">
      <c r="A61" s="10">
        <v>59</v>
      </c>
      <c r="B61" s="40">
        <v>0.1291070610573373</v>
      </c>
      <c r="C61" s="12">
        <v>2.4929323096852118</v>
      </c>
      <c r="D61" s="40">
        <v>0.68423734734560759</v>
      </c>
      <c r="E61" s="40">
        <v>3.9766861579464359E-2</v>
      </c>
      <c r="F61" s="37">
        <v>16.221665266514307</v>
      </c>
      <c r="G61" s="12">
        <v>8.3256138915914981</v>
      </c>
      <c r="H61" s="37">
        <v>152064.24120746163</v>
      </c>
      <c r="I61" s="37">
        <v>4180.5428159700514</v>
      </c>
      <c r="J61" s="37">
        <v>337047.18534596317</v>
      </c>
      <c r="K61" s="37">
        <v>95823.772902710392</v>
      </c>
      <c r="L61" s="37">
        <v>53537.253319346135</v>
      </c>
      <c r="M61" s="37">
        <v>247622.58922473137</v>
      </c>
      <c r="N61" s="37">
        <v>107257.80143556737</v>
      </c>
      <c r="O61" s="37">
        <v>976468.52886504354</v>
      </c>
      <c r="P61" s="68">
        <v>1</v>
      </c>
    </row>
    <row r="62" spans="1:16" x14ac:dyDescent="0.2">
      <c r="A62" s="10">
        <v>60</v>
      </c>
      <c r="B62" s="40">
        <v>0.16734065670230305</v>
      </c>
      <c r="C62" s="12">
        <v>4.8824835101586217</v>
      </c>
      <c r="D62" s="40">
        <v>0.61217101674583363</v>
      </c>
      <c r="E62" s="40">
        <v>2.7091139405897576E-2</v>
      </c>
      <c r="F62" s="37">
        <v>16.948971993501324</v>
      </c>
      <c r="G62" s="12">
        <v>17.488452364041336</v>
      </c>
      <c r="H62" s="37">
        <v>44213.551526450865</v>
      </c>
      <c r="I62" s="37">
        <v>23174.168513998495</v>
      </c>
      <c r="J62" s="37">
        <v>318003.56517704844</v>
      </c>
      <c r="K62" s="37">
        <v>122835.01616653871</v>
      </c>
      <c r="L62" s="37">
        <v>121591.67684902489</v>
      </c>
      <c r="M62" s="37">
        <v>157692.16986527861</v>
      </c>
      <c r="N62" s="37">
        <v>225301.45830713722</v>
      </c>
      <c r="O62" s="37">
        <v>940318.09007809311</v>
      </c>
      <c r="P62" s="68">
        <v>1</v>
      </c>
    </row>
    <row r="63" spans="1:16" x14ac:dyDescent="0.2">
      <c r="A63" s="10">
        <v>61</v>
      </c>
      <c r="B63" s="40">
        <v>6.7706581572072974E-2</v>
      </c>
      <c r="C63" s="12">
        <v>4.2384266844300909</v>
      </c>
      <c r="D63" s="40">
        <v>0.33189616233963803</v>
      </c>
      <c r="E63" s="40">
        <v>3.0883429361671374E-2</v>
      </c>
      <c r="F63" s="37">
        <v>13.015258638587483</v>
      </c>
      <c r="G63" s="12">
        <v>16.582240930931668</v>
      </c>
      <c r="H63" s="37">
        <v>143751.38690807478</v>
      </c>
      <c r="I63" s="37">
        <v>30645.394467034828</v>
      </c>
      <c r="J63" s="37">
        <v>334172.01931883441</v>
      </c>
      <c r="K63" s="37">
        <v>159779.2697151301</v>
      </c>
      <c r="L63" s="37">
        <v>23154.031662030979</v>
      </c>
      <c r="M63" s="37">
        <v>74842.327468236879</v>
      </c>
      <c r="N63" s="37">
        <v>213626.85422187168</v>
      </c>
      <c r="O63" s="37">
        <v>579836.06055519986</v>
      </c>
      <c r="P63" s="68">
        <v>1</v>
      </c>
    </row>
    <row r="64" spans="1:16" x14ac:dyDescent="0.2">
      <c r="A64" s="10">
        <v>62</v>
      </c>
      <c r="B64" s="40">
        <v>6.3776223251053685E-2</v>
      </c>
      <c r="C64" s="12">
        <v>4.6413420363997124</v>
      </c>
      <c r="D64" s="40">
        <v>0.33904351110517461</v>
      </c>
      <c r="E64" s="40">
        <v>2.8066778685685034E-2</v>
      </c>
      <c r="F64" s="37">
        <v>12.076935031397301</v>
      </c>
      <c r="G64" s="12">
        <v>11.114330621290177</v>
      </c>
      <c r="H64" s="37">
        <v>111777.38687686381</v>
      </c>
      <c r="I64" s="37">
        <v>38159.881676993929</v>
      </c>
      <c r="J64" s="37">
        <v>327286.59933391691</v>
      </c>
      <c r="K64" s="37">
        <v>95835.521585707145</v>
      </c>
      <c r="L64" s="37">
        <v>24397.573665987296</v>
      </c>
      <c r="M64" s="37">
        <v>64472.048427201829</v>
      </c>
      <c r="N64" s="37">
        <v>143184.4765311006</v>
      </c>
      <c r="O64" s="37">
        <v>474418.19998248084</v>
      </c>
      <c r="P64" s="68">
        <v>1</v>
      </c>
    </row>
    <row r="65" spans="1:16" x14ac:dyDescent="0.2">
      <c r="A65" s="10">
        <v>63</v>
      </c>
      <c r="B65" s="40">
        <v>0.12873909012535828</v>
      </c>
      <c r="C65" s="12">
        <v>5.169394784689338</v>
      </c>
      <c r="D65" s="40">
        <v>0.5065261268216259</v>
      </c>
      <c r="E65" s="40">
        <v>3.5661522515314098E-2</v>
      </c>
      <c r="F65" s="37">
        <v>19.484287989549671</v>
      </c>
      <c r="G65" s="12">
        <v>12.059506750588572</v>
      </c>
      <c r="H65" s="37">
        <v>87881.006718932797</v>
      </c>
      <c r="I65" s="37">
        <v>41064.345271783248</v>
      </c>
      <c r="J65" s="37">
        <v>373761.96649532579</v>
      </c>
      <c r="K65" s="37">
        <v>163693.43852859287</v>
      </c>
      <c r="L65" s="37">
        <v>81948.463780867256</v>
      </c>
      <c r="M65" s="37">
        <v>197448.12055562076</v>
      </c>
      <c r="N65" s="37">
        <v>155361.05773195499</v>
      </c>
      <c r="O65" s="37">
        <v>746919.59699794161</v>
      </c>
      <c r="P65" s="68">
        <v>1</v>
      </c>
    </row>
    <row r="66" spans="1:16" x14ac:dyDescent="0.2">
      <c r="A66" s="10">
        <v>64</v>
      </c>
      <c r="B66" s="40">
        <v>0.17211238932435718</v>
      </c>
      <c r="C66" s="12">
        <v>6.0587238264620451</v>
      </c>
      <c r="D66" s="40">
        <v>0.62777617026821042</v>
      </c>
      <c r="E66" s="40">
        <v>1.5174304533198235E-2</v>
      </c>
      <c r="F66" s="37">
        <v>7.7105828958872031</v>
      </c>
      <c r="G66" s="12">
        <v>26.97029522188571</v>
      </c>
      <c r="H66" s="37">
        <v>158493.18015829936</v>
      </c>
      <c r="I66" s="37">
        <v>12423.82262665905</v>
      </c>
      <c r="J66" s="37">
        <v>353316.16523392015</v>
      </c>
      <c r="K66" s="37">
        <v>99973.035572324326</v>
      </c>
      <c r="L66" s="37">
        <v>159142.78213051174</v>
      </c>
      <c r="M66" s="37">
        <v>41206.674256829327</v>
      </c>
      <c r="N66" s="37">
        <v>347454.80720517476</v>
      </c>
      <c r="O66" s="37">
        <v>1380191.7600646839</v>
      </c>
      <c r="P66" s="68">
        <v>1</v>
      </c>
    </row>
    <row r="67" spans="1:16" x14ac:dyDescent="0.2">
      <c r="A67" s="10">
        <v>65</v>
      </c>
      <c r="B67" s="40">
        <v>0.20469741507940625</v>
      </c>
      <c r="C67" s="12">
        <v>6.2772044314352904</v>
      </c>
      <c r="D67" s="40">
        <v>0.47083980663334518</v>
      </c>
      <c r="E67" s="40">
        <v>3.2822378426285895E-2</v>
      </c>
      <c r="F67" s="37">
        <v>16.084878005218584</v>
      </c>
      <c r="G67" s="12">
        <v>12.715469133188066</v>
      </c>
      <c r="H67" s="37">
        <v>92604.991619251698</v>
      </c>
      <c r="I67" s="37">
        <v>16191.120121809108</v>
      </c>
      <c r="J67" s="37">
        <v>160900.38167746045</v>
      </c>
      <c r="K67" s="37">
        <v>112101.19905273581</v>
      </c>
      <c r="L67" s="37">
        <v>147075.6015323606</v>
      </c>
      <c r="M67" s="37">
        <v>139452.95596494328</v>
      </c>
      <c r="N67" s="37">
        <v>163811.73583187454</v>
      </c>
      <c r="O67" s="37">
        <v>1091529.9832715304</v>
      </c>
      <c r="P67" s="68">
        <v>1</v>
      </c>
    </row>
    <row r="68" spans="1:16" x14ac:dyDescent="0.2">
      <c r="A68" s="10">
        <v>66</v>
      </c>
      <c r="B68" s="40">
        <v>0.10052701274518046</v>
      </c>
      <c r="C68" s="12">
        <v>4.0309589112102646</v>
      </c>
      <c r="D68" s="40">
        <v>0.59465397417182841</v>
      </c>
      <c r="E68" s="40">
        <v>3.1585387327759243E-2</v>
      </c>
      <c r="F68" s="37">
        <v>14.640735523892047</v>
      </c>
      <c r="G68" s="12">
        <v>17.011305270314338</v>
      </c>
      <c r="H68" s="37">
        <v>38244.829892547357</v>
      </c>
      <c r="I68" s="37">
        <v>48354.241217018673</v>
      </c>
      <c r="J68" s="37">
        <v>470905.38952588383</v>
      </c>
      <c r="K68" s="37">
        <v>84173.494614231662</v>
      </c>
      <c r="L68" s="37">
        <v>58579.317004382225</v>
      </c>
      <c r="M68" s="37">
        <v>154269.53129631589</v>
      </c>
      <c r="N68" s="37">
        <v>219154.43432777448</v>
      </c>
      <c r="O68" s="37">
        <v>746206.56777150114</v>
      </c>
      <c r="P68" s="68">
        <v>1</v>
      </c>
    </row>
    <row r="69" spans="1:16" x14ac:dyDescent="0.2">
      <c r="A69" s="10">
        <v>67</v>
      </c>
      <c r="B69" s="40">
        <v>0.1456887470474072</v>
      </c>
      <c r="C69" s="12">
        <v>6.4898025725038213</v>
      </c>
      <c r="D69" s="40">
        <v>0.52316315423301862</v>
      </c>
      <c r="E69" s="40">
        <v>3.1701464453159175E-2</v>
      </c>
      <c r="F69" s="37">
        <v>16.04693628331977</v>
      </c>
      <c r="G69" s="12">
        <v>17.792149409504567</v>
      </c>
      <c r="H69" s="37">
        <v>217536.73847672166</v>
      </c>
      <c r="I69" s="37">
        <v>45194.894554143837</v>
      </c>
      <c r="J69" s="37">
        <v>211593.00306461344</v>
      </c>
      <c r="K69" s="37">
        <v>96607.439260075567</v>
      </c>
      <c r="L69" s="37">
        <v>120249.55354600695</v>
      </c>
      <c r="M69" s="37">
        <v>149305.33788146416</v>
      </c>
      <c r="N69" s="37">
        <v>229213.94786322411</v>
      </c>
      <c r="O69" s="37">
        <v>1651195.9067122871</v>
      </c>
      <c r="P69" s="68">
        <v>1</v>
      </c>
    </row>
    <row r="70" spans="1:16" x14ac:dyDescent="0.2">
      <c r="A70" s="10">
        <v>68</v>
      </c>
      <c r="B70" s="40">
        <v>8.7730105801428176E-2</v>
      </c>
      <c r="C70" s="12">
        <v>6.2063595159472502</v>
      </c>
      <c r="D70" s="40">
        <v>0.72475526468891394</v>
      </c>
      <c r="E70" s="40">
        <v>2.7614298367887251E-2</v>
      </c>
      <c r="F70" s="37">
        <v>12.99435873209606</v>
      </c>
      <c r="G70" s="12">
        <v>14.526175892659737</v>
      </c>
      <c r="H70" s="37">
        <v>28559.391375298474</v>
      </c>
      <c r="I70" s="37">
        <v>24109.898968273963</v>
      </c>
      <c r="J70" s="37">
        <v>366152.25719347608</v>
      </c>
      <c r="K70" s="37">
        <v>135245.89144326202</v>
      </c>
      <c r="L70" s="37">
        <v>95932.506292512815</v>
      </c>
      <c r="M70" s="37">
        <v>145897.20626751354</v>
      </c>
      <c r="N70" s="37">
        <v>187138.83562226934</v>
      </c>
      <c r="O70" s="37">
        <v>604312.23164383811</v>
      </c>
      <c r="P70" s="68">
        <v>1</v>
      </c>
    </row>
    <row r="71" spans="1:16" x14ac:dyDescent="0.2">
      <c r="A71" s="10">
        <v>69</v>
      </c>
      <c r="B71" s="40">
        <v>0.14732092556928467</v>
      </c>
      <c r="C71" s="12">
        <v>8.8254645588725182</v>
      </c>
      <c r="D71" s="40">
        <v>0.65718818449854177</v>
      </c>
      <c r="E71" s="40">
        <v>4.955067968786956E-2</v>
      </c>
      <c r="F71" s="37">
        <v>9.7885256017205009</v>
      </c>
      <c r="G71" s="12">
        <v>22.868553218340185</v>
      </c>
      <c r="H71" s="37">
        <v>79331.069022819924</v>
      </c>
      <c r="I71" s="37">
        <v>16294.718363525246</v>
      </c>
      <c r="J71" s="37">
        <v>290916.20870351931</v>
      </c>
      <c r="K71" s="37">
        <v>120189.96013457712</v>
      </c>
      <c r="L71" s="37">
        <v>207721.08874395039</v>
      </c>
      <c r="M71" s="37">
        <v>178822.99971927871</v>
      </c>
      <c r="N71" s="37">
        <v>294612.59819995827</v>
      </c>
      <c r="O71" s="37">
        <v>1548617.6596716815</v>
      </c>
      <c r="P71" s="68">
        <v>1</v>
      </c>
    </row>
    <row r="72" spans="1:16" x14ac:dyDescent="0.2">
      <c r="A72" s="10">
        <v>70</v>
      </c>
      <c r="B72" s="40">
        <v>0.15075394693252342</v>
      </c>
      <c r="C72" s="12">
        <v>7.5702783185378824</v>
      </c>
      <c r="D72" s="40">
        <v>0.49606950029823266</v>
      </c>
      <c r="E72" s="40">
        <v>2.7780905185291208E-2</v>
      </c>
      <c r="F72" s="37">
        <v>9.3282492952140075</v>
      </c>
      <c r="G72" s="12">
        <v>10.720100181099534</v>
      </c>
      <c r="H72" s="37">
        <v>64736.481456890266</v>
      </c>
      <c r="I72" s="37">
        <v>18400.906806775998</v>
      </c>
      <c r="J72" s="37">
        <v>297649.65625659865</v>
      </c>
      <c r="K72" s="37">
        <v>94453.69829284781</v>
      </c>
      <c r="L72" s="37">
        <v>137629.61456239608</v>
      </c>
      <c r="M72" s="37">
        <v>72120.012685960959</v>
      </c>
      <c r="N72" s="37">
        <v>138105.65702008177</v>
      </c>
      <c r="O72" s="37">
        <v>645210.37949085142</v>
      </c>
      <c r="P72" s="68">
        <v>1</v>
      </c>
    </row>
    <row r="73" spans="1:16" x14ac:dyDescent="0.2">
      <c r="A73" s="10">
        <v>71</v>
      </c>
      <c r="B73" s="40">
        <v>4.7417846217801936E-2</v>
      </c>
      <c r="C73" s="12">
        <v>6.8657825495778662</v>
      </c>
      <c r="D73" s="40">
        <v>0.50013099672085826</v>
      </c>
      <c r="E73" s="40">
        <v>4.0754726258475593E-2</v>
      </c>
      <c r="F73" s="37">
        <v>8.6623542842201058</v>
      </c>
      <c r="G73" s="12">
        <v>11.044798397533695</v>
      </c>
      <c r="H73" s="37">
        <v>51399.050126095593</v>
      </c>
      <c r="I73" s="37">
        <v>33254.459279110597</v>
      </c>
      <c r="J73" s="37">
        <v>519120.44982259395</v>
      </c>
      <c r="K73" s="37">
        <v>111222.88668823904</v>
      </c>
      <c r="L73" s="37">
        <v>39582.613854443771</v>
      </c>
      <c r="M73" s="37">
        <v>99052.268496058736</v>
      </c>
      <c r="N73" s="37">
        <v>142288.70193163492</v>
      </c>
      <c r="O73" s="37">
        <v>193487.70275706355</v>
      </c>
      <c r="P73" s="68">
        <v>1</v>
      </c>
    </row>
    <row r="74" spans="1:16" x14ac:dyDescent="0.2">
      <c r="A74" s="10">
        <v>72</v>
      </c>
      <c r="B74" s="40">
        <v>9.9503405439191908E-2</v>
      </c>
      <c r="C74" s="12">
        <v>5.8849154835944448</v>
      </c>
      <c r="D74" s="40">
        <v>0.64333432372131738</v>
      </c>
      <c r="E74" s="40">
        <v>6.1611094012229452E-3</v>
      </c>
      <c r="F74" s="37">
        <v>23.214512838757035</v>
      </c>
      <c r="G74" s="12">
        <v>7.0070155443992528</v>
      </c>
      <c r="H74" s="37">
        <v>50888.601275003646</v>
      </c>
      <c r="I74" s="37">
        <v>44545.992648204396</v>
      </c>
      <c r="J74" s="37">
        <v>290819.54217176244</v>
      </c>
      <c r="K74" s="37">
        <v>150790.82603862515</v>
      </c>
      <c r="L74" s="37">
        <v>91580.651119546383</v>
      </c>
      <c r="M74" s="37">
        <v>51620.469434309205</v>
      </c>
      <c r="N74" s="37">
        <v>90270.470346474802</v>
      </c>
      <c r="O74" s="37">
        <v>208195.03386875405</v>
      </c>
      <c r="P74" s="68">
        <v>1</v>
      </c>
    </row>
    <row r="75" spans="1:16" x14ac:dyDescent="0.2">
      <c r="A75" s="10">
        <v>73</v>
      </c>
      <c r="B75" s="40">
        <v>0.16520359027601925</v>
      </c>
      <c r="C75" s="12">
        <v>5.5770010540181163</v>
      </c>
      <c r="D75" s="40">
        <v>0.37846027005172522</v>
      </c>
      <c r="E75" s="40">
        <v>2.0590701108682712E-2</v>
      </c>
      <c r="F75" s="37">
        <v>14.6866847969752</v>
      </c>
      <c r="G75" s="12">
        <v>12.094714814053109</v>
      </c>
      <c r="H75" s="37">
        <v>120289.21548155273</v>
      </c>
      <c r="I75" s="37">
        <v>46982.658642096008</v>
      </c>
      <c r="J75" s="37">
        <v>322738.92064097361</v>
      </c>
      <c r="K75" s="37">
        <v>126055.73049137119</v>
      </c>
      <c r="L75" s="37">
        <v>84767.491696298865</v>
      </c>
      <c r="M75" s="37">
        <v>64206.934525297664</v>
      </c>
      <c r="N75" s="37">
        <v>155814.63863652039</v>
      </c>
      <c r="O75" s="37">
        <v>646642.067054454</v>
      </c>
      <c r="P75" s="68">
        <v>1</v>
      </c>
    </row>
    <row r="76" spans="1:16" x14ac:dyDescent="0.2">
      <c r="A76" s="10">
        <v>74</v>
      </c>
      <c r="B76" s="40">
        <v>0.22319995427125286</v>
      </c>
      <c r="C76" s="12">
        <v>6.5373746919831301</v>
      </c>
      <c r="D76" s="40">
        <v>0.57036679451400585</v>
      </c>
      <c r="E76" s="40">
        <v>2.332565334221396E-2</v>
      </c>
      <c r="F76" s="37">
        <v>12.042307937547463</v>
      </c>
      <c r="G76" s="12">
        <v>11.474760483413151</v>
      </c>
      <c r="H76" s="37">
        <v>57916.586618350026</v>
      </c>
      <c r="I76" s="37">
        <v>34922.168977952519</v>
      </c>
      <c r="J76" s="37">
        <v>369747.63967924268</v>
      </c>
      <c r="K76" s="37">
        <v>155470.27168008086</v>
      </c>
      <c r="L76" s="37">
        <v>202320.8039997952</v>
      </c>
      <c r="M76" s="37">
        <v>89880.299595515433</v>
      </c>
      <c r="N76" s="37">
        <v>147827.84758894879</v>
      </c>
      <c r="O76" s="37">
        <v>687582.97100022528</v>
      </c>
      <c r="P76" s="68">
        <v>1</v>
      </c>
    </row>
    <row r="77" spans="1:16" x14ac:dyDescent="0.2">
      <c r="A77" s="10">
        <v>75</v>
      </c>
      <c r="B77" s="40">
        <v>4.9633022551376367E-2</v>
      </c>
      <c r="C77" s="12">
        <v>1.4743951141396883</v>
      </c>
      <c r="D77" s="40">
        <v>0.58092307426093304</v>
      </c>
      <c r="E77" s="40">
        <v>2.7098450508930175E-2</v>
      </c>
      <c r="F77" s="37">
        <v>15.034566878383767</v>
      </c>
      <c r="G77" s="12">
        <v>15.771723906228997</v>
      </c>
      <c r="H77" s="37">
        <v>34190.983699806558</v>
      </c>
      <c r="I77" s="37">
        <v>28446.144359888338</v>
      </c>
      <c r="J77" s="37">
        <v>586193.85159805091</v>
      </c>
      <c r="K77" s="37">
        <v>87548.927086153257</v>
      </c>
      <c r="L77" s="37">
        <v>10334.561718881205</v>
      </c>
      <c r="M77" s="37">
        <v>132776.35398991406</v>
      </c>
      <c r="N77" s="37">
        <v>203185.06875984036</v>
      </c>
      <c r="O77" s="37">
        <v>314207.96741756401</v>
      </c>
      <c r="P77" s="68">
        <v>1</v>
      </c>
    </row>
    <row r="78" spans="1:16" x14ac:dyDescent="0.2">
      <c r="A78" s="10">
        <v>76</v>
      </c>
      <c r="B78" s="40">
        <v>0.11954388018993484</v>
      </c>
      <c r="C78" s="12">
        <v>4.9010872442150788</v>
      </c>
      <c r="D78" s="40">
        <v>0.49995048525162622</v>
      </c>
      <c r="E78" s="40">
        <v>2.0779695354580394E-2</v>
      </c>
      <c r="F78" s="37">
        <v>12.210544800722737</v>
      </c>
      <c r="G78" s="12">
        <v>25.109313874917142</v>
      </c>
      <c r="H78" s="37">
        <v>125356.41460207848</v>
      </c>
      <c r="I78" s="37">
        <v>54954.541554280819</v>
      </c>
      <c r="J78" s="37">
        <v>194296.43823105816</v>
      </c>
      <c r="K78" s="37">
        <v>163322.69975074328</v>
      </c>
      <c r="L78" s="37">
        <v>71209.117805606991</v>
      </c>
      <c r="M78" s="37">
        <v>71165.2441730399</v>
      </c>
      <c r="N78" s="37">
        <v>323480.02643975383</v>
      </c>
      <c r="O78" s="37">
        <v>1158453.371470063</v>
      </c>
      <c r="P78" s="68">
        <v>1</v>
      </c>
    </row>
    <row r="79" spans="1:16" x14ac:dyDescent="0.2">
      <c r="A79" s="10">
        <v>77</v>
      </c>
      <c r="B79" s="40">
        <v>0.17633328498172018</v>
      </c>
      <c r="C79" s="12">
        <v>7.6240087338381697</v>
      </c>
      <c r="D79" s="40">
        <v>0.60102949004177952</v>
      </c>
      <c r="E79" s="40">
        <v>2.37150721256092E-2</v>
      </c>
      <c r="F79" s="37">
        <v>18.841814371175055</v>
      </c>
      <c r="G79" s="12">
        <v>24.303981820850126</v>
      </c>
      <c r="H79" s="37">
        <v>92847.364650617936</v>
      </c>
      <c r="I79" s="37">
        <v>59491.867508198993</v>
      </c>
      <c r="J79" s="37">
        <v>249268.97523053442</v>
      </c>
      <c r="K79" s="37">
        <v>99762.161033614393</v>
      </c>
      <c r="L79" s="37">
        <v>196427.50236044341</v>
      </c>
      <c r="M79" s="37">
        <v>150664.06618538493</v>
      </c>
      <c r="N79" s="37">
        <v>313105.03828037548</v>
      </c>
      <c r="O79" s="37">
        <v>1747664.1199399638</v>
      </c>
      <c r="P79" s="68">
        <v>1</v>
      </c>
    </row>
    <row r="80" spans="1:16" x14ac:dyDescent="0.2">
      <c r="A80" s="10">
        <v>78</v>
      </c>
      <c r="B80" s="40">
        <v>0.20056509388582686</v>
      </c>
      <c r="C80" s="12">
        <v>5.6981718104835135</v>
      </c>
      <c r="D80" s="40">
        <v>0.51046286379812611</v>
      </c>
      <c r="E80" s="40">
        <v>2.2054817172619208E-2</v>
      </c>
      <c r="F80" s="37">
        <v>17.066909983999523</v>
      </c>
      <c r="G80" s="12">
        <v>4.4223279584953481</v>
      </c>
      <c r="H80" s="37">
        <v>99350.10701178218</v>
      </c>
      <c r="I80" s="37">
        <v>57944.953393794232</v>
      </c>
      <c r="J80" s="37">
        <v>298038.99965518992</v>
      </c>
      <c r="K80" s="37">
        <v>162700.61426272767</v>
      </c>
      <c r="L80" s="37">
        <v>141822.08739667511</v>
      </c>
      <c r="M80" s="37">
        <v>107792.67372507941</v>
      </c>
      <c r="N80" s="37">
        <v>56972.276186660965</v>
      </c>
      <c r="O80" s="37">
        <v>545762.18234830524</v>
      </c>
      <c r="P80" s="68">
        <v>1</v>
      </c>
    </row>
    <row r="81" spans="1:16" x14ac:dyDescent="0.2">
      <c r="A81" s="10">
        <v>79</v>
      </c>
      <c r="B81" s="40">
        <v>0.19610454297565064</v>
      </c>
      <c r="C81" s="12">
        <v>3.6372373445511195</v>
      </c>
      <c r="D81" s="40">
        <v>0.57627137522112926</v>
      </c>
      <c r="E81" s="40">
        <v>3.4597158978204465E-2</v>
      </c>
      <c r="F81" s="37">
        <v>20.471606632469275</v>
      </c>
      <c r="G81" s="12">
        <v>8.6408331327492327</v>
      </c>
      <c r="H81" s="37">
        <v>63274.431186679634</v>
      </c>
      <c r="I81" s="37">
        <v>40341.660436678991</v>
      </c>
      <c r="J81" s="37">
        <v>440515.35955045617</v>
      </c>
      <c r="K81" s="37">
        <v>62402.208984467208</v>
      </c>
      <c r="L81" s="37">
        <v>99925.233867463598</v>
      </c>
      <c r="M81" s="37">
        <v>228973.98614027438</v>
      </c>
      <c r="N81" s="37">
        <v>111318.72994090112</v>
      </c>
      <c r="O81" s="37">
        <v>908281.8664157996</v>
      </c>
      <c r="P81" s="68">
        <v>1</v>
      </c>
    </row>
    <row r="82" spans="1:16" x14ac:dyDescent="0.2">
      <c r="A82" s="10">
        <v>80</v>
      </c>
      <c r="B82" s="40">
        <v>0.15972066031198284</v>
      </c>
      <c r="C82" s="12">
        <v>4.0250566226093722</v>
      </c>
      <c r="D82" s="40">
        <v>0.71658772499644019</v>
      </c>
      <c r="E82" s="40">
        <v>7.0799151010212166E-3</v>
      </c>
      <c r="F82" s="37">
        <v>13.872528155202652</v>
      </c>
      <c r="G82" s="12">
        <v>9.8085366834556744</v>
      </c>
      <c r="H82" s="37">
        <v>181801.37933187233</v>
      </c>
      <c r="I82" s="37">
        <v>35706.824847776792</v>
      </c>
      <c r="J82" s="37">
        <v>463651.45318233984</v>
      </c>
      <c r="K82" s="37">
        <v>80439.535402419948</v>
      </c>
      <c r="L82" s="37">
        <v>111993.10490643777</v>
      </c>
      <c r="M82" s="37">
        <v>39483.874357203254</v>
      </c>
      <c r="N82" s="37">
        <v>126362.10298319062</v>
      </c>
      <c r="O82" s="37">
        <v>698769.44575438311</v>
      </c>
      <c r="P82" s="68">
        <v>1</v>
      </c>
    </row>
    <row r="83" spans="1:16" x14ac:dyDescent="0.2">
      <c r="A83" s="10">
        <v>81</v>
      </c>
      <c r="B83" s="40">
        <v>0.18416100742452335</v>
      </c>
      <c r="C83" s="12">
        <v>3.8060427796815968</v>
      </c>
      <c r="D83" s="40">
        <v>0.64550842222374583</v>
      </c>
      <c r="E83" s="40">
        <v>1.9279837767780035E-2</v>
      </c>
      <c r="F83" s="37">
        <v>11.661046390410512</v>
      </c>
      <c r="G83" s="12">
        <v>9.4526696558112722</v>
      </c>
      <c r="H83" s="37">
        <v>193690.77236889416</v>
      </c>
      <c r="I83" s="37">
        <v>19483.449746663424</v>
      </c>
      <c r="J83" s="37">
        <v>286582.17390864075</v>
      </c>
      <c r="K83" s="37">
        <v>118774.52898664754</v>
      </c>
      <c r="L83" s="37">
        <v>109992.25101378058</v>
      </c>
      <c r="M83" s="37">
        <v>81415.959086816409</v>
      </c>
      <c r="N83" s="37">
        <v>121777.51432876136</v>
      </c>
      <c r="O83" s="37">
        <v>855324.20480373688</v>
      </c>
      <c r="P83" s="68">
        <v>1</v>
      </c>
    </row>
    <row r="84" spans="1:16" x14ac:dyDescent="0.2">
      <c r="A84" s="10">
        <v>82</v>
      </c>
      <c r="B84" s="40">
        <v>0.16360724346734989</v>
      </c>
      <c r="C84" s="12">
        <v>4.5076615854046249</v>
      </c>
      <c r="D84" s="40">
        <v>0.44495155060882347</v>
      </c>
      <c r="E84" s="40">
        <v>1.9471381212819175E-2</v>
      </c>
      <c r="F84" s="37">
        <v>14.938106913659446</v>
      </c>
      <c r="G84" s="12">
        <v>22.587898990215734</v>
      </c>
      <c r="H84" s="37">
        <v>85129.699367327063</v>
      </c>
      <c r="I84" s="37">
        <v>44227.719623481855</v>
      </c>
      <c r="J84" s="37">
        <v>419541.75382128794</v>
      </c>
      <c r="K84" s="37">
        <v>126333.00883594173</v>
      </c>
      <c r="L84" s="37">
        <v>79772.900927767318</v>
      </c>
      <c r="M84" s="37">
        <v>72605.877647134155</v>
      </c>
      <c r="N84" s="37">
        <v>290996.96626408061</v>
      </c>
      <c r="O84" s="37">
        <v>831109.42869506637</v>
      </c>
      <c r="P84" s="68">
        <v>1</v>
      </c>
    </row>
    <row r="85" spans="1:16" x14ac:dyDescent="0.2">
      <c r="A85" s="10">
        <v>83</v>
      </c>
      <c r="B85" s="40">
        <v>6.3431324593464344E-2</v>
      </c>
      <c r="C85" s="12">
        <v>2.2817192760410818</v>
      </c>
      <c r="D85" s="40">
        <v>0.39878414136400409</v>
      </c>
      <c r="E85" s="40">
        <v>2.8944101664782552E-2</v>
      </c>
      <c r="F85" s="37">
        <v>11.359136752584465</v>
      </c>
      <c r="G85" s="12">
        <v>14.924007227084008</v>
      </c>
      <c r="H85" s="37">
        <v>89370.807186317397</v>
      </c>
      <c r="I85" s="37">
        <v>42360.667459936965</v>
      </c>
      <c r="J85" s="37">
        <v>560070.75426856813</v>
      </c>
      <c r="K85" s="37">
        <v>132023.03265311441</v>
      </c>
      <c r="L85" s="37">
        <v>14031.131687136332</v>
      </c>
      <c r="M85" s="37">
        <v>73554.62982139521</v>
      </c>
      <c r="N85" s="37">
        <v>192264.04498558375</v>
      </c>
      <c r="O85" s="37">
        <v>223149.97301277425</v>
      </c>
      <c r="P85" s="68">
        <v>1</v>
      </c>
    </row>
    <row r="86" spans="1:16" x14ac:dyDescent="0.2">
      <c r="A86" s="10">
        <v>84</v>
      </c>
      <c r="B86" s="40">
        <v>0.1123105329144005</v>
      </c>
      <c r="C86" s="12">
        <v>3.4127831636499408</v>
      </c>
      <c r="D86" s="40">
        <v>0.77213689878716307</v>
      </c>
      <c r="E86" s="40">
        <v>1.0066421472229742E-2</v>
      </c>
      <c r="F86" s="37">
        <v>8.701559064824977</v>
      </c>
      <c r="G86" s="12">
        <v>13.25618013825336</v>
      </c>
      <c r="H86" s="37">
        <v>94475.167889707227</v>
      </c>
      <c r="I86" s="37">
        <v>7184.1086060971447</v>
      </c>
      <c r="J86" s="37">
        <v>458037.7021379763</v>
      </c>
      <c r="K86" s="37">
        <v>141352.23865288834</v>
      </c>
      <c r="L86" s="37">
        <v>71946.938765409723</v>
      </c>
      <c r="M86" s="37">
        <v>37943.135901645786</v>
      </c>
      <c r="N86" s="37">
        <v>170777.64541770006</v>
      </c>
      <c r="O86" s="37">
        <v>217086.09113890398</v>
      </c>
      <c r="P86" s="68">
        <v>1</v>
      </c>
    </row>
    <row r="87" spans="1:16" x14ac:dyDescent="0.2">
      <c r="A87" s="10">
        <v>85</v>
      </c>
      <c r="B87" s="40">
        <v>7.0303402098069817E-2</v>
      </c>
      <c r="C87" s="12">
        <v>9.2105080688360541</v>
      </c>
      <c r="D87" s="40">
        <v>0.34975159722206706</v>
      </c>
      <c r="E87" s="40">
        <v>2.6540521514535058E-2</v>
      </c>
      <c r="F87" s="37">
        <v>17.073279862019504</v>
      </c>
      <c r="G87" s="12">
        <v>22.001349759312614</v>
      </c>
      <c r="H87" s="37">
        <v>55080.735437886615</v>
      </c>
      <c r="I87" s="37">
        <v>19908.922357216787</v>
      </c>
      <c r="J87" s="37">
        <v>346183.78033915296</v>
      </c>
      <c r="K87" s="37">
        <v>120303.4271614981</v>
      </c>
      <c r="L87" s="37">
        <v>55056.482981363522</v>
      </c>
      <c r="M87" s="37">
        <v>88910.458546641588</v>
      </c>
      <c r="N87" s="37">
        <v>283440.52877375571</v>
      </c>
      <c r="O87" s="37">
        <v>724304.06237553002</v>
      </c>
      <c r="P87" s="68">
        <v>1</v>
      </c>
    </row>
    <row r="88" spans="1:16" x14ac:dyDescent="0.2">
      <c r="A88" s="10">
        <v>86</v>
      </c>
      <c r="B88" s="40">
        <v>0.13693834195474403</v>
      </c>
      <c r="C88" s="12">
        <v>9.1722388651263227</v>
      </c>
      <c r="D88" s="40">
        <v>0.51554914248233641</v>
      </c>
      <c r="E88" s="40">
        <v>3.8838822808002438E-2</v>
      </c>
      <c r="F88" s="37">
        <v>15.941268081754382</v>
      </c>
      <c r="G88" s="12">
        <v>10.832041458586545</v>
      </c>
      <c r="H88" s="37">
        <v>106369.07017611369</v>
      </c>
      <c r="I88" s="37">
        <v>53039.844513641787</v>
      </c>
      <c r="J88" s="37">
        <v>327197.39400427195</v>
      </c>
      <c r="K88" s="37">
        <v>94920.379628488503</v>
      </c>
      <c r="L88" s="37">
        <v>157419.78673236919</v>
      </c>
      <c r="M88" s="37">
        <v>179071.19186254556</v>
      </c>
      <c r="N88" s="37">
        <v>139547.78194558085</v>
      </c>
      <c r="O88" s="37">
        <v>1187163.8665468714</v>
      </c>
      <c r="P88" s="68">
        <v>1</v>
      </c>
    </row>
    <row r="89" spans="1:16" x14ac:dyDescent="0.2">
      <c r="A89" s="10">
        <v>87</v>
      </c>
      <c r="B89" s="40">
        <v>0.18457118444894682</v>
      </c>
      <c r="C89" s="12">
        <v>7.3825562370417597</v>
      </c>
      <c r="D89" s="40">
        <v>0.74016758617206924</v>
      </c>
      <c r="E89" s="40">
        <v>4.6728232264453579E-2</v>
      </c>
      <c r="F89" s="37">
        <v>11.965394998744081</v>
      </c>
      <c r="G89" s="12">
        <v>7.7597939400447142</v>
      </c>
      <c r="H89" s="37">
        <v>51631.306491511481</v>
      </c>
      <c r="I89" s="37">
        <v>17735.81440673643</v>
      </c>
      <c r="J89" s="37">
        <v>449380.58530141506</v>
      </c>
      <c r="K89" s="37">
        <v>123156.48088355073</v>
      </c>
      <c r="L89" s="37">
        <v>245182.54854378855</v>
      </c>
      <c r="M89" s="37">
        <v>232168.44157241823</v>
      </c>
      <c r="N89" s="37">
        <v>99968.416556383861</v>
      </c>
      <c r="O89" s="37">
        <v>1017360.5541171415</v>
      </c>
      <c r="P89" s="68">
        <v>1</v>
      </c>
    </row>
    <row r="90" spans="1:16" x14ac:dyDescent="0.2">
      <c r="A90" s="10">
        <v>88</v>
      </c>
      <c r="B90" s="40">
        <v>0.13946767069795368</v>
      </c>
      <c r="C90" s="12">
        <v>2.9827935743036305</v>
      </c>
      <c r="D90" s="40">
        <v>0.74966695703916297</v>
      </c>
      <c r="E90" s="40">
        <v>2.7999042478420003E-2</v>
      </c>
      <c r="F90" s="37">
        <v>14.096565093516297</v>
      </c>
      <c r="G90" s="12">
        <v>8.0424857003666883</v>
      </c>
      <c r="H90" s="37">
        <v>48483.268653333369</v>
      </c>
      <c r="I90" s="37">
        <v>51601.822443268524</v>
      </c>
      <c r="J90" s="37">
        <v>395883.24703307042</v>
      </c>
      <c r="K90" s="37">
        <v>183300.37295589066</v>
      </c>
      <c r="L90" s="37">
        <v>75814.791502737949</v>
      </c>
      <c r="M90" s="37">
        <v>165993.69081734761</v>
      </c>
      <c r="N90" s="37">
        <v>103610.29775468301</v>
      </c>
      <c r="O90" s="37">
        <v>338715.77009234461</v>
      </c>
      <c r="P90" s="68">
        <v>1</v>
      </c>
    </row>
    <row r="91" spans="1:16" x14ac:dyDescent="0.2">
      <c r="A91" s="10">
        <v>89</v>
      </c>
      <c r="B91" s="40">
        <v>0.1769228694280976</v>
      </c>
      <c r="C91" s="12">
        <v>5.3852835091948981</v>
      </c>
      <c r="D91" s="40">
        <v>0.59659746080999632</v>
      </c>
      <c r="E91" s="40">
        <v>1.6389382994829511E-2</v>
      </c>
      <c r="F91" s="37">
        <v>16.478040379790762</v>
      </c>
      <c r="G91" s="12">
        <v>24.411748812386413</v>
      </c>
      <c r="H91" s="37">
        <v>145539.77202849986</v>
      </c>
      <c r="I91" s="37">
        <v>30098.481484022872</v>
      </c>
      <c r="J91" s="37">
        <v>460168.6569420349</v>
      </c>
      <c r="K91" s="37">
        <v>127506.92188547338</v>
      </c>
      <c r="L91" s="37">
        <v>138185.59608696628</v>
      </c>
      <c r="M91" s="37">
        <v>90389.149396026012</v>
      </c>
      <c r="N91" s="37">
        <v>314493.38642262854</v>
      </c>
      <c r="O91" s="37">
        <v>1196157.6231874062</v>
      </c>
      <c r="P91" s="68">
        <v>1</v>
      </c>
    </row>
    <row r="92" spans="1:16" x14ac:dyDescent="0.2">
      <c r="A92" s="10">
        <v>90</v>
      </c>
      <c r="B92" s="40">
        <v>0.14632312187428392</v>
      </c>
      <c r="C92" s="12">
        <v>6.8665122451221858</v>
      </c>
      <c r="D92" s="40">
        <v>0.47923966313582717</v>
      </c>
      <c r="E92" s="40">
        <v>4.4833710410712109E-2</v>
      </c>
      <c r="F92" s="37">
        <v>15.872906941928154</v>
      </c>
      <c r="G92" s="12">
        <v>25.176987087451671</v>
      </c>
      <c r="H92" s="37">
        <v>61091.747692531877</v>
      </c>
      <c r="I92" s="37">
        <v>39069.890091187903</v>
      </c>
      <c r="J92" s="37">
        <v>411729.98511771287</v>
      </c>
      <c r="K92" s="37">
        <v>91787.026451361293</v>
      </c>
      <c r="L92" s="37">
        <v>117055.20802002019</v>
      </c>
      <c r="M92" s="37">
        <v>191328.92817821761</v>
      </c>
      <c r="N92" s="37">
        <v>324351.85163931851</v>
      </c>
      <c r="O92" s="37">
        <v>1384429.1783724299</v>
      </c>
      <c r="P92" s="68">
        <v>1</v>
      </c>
    </row>
    <row r="93" spans="1:16" x14ac:dyDescent="0.2">
      <c r="A93" s="10">
        <v>91</v>
      </c>
      <c r="B93" s="40">
        <v>5.5894233295884221E-2</v>
      </c>
      <c r="C93" s="12">
        <v>6.0692272460795955</v>
      </c>
      <c r="D93" s="40">
        <v>0.50857802805125596</v>
      </c>
      <c r="E93" s="40">
        <v>2.5395477670970765E-2</v>
      </c>
      <c r="F93" s="37">
        <v>11.178377295357848</v>
      </c>
      <c r="G93" s="12">
        <v>8.1756733032390425</v>
      </c>
      <c r="H93" s="37">
        <v>114398.10500512313</v>
      </c>
      <c r="I93" s="37">
        <v>63249.869626647633</v>
      </c>
      <c r="J93" s="37">
        <v>317893.02920731687</v>
      </c>
      <c r="K93" s="37">
        <v>90818.478750419818</v>
      </c>
      <c r="L93" s="37">
        <v>41941.776841363397</v>
      </c>
      <c r="M93" s="37">
        <v>80995.236052320994</v>
      </c>
      <c r="N93" s="37">
        <v>105326.13632809918</v>
      </c>
      <c r="O93" s="37">
        <v>564882.1777275257</v>
      </c>
      <c r="P93" s="68">
        <v>1</v>
      </c>
    </row>
    <row r="94" spans="1:16" x14ac:dyDescent="0.2">
      <c r="A94" s="10">
        <v>92</v>
      </c>
      <c r="B94" s="40">
        <v>0.18137799041913941</v>
      </c>
      <c r="C94" s="12">
        <v>2.5579784535784271</v>
      </c>
      <c r="D94" s="40">
        <v>0.64808070733112566</v>
      </c>
      <c r="E94" s="40">
        <v>1.8386474192696248E-2</v>
      </c>
      <c r="F94" s="37">
        <v>14.626104834525279</v>
      </c>
      <c r="G94" s="12">
        <v>2.5888621886683088</v>
      </c>
      <c r="H94" s="37">
        <v>236671.81011412863</v>
      </c>
      <c r="I94" s="37">
        <v>76345.841970699461</v>
      </c>
      <c r="J94" s="37">
        <v>353025.31846394436</v>
      </c>
      <c r="K94" s="37">
        <v>153037.84649813527</v>
      </c>
      <c r="L94" s="37">
        <v>73096.97260405813</v>
      </c>
      <c r="M94" s="37">
        <v>97773.905616489166</v>
      </c>
      <c r="N94" s="37">
        <v>33351.975024529296</v>
      </c>
      <c r="O94" s="37">
        <v>667338.31906621926</v>
      </c>
      <c r="P94" s="68">
        <v>1</v>
      </c>
    </row>
    <row r="95" spans="1:16" x14ac:dyDescent="0.2">
      <c r="A95" s="10">
        <v>93</v>
      </c>
      <c r="B95" s="40">
        <v>0.14177149545364415</v>
      </c>
      <c r="C95" s="12">
        <v>5.6628989623907877</v>
      </c>
      <c r="D95" s="40">
        <v>0.59369609189167294</v>
      </c>
      <c r="E95" s="40">
        <v>2.0230339544041617E-2</v>
      </c>
      <c r="F95" s="37">
        <v>18.908122248973683</v>
      </c>
      <c r="G95" s="12">
        <v>16.299232924397359</v>
      </c>
      <c r="H95" s="37">
        <v>134810.20263518972</v>
      </c>
      <c r="I95" s="37">
        <v>34653.367868235466</v>
      </c>
      <c r="J95" s="37">
        <v>242480.49589663721</v>
      </c>
      <c r="K95" s="37">
        <v>93961.292994351214</v>
      </c>
      <c r="L95" s="37">
        <v>115872.60031108861</v>
      </c>
      <c r="M95" s="37">
        <v>127403.83342887202</v>
      </c>
      <c r="N95" s="37">
        <v>209980.89886473102</v>
      </c>
      <c r="O95" s="37">
        <v>1238911.9818115728</v>
      </c>
      <c r="P95" s="68">
        <v>1</v>
      </c>
    </row>
    <row r="96" spans="1:16" x14ac:dyDescent="0.2">
      <c r="A96" s="10">
        <v>94</v>
      </c>
      <c r="B96" s="40">
        <v>0.16250808506129141</v>
      </c>
      <c r="C96" s="12">
        <v>3.8953170580493226</v>
      </c>
      <c r="D96" s="40">
        <v>0.6222721438730745</v>
      </c>
      <c r="E96" s="40">
        <v>2.6449277885576401E-2</v>
      </c>
      <c r="F96" s="37">
        <v>14.762390608145045</v>
      </c>
      <c r="G96" s="12">
        <v>23.047444874122441</v>
      </c>
      <c r="H96" s="37">
        <v>158687.46829318261</v>
      </c>
      <c r="I96" s="37">
        <v>19527.768197985195</v>
      </c>
      <c r="J96" s="37">
        <v>356550.04725030548</v>
      </c>
      <c r="K96" s="37">
        <v>89711.866387755363</v>
      </c>
      <c r="L96" s="37">
        <v>95760.625715042755</v>
      </c>
      <c r="M96" s="37">
        <v>136306.8256746564</v>
      </c>
      <c r="N96" s="37">
        <v>296917.23614548577</v>
      </c>
      <c r="O96" s="37">
        <v>1373427.33030253</v>
      </c>
      <c r="P96" s="68">
        <v>1</v>
      </c>
    </row>
    <row r="97" spans="1:16" x14ac:dyDescent="0.2">
      <c r="A97" s="10">
        <v>95</v>
      </c>
      <c r="B97" s="40">
        <v>4.6404989674041233E-2</v>
      </c>
      <c r="C97" s="12">
        <v>5.8305217900197555</v>
      </c>
      <c r="D97" s="40">
        <v>0.74855949645360353</v>
      </c>
      <c r="E97" s="40">
        <v>2.1094017295815441E-2</v>
      </c>
      <c r="F97" s="37">
        <v>11.090632390934219</v>
      </c>
      <c r="G97" s="12">
        <v>25.324563579706638</v>
      </c>
      <c r="H97" s="37">
        <v>192709.3088766342</v>
      </c>
      <c r="I97" s="37">
        <v>27250.237071447995</v>
      </c>
      <c r="J97" s="37">
        <v>350443.4046913085</v>
      </c>
      <c r="K97" s="37">
        <v>136120.86297332111</v>
      </c>
      <c r="L97" s="37">
        <v>49236.509484663758</v>
      </c>
      <c r="M97" s="37">
        <v>98244.594508905022</v>
      </c>
      <c r="N97" s="37">
        <v>326253.06040409527</v>
      </c>
      <c r="O97" s="37">
        <v>1211673.3040606012</v>
      </c>
      <c r="P97" s="68">
        <v>1</v>
      </c>
    </row>
    <row r="98" spans="1:16" x14ac:dyDescent="0.2">
      <c r="A98" s="10">
        <v>96</v>
      </c>
      <c r="B98" s="40">
        <v>0.11900357637468868</v>
      </c>
      <c r="C98" s="12">
        <v>8.1189399313395487</v>
      </c>
      <c r="D98" s="40">
        <v>0.52776348464040357</v>
      </c>
      <c r="E98" s="40">
        <v>4.0961860380084265E-2</v>
      </c>
      <c r="F98" s="37">
        <v>12.54262574425022</v>
      </c>
      <c r="G98" s="12">
        <v>3.9877414069422779</v>
      </c>
      <c r="H98" s="37">
        <v>91157.390448845195</v>
      </c>
      <c r="I98" s="37">
        <v>32944.781686845745</v>
      </c>
      <c r="J98" s="37">
        <v>280759.00094852888</v>
      </c>
      <c r="K98" s="37">
        <v>117460.91743062045</v>
      </c>
      <c r="L98" s="37">
        <v>123961.69605693388</v>
      </c>
      <c r="M98" s="37">
        <v>152115.75843957608</v>
      </c>
      <c r="N98" s="37">
        <v>51373.554139254469</v>
      </c>
      <c r="O98" s="37">
        <v>655246.23906429706</v>
      </c>
      <c r="P98" s="68">
        <v>1</v>
      </c>
    </row>
    <row r="99" spans="1:16" x14ac:dyDescent="0.2">
      <c r="A99" s="10">
        <v>97</v>
      </c>
      <c r="B99" s="40">
        <v>0.2022247530216407</v>
      </c>
      <c r="C99" s="12">
        <v>8.0400068417350354</v>
      </c>
      <c r="D99" s="40">
        <v>0.54656061791471688</v>
      </c>
      <c r="E99" s="40">
        <v>2.491005670863905E-2</v>
      </c>
      <c r="F99" s="37">
        <v>12.898147111999837</v>
      </c>
      <c r="G99" s="12">
        <v>11.151966615860653</v>
      </c>
      <c r="H99" s="37">
        <v>22322.475618745582</v>
      </c>
      <c r="I99" s="37">
        <v>28912.577582669779</v>
      </c>
      <c r="J99" s="37">
        <v>368209.80917850335</v>
      </c>
      <c r="K99" s="37">
        <v>140508.61190229698</v>
      </c>
      <c r="L99" s="37">
        <v>216031.90593484321</v>
      </c>
      <c r="M99" s="37">
        <v>98516.077087498474</v>
      </c>
      <c r="N99" s="37">
        <v>143669.33615647274</v>
      </c>
      <c r="O99" s="37">
        <v>665436.67405382195</v>
      </c>
      <c r="P99" s="68">
        <v>1</v>
      </c>
    </row>
    <row r="100" spans="1:16" x14ac:dyDescent="0.2">
      <c r="A100" s="10">
        <v>98</v>
      </c>
      <c r="B100" s="40">
        <v>0.10844516756998263</v>
      </c>
      <c r="C100" s="12">
        <v>6.8481980224470158</v>
      </c>
      <c r="D100" s="40">
        <v>0.43847214367624199</v>
      </c>
      <c r="E100" s="40">
        <v>4.4766173466186915E-2</v>
      </c>
      <c r="F100" s="37">
        <v>24.928443601393347</v>
      </c>
      <c r="G100" s="12">
        <v>17.174956910428463</v>
      </c>
      <c r="H100" s="37">
        <v>166477.67040418237</v>
      </c>
      <c r="I100" s="37">
        <v>21172.580742006721</v>
      </c>
      <c r="J100" s="37">
        <v>515172.59664624347</v>
      </c>
      <c r="K100" s="37">
        <v>180368.61514940357</v>
      </c>
      <c r="L100" s="37">
        <v>79162.108146832514</v>
      </c>
      <c r="M100" s="37">
        <v>274507.28673366969</v>
      </c>
      <c r="N100" s="37">
        <v>221262.73713265153</v>
      </c>
      <c r="O100" s="37">
        <v>1115979.0266074843</v>
      </c>
      <c r="P100" s="68">
        <v>1</v>
      </c>
    </row>
    <row r="101" spans="1:16" x14ac:dyDescent="0.2">
      <c r="A101" s="10">
        <v>99</v>
      </c>
      <c r="B101" s="40">
        <v>6.8399124838311981E-2</v>
      </c>
      <c r="C101" s="12">
        <v>3.2349020522428233</v>
      </c>
      <c r="D101" s="40">
        <v>0.56391914984285862</v>
      </c>
      <c r="E101" s="40">
        <v>2.0423625789924987E-2</v>
      </c>
      <c r="F101" s="37">
        <v>14.631849820636006</v>
      </c>
      <c r="G101" s="12">
        <v>2.6497778273163717</v>
      </c>
      <c r="H101" s="37">
        <v>56491.613236310513</v>
      </c>
      <c r="I101" s="37">
        <v>21920.315161564591</v>
      </c>
      <c r="J101" s="37">
        <v>232487.96158465755</v>
      </c>
      <c r="K101" s="37">
        <v>150536.74554096587</v>
      </c>
      <c r="L101" s="37">
        <v>30333.138829675805</v>
      </c>
      <c r="M101" s="37">
        <v>94540.012257962357</v>
      </c>
      <c r="N101" s="37">
        <v>34136.743278199268</v>
      </c>
      <c r="O101" s="37">
        <v>10932.483852128033</v>
      </c>
      <c r="P101" s="68">
        <v>1</v>
      </c>
    </row>
    <row r="102" spans="1:16" x14ac:dyDescent="0.2">
      <c r="A102" s="10">
        <v>100</v>
      </c>
      <c r="B102" s="40">
        <v>0.11464335052900126</v>
      </c>
      <c r="C102" s="12">
        <v>7.3338257127234536</v>
      </c>
      <c r="D102" s="40">
        <v>0.44818572911734506</v>
      </c>
      <c r="E102" s="40">
        <v>1.6632479205828801E-2</v>
      </c>
      <c r="F102" s="37">
        <v>25.470297089333819</v>
      </c>
      <c r="G102" s="12">
        <v>8.8826092359390927</v>
      </c>
      <c r="H102" s="37">
        <v>214059.44219850513</v>
      </c>
      <c r="I102" s="37">
        <v>11547.229371135836</v>
      </c>
      <c r="J102" s="37">
        <v>331064.83894035354</v>
      </c>
      <c r="K102" s="37">
        <v>124738.50888580373</v>
      </c>
      <c r="L102" s="37">
        <v>91606.503777685924</v>
      </c>
      <c r="M102" s="37">
        <v>106516.22236528955</v>
      </c>
      <c r="N102" s="37">
        <v>114433.50004740266</v>
      </c>
      <c r="O102" s="37">
        <v>827200.21774127486</v>
      </c>
      <c r="P102" s="68">
        <v>1</v>
      </c>
    </row>
    <row r="103" spans="1:16" x14ac:dyDescent="0.2">
      <c r="A103" s="10">
        <v>101</v>
      </c>
      <c r="B103" s="40">
        <v>0.11091293916463915</v>
      </c>
      <c r="C103" s="12">
        <v>5.4753488954383362</v>
      </c>
      <c r="D103" s="40">
        <v>0.23030394864318737</v>
      </c>
      <c r="E103" s="40">
        <v>4.1905888853860603E-2</v>
      </c>
      <c r="F103" s="37">
        <v>15.233555281368766</v>
      </c>
      <c r="G103" s="12">
        <v>14.478810715979543</v>
      </c>
      <c r="H103" s="37">
        <v>35906.274892656111</v>
      </c>
      <c r="I103" s="37">
        <v>53590.68832307744</v>
      </c>
      <c r="J103" s="37">
        <v>478933.49521428416</v>
      </c>
      <c r="K103" s="37">
        <v>98637.554415220249</v>
      </c>
      <c r="L103" s="37">
        <v>34000.415627618939</v>
      </c>
      <c r="M103" s="37">
        <v>82479.201127755703</v>
      </c>
      <c r="N103" s="37">
        <v>186528.63620857138</v>
      </c>
      <c r="O103" s="37">
        <v>344377.01347965002</v>
      </c>
      <c r="P103" s="68">
        <v>1</v>
      </c>
    </row>
    <row r="104" spans="1:16" x14ac:dyDescent="0.2">
      <c r="A104" s="10">
        <v>102</v>
      </c>
      <c r="B104" s="40">
        <v>0.13143269137961461</v>
      </c>
      <c r="C104" s="12">
        <v>3.9413576154175205</v>
      </c>
      <c r="D104" s="40">
        <v>0.80503600088361638</v>
      </c>
      <c r="E104" s="40">
        <v>2.9822949180811513E-2</v>
      </c>
      <c r="F104" s="37">
        <v>12.643985966518272</v>
      </c>
      <c r="G104" s="12">
        <v>14.785142869130654</v>
      </c>
      <c r="H104" s="37">
        <v>182153.25509823489</v>
      </c>
      <c r="I104" s="37">
        <v>78800.174372739886</v>
      </c>
      <c r="J104" s="37">
        <v>234564.85416629096</v>
      </c>
      <c r="K104" s="37">
        <v>172070.17218502754</v>
      </c>
      <c r="L104" s="37">
        <v>101380.25398686368</v>
      </c>
      <c r="M104" s="37">
        <v>170300.77637380702</v>
      </c>
      <c r="N104" s="37">
        <v>190475.07351443724</v>
      </c>
      <c r="O104" s="37">
        <v>1309247.3980015551</v>
      </c>
      <c r="P104" s="68">
        <v>1</v>
      </c>
    </row>
    <row r="105" spans="1:16" x14ac:dyDescent="0.2">
      <c r="A105" s="10">
        <v>103</v>
      </c>
      <c r="B105" s="40">
        <v>0.11959168780903107</v>
      </c>
      <c r="C105" s="12">
        <v>5.4181470392592637</v>
      </c>
      <c r="D105" s="40">
        <v>0.47722315481840027</v>
      </c>
      <c r="E105" s="40">
        <v>3.672578177685009E-2</v>
      </c>
      <c r="F105" s="37">
        <v>13.456758790155728</v>
      </c>
      <c r="G105" s="12">
        <v>18.576318115482682</v>
      </c>
      <c r="H105" s="37">
        <v>235689.05537958845</v>
      </c>
      <c r="I105" s="37">
        <v>50899.600600591693</v>
      </c>
      <c r="J105" s="37">
        <v>363760.43995525729</v>
      </c>
      <c r="K105" s="37">
        <v>144414.21259259383</v>
      </c>
      <c r="L105" s="37">
        <v>75173.040957359422</v>
      </c>
      <c r="M105" s="37">
        <v>132312.15914249708</v>
      </c>
      <c r="N105" s="37">
        <v>239316.29136040839</v>
      </c>
      <c r="O105" s="37">
        <v>1286336.3199826726</v>
      </c>
      <c r="P105" s="68">
        <v>1</v>
      </c>
    </row>
    <row r="106" spans="1:16" x14ac:dyDescent="0.2">
      <c r="A106" s="10">
        <v>104</v>
      </c>
      <c r="B106" s="40">
        <v>0.12356166003450697</v>
      </c>
      <c r="C106" s="12">
        <v>4.3847514164566048</v>
      </c>
      <c r="D106" s="40">
        <v>0.53689201965174638</v>
      </c>
      <c r="E106" s="40">
        <v>1.5211765241753602E-2</v>
      </c>
      <c r="F106" s="37">
        <v>18.958499921931804</v>
      </c>
      <c r="G106" s="12">
        <v>2.4696336413604256</v>
      </c>
      <c r="H106" s="37">
        <v>60846.005802026659</v>
      </c>
      <c r="I106" s="37">
        <v>10255.73181939369</v>
      </c>
      <c r="J106" s="37">
        <v>458720.94455067825</v>
      </c>
      <c r="K106" s="37">
        <v>107354.24452503193</v>
      </c>
      <c r="L106" s="37">
        <v>70713.851086718438</v>
      </c>
      <c r="M106" s="37">
        <v>86863.48835015946</v>
      </c>
      <c r="N106" s="37">
        <v>31815.969149272987</v>
      </c>
      <c r="O106" s="37">
        <v>-29676.011270112474</v>
      </c>
      <c r="P106" s="68">
        <v>0</v>
      </c>
    </row>
    <row r="107" spans="1:16" x14ac:dyDescent="0.2">
      <c r="A107" s="10">
        <v>105</v>
      </c>
      <c r="B107" s="40">
        <v>0.17718524592259005</v>
      </c>
      <c r="C107" s="12">
        <v>5.6400602339657482</v>
      </c>
      <c r="D107" s="40">
        <v>0.66163797336441244</v>
      </c>
      <c r="E107" s="40">
        <v>2.9056575008749645E-2</v>
      </c>
      <c r="F107" s="37">
        <v>21.66489031597412</v>
      </c>
      <c r="G107" s="12">
        <v>20.848660630589091</v>
      </c>
      <c r="H107" s="37">
        <v>81227.294990670372</v>
      </c>
      <c r="I107" s="37">
        <v>26282.077546414039</v>
      </c>
      <c r="J107" s="37">
        <v>292135.94772080914</v>
      </c>
      <c r="K107" s="37">
        <v>151834.79957113747</v>
      </c>
      <c r="L107" s="37">
        <v>160738.73645366728</v>
      </c>
      <c r="M107" s="37">
        <v>233661.98975250209</v>
      </c>
      <c r="N107" s="37">
        <v>268590.58457799727</v>
      </c>
      <c r="O107" s="37">
        <v>1441141.2710231356</v>
      </c>
      <c r="P107" s="68">
        <v>1</v>
      </c>
    </row>
    <row r="108" spans="1:16" x14ac:dyDescent="0.2">
      <c r="A108" s="10">
        <v>106</v>
      </c>
      <c r="B108" s="40">
        <v>9.1469259125867064E-2</v>
      </c>
      <c r="C108" s="12">
        <v>5.2486494853147114</v>
      </c>
      <c r="D108" s="40">
        <v>0.69284363006818794</v>
      </c>
      <c r="E108" s="40">
        <v>1.5879073336923677E-2</v>
      </c>
      <c r="F108" s="37">
        <v>16.825026866365455</v>
      </c>
      <c r="G108" s="12">
        <v>18.413986793840444</v>
      </c>
      <c r="H108" s="37">
        <v>177001.65837724891</v>
      </c>
      <c r="I108" s="37">
        <v>41733.378465127636</v>
      </c>
      <c r="J108" s="37">
        <v>253329.45115405566</v>
      </c>
      <c r="K108" s="37">
        <v>115065.33969708173</v>
      </c>
      <c r="L108" s="37">
        <v>80862.430370090515</v>
      </c>
      <c r="M108" s="37">
        <v>103844.35215754109</v>
      </c>
      <c r="N108" s="37">
        <v>237224.99804676324</v>
      </c>
      <c r="O108" s="37">
        <v>1219215.0860482901</v>
      </c>
      <c r="P108" s="68">
        <v>1</v>
      </c>
    </row>
    <row r="109" spans="1:16" x14ac:dyDescent="0.2">
      <c r="A109" s="10">
        <v>107</v>
      </c>
      <c r="B109" s="40">
        <v>7.7440496294491387E-2</v>
      </c>
      <c r="C109" s="12">
        <v>7.1834697328302592</v>
      </c>
      <c r="D109" s="40">
        <v>0.7625482919329708</v>
      </c>
      <c r="E109" s="40">
        <v>2.5946955271791989E-2</v>
      </c>
      <c r="F109" s="37">
        <v>19.917638079289251</v>
      </c>
      <c r="G109" s="12">
        <v>11.164173221114597</v>
      </c>
      <c r="H109" s="37">
        <v>56402.176619576239</v>
      </c>
      <c r="I109" s="37">
        <v>43642.507463388341</v>
      </c>
      <c r="J109" s="37">
        <v>338911.9554771866</v>
      </c>
      <c r="K109" s="37">
        <v>103826.83703719167</v>
      </c>
      <c r="L109" s="37">
        <v>103123.72117724179</v>
      </c>
      <c r="M109" s="37">
        <v>221084.51457469573</v>
      </c>
      <c r="N109" s="37">
        <v>143826.59226510063</v>
      </c>
      <c r="O109" s="37">
        <v>961755.50746687432</v>
      </c>
      <c r="P109" s="68">
        <v>1</v>
      </c>
    </row>
    <row r="110" spans="1:16" x14ac:dyDescent="0.2">
      <c r="A110" s="10">
        <v>108</v>
      </c>
      <c r="B110" s="40">
        <v>0.13595989021146548</v>
      </c>
      <c r="C110" s="12">
        <v>5.2111763242804532</v>
      </c>
      <c r="D110" s="40">
        <v>0.30781285783827378</v>
      </c>
      <c r="E110" s="40">
        <v>3.3282059561245261E-2</v>
      </c>
      <c r="F110" s="37">
        <v>19.637440437228861</v>
      </c>
      <c r="G110" s="12">
        <v>28.051497770107716</v>
      </c>
      <c r="H110" s="37">
        <v>49492.163203781216</v>
      </c>
      <c r="I110" s="37">
        <v>38219.676983034013</v>
      </c>
      <c r="J110" s="37">
        <v>298988.77367131924</v>
      </c>
      <c r="K110" s="37">
        <v>102667.31963022354</v>
      </c>
      <c r="L110" s="37">
        <v>53017.855840996635</v>
      </c>
      <c r="M110" s="37">
        <v>112862.21341802693</v>
      </c>
      <c r="N110" s="37">
        <v>361383.79907758761</v>
      </c>
      <c r="O110" s="37">
        <v>1136313.354284171</v>
      </c>
      <c r="P110" s="68">
        <v>1</v>
      </c>
    </row>
    <row r="111" spans="1:16" x14ac:dyDescent="0.2">
      <c r="A111" s="10">
        <v>109</v>
      </c>
      <c r="B111" s="40">
        <v>0.20405488207627404</v>
      </c>
      <c r="C111" s="12">
        <v>5.8615062650629639</v>
      </c>
      <c r="D111" s="40">
        <v>0.81705103084747366</v>
      </c>
      <c r="E111" s="40">
        <v>1.7149098099509964E-2</v>
      </c>
      <c r="F111" s="37">
        <v>12.103644017754085</v>
      </c>
      <c r="G111" s="12">
        <v>7.5264977789008132</v>
      </c>
      <c r="H111" s="37">
        <v>88793.511766117968</v>
      </c>
      <c r="I111" s="37">
        <v>63899.244830991236</v>
      </c>
      <c r="J111" s="37">
        <v>410012.34433939931</v>
      </c>
      <c r="K111" s="37">
        <v>99924.936493382207</v>
      </c>
      <c r="L111" s="37">
        <v>237571.44278538492</v>
      </c>
      <c r="M111" s="37">
        <v>95142.233187722566</v>
      </c>
      <c r="N111" s="37">
        <v>96962.89244086793</v>
      </c>
      <c r="O111" s="37">
        <v>941621.69576606969</v>
      </c>
      <c r="P111" s="68">
        <v>1</v>
      </c>
    </row>
    <row r="112" spans="1:16" x14ac:dyDescent="0.2">
      <c r="A112" s="10">
        <v>110</v>
      </c>
      <c r="B112" s="40">
        <v>4.8379704876992641E-2</v>
      </c>
      <c r="C112" s="12">
        <v>4.2491962236175684</v>
      </c>
      <c r="D112" s="40">
        <v>0.59431371634268271</v>
      </c>
      <c r="E112" s="40">
        <v>3.8677067360318687E-2</v>
      </c>
      <c r="F112" s="37">
        <v>20.557108778320494</v>
      </c>
      <c r="G112" s="12">
        <v>8.9197002969207269</v>
      </c>
      <c r="H112" s="37">
        <v>121770.20199013555</v>
      </c>
      <c r="I112" s="37">
        <v>47989.893884693665</v>
      </c>
      <c r="J112" s="37">
        <v>251673.30809653862</v>
      </c>
      <c r="K112" s="37">
        <v>177595.78254538833</v>
      </c>
      <c r="L112" s="37">
        <v>29701.240249081497</v>
      </c>
      <c r="M112" s="37">
        <v>265092.87569671677</v>
      </c>
      <c r="N112" s="37">
        <v>114911.33936419114</v>
      </c>
      <c r="O112" s="37">
        <v>874219.89723490272</v>
      </c>
      <c r="P112" s="68">
        <v>1</v>
      </c>
    </row>
    <row r="113" spans="1:16" x14ac:dyDescent="0.2">
      <c r="A113" s="10">
        <v>111</v>
      </c>
      <c r="B113" s="40">
        <v>0.17032619471288801</v>
      </c>
      <c r="C113" s="12">
        <v>4.7142048379398522</v>
      </c>
      <c r="D113" s="40">
        <v>0.46439961565137877</v>
      </c>
      <c r="E113" s="40">
        <v>9.9642233632591063E-3</v>
      </c>
      <c r="F113" s="37">
        <v>8.2154962291326115</v>
      </c>
      <c r="G113" s="12">
        <v>3.2223752854543495</v>
      </c>
      <c r="H113" s="37">
        <v>59772.127104078842</v>
      </c>
      <c r="I113" s="37">
        <v>39489.16013838051</v>
      </c>
      <c r="J113" s="37">
        <v>275831.00315103511</v>
      </c>
      <c r="K113" s="37">
        <v>183755.81341732462</v>
      </c>
      <c r="L113" s="37">
        <v>90650.577315092276</v>
      </c>
      <c r="M113" s="37">
        <v>21327.298065031544</v>
      </c>
      <c r="N113" s="37">
        <v>41513.441893721276</v>
      </c>
      <c r="O113" s="37">
        <v>-82527.041643759469</v>
      </c>
      <c r="P113" s="68">
        <v>0</v>
      </c>
    </row>
    <row r="114" spans="1:16" x14ac:dyDescent="0.2">
      <c r="A114" s="10">
        <v>112</v>
      </c>
      <c r="B114" s="40">
        <v>0.18472877765184767</v>
      </c>
      <c r="C114" s="12">
        <v>7.8320846902481804</v>
      </c>
      <c r="D114" s="40">
        <v>0.53773928153760353</v>
      </c>
      <c r="E114" s="40">
        <v>3.3614300369433685E-2</v>
      </c>
      <c r="F114" s="37">
        <v>24.898646208739549</v>
      </c>
      <c r="G114" s="12">
        <v>5.2204329535583618</v>
      </c>
      <c r="H114" s="37">
        <v>71560.046191173315</v>
      </c>
      <c r="I114" s="37">
        <v>14159.250253594308</v>
      </c>
      <c r="J114" s="37">
        <v>317627.53532624076</v>
      </c>
      <c r="K114" s="37">
        <v>101954.82901737107</v>
      </c>
      <c r="L114" s="37">
        <v>189135.26993571286</v>
      </c>
      <c r="M114" s="37">
        <v>252486.58323294326</v>
      </c>
      <c r="N114" s="37">
        <v>67254.159084408413</v>
      </c>
      <c r="O114" s="37">
        <v>1062572.2508415799</v>
      </c>
      <c r="P114" s="68">
        <v>1</v>
      </c>
    </row>
    <row r="115" spans="1:16" x14ac:dyDescent="0.2">
      <c r="A115" s="10">
        <v>113</v>
      </c>
      <c r="B115" s="40">
        <v>0.1333002906112033</v>
      </c>
      <c r="C115" s="12">
        <v>5.4245736101660489</v>
      </c>
      <c r="D115" s="40">
        <v>0.49651706042027549</v>
      </c>
      <c r="E115" s="40">
        <v>2.9400477365460496E-2</v>
      </c>
      <c r="F115" s="37">
        <v>23.117086425480863</v>
      </c>
      <c r="G115" s="12">
        <v>10.777908626474874</v>
      </c>
      <c r="H115" s="37">
        <v>180420.62239476835</v>
      </c>
      <c r="I115" s="37">
        <v>55979.106148422747</v>
      </c>
      <c r="J115" s="37">
        <v>421239.27781310875</v>
      </c>
      <c r="K115" s="37">
        <v>132419.91799450657</v>
      </c>
      <c r="L115" s="37">
        <v>87280.998939176803</v>
      </c>
      <c r="M115" s="37">
        <v>189316.46481119713</v>
      </c>
      <c r="N115" s="37">
        <v>138850.39570675435</v>
      </c>
      <c r="O115" s="37">
        <v>1034008.4913849893</v>
      </c>
      <c r="P115" s="68">
        <v>1</v>
      </c>
    </row>
    <row r="116" spans="1:16" x14ac:dyDescent="0.2">
      <c r="A116" s="10">
        <v>114</v>
      </c>
      <c r="B116" s="40">
        <v>0.15994281092058671</v>
      </c>
      <c r="C116" s="12">
        <v>4.6865504478481208</v>
      </c>
      <c r="D116" s="40">
        <v>0.36535250820620374</v>
      </c>
      <c r="E116" s="40">
        <v>3.0500987875347243E-2</v>
      </c>
      <c r="F116" s="37">
        <v>19.631199505863343</v>
      </c>
      <c r="G116" s="12">
        <v>11.346777656279009</v>
      </c>
      <c r="H116" s="37">
        <v>131908.7115251302</v>
      </c>
      <c r="I116" s="37">
        <v>37469.630664051983</v>
      </c>
      <c r="J116" s="37">
        <v>630222.73974736885</v>
      </c>
      <c r="K116" s="37">
        <v>97727.196845138431</v>
      </c>
      <c r="L116" s="37">
        <v>66576.190834112975</v>
      </c>
      <c r="M116" s="37">
        <v>122726.84435884301</v>
      </c>
      <c r="N116" s="37">
        <v>146179.06146474718</v>
      </c>
      <c r="O116" s="37">
        <v>510416.80720399274</v>
      </c>
      <c r="P116" s="68">
        <v>1</v>
      </c>
    </row>
    <row r="117" spans="1:16" x14ac:dyDescent="0.2">
      <c r="A117" s="10">
        <v>115</v>
      </c>
      <c r="B117" s="40">
        <v>0.21958888418597461</v>
      </c>
      <c r="C117" s="12">
        <v>7.4134150391425955</v>
      </c>
      <c r="D117" s="40">
        <v>0.6176968850134481</v>
      </c>
      <c r="E117" s="40">
        <v>2.5358530868027519E-2</v>
      </c>
      <c r="F117" s="37">
        <v>12.010780747704125</v>
      </c>
      <c r="G117" s="12">
        <v>21.112227909958193</v>
      </c>
      <c r="H117" s="37">
        <v>97886.479384399543</v>
      </c>
      <c r="I117" s="37">
        <v>50082.043372985208</v>
      </c>
      <c r="J117" s="37">
        <v>363862.12833383755</v>
      </c>
      <c r="K117" s="37">
        <v>186707.4470773655</v>
      </c>
      <c r="L117" s="37">
        <v>244451.61307540766</v>
      </c>
      <c r="M117" s="37">
        <v>105544.95320770472</v>
      </c>
      <c r="N117" s="37">
        <v>271986.08757436316</v>
      </c>
      <c r="O117" s="37">
        <v>1270175.0732244081</v>
      </c>
      <c r="P117" s="68">
        <v>1</v>
      </c>
    </row>
    <row r="118" spans="1:16" x14ac:dyDescent="0.2">
      <c r="A118" s="10">
        <v>116</v>
      </c>
      <c r="B118" s="40">
        <v>6.2692563388938707E-2</v>
      </c>
      <c r="C118" s="12">
        <v>6.1980901379705582</v>
      </c>
      <c r="D118" s="40">
        <v>0.58510545199790864</v>
      </c>
      <c r="E118" s="40">
        <v>1.8462301936549817E-2</v>
      </c>
      <c r="F118" s="37">
        <v>11.195941642689831</v>
      </c>
      <c r="G118" s="12">
        <v>21.800467056132771</v>
      </c>
      <c r="H118" s="37">
        <v>89529.905621333659</v>
      </c>
      <c r="I118" s="37">
        <v>66284.983371851718</v>
      </c>
      <c r="J118" s="37">
        <v>370148.19983348605</v>
      </c>
      <c r="K118" s="37">
        <v>114345.42011689083</v>
      </c>
      <c r="L118" s="37">
        <v>55270.944994775295</v>
      </c>
      <c r="M118" s="37">
        <v>67849.609451913901</v>
      </c>
      <c r="N118" s="37">
        <v>280852.5830234412</v>
      </c>
      <c r="O118" s="37">
        <v>877820.27898122068</v>
      </c>
      <c r="P118" s="68">
        <v>1</v>
      </c>
    </row>
    <row r="119" spans="1:16" x14ac:dyDescent="0.2">
      <c r="A119" s="10">
        <v>117</v>
      </c>
      <c r="B119" s="40">
        <v>0.15070420987913608</v>
      </c>
      <c r="C119" s="12">
        <v>4.184438097362138</v>
      </c>
      <c r="D119" s="40">
        <v>0.70022642954439029</v>
      </c>
      <c r="E119" s="40">
        <v>1.4510989299992743E-2</v>
      </c>
      <c r="F119" s="37">
        <v>6.2267081097032051</v>
      </c>
      <c r="G119" s="12">
        <v>10.100430705762028</v>
      </c>
      <c r="H119" s="37">
        <v>187548.93782098618</v>
      </c>
      <c r="I119" s="37">
        <v>48369.210690646505</v>
      </c>
      <c r="J119" s="37">
        <v>250297.48398332915</v>
      </c>
      <c r="K119" s="37">
        <v>117642.73163419352</v>
      </c>
      <c r="L119" s="37">
        <v>107346.98726089655</v>
      </c>
      <c r="M119" s="37">
        <v>35494.475287680027</v>
      </c>
      <c r="N119" s="37">
        <v>130122.53572634047</v>
      </c>
      <c r="O119" s="37">
        <v>845813.32989854121</v>
      </c>
      <c r="P119" s="68">
        <v>1</v>
      </c>
    </row>
    <row r="120" spans="1:16" x14ac:dyDescent="0.2">
      <c r="A120" s="10">
        <v>118</v>
      </c>
      <c r="B120" s="40">
        <v>0.14693125787886652</v>
      </c>
      <c r="C120" s="12">
        <v>5.9624458664463678</v>
      </c>
      <c r="D120" s="40">
        <v>0.58243846590970572</v>
      </c>
      <c r="E120" s="40">
        <v>9.7438552956294472E-3</v>
      </c>
      <c r="F120" s="37">
        <v>10.967626104909851</v>
      </c>
      <c r="G120" s="12">
        <v>15.619443767368065</v>
      </c>
      <c r="H120" s="37">
        <v>34959.35931100489</v>
      </c>
      <c r="I120" s="37">
        <v>17310.350451332768</v>
      </c>
      <c r="J120" s="37">
        <v>611044.66965728707</v>
      </c>
      <c r="K120" s="37">
        <v>95801.630055704867</v>
      </c>
      <c r="L120" s="37">
        <v>124044.50332614554</v>
      </c>
      <c r="M120" s="37">
        <v>34918.87501552156</v>
      </c>
      <c r="N120" s="37">
        <v>201223.26352731301</v>
      </c>
      <c r="O120" s="37">
        <v>276106.90848986618</v>
      </c>
      <c r="P120" s="68">
        <v>1</v>
      </c>
    </row>
    <row r="121" spans="1:16" x14ac:dyDescent="0.2">
      <c r="A121" s="10">
        <v>119</v>
      </c>
      <c r="B121" s="40">
        <v>0.11019878241239246</v>
      </c>
      <c r="C121" s="12">
        <v>5.0924930696626154</v>
      </c>
      <c r="D121" s="40">
        <v>0.53096327469344051</v>
      </c>
      <c r="E121" s="40">
        <v>1.7314862230485329E-2</v>
      </c>
      <c r="F121" s="37">
        <v>14.519915972895845</v>
      </c>
      <c r="G121" s="12">
        <v>17.106572147640271</v>
      </c>
      <c r="H121" s="37">
        <v>140900.1646689612</v>
      </c>
      <c r="I121" s="37">
        <v>20719.298806332306</v>
      </c>
      <c r="J121" s="37">
        <v>313237.97687339189</v>
      </c>
      <c r="K121" s="37">
        <v>104868.14333301943</v>
      </c>
      <c r="L121" s="37">
        <v>72437.01663947558</v>
      </c>
      <c r="M121" s="37">
        <v>74888.366650636337</v>
      </c>
      <c r="N121" s="37">
        <v>220381.74512367044</v>
      </c>
      <c r="O121" s="37">
        <v>875940.50946249079</v>
      </c>
      <c r="P121" s="68">
        <v>1</v>
      </c>
    </row>
    <row r="122" spans="1:16" x14ac:dyDescent="0.2">
      <c r="A122" s="10">
        <v>120</v>
      </c>
      <c r="B122" s="40">
        <v>0.16354397666645348</v>
      </c>
      <c r="C122" s="12">
        <v>4.2436767106841593</v>
      </c>
      <c r="D122" s="40">
        <v>0.75338048801691804</v>
      </c>
      <c r="E122" s="40">
        <v>3.8911701639255183E-2</v>
      </c>
      <c r="F122" s="37">
        <v>18.903705448797645</v>
      </c>
      <c r="G122" s="12">
        <v>17.833359107135259</v>
      </c>
      <c r="H122" s="37">
        <v>58694.487829571859</v>
      </c>
      <c r="I122" s="37">
        <v>51001.49199153966</v>
      </c>
      <c r="J122" s="37">
        <v>173917.23072633665</v>
      </c>
      <c r="K122" s="37">
        <v>97473.750657168624</v>
      </c>
      <c r="L122" s="37">
        <v>127110.09480650233</v>
      </c>
      <c r="M122" s="37">
        <v>310891.08244040178</v>
      </c>
      <c r="N122" s="37">
        <v>229744.84704053964</v>
      </c>
      <c r="O122" s="37">
        <v>1731106.9739903349</v>
      </c>
      <c r="P122" s="68">
        <v>1</v>
      </c>
    </row>
    <row r="123" spans="1:16" x14ac:dyDescent="0.2">
      <c r="A123" s="10">
        <v>121</v>
      </c>
      <c r="B123" s="40">
        <v>0.12459837352485871</v>
      </c>
      <c r="C123" s="12">
        <v>5.1988908837910079</v>
      </c>
      <c r="D123" s="40">
        <v>0.45770803363988621</v>
      </c>
      <c r="E123" s="40">
        <v>3.1030475693183911E-2</v>
      </c>
      <c r="F123" s="37">
        <v>17.345741975215795</v>
      </c>
      <c r="G123" s="12">
        <v>13.376245029691521</v>
      </c>
      <c r="H123" s="37">
        <v>60084.406933754828</v>
      </c>
      <c r="I123" s="37">
        <v>31462.521451703207</v>
      </c>
      <c r="J123" s="37">
        <v>310492.89305322251</v>
      </c>
      <c r="K123" s="37">
        <v>111027.39183757485</v>
      </c>
      <c r="L123" s="37">
        <v>72077.620413908822</v>
      </c>
      <c r="M123" s="37">
        <v>138209.08196871093</v>
      </c>
      <c r="N123" s="37">
        <v>172324.42580566203</v>
      </c>
      <c r="O123" s="37">
        <v>706867.4061753744</v>
      </c>
      <c r="P123" s="68">
        <v>1</v>
      </c>
    </row>
    <row r="124" spans="1:16" x14ac:dyDescent="0.2">
      <c r="A124" s="10">
        <v>122</v>
      </c>
      <c r="B124" s="40">
        <v>0.15795377089025686</v>
      </c>
      <c r="C124" s="12">
        <v>2.89254240504125</v>
      </c>
      <c r="D124" s="40">
        <v>0.48220146591820939</v>
      </c>
      <c r="E124" s="40">
        <v>9.8181009050849911E-3</v>
      </c>
      <c r="F124" s="37">
        <v>13.046681512325232</v>
      </c>
      <c r="G124" s="12">
        <v>18.822379873577354</v>
      </c>
      <c r="H124" s="37">
        <v>90290.320136035385</v>
      </c>
      <c r="I124" s="37">
        <v>30838.068566022685</v>
      </c>
      <c r="J124" s="37">
        <v>216830.26993345635</v>
      </c>
      <c r="K124" s="37">
        <v>99531.363533147669</v>
      </c>
      <c r="L124" s="37">
        <v>53558.337640657468</v>
      </c>
      <c r="M124" s="37">
        <v>34651.561526179619</v>
      </c>
      <c r="N124" s="37">
        <v>242486.27300191351</v>
      </c>
      <c r="O124" s="37">
        <v>770167.37985204568</v>
      </c>
      <c r="P124" s="68">
        <v>1</v>
      </c>
    </row>
    <row r="125" spans="1:16" x14ac:dyDescent="0.2">
      <c r="A125" s="10">
        <v>123</v>
      </c>
      <c r="B125" s="40">
        <v>9.76083406144099E-2</v>
      </c>
      <c r="C125" s="12">
        <v>1.6237499384929195</v>
      </c>
      <c r="D125" s="40">
        <v>0.54420331087785212</v>
      </c>
      <c r="E125" s="40">
        <v>2.3471951323104055E-2</v>
      </c>
      <c r="F125" s="37">
        <v>19.915697168187105</v>
      </c>
      <c r="G125" s="12">
        <v>25.423197127412259</v>
      </c>
      <c r="H125" s="37">
        <v>144510.37366844434</v>
      </c>
      <c r="I125" s="37">
        <v>39266.525692331648</v>
      </c>
      <c r="J125" s="37">
        <v>394256.23472405132</v>
      </c>
      <c r="K125" s="37">
        <v>111800.94229627545</v>
      </c>
      <c r="L125" s="37">
        <v>20967.955510669959</v>
      </c>
      <c r="M125" s="37">
        <v>142715.98568401995</v>
      </c>
      <c r="N125" s="37">
        <v>327523.7435768256</v>
      </c>
      <c r="O125" s="37">
        <v>1183579.8832893604</v>
      </c>
      <c r="P125" s="68">
        <v>1</v>
      </c>
    </row>
    <row r="126" spans="1:16" x14ac:dyDescent="0.2">
      <c r="A126" s="10">
        <v>124</v>
      </c>
      <c r="B126" s="40">
        <v>0.15480158468609434</v>
      </c>
      <c r="C126" s="12">
        <v>8.5042232976427172</v>
      </c>
      <c r="D126" s="40">
        <v>0.6711529235332836</v>
      </c>
      <c r="E126" s="40">
        <v>3.8427850090194358E-2</v>
      </c>
      <c r="F126" s="37">
        <v>10.763513285943436</v>
      </c>
      <c r="G126" s="12">
        <v>20.903482952258656</v>
      </c>
      <c r="H126" s="37">
        <v>79491.257892444293</v>
      </c>
      <c r="I126" s="37">
        <v>29342.633511229178</v>
      </c>
      <c r="J126" s="37">
        <v>479848.48642430187</v>
      </c>
      <c r="K126" s="37">
        <v>84034.604611053786</v>
      </c>
      <c r="L126" s="37">
        <v>214793.12329064225</v>
      </c>
      <c r="M126" s="37">
        <v>155735.76384274091</v>
      </c>
      <c r="N126" s="37">
        <v>269296.85342116444</v>
      </c>
      <c r="O126" s="37">
        <v>1382189.5686322693</v>
      </c>
      <c r="P126" s="68">
        <v>1</v>
      </c>
    </row>
    <row r="127" spans="1:16" x14ac:dyDescent="0.2">
      <c r="A127" s="10">
        <v>125</v>
      </c>
      <c r="B127" s="40">
        <v>8.6151193966208489E-2</v>
      </c>
      <c r="C127" s="12">
        <v>5.143222264049859</v>
      </c>
      <c r="D127" s="40">
        <v>0.29216629565327978</v>
      </c>
      <c r="E127" s="40">
        <v>1.1339102696711732E-2</v>
      </c>
      <c r="F127" s="37">
        <v>15.0925801717694</v>
      </c>
      <c r="G127" s="12">
        <v>6.9784160398854835</v>
      </c>
      <c r="H127" s="37">
        <v>77363.781019943184</v>
      </c>
      <c r="I127" s="37">
        <v>12268.056330915448</v>
      </c>
      <c r="J127" s="37">
        <v>332573.16800437769</v>
      </c>
      <c r="K127" s="37">
        <v>157981.32243087509</v>
      </c>
      <c r="L127" s="37">
        <v>31471.361907007664</v>
      </c>
      <c r="M127" s="37">
        <v>28050.397909620551</v>
      </c>
      <c r="N127" s="37">
        <v>89902.0266477595</v>
      </c>
      <c r="O127" s="37">
        <v>-105432.40704418416</v>
      </c>
      <c r="P127" s="68">
        <v>0</v>
      </c>
    </row>
    <row r="128" spans="1:16" x14ac:dyDescent="0.2">
      <c r="A128" s="10">
        <v>126</v>
      </c>
      <c r="B128" s="40">
        <v>0.15997494842361648</v>
      </c>
      <c r="C128" s="12">
        <v>7.9126307237902909</v>
      </c>
      <c r="D128" s="40">
        <v>0.31915358548964412</v>
      </c>
      <c r="E128" s="40">
        <v>2.1830154535208666E-2</v>
      </c>
      <c r="F128" s="37">
        <v>24.158305333305837</v>
      </c>
      <c r="G128" s="12">
        <v>20.252162230380968</v>
      </c>
      <c r="H128" s="37">
        <v>71890.641491587856</v>
      </c>
      <c r="I128" s="37">
        <v>47863.789080311763</v>
      </c>
      <c r="J128" s="37">
        <v>527845.73201899789</v>
      </c>
      <c r="K128" s="37">
        <v>115700.20176196742</v>
      </c>
      <c r="L128" s="37">
        <v>98211.294226856422</v>
      </c>
      <c r="M128" s="37">
        <v>94425.596238666752</v>
      </c>
      <c r="N128" s="37">
        <v>260905.97323290809</v>
      </c>
      <c r="O128" s="37">
        <v>754175.20471099904</v>
      </c>
      <c r="P128" s="68">
        <v>1</v>
      </c>
    </row>
    <row r="129" spans="1:16" x14ac:dyDescent="0.2">
      <c r="A129" s="10">
        <v>127</v>
      </c>
      <c r="B129" s="40">
        <v>0.15576369530387518</v>
      </c>
      <c r="C129" s="12">
        <v>6.6515610795099933</v>
      </c>
      <c r="D129" s="40">
        <v>0.63013183990683319</v>
      </c>
      <c r="E129" s="40">
        <v>4.0702669527123266E-2</v>
      </c>
      <c r="F129" s="37">
        <v>28.900305083692309</v>
      </c>
      <c r="G129" s="12">
        <v>19.153931915105581</v>
      </c>
      <c r="H129" s="37">
        <v>122836.0168211987</v>
      </c>
      <c r="I129" s="37">
        <v>54865.949244847856</v>
      </c>
      <c r="J129" s="37">
        <v>298781.21812903287</v>
      </c>
      <c r="K129" s="37">
        <v>118505.37082152256</v>
      </c>
      <c r="L129" s="37">
        <v>158712.11509205544</v>
      </c>
      <c r="M129" s="37">
        <v>415837.33393481467</v>
      </c>
      <c r="N129" s="37">
        <v>246757.61485115625</v>
      </c>
      <c r="O129" s="37">
        <v>2168070.3950984925</v>
      </c>
      <c r="P129" s="68">
        <v>1</v>
      </c>
    </row>
    <row r="130" spans="1:16" x14ac:dyDescent="0.2">
      <c r="A130" s="10">
        <v>128</v>
      </c>
      <c r="B130" s="40">
        <v>0.15147430758438246</v>
      </c>
      <c r="C130" s="12">
        <v>8.7705112874025826</v>
      </c>
      <c r="D130" s="40">
        <v>0.46652334338459084</v>
      </c>
      <c r="E130" s="40">
        <v>3.9001998998475937E-2</v>
      </c>
      <c r="F130" s="37">
        <v>12.193219900981667</v>
      </c>
      <c r="G130" s="12">
        <v>15.141937515179178</v>
      </c>
      <c r="H130" s="37">
        <v>90068.610767115752</v>
      </c>
      <c r="I130" s="37">
        <v>39436.780424200209</v>
      </c>
      <c r="J130" s="37">
        <v>253752.69204199029</v>
      </c>
      <c r="K130" s="37">
        <v>172267.19994114907</v>
      </c>
      <c r="L130" s="37">
        <v>150669.76006524786</v>
      </c>
      <c r="M130" s="37">
        <v>124464.46721094057</v>
      </c>
      <c r="N130" s="37">
        <v>195071.61255617641</v>
      </c>
      <c r="O130" s="37">
        <v>943790.31270963524</v>
      </c>
      <c r="P130" s="68">
        <v>1</v>
      </c>
    </row>
    <row r="131" spans="1:16" x14ac:dyDescent="0.2">
      <c r="A131" s="10">
        <v>129</v>
      </c>
      <c r="B131" s="40">
        <v>0.18867150794879906</v>
      </c>
      <c r="C131" s="12">
        <v>3.9999265130860375</v>
      </c>
      <c r="D131" s="40">
        <v>0.39107436260561745</v>
      </c>
      <c r="E131" s="40">
        <v>3.538274861718288E-2</v>
      </c>
      <c r="F131" s="37">
        <v>7.6699307901157727</v>
      </c>
      <c r="G131" s="12">
        <v>11.018669466108053</v>
      </c>
      <c r="H131" s="37">
        <v>147856.35267869238</v>
      </c>
      <c r="I131" s="37">
        <v>12178.638696754546</v>
      </c>
      <c r="J131" s="37">
        <v>343259.08054946945</v>
      </c>
      <c r="K131" s="37">
        <v>105149.36652391822</v>
      </c>
      <c r="L131" s="37">
        <v>71747.456354280235</v>
      </c>
      <c r="M131" s="37">
        <v>59540.035618388225</v>
      </c>
      <c r="N131" s="37">
        <v>141952.08630483947</v>
      </c>
      <c r="O131" s="37">
        <v>576028.62290664366</v>
      </c>
      <c r="P131" s="68">
        <v>1</v>
      </c>
    </row>
    <row r="132" spans="1:16" x14ac:dyDescent="0.2">
      <c r="A132" s="10">
        <v>130</v>
      </c>
      <c r="B132" s="40">
        <v>0.15921188645474468</v>
      </c>
      <c r="C132" s="12">
        <v>6.3850313524103832</v>
      </c>
      <c r="D132" s="40">
        <v>0.51221697407655609</v>
      </c>
      <c r="E132" s="40">
        <v>3.9446019778064487E-2</v>
      </c>
      <c r="F132" s="37">
        <v>10.454869419469439</v>
      </c>
      <c r="G132" s="12">
        <v>17.180908756679145</v>
      </c>
      <c r="H132" s="37">
        <v>79047.386682305223</v>
      </c>
      <c r="I132" s="37">
        <v>32970.139980413915</v>
      </c>
      <c r="J132" s="37">
        <v>393174.61132294161</v>
      </c>
      <c r="K132" s="37">
        <v>123098.03155860354</v>
      </c>
      <c r="L132" s="37">
        <v>126584.72955639381</v>
      </c>
      <c r="M132" s="37">
        <v>118506.58934904679</v>
      </c>
      <c r="N132" s="37">
        <v>221339.41399415908</v>
      </c>
      <c r="O132" s="37">
        <v>882551.42671973072</v>
      </c>
      <c r="P132" s="68">
        <v>1</v>
      </c>
    </row>
    <row r="133" spans="1:16" x14ac:dyDescent="0.2">
      <c r="A133" s="10">
        <v>131</v>
      </c>
      <c r="B133" s="40">
        <v>0.19565905094226183</v>
      </c>
      <c r="C133" s="12">
        <v>6.5803967632968758</v>
      </c>
      <c r="D133" s="40">
        <v>0.6979129420962652</v>
      </c>
      <c r="E133" s="40">
        <v>3.1824772211781344E-2</v>
      </c>
      <c r="F133" s="37">
        <v>12.837235889495034</v>
      </c>
      <c r="G133" s="12">
        <v>4.3295760519177922</v>
      </c>
      <c r="H133" s="37">
        <v>39999.182753203248</v>
      </c>
      <c r="I133" s="37">
        <v>62765.467810226808</v>
      </c>
      <c r="J133" s="37">
        <v>201375.85670433694</v>
      </c>
      <c r="K133" s="37">
        <v>105353.89113858261</v>
      </c>
      <c r="L133" s="37">
        <v>218444.99780009931</v>
      </c>
      <c r="M133" s="37">
        <v>159957.57421953295</v>
      </c>
      <c r="N133" s="37">
        <v>55777.365431970167</v>
      </c>
      <c r="O133" s="37">
        <v>1007784.6002830192</v>
      </c>
      <c r="P133" s="68">
        <v>1</v>
      </c>
    </row>
    <row r="134" spans="1:16" x14ac:dyDescent="0.2">
      <c r="A134" s="10">
        <v>132</v>
      </c>
      <c r="B134" s="40">
        <v>0.17688923271626628</v>
      </c>
      <c r="C134" s="12">
        <v>4.1816728750795242</v>
      </c>
      <c r="D134" s="40">
        <v>0.39598970731550143</v>
      </c>
      <c r="E134" s="40">
        <v>4.5530146194977736E-3</v>
      </c>
      <c r="F134" s="37">
        <v>22.697905420836189</v>
      </c>
      <c r="G134" s="12">
        <v>20.357885579004986</v>
      </c>
      <c r="H134" s="37">
        <v>93073.330411689094</v>
      </c>
      <c r="I134" s="37">
        <v>45539.619484768577</v>
      </c>
      <c r="J134" s="37">
        <v>455493.14829858416</v>
      </c>
      <c r="K134" s="37">
        <v>137988.17116466793</v>
      </c>
      <c r="L134" s="37">
        <v>71207.244646916108</v>
      </c>
      <c r="M134" s="37">
        <v>22958.074272636557</v>
      </c>
      <c r="N134" s="37">
        <v>262267.993389196</v>
      </c>
      <c r="O134" s="37">
        <v>544854.00389502186</v>
      </c>
      <c r="P134" s="68">
        <v>1</v>
      </c>
    </row>
    <row r="135" spans="1:16" x14ac:dyDescent="0.2">
      <c r="A135" s="10">
        <v>133</v>
      </c>
      <c r="B135" s="40">
        <v>0.23112781939122365</v>
      </c>
      <c r="C135" s="12">
        <v>3.6434711793747434</v>
      </c>
      <c r="D135" s="40">
        <v>0.54432868083656805</v>
      </c>
      <c r="E135" s="40">
        <v>2.2009893548207836E-2</v>
      </c>
      <c r="F135" s="37">
        <v>10.886898300395526</v>
      </c>
      <c r="G135" s="12">
        <v>4.7199791202774897</v>
      </c>
      <c r="H135" s="37">
        <v>27327.388750053662</v>
      </c>
      <c r="I135" s="37">
        <v>40448.259689630766</v>
      </c>
      <c r="J135" s="37">
        <v>366920.05839822162</v>
      </c>
      <c r="K135" s="37">
        <v>103161.68082950506</v>
      </c>
      <c r="L135" s="37">
        <v>111433.97123224364</v>
      </c>
      <c r="M135" s="37">
        <v>73172.864726016458</v>
      </c>
      <c r="N135" s="37">
        <v>60806.877409249268</v>
      </c>
      <c r="O135" s="37">
        <v>221501.25964440603</v>
      </c>
      <c r="P135" s="68">
        <v>1</v>
      </c>
    </row>
    <row r="136" spans="1:16" x14ac:dyDescent="0.2">
      <c r="A136" s="10">
        <v>134</v>
      </c>
      <c r="B136" s="40">
        <v>0.10490630134646316</v>
      </c>
      <c r="C136" s="12">
        <v>5.7736222921233127</v>
      </c>
      <c r="D136" s="40">
        <v>0.39386336010246048</v>
      </c>
      <c r="E136" s="40">
        <v>2.3908418814161371E-2</v>
      </c>
      <c r="F136" s="37">
        <v>12.722343266553299</v>
      </c>
      <c r="G136" s="12">
        <v>11.687982095271069</v>
      </c>
      <c r="H136" s="37">
        <v>76674.096912729379</v>
      </c>
      <c r="I136" s="37">
        <v>23246.440860709605</v>
      </c>
      <c r="J136" s="37">
        <v>472339.30018968391</v>
      </c>
      <c r="K136" s="37">
        <v>138563.43557258701</v>
      </c>
      <c r="L136" s="37">
        <v>57994.172467225806</v>
      </c>
      <c r="M136" s="37">
        <v>67209.440152108131</v>
      </c>
      <c r="N136" s="37">
        <v>150574.75389570481</v>
      </c>
      <c r="O136" s="37">
        <v>192028.198451048</v>
      </c>
      <c r="P136" s="68">
        <v>1</v>
      </c>
    </row>
    <row r="137" spans="1:16" x14ac:dyDescent="0.2">
      <c r="A137" s="10">
        <v>135</v>
      </c>
      <c r="B137" s="40">
        <v>0.11249397195392748</v>
      </c>
      <c r="C137" s="12">
        <v>6.6299882148574003</v>
      </c>
      <c r="D137" s="40">
        <v>0.48369771590503591</v>
      </c>
      <c r="E137" s="40">
        <v>1.6648594660855574E-2</v>
      </c>
      <c r="F137" s="37">
        <v>17.787212730044772</v>
      </c>
      <c r="G137" s="12">
        <v>20.363526283572558</v>
      </c>
      <c r="H137" s="37">
        <v>67068.477121483214</v>
      </c>
      <c r="I137" s="37">
        <v>28953.150007177654</v>
      </c>
      <c r="J137" s="37">
        <v>426155.71249744517</v>
      </c>
      <c r="K137" s="37">
        <v>103191.41210050877</v>
      </c>
      <c r="L137" s="37">
        <v>87701.066307607864</v>
      </c>
      <c r="M137" s="37">
        <v>80357.468636203615</v>
      </c>
      <c r="N137" s="37">
        <v>262340.66185284843</v>
      </c>
      <c r="O137" s="37">
        <v>759579.45908128202</v>
      </c>
      <c r="P137" s="68">
        <v>1</v>
      </c>
    </row>
    <row r="138" spans="1:16" x14ac:dyDescent="0.2">
      <c r="A138" s="10">
        <v>136</v>
      </c>
      <c r="B138" s="40">
        <v>0.11296248778856176</v>
      </c>
      <c r="C138" s="12">
        <v>5.3561939134924801</v>
      </c>
      <c r="D138" s="40">
        <v>0.48674635245893644</v>
      </c>
      <c r="E138" s="40">
        <v>2.1797446045269217E-2</v>
      </c>
      <c r="F138" s="37">
        <v>16.544138625732732</v>
      </c>
      <c r="G138" s="12">
        <v>21.495441627726539</v>
      </c>
      <c r="H138" s="37">
        <v>106732.27773308504</v>
      </c>
      <c r="I138" s="37">
        <v>63619.831316997152</v>
      </c>
      <c r="J138" s="37">
        <v>480264.74606049998</v>
      </c>
      <c r="K138" s="37">
        <v>102247.07887491133</v>
      </c>
      <c r="L138" s="37">
        <v>71594.898092965217</v>
      </c>
      <c r="M138" s="37">
        <v>98473.462662532722</v>
      </c>
      <c r="N138" s="37">
        <v>276922.98008258943</v>
      </c>
      <c r="O138" s="37">
        <v>962848.29570466361</v>
      </c>
      <c r="P138" s="68">
        <v>1</v>
      </c>
    </row>
    <row r="139" spans="1:16" x14ac:dyDescent="0.2">
      <c r="A139" s="10">
        <v>137</v>
      </c>
      <c r="B139" s="40">
        <v>0.17805858377861189</v>
      </c>
      <c r="C139" s="12">
        <v>7.1298823939371294</v>
      </c>
      <c r="D139" s="40">
        <v>0.22978166544051215</v>
      </c>
      <c r="E139" s="40">
        <v>2.2263447659955818E-2</v>
      </c>
      <c r="F139" s="37">
        <v>21.040928275570224</v>
      </c>
      <c r="G139" s="12">
        <v>7.3113226293899718</v>
      </c>
      <c r="H139" s="37">
        <v>75034.238199777348</v>
      </c>
      <c r="I139" s="37">
        <v>69200.651342792524</v>
      </c>
      <c r="J139" s="37">
        <v>349817.72049191047</v>
      </c>
      <c r="K139" s="37">
        <v>97973.57637821426</v>
      </c>
      <c r="L139" s="37">
        <v>70916.857632199099</v>
      </c>
      <c r="M139" s="37">
        <v>60386.438963711335</v>
      </c>
      <c r="N139" s="37">
        <v>94190.818962489182</v>
      </c>
      <c r="O139" s="37">
        <v>411542.33838180499</v>
      </c>
      <c r="P139" s="68">
        <v>1</v>
      </c>
    </row>
    <row r="140" spans="1:16" x14ac:dyDescent="0.2">
      <c r="A140" s="10">
        <v>138</v>
      </c>
      <c r="B140" s="40">
        <v>0.12685687452963673</v>
      </c>
      <c r="C140" s="12">
        <v>5.1619448598655326</v>
      </c>
      <c r="D140" s="40">
        <v>0.68570442074619753</v>
      </c>
      <c r="E140" s="40">
        <v>4.2527907679266071E-3</v>
      </c>
      <c r="F140" s="37">
        <v>11.799001290521076</v>
      </c>
      <c r="G140" s="12">
        <v>1.0294068267021312</v>
      </c>
      <c r="H140" s="37">
        <v>169670.89522015175</v>
      </c>
      <c r="I140" s="37">
        <v>13272.07782866679</v>
      </c>
      <c r="J140" s="37">
        <v>168956.63226199168</v>
      </c>
      <c r="K140" s="37">
        <v>121592.20300942755</v>
      </c>
      <c r="L140" s="37">
        <v>109157.39105332963</v>
      </c>
      <c r="M140" s="37">
        <v>19302.917141270947</v>
      </c>
      <c r="N140" s="37">
        <v>13261.714325516086</v>
      </c>
      <c r="O140" s="37">
        <v>399979.61319013167</v>
      </c>
      <c r="P140" s="68">
        <v>1</v>
      </c>
    </row>
    <row r="141" spans="1:16" x14ac:dyDescent="0.2">
      <c r="A141" s="10">
        <v>139</v>
      </c>
      <c r="B141" s="40">
        <v>0.17049667101895805</v>
      </c>
      <c r="C141" s="12">
        <v>4.3254891184097648</v>
      </c>
      <c r="D141" s="40">
        <v>0.69950777886170634</v>
      </c>
      <c r="E141" s="40">
        <v>2.9072450982816259E-2</v>
      </c>
      <c r="F141" s="37">
        <v>15.017459835471415</v>
      </c>
      <c r="G141" s="12">
        <v>19.363372922793207</v>
      </c>
      <c r="H141" s="37">
        <v>39375.764004905941</v>
      </c>
      <c r="I141" s="37">
        <v>19063.510449575995</v>
      </c>
      <c r="J141" s="37">
        <v>299572.53691577056</v>
      </c>
      <c r="K141" s="37">
        <v>92980.355805639847</v>
      </c>
      <c r="L141" s="37">
        <v>125410.09750047776</v>
      </c>
      <c r="M141" s="37">
        <v>171331.5746757387</v>
      </c>
      <c r="N141" s="37">
        <v>249455.81612586495</v>
      </c>
      <c r="O141" s="37">
        <v>1133902.9743193416</v>
      </c>
      <c r="P141" s="68">
        <v>1</v>
      </c>
    </row>
    <row r="142" spans="1:16" x14ac:dyDescent="0.2">
      <c r="A142" s="10">
        <v>140</v>
      </c>
      <c r="B142" s="40">
        <v>7.5369104189050726E-2</v>
      </c>
      <c r="C142" s="12">
        <v>8.6641734127317562</v>
      </c>
      <c r="D142" s="40">
        <v>0.38656463551457143</v>
      </c>
      <c r="E142" s="40">
        <v>2.3146422984559524E-2</v>
      </c>
      <c r="F142" s="37">
        <v>14.511554826981422</v>
      </c>
      <c r="G142" s="12">
        <v>7.6061041098766298</v>
      </c>
      <c r="H142" s="37">
        <v>84437.661348018941</v>
      </c>
      <c r="I142" s="37">
        <v>15171.158834806354</v>
      </c>
      <c r="J142" s="37">
        <v>431045.38500751054</v>
      </c>
      <c r="K142" s="37">
        <v>90496.63858255696</v>
      </c>
      <c r="L142" s="37">
        <v>61366.512049720739</v>
      </c>
      <c r="M142" s="37">
        <v>72842.808971958555</v>
      </c>
      <c r="N142" s="37">
        <v>97988.450454006335</v>
      </c>
      <c r="O142" s="37">
        <v>245017.50339262024</v>
      </c>
      <c r="P142" s="68">
        <v>1</v>
      </c>
    </row>
    <row r="143" spans="1:16" x14ac:dyDescent="0.2">
      <c r="A143" s="10">
        <v>141</v>
      </c>
      <c r="B143" s="40">
        <v>0.16268054049904457</v>
      </c>
      <c r="C143" s="12">
        <v>4.1012326200865408</v>
      </c>
      <c r="D143" s="40">
        <v>0.5930124185929907</v>
      </c>
      <c r="E143" s="40">
        <v>1.7543398365155664E-2</v>
      </c>
      <c r="F143" s="37">
        <v>8.4652409617040867</v>
      </c>
      <c r="G143" s="12">
        <v>15.333247098324613</v>
      </c>
      <c r="H143" s="37">
        <v>22470.114292918512</v>
      </c>
      <c r="I143" s="37">
        <v>47616.439069018525</v>
      </c>
      <c r="J143" s="37">
        <v>377565.53416895535</v>
      </c>
      <c r="K143" s="37">
        <v>102716.36926425205</v>
      </c>
      <c r="L143" s="37">
        <v>96183.954229128329</v>
      </c>
      <c r="M143" s="37">
        <v>49406.440953768833</v>
      </c>
      <c r="N143" s="37">
        <v>197536.22904559321</v>
      </c>
      <c r="O143" s="37">
        <v>492333.80649331561</v>
      </c>
      <c r="P143" s="68">
        <v>1</v>
      </c>
    </row>
    <row r="144" spans="1:16" x14ac:dyDescent="0.2">
      <c r="A144" s="10">
        <v>142</v>
      </c>
      <c r="B144" s="40">
        <v>8.8823707461213125E-2</v>
      </c>
      <c r="C144" s="12">
        <v>3.4857157958848433</v>
      </c>
      <c r="D144" s="40">
        <v>0.59703238311945306</v>
      </c>
      <c r="E144" s="40">
        <v>2.0981194572136673E-2</v>
      </c>
      <c r="F144" s="37">
        <v>22.987775551568323</v>
      </c>
      <c r="G144" s="12">
        <v>11.003803001834029</v>
      </c>
      <c r="H144" s="37">
        <v>53018.856522409609</v>
      </c>
      <c r="I144" s="37">
        <v>51361.727989596176</v>
      </c>
      <c r="J144" s="37">
        <v>251110.89248632026</v>
      </c>
      <c r="K144" s="37">
        <v>146647.76724884551</v>
      </c>
      <c r="L144" s="37">
        <v>44937.363492027267</v>
      </c>
      <c r="M144" s="37">
        <v>161544.35226952861</v>
      </c>
      <c r="N144" s="37">
        <v>141760.56357823758</v>
      </c>
      <c r="O144" s="37">
        <v>606120.25339514215</v>
      </c>
      <c r="P144" s="68">
        <v>1</v>
      </c>
    </row>
    <row r="145" spans="1:16" x14ac:dyDescent="0.2">
      <c r="A145" s="10">
        <v>143</v>
      </c>
      <c r="B145" s="40">
        <v>0.16129559549471689</v>
      </c>
      <c r="C145" s="12">
        <v>5.9348015214145082</v>
      </c>
      <c r="D145" s="40">
        <v>0.63736546290379692</v>
      </c>
      <c r="E145" s="40">
        <v>4.5082569041629876E-2</v>
      </c>
      <c r="F145" s="37">
        <v>21.735354251145566</v>
      </c>
      <c r="G145" s="12">
        <v>20.420602585409405</v>
      </c>
      <c r="H145" s="37">
        <v>59932.938533960434</v>
      </c>
      <c r="I145" s="37">
        <v>33859.593208938946</v>
      </c>
      <c r="J145" s="37">
        <v>447820.72704722255</v>
      </c>
      <c r="K145" s="37">
        <v>104850.85607777616</v>
      </c>
      <c r="L145" s="37">
        <v>148322.16760114333</v>
      </c>
      <c r="M145" s="37">
        <v>350373.00492646603</v>
      </c>
      <c r="N145" s="37">
        <v>263075.96842949325</v>
      </c>
      <c r="O145" s="37">
        <v>1655404.0620474548</v>
      </c>
      <c r="P145" s="68">
        <v>1</v>
      </c>
    </row>
    <row r="146" spans="1:16" x14ac:dyDescent="0.2">
      <c r="A146" s="10">
        <v>144</v>
      </c>
      <c r="B146" s="40">
        <v>0.19200127473033107</v>
      </c>
      <c r="C146" s="12">
        <v>6.6241481820678079</v>
      </c>
      <c r="D146" s="40">
        <v>0.64834609318602343</v>
      </c>
      <c r="E146" s="40">
        <v>2.8201195386175434E-2</v>
      </c>
      <c r="F146" s="37">
        <v>17.82827573159684</v>
      </c>
      <c r="G146" s="12">
        <v>20.61686651492851</v>
      </c>
      <c r="H146" s="37">
        <v>88780.897247813176</v>
      </c>
      <c r="I146" s="37">
        <v>29718.700629876588</v>
      </c>
      <c r="J146" s="37">
        <v>383801.55506254936</v>
      </c>
      <c r="K146" s="37">
        <v>118919.36903152596</v>
      </c>
      <c r="L146" s="37">
        <v>200460.99370574314</v>
      </c>
      <c r="M146" s="37">
        <v>182873.37915555571</v>
      </c>
      <c r="N146" s="37">
        <v>265604.41111917706</v>
      </c>
      <c r="O146" s="37">
        <v>1433113.2940981798</v>
      </c>
      <c r="P146" s="68">
        <v>1</v>
      </c>
    </row>
    <row r="147" spans="1:16" x14ac:dyDescent="0.2">
      <c r="A147" s="10">
        <v>145</v>
      </c>
      <c r="B147" s="40">
        <v>9.5765794280563213E-2</v>
      </c>
      <c r="C147" s="12">
        <v>8.7520643435351815</v>
      </c>
      <c r="D147" s="40">
        <v>0.53087027297939526</v>
      </c>
      <c r="E147" s="40">
        <v>3.0699125118487918E-2</v>
      </c>
      <c r="F147" s="37">
        <v>11.23303875053694</v>
      </c>
      <c r="G147" s="12">
        <v>12.252685426739184</v>
      </c>
      <c r="H147" s="37">
        <v>92616.037598861294</v>
      </c>
      <c r="I147" s="37">
        <v>57810.349977294725</v>
      </c>
      <c r="J147" s="37">
        <v>417574.43052941817</v>
      </c>
      <c r="K147" s="37">
        <v>130907.42179700514</v>
      </c>
      <c r="L147" s="37">
        <v>108167.83900321969</v>
      </c>
      <c r="M147" s="37">
        <v>102701.88029030297</v>
      </c>
      <c r="N147" s="37">
        <v>157849.75350357546</v>
      </c>
      <c r="O147" s="37">
        <v>670128.73639797443</v>
      </c>
      <c r="P147" s="68">
        <v>1</v>
      </c>
    </row>
    <row r="148" spans="1:16" x14ac:dyDescent="0.2">
      <c r="A148" s="10">
        <v>146</v>
      </c>
      <c r="B148" s="40">
        <v>0.1681953575661484</v>
      </c>
      <c r="C148" s="12">
        <v>7.6262058118541667</v>
      </c>
      <c r="D148" s="40">
        <v>0.54725686362381043</v>
      </c>
      <c r="E148" s="40">
        <v>2.4033444702287028E-2</v>
      </c>
      <c r="F148" s="37">
        <v>16.070677377976352</v>
      </c>
      <c r="G148" s="12">
        <v>16.765624694629189</v>
      </c>
      <c r="H148" s="37">
        <v>98595.117342951271</v>
      </c>
      <c r="I148" s="37">
        <v>12061.045313320237</v>
      </c>
      <c r="J148" s="37">
        <v>362213.74914858473</v>
      </c>
      <c r="K148" s="37">
        <v>125709.15027409021</v>
      </c>
      <c r="L148" s="37">
        <v>170648.53833836364</v>
      </c>
      <c r="M148" s="37">
        <v>118579.10121039285</v>
      </c>
      <c r="N148" s="37">
        <v>215989.36340969754</v>
      </c>
      <c r="O148" s="37">
        <v>1011047.8829428661</v>
      </c>
      <c r="P148" s="68">
        <v>1</v>
      </c>
    </row>
    <row r="149" spans="1:16" x14ac:dyDescent="0.2">
      <c r="A149" s="10">
        <v>147</v>
      </c>
      <c r="B149" s="40">
        <v>0.16170198116924103</v>
      </c>
      <c r="C149" s="12">
        <v>6.2819012932277305</v>
      </c>
      <c r="D149" s="40">
        <v>0.79863584901562168</v>
      </c>
      <c r="E149" s="40">
        <v>2.2973090369890543E-2</v>
      </c>
      <c r="F149" s="37">
        <v>10.119490958817691</v>
      </c>
      <c r="G149" s="12">
        <v>9.7978635606367703</v>
      </c>
      <c r="H149" s="37">
        <v>151467.4424474086</v>
      </c>
      <c r="I149" s="37">
        <v>54728.941536731756</v>
      </c>
      <c r="J149" s="37">
        <v>172811.69840342115</v>
      </c>
      <c r="K149" s="37">
        <v>129828.78684522655</v>
      </c>
      <c r="L149" s="37">
        <v>197216.87793611121</v>
      </c>
      <c r="M149" s="37">
        <v>104158.23703304009</v>
      </c>
      <c r="N149" s="37">
        <v>126224.60252942063</v>
      </c>
      <c r="O149" s="37">
        <v>1239121.7674567052</v>
      </c>
      <c r="P149" s="68">
        <v>1</v>
      </c>
    </row>
    <row r="150" spans="1:16" x14ac:dyDescent="0.2">
      <c r="A150" s="10">
        <v>148</v>
      </c>
      <c r="B150" s="40">
        <v>0.10080912575056858</v>
      </c>
      <c r="C150" s="12">
        <v>5.3950380286330946</v>
      </c>
      <c r="D150" s="40">
        <v>0.74112377659398943</v>
      </c>
      <c r="E150" s="40">
        <v>2.9181116057978445E-2</v>
      </c>
      <c r="F150" s="37">
        <v>20.845633048838586</v>
      </c>
      <c r="G150" s="12">
        <v>17.364120783635531</v>
      </c>
      <c r="H150" s="37">
        <v>105620.07222993049</v>
      </c>
      <c r="I150" s="37">
        <v>36118.809392133175</v>
      </c>
      <c r="J150" s="37">
        <v>319550.13656618365</v>
      </c>
      <c r="K150" s="37">
        <v>141010.46797618174</v>
      </c>
      <c r="L150" s="37">
        <v>97988.234916275527</v>
      </c>
      <c r="M150" s="37">
        <v>252914.92854993933</v>
      </c>
      <c r="N150" s="37">
        <v>223699.71071987471</v>
      </c>
      <c r="O150" s="37">
        <v>1292319.275700544</v>
      </c>
      <c r="P150" s="68">
        <v>1</v>
      </c>
    </row>
    <row r="151" spans="1:16" x14ac:dyDescent="0.2">
      <c r="A151" s="10">
        <v>149</v>
      </c>
      <c r="B151" s="40">
        <v>0.13962802333662772</v>
      </c>
      <c r="C151" s="12">
        <v>4.1811322812377218</v>
      </c>
      <c r="D151" s="40">
        <v>0.35513579266446338</v>
      </c>
      <c r="E151" s="40">
        <v>2.4529418186067728E-2</v>
      </c>
      <c r="F151" s="37">
        <v>17.869440719279048</v>
      </c>
      <c r="G151" s="12">
        <v>5.4923806098498344</v>
      </c>
      <c r="H151" s="37">
        <v>217814.35461457077</v>
      </c>
      <c r="I151" s="37">
        <v>55229.36712564902</v>
      </c>
      <c r="J151" s="37">
        <v>484484.62664751895</v>
      </c>
      <c r="K151" s="37">
        <v>135098.2614104331</v>
      </c>
      <c r="L151" s="37">
        <v>50402.232403044603</v>
      </c>
      <c r="M151" s="37">
        <v>87329.180468739345</v>
      </c>
      <c r="N151" s="37">
        <v>70757.625387216147</v>
      </c>
      <c r="O151" s="37">
        <v>486099.07606310456</v>
      </c>
      <c r="P151" s="68">
        <v>1</v>
      </c>
    </row>
    <row r="152" spans="1:16" x14ac:dyDescent="0.2">
      <c r="A152" s="10">
        <v>150</v>
      </c>
      <c r="B152" s="40">
        <v>0.14175735549831742</v>
      </c>
      <c r="C152" s="12">
        <v>5.8665132920948819</v>
      </c>
      <c r="D152" s="40">
        <v>0.65158190549143236</v>
      </c>
      <c r="E152" s="40">
        <v>1.7092046049058011E-2</v>
      </c>
      <c r="F152" s="37">
        <v>9.7872343969682287</v>
      </c>
      <c r="G152" s="12">
        <v>2.5152975258099777</v>
      </c>
      <c r="H152" s="37">
        <v>140960.22194516938</v>
      </c>
      <c r="I152" s="37">
        <v>45982.580866251796</v>
      </c>
      <c r="J152" s="37">
        <v>262795.07961906656</v>
      </c>
      <c r="K152" s="37">
        <v>171523.07719207296</v>
      </c>
      <c r="L152" s="37">
        <v>131729.64054463475</v>
      </c>
      <c r="M152" s="37">
        <v>61149.06080342416</v>
      </c>
      <c r="N152" s="37">
        <v>32404.251036331585</v>
      </c>
      <c r="O152" s="37">
        <v>411566.44448115898</v>
      </c>
      <c r="P152" s="68">
        <v>1</v>
      </c>
    </row>
    <row r="153" spans="1:16" x14ac:dyDescent="0.2">
      <c r="A153" s="10">
        <v>151</v>
      </c>
      <c r="B153" s="40">
        <v>0.20911792304484267</v>
      </c>
      <c r="C153" s="12">
        <v>3.0146654162034392</v>
      </c>
      <c r="D153" s="40">
        <v>0.38025266897105681</v>
      </c>
      <c r="E153" s="40">
        <v>2.2407046600877098E-2</v>
      </c>
      <c r="F153" s="37">
        <v>11.235705930508189</v>
      </c>
      <c r="G153" s="12">
        <v>25.082768122985073</v>
      </c>
      <c r="H153" s="37">
        <v>32532.891871789972</v>
      </c>
      <c r="I153" s="37">
        <v>45988.099552541891</v>
      </c>
      <c r="J153" s="37">
        <v>213339.28677020402</v>
      </c>
      <c r="K153" s="37">
        <v>136247.16641748621</v>
      </c>
      <c r="L153" s="37">
        <v>58276.23369808634</v>
      </c>
      <c r="M153" s="37">
        <v>53706.145531080656</v>
      </c>
      <c r="N153" s="37">
        <v>323138.04096856073</v>
      </c>
      <c r="O153" s="37">
        <v>843982.38697892381</v>
      </c>
      <c r="P153" s="68">
        <v>1</v>
      </c>
    </row>
    <row r="154" spans="1:16" x14ac:dyDescent="0.2">
      <c r="A154" s="10">
        <v>152</v>
      </c>
      <c r="B154" s="40">
        <v>6.7112052800446242E-2</v>
      </c>
      <c r="C154" s="12">
        <v>7.4189385517190924</v>
      </c>
      <c r="D154" s="40">
        <v>0.66459949937962615</v>
      </c>
      <c r="E154" s="40">
        <v>2.7182601935031248E-2</v>
      </c>
      <c r="F154" s="37">
        <v>22.67942375907748</v>
      </c>
      <c r="G154" s="12">
        <v>11.88786928939698</v>
      </c>
      <c r="H154" s="37">
        <v>21145.353371994061</v>
      </c>
      <c r="I154" s="37">
        <v>50741.49006991215</v>
      </c>
      <c r="J154" s="37">
        <v>395526.41655876423</v>
      </c>
      <c r="K154" s="37">
        <v>135124.77101277278</v>
      </c>
      <c r="L154" s="37">
        <v>80443.533053576597</v>
      </c>
      <c r="M154" s="37">
        <v>229852.7916768009</v>
      </c>
      <c r="N154" s="37">
        <v>153149.87463229368</v>
      </c>
      <c r="O154" s="37">
        <v>725711.87776069762</v>
      </c>
      <c r="P154" s="68">
        <v>1</v>
      </c>
    </row>
    <row r="155" spans="1:16" x14ac:dyDescent="0.2">
      <c r="A155" s="10">
        <v>153</v>
      </c>
      <c r="B155" s="40">
        <v>0.10884840148504246</v>
      </c>
      <c r="C155" s="12">
        <v>6.3182611226143894</v>
      </c>
      <c r="D155" s="40">
        <v>0.41633074336039289</v>
      </c>
      <c r="E155" s="40">
        <v>3.6054653278930135E-2</v>
      </c>
      <c r="F155" s="37">
        <v>28.381665543377586</v>
      </c>
      <c r="G155" s="12">
        <v>22.030625055923384</v>
      </c>
      <c r="H155" s="37">
        <v>148733.85740133745</v>
      </c>
      <c r="I155" s="37">
        <v>35658.787173214856</v>
      </c>
      <c r="J155" s="37">
        <v>358454.32031767903</v>
      </c>
      <c r="K155" s="37">
        <v>108219.66745287861</v>
      </c>
      <c r="L155" s="37">
        <v>69606.041731723482</v>
      </c>
      <c r="M155" s="37">
        <v>239003.58499711376</v>
      </c>
      <c r="N155" s="37">
        <v>283817.6786142037</v>
      </c>
      <c r="O155" s="37">
        <v>1514720.9564847792</v>
      </c>
      <c r="P155" s="68">
        <v>1</v>
      </c>
    </row>
    <row r="156" spans="1:16" x14ac:dyDescent="0.2">
      <c r="A156" s="10">
        <v>154</v>
      </c>
      <c r="B156" s="40">
        <v>0.13293387470226409</v>
      </c>
      <c r="C156" s="12">
        <v>6.435175194813521</v>
      </c>
      <c r="D156" s="40">
        <v>0.57283985810178883</v>
      </c>
      <c r="E156" s="40">
        <v>5.8146654580154642E-3</v>
      </c>
      <c r="F156" s="37">
        <v>12.480388358222047</v>
      </c>
      <c r="G156" s="12">
        <v>9.558075375749949</v>
      </c>
      <c r="H156" s="37">
        <v>53301.367519090702</v>
      </c>
      <c r="I156" s="37">
        <v>51553.997595806548</v>
      </c>
      <c r="J156" s="37">
        <v>518459.47599527636</v>
      </c>
      <c r="K156" s="37">
        <v>84566.5948828416</v>
      </c>
      <c r="L156" s="37">
        <v>119129.16465594489</v>
      </c>
      <c r="M156" s="37">
        <v>23321.302014032415</v>
      </c>
      <c r="N156" s="37">
        <v>123135.44251598776</v>
      </c>
      <c r="O156" s="37">
        <v>282457.59776908543</v>
      </c>
      <c r="P156" s="68">
        <v>1</v>
      </c>
    </row>
    <row r="157" spans="1:16" x14ac:dyDescent="0.2">
      <c r="A157" s="10">
        <v>155</v>
      </c>
      <c r="B157" s="40">
        <v>0.19555498335003449</v>
      </c>
      <c r="C157" s="12">
        <v>3.2099501090002311</v>
      </c>
      <c r="D157" s="40">
        <v>0.62995382875222816</v>
      </c>
      <c r="E157" s="40">
        <v>2.5726162127985834E-2</v>
      </c>
      <c r="F157" s="37">
        <v>26.49700275850681</v>
      </c>
      <c r="G157" s="12">
        <v>20.535653816442874</v>
      </c>
      <c r="H157" s="37">
        <v>59998.202147070821</v>
      </c>
      <c r="I157" s="37">
        <v>6913.8249699327598</v>
      </c>
      <c r="J157" s="37">
        <v>591325.41068505985</v>
      </c>
      <c r="K157" s="37">
        <v>137005.34551047446</v>
      </c>
      <c r="L157" s="37">
        <v>96131.27874857861</v>
      </c>
      <c r="M157" s="37">
        <v>240905.77165847685</v>
      </c>
      <c r="N157" s="37">
        <v>264558.15848223743</v>
      </c>
      <c r="O157" s="37">
        <v>897749.94115355355</v>
      </c>
      <c r="P157" s="68">
        <v>1</v>
      </c>
    </row>
    <row r="158" spans="1:16" x14ac:dyDescent="0.2">
      <c r="A158" s="10">
        <v>156</v>
      </c>
      <c r="B158" s="40">
        <v>0.12534304506902877</v>
      </c>
      <c r="C158" s="12">
        <v>3.4107470336486405</v>
      </c>
      <c r="D158" s="40">
        <v>0.65822086787592893</v>
      </c>
      <c r="E158" s="40">
        <v>3.2790956485699414E-2</v>
      </c>
      <c r="F158" s="37">
        <v>14.800847362132634</v>
      </c>
      <c r="G158" s="12">
        <v>21.303162434454574</v>
      </c>
      <c r="H158" s="37">
        <v>171359.11201146705</v>
      </c>
      <c r="I158" s="37">
        <v>47226.98953616713</v>
      </c>
      <c r="J158" s="37">
        <v>232298.55916232016</v>
      </c>
      <c r="K158" s="37">
        <v>137018.35778812857</v>
      </c>
      <c r="L158" s="37">
        <v>68408.525191732289</v>
      </c>
      <c r="M158" s="37">
        <v>179216.9341076891</v>
      </c>
      <c r="N158" s="37">
        <v>274445.87223196181</v>
      </c>
      <c r="O158" s="37">
        <v>1458878.9972971543</v>
      </c>
      <c r="P158" s="68">
        <v>1</v>
      </c>
    </row>
    <row r="159" spans="1:16" x14ac:dyDescent="0.2">
      <c r="A159" s="10">
        <v>157</v>
      </c>
      <c r="B159" s="40">
        <v>0.14990338837322359</v>
      </c>
      <c r="C159" s="12">
        <v>7.5174460903042952</v>
      </c>
      <c r="D159" s="40">
        <v>0.58767438735513122</v>
      </c>
      <c r="E159" s="40">
        <v>1.151961097790458E-2</v>
      </c>
      <c r="F159" s="37">
        <v>23.669995124098872</v>
      </c>
      <c r="G159" s="12">
        <v>11.811066093879148</v>
      </c>
      <c r="H159" s="37">
        <v>73241.308492205018</v>
      </c>
      <c r="I159" s="37">
        <v>15582.606840101646</v>
      </c>
      <c r="J159" s="37">
        <v>322272.93323545821</v>
      </c>
      <c r="K159" s="37">
        <v>210856.64169440107</v>
      </c>
      <c r="L159" s="37">
        <v>160993.13771590489</v>
      </c>
      <c r="M159" s="37">
        <v>89895.815536491253</v>
      </c>
      <c r="N159" s="37">
        <v>152160.42904885288</v>
      </c>
      <c r="O159" s="37">
        <v>465033.72229636565</v>
      </c>
      <c r="P159" s="68">
        <v>1</v>
      </c>
    </row>
    <row r="160" spans="1:16" x14ac:dyDescent="0.2">
      <c r="A160" s="10">
        <v>158</v>
      </c>
      <c r="B160" s="40">
        <v>0.12109166715187487</v>
      </c>
      <c r="C160" s="12">
        <v>5.1183965001853249</v>
      </c>
      <c r="D160" s="40">
        <v>0.63853055103939282</v>
      </c>
      <c r="E160" s="40">
        <v>4.2663451271421099E-2</v>
      </c>
      <c r="F160" s="37">
        <v>18.735342527899821</v>
      </c>
      <c r="G160" s="12">
        <v>21.735899825764605</v>
      </c>
      <c r="H160" s="37">
        <v>56292.629197542701</v>
      </c>
      <c r="I160" s="37">
        <v>13993.391420160146</v>
      </c>
      <c r="J160" s="37">
        <v>267796.93736679392</v>
      </c>
      <c r="K160" s="37">
        <v>105443.46014932654</v>
      </c>
      <c r="L160" s="37">
        <v>96209.66336749254</v>
      </c>
      <c r="M160" s="37">
        <v>286329.46092299378</v>
      </c>
      <c r="N160" s="37">
        <v>280020.77178834809</v>
      </c>
      <c r="O160" s="37">
        <v>1489956.9868119424</v>
      </c>
      <c r="P160" s="68">
        <v>1</v>
      </c>
    </row>
    <row r="161" spans="1:16" x14ac:dyDescent="0.2">
      <c r="A161" s="10">
        <v>159</v>
      </c>
      <c r="B161" s="40">
        <v>7.5628807079759344E-2</v>
      </c>
      <c r="C161" s="12">
        <v>6.3802379816909749</v>
      </c>
      <c r="D161" s="40">
        <v>0.70638777417210585</v>
      </c>
      <c r="E161" s="40">
        <v>4.2602631165968609E-2</v>
      </c>
      <c r="F161" s="37">
        <v>6.522016524096288</v>
      </c>
      <c r="G161" s="12">
        <v>11.542064362005117</v>
      </c>
      <c r="H161" s="37">
        <v>75546.44731863105</v>
      </c>
      <c r="I161" s="37">
        <v>47026.074855047314</v>
      </c>
      <c r="J161" s="37">
        <v>278369.4385902881</v>
      </c>
      <c r="K161" s="37">
        <v>186880.0589580173</v>
      </c>
      <c r="L161" s="37">
        <v>82862.137462158775</v>
      </c>
      <c r="M161" s="37">
        <v>110110.37027224862</v>
      </c>
      <c r="N161" s="37">
        <v>148694.91470734487</v>
      </c>
      <c r="O161" s="37">
        <v>498692.2740895031</v>
      </c>
      <c r="P161" s="68">
        <v>1</v>
      </c>
    </row>
    <row r="162" spans="1:16" x14ac:dyDescent="0.2">
      <c r="A162" s="10">
        <v>160</v>
      </c>
      <c r="B162" s="40">
        <v>9.836709298433273E-2</v>
      </c>
      <c r="C162" s="12">
        <v>5.6033404023737532</v>
      </c>
      <c r="D162" s="40">
        <v>0.43234494716527738</v>
      </c>
      <c r="E162" s="40">
        <v>3.9361043130740271E-2</v>
      </c>
      <c r="F162" s="37">
        <v>24.374248829408998</v>
      </c>
      <c r="G162" s="12">
        <v>25.642625162631631</v>
      </c>
      <c r="H162" s="37">
        <v>151090.90546938963</v>
      </c>
      <c r="I162" s="37">
        <v>31329.00014023728</v>
      </c>
      <c r="J162" s="37">
        <v>375621.08322454087</v>
      </c>
      <c r="K162" s="37">
        <v>124325.37710510117</v>
      </c>
      <c r="L162" s="37">
        <v>57931.671702079315</v>
      </c>
      <c r="M162" s="37">
        <v>232699.23711495587</v>
      </c>
      <c r="N162" s="37">
        <v>330350.6064289122</v>
      </c>
      <c r="O162" s="37">
        <v>1526903.473799322</v>
      </c>
      <c r="P162" s="68">
        <v>1</v>
      </c>
    </row>
    <row r="163" spans="1:16" x14ac:dyDescent="0.2">
      <c r="A163" s="10">
        <v>161</v>
      </c>
      <c r="B163" s="40">
        <v>0.14550141860067334</v>
      </c>
      <c r="C163" s="12">
        <v>4.5038594400322989</v>
      </c>
      <c r="D163" s="40">
        <v>0.55262435823680167</v>
      </c>
      <c r="E163" s="40">
        <v>3.4174588103566474E-2</v>
      </c>
      <c r="F163" s="37">
        <v>12.380187057503623</v>
      </c>
      <c r="G163" s="12">
        <v>15.946127192027436</v>
      </c>
      <c r="H163" s="37">
        <v>74691.839106555562</v>
      </c>
      <c r="I163" s="37">
        <v>3611.0508701716162</v>
      </c>
      <c r="J163" s="37">
        <v>433946.89882220048</v>
      </c>
      <c r="K163" s="37">
        <v>99909.983274815764</v>
      </c>
      <c r="L163" s="37">
        <v>88038.150219889547</v>
      </c>
      <c r="M163" s="37">
        <v>131167.80501442534</v>
      </c>
      <c r="N163" s="37">
        <v>205431.88361835451</v>
      </c>
      <c r="O163" s="37">
        <v>695198.94236871391</v>
      </c>
      <c r="P163" s="68">
        <v>1</v>
      </c>
    </row>
    <row r="164" spans="1:16" x14ac:dyDescent="0.2">
      <c r="A164" s="10">
        <v>162</v>
      </c>
      <c r="B164" s="40">
        <v>0.11073912293292423</v>
      </c>
      <c r="C164" s="12">
        <v>5.5710929944624032</v>
      </c>
      <c r="D164" s="40">
        <v>0.37488745760966607</v>
      </c>
      <c r="E164" s="40">
        <v>3.3667346054879699E-2</v>
      </c>
      <c r="F164" s="37">
        <v>11.749239334893286</v>
      </c>
      <c r="G164" s="12">
        <v>7.5289459509363672</v>
      </c>
      <c r="H164" s="37">
        <v>118231.94100238848</v>
      </c>
      <c r="I164" s="37">
        <v>36252.160390076395</v>
      </c>
      <c r="J164" s="37">
        <v>344747.22227856558</v>
      </c>
      <c r="K164" s="37">
        <v>164896.55777372667</v>
      </c>
      <c r="L164" s="37">
        <v>56225.228320024391</v>
      </c>
      <c r="M164" s="37">
        <v>83192.902435064781</v>
      </c>
      <c r="N164" s="37">
        <v>96994.431922939606</v>
      </c>
      <c r="O164" s="37">
        <v>288423.03321287327</v>
      </c>
      <c r="P164" s="68">
        <v>1</v>
      </c>
    </row>
    <row r="165" spans="1:16" x14ac:dyDescent="0.2">
      <c r="A165" s="10">
        <v>163</v>
      </c>
      <c r="B165" s="40">
        <v>0.15291982376876423</v>
      </c>
      <c r="C165" s="12">
        <v>7.9632321046916124</v>
      </c>
      <c r="D165" s="40">
        <v>0.74623463741093621</v>
      </c>
      <c r="E165" s="40">
        <v>1.8964140271018864E-2</v>
      </c>
      <c r="F165" s="37">
        <v>14.425505927946407</v>
      </c>
      <c r="G165" s="12">
        <v>8.8795562504507632</v>
      </c>
      <c r="H165" s="37">
        <v>43391.555782868229</v>
      </c>
      <c r="I165" s="37">
        <v>22688.6084441157</v>
      </c>
      <c r="J165" s="37">
        <v>360724.19197583222</v>
      </c>
      <c r="K165" s="37">
        <v>96034.526857261953</v>
      </c>
      <c r="L165" s="37">
        <v>220911.02777814123</v>
      </c>
      <c r="M165" s="37">
        <v>114526.59477161018</v>
      </c>
      <c r="N165" s="37">
        <v>114394.16883224463</v>
      </c>
      <c r="O165" s="37">
        <v>815619.93986591836</v>
      </c>
      <c r="P165" s="68">
        <v>1</v>
      </c>
    </row>
    <row r="166" spans="1:16" x14ac:dyDescent="0.2">
      <c r="A166" s="10">
        <v>164</v>
      </c>
      <c r="B166" s="40">
        <v>8.0102540561710095E-2</v>
      </c>
      <c r="C166" s="12">
        <v>8.7561249158540235</v>
      </c>
      <c r="D166" s="40">
        <v>0.65710798598753861</v>
      </c>
      <c r="E166" s="40">
        <v>2.041149751858426E-2</v>
      </c>
      <c r="F166" s="37">
        <v>11.53708748779297</v>
      </c>
      <c r="G166" s="12">
        <v>12.18964641887727</v>
      </c>
      <c r="H166" s="37">
        <v>53790.515194589192</v>
      </c>
      <c r="I166" s="37">
        <v>19776.024033486101</v>
      </c>
      <c r="J166" s="37">
        <v>554616.27999001567</v>
      </c>
      <c r="K166" s="37">
        <v>163798.17002380715</v>
      </c>
      <c r="L166" s="37">
        <v>112042.76401767867</v>
      </c>
      <c r="M166" s="37">
        <v>86810.95457434094</v>
      </c>
      <c r="N166" s="37">
        <v>157037.63016036144</v>
      </c>
      <c r="O166" s="37">
        <v>189665.81017642329</v>
      </c>
      <c r="P166" s="68">
        <v>1</v>
      </c>
    </row>
    <row r="167" spans="1:16" x14ac:dyDescent="0.2">
      <c r="A167" s="10">
        <v>165</v>
      </c>
      <c r="B167" s="40">
        <v>7.7539430570812806E-2</v>
      </c>
      <c r="C167" s="12">
        <v>4.2338982596420998</v>
      </c>
      <c r="D167" s="40">
        <v>0.74734376635410671</v>
      </c>
      <c r="E167" s="40">
        <v>3.3575731971906581E-2</v>
      </c>
      <c r="F167" s="37">
        <v>23.86231808787938</v>
      </c>
      <c r="G167" s="12">
        <v>10.558734123818931</v>
      </c>
      <c r="H167" s="37">
        <v>64359.117293409916</v>
      </c>
      <c r="I167" s="37">
        <v>66758.366065090071</v>
      </c>
      <c r="J167" s="37">
        <v>481138.36038247152</v>
      </c>
      <c r="K167" s="37">
        <v>126223.24829461849</v>
      </c>
      <c r="L167" s="37">
        <v>59644.756650281772</v>
      </c>
      <c r="M167" s="37">
        <v>335911.80632013152</v>
      </c>
      <c r="N167" s="37">
        <v>136026.79908172321</v>
      </c>
      <c r="O167" s="37">
        <v>1021877.1151294599</v>
      </c>
      <c r="P167" s="68">
        <v>1</v>
      </c>
    </row>
    <row r="168" spans="1:16" x14ac:dyDescent="0.2">
      <c r="A168" s="10">
        <v>166</v>
      </c>
      <c r="B168" s="40">
        <v>0.20931739213373335</v>
      </c>
      <c r="C168" s="12">
        <v>8.6556155242154436</v>
      </c>
      <c r="D168" s="40">
        <v>0.58239608764851947</v>
      </c>
      <c r="E168" s="40">
        <v>3.1584573680584357E-2</v>
      </c>
      <c r="F168" s="37">
        <v>14.971615458149737</v>
      </c>
      <c r="G168" s="12">
        <v>18.828655484925662</v>
      </c>
      <c r="H168" s="37">
        <v>185864.74224690488</v>
      </c>
      <c r="I168" s="37">
        <v>38094.988607744846</v>
      </c>
      <c r="J168" s="37">
        <v>281766.0819748877</v>
      </c>
      <c r="K168" s="37">
        <v>106828.5770376008</v>
      </c>
      <c r="L168" s="37">
        <v>256513.69159652619</v>
      </c>
      <c r="M168" s="37">
        <v>154500.13525515073</v>
      </c>
      <c r="N168" s="37">
        <v>242567.12088708425</v>
      </c>
      <c r="O168" s="37">
        <v>1877489.4433815482</v>
      </c>
      <c r="P168" s="68">
        <v>1</v>
      </c>
    </row>
    <row r="169" spans="1:16" x14ac:dyDescent="0.2">
      <c r="A169" s="10">
        <v>167</v>
      </c>
      <c r="B169" s="40">
        <v>0.21490580292751388</v>
      </c>
      <c r="C169" s="12">
        <v>4.2937319208548193</v>
      </c>
      <c r="D169" s="40">
        <v>0.71452311161162718</v>
      </c>
      <c r="E169" s="40">
        <v>2.8787847524992947E-2</v>
      </c>
      <c r="F169" s="37">
        <v>12.194774184086121</v>
      </c>
      <c r="G169" s="12">
        <v>5.9239559200320988</v>
      </c>
      <c r="H169" s="37">
        <v>177533.66660959675</v>
      </c>
      <c r="I169" s="37">
        <v>30658.394580236643</v>
      </c>
      <c r="J169" s="37">
        <v>203402.95374604681</v>
      </c>
      <c r="K169" s="37">
        <v>126015.61684829067</v>
      </c>
      <c r="L169" s="37">
        <v>160283.26433040583</v>
      </c>
      <c r="M169" s="37">
        <v>140723.2865123791</v>
      </c>
      <c r="N169" s="37">
        <v>76317.55400350393</v>
      </c>
      <c r="O169" s="37">
        <v>1083950.7776087148</v>
      </c>
      <c r="P169" s="68">
        <v>1</v>
      </c>
    </row>
    <row r="170" spans="1:16" x14ac:dyDescent="0.2">
      <c r="A170" s="10">
        <v>168</v>
      </c>
      <c r="B170" s="40">
        <v>0.12979309003068343</v>
      </c>
      <c r="C170" s="12">
        <v>3.8984298604622141</v>
      </c>
      <c r="D170" s="40">
        <v>0.33533178146771714</v>
      </c>
      <c r="E170" s="40">
        <v>1.5005634832603093E-2</v>
      </c>
      <c r="F170" s="37">
        <v>14.267143519861724</v>
      </c>
      <c r="G170" s="12">
        <v>17.459752377906113</v>
      </c>
      <c r="H170" s="37">
        <v>72534.55814463165</v>
      </c>
      <c r="I170" s="37">
        <v>14274.692780307956</v>
      </c>
      <c r="J170" s="37">
        <v>242563.4767077124</v>
      </c>
      <c r="K170" s="37">
        <v>186916.61915687125</v>
      </c>
      <c r="L170" s="37">
        <v>41248.184911045617</v>
      </c>
      <c r="M170" s="37">
        <v>40274.749851998255</v>
      </c>
      <c r="N170" s="37">
        <v>224931.72011675534</v>
      </c>
      <c r="O170" s="37">
        <v>335546.71247614338</v>
      </c>
      <c r="P170" s="68">
        <v>1</v>
      </c>
    </row>
    <row r="171" spans="1:16" x14ac:dyDescent="0.2">
      <c r="A171" s="10">
        <v>169</v>
      </c>
      <c r="B171" s="40">
        <v>0.1205645583525683</v>
      </c>
      <c r="C171" s="12">
        <v>6.4895029961311774</v>
      </c>
      <c r="D171" s="40">
        <v>0.64486543695740695</v>
      </c>
      <c r="E171" s="40">
        <v>2.9419192765102076E-2</v>
      </c>
      <c r="F171" s="37">
        <v>22.858463571563739</v>
      </c>
      <c r="G171" s="12">
        <v>18.555057394837302</v>
      </c>
      <c r="H171" s="37">
        <v>181741.17495533955</v>
      </c>
      <c r="I171" s="37">
        <v>24804.706662381232</v>
      </c>
      <c r="J171" s="37">
        <v>343588.77888187411</v>
      </c>
      <c r="K171" s="37">
        <v>165534.75997009332</v>
      </c>
      <c r="L171" s="37">
        <v>122656.06478665903</v>
      </c>
      <c r="M171" s="37">
        <v>243284.0407251117</v>
      </c>
      <c r="N171" s="37">
        <v>239042.39226022764</v>
      </c>
      <c r="O171" s="37">
        <v>1466250.834718409</v>
      </c>
      <c r="P171" s="68">
        <v>1</v>
      </c>
    </row>
    <row r="172" spans="1:16" x14ac:dyDescent="0.2">
      <c r="A172" s="10">
        <v>170</v>
      </c>
      <c r="B172" s="40">
        <v>0.21049447472905686</v>
      </c>
      <c r="C172" s="12">
        <v>6.3741823934296118</v>
      </c>
      <c r="D172" s="40">
        <v>0.48129669341968895</v>
      </c>
      <c r="E172" s="40">
        <v>3.8470290081683498E-2</v>
      </c>
      <c r="F172" s="37">
        <v>13.327068775772108</v>
      </c>
      <c r="G172" s="12">
        <v>10.611540944031768</v>
      </c>
      <c r="H172" s="37">
        <v>167140.76279088235</v>
      </c>
      <c r="I172" s="37">
        <v>21008.547901664126</v>
      </c>
      <c r="J172" s="37">
        <v>291267.21209717565</v>
      </c>
      <c r="K172" s="37">
        <v>116587.95289107651</v>
      </c>
      <c r="L172" s="37">
        <v>156988.15826271533</v>
      </c>
      <c r="M172" s="37">
        <v>138433.02529295997</v>
      </c>
      <c r="N172" s="37">
        <v>136707.10248163855</v>
      </c>
      <c r="O172" s="37">
        <v>1119888.3209847878</v>
      </c>
      <c r="P172" s="68">
        <v>1</v>
      </c>
    </row>
    <row r="173" spans="1:16" x14ac:dyDescent="0.2">
      <c r="A173" s="10">
        <v>171</v>
      </c>
      <c r="B173" s="40">
        <v>9.7024644660574436E-2</v>
      </c>
      <c r="C173" s="12">
        <v>7.1868623454717557</v>
      </c>
      <c r="D173" s="40">
        <v>0.54633839627215086</v>
      </c>
      <c r="E173" s="40">
        <v>2.1873720839840571E-2</v>
      </c>
      <c r="F173" s="37">
        <v>11.646119866206092</v>
      </c>
      <c r="G173" s="12">
        <v>7.9220538862973431</v>
      </c>
      <c r="H173" s="37">
        <v>3757.9240128362449</v>
      </c>
      <c r="I173" s="37">
        <v>48829.36411481924</v>
      </c>
      <c r="J173" s="37">
        <v>530952.87204971525</v>
      </c>
      <c r="K173" s="37">
        <v>197410.11428073284</v>
      </c>
      <c r="L173" s="37">
        <v>92612.997453027128</v>
      </c>
      <c r="M173" s="37">
        <v>78078.66450832026</v>
      </c>
      <c r="N173" s="37">
        <v>102058.79035016346</v>
      </c>
      <c r="O173" s="37">
        <v>-172546.10372375126</v>
      </c>
      <c r="P173" s="68">
        <v>0</v>
      </c>
    </row>
    <row r="174" spans="1:16" x14ac:dyDescent="0.2">
      <c r="A174" s="10">
        <v>172</v>
      </c>
      <c r="B174" s="40">
        <v>0.15156776012388629</v>
      </c>
      <c r="C174" s="12">
        <v>7.8959147332214652</v>
      </c>
      <c r="D174" s="40">
        <v>0.77022876532739948</v>
      </c>
      <c r="E174" s="40">
        <v>1.9343726739590797E-2</v>
      </c>
      <c r="F174" s="37">
        <v>22.492310271757351</v>
      </c>
      <c r="G174" s="12">
        <v>18.899018096630805</v>
      </c>
      <c r="H174" s="37">
        <v>121891.5179138302</v>
      </c>
      <c r="I174" s="37">
        <v>36646.290592697216</v>
      </c>
      <c r="J174" s="37">
        <v>367848.16924487753</v>
      </c>
      <c r="K174" s="37">
        <v>102596.06082520651</v>
      </c>
      <c r="L174" s="37">
        <v>224087.61065162366</v>
      </c>
      <c r="M174" s="37">
        <v>188001.22546288217</v>
      </c>
      <c r="N174" s="37">
        <v>243473.5932665421</v>
      </c>
      <c r="O174" s="37">
        <v>1625528.2452875902</v>
      </c>
      <c r="P174" s="68">
        <v>1</v>
      </c>
    </row>
    <row r="175" spans="1:16" x14ac:dyDescent="0.2">
      <c r="A175" s="10">
        <v>173</v>
      </c>
      <c r="B175" s="40">
        <v>0.15503251707916751</v>
      </c>
      <c r="C175" s="12">
        <v>4.0344597991583226</v>
      </c>
      <c r="D175" s="40">
        <v>0.37909307014482285</v>
      </c>
      <c r="E175" s="40">
        <v>1.6755580809526927E-2</v>
      </c>
      <c r="F175" s="37">
        <v>22.329188620291102</v>
      </c>
      <c r="G175" s="12">
        <v>12.086519046168114</v>
      </c>
      <c r="H175" s="37">
        <v>166700.0300168526</v>
      </c>
      <c r="I175" s="37">
        <v>60944.985131640613</v>
      </c>
      <c r="J175" s="37">
        <v>443984.27927585028</v>
      </c>
      <c r="K175" s="37">
        <v>206671.00076257312</v>
      </c>
      <c r="L175" s="37">
        <v>57642.50762253537</v>
      </c>
      <c r="M175" s="37">
        <v>79569.20272497485</v>
      </c>
      <c r="N175" s="37">
        <v>155709.05362430782</v>
      </c>
      <c r="O175" s="37">
        <v>435434.93988688325</v>
      </c>
      <c r="P175" s="68">
        <v>1</v>
      </c>
    </row>
    <row r="176" spans="1:16" x14ac:dyDescent="0.2">
      <c r="A176" s="10">
        <v>174</v>
      </c>
      <c r="B176" s="40">
        <v>6.2729733432206919E-2</v>
      </c>
      <c r="C176" s="12">
        <v>9.4400669502039651</v>
      </c>
      <c r="D176" s="40">
        <v>0.2564096156621033</v>
      </c>
      <c r="E176" s="40">
        <v>9.4103258658292336E-3</v>
      </c>
      <c r="F176" s="37">
        <v>22.750365126445224</v>
      </c>
      <c r="G176" s="12">
        <v>27.077970120265348</v>
      </c>
      <c r="H176" s="37">
        <v>149849.7085970355</v>
      </c>
      <c r="I176" s="37">
        <v>40905.248702143406</v>
      </c>
      <c r="J176" s="37">
        <v>222733.44648677559</v>
      </c>
      <c r="K176" s="37">
        <v>111175.44339507466</v>
      </c>
      <c r="L176" s="37">
        <v>36912.346473753823</v>
      </c>
      <c r="M176" s="37">
        <v>30795.98316080901</v>
      </c>
      <c r="N176" s="37">
        <v>348841.96892326284</v>
      </c>
      <c r="O176" s="37">
        <v>1167242.1834403225</v>
      </c>
      <c r="P176" s="68">
        <v>1</v>
      </c>
    </row>
    <row r="177" spans="1:16" x14ac:dyDescent="0.2">
      <c r="A177" s="10">
        <v>175</v>
      </c>
      <c r="B177" s="40">
        <v>0.18041931469395578</v>
      </c>
      <c r="C177" s="12">
        <v>9.2823248417106914</v>
      </c>
      <c r="D177" s="40">
        <v>0.59664393879015853</v>
      </c>
      <c r="E177" s="40">
        <v>2.7395495781673405E-2</v>
      </c>
      <c r="F177" s="37">
        <v>25.587143356141063</v>
      </c>
      <c r="G177" s="12">
        <v>24.012752794204268</v>
      </c>
      <c r="H177" s="37">
        <v>171255.6397550017</v>
      </c>
      <c r="I177" s="37">
        <v>39244.722117081779</v>
      </c>
      <c r="J177" s="37">
        <v>476861.9711976531</v>
      </c>
      <c r="K177" s="37">
        <v>91824.256801246913</v>
      </c>
      <c r="L177" s="37">
        <v>242909.13879405227</v>
      </c>
      <c r="M177" s="37">
        <v>234629.67103855551</v>
      </c>
      <c r="N177" s="37">
        <v>309353.17258987034</v>
      </c>
      <c r="O177" s="37">
        <v>2060211.0714588671</v>
      </c>
      <c r="P177" s="68">
        <v>1</v>
      </c>
    </row>
    <row r="178" spans="1:16" x14ac:dyDescent="0.2">
      <c r="A178" s="10">
        <v>176</v>
      </c>
      <c r="B178" s="40">
        <v>0.15071976272337068</v>
      </c>
      <c r="C178" s="12">
        <v>7.4770792963050399</v>
      </c>
      <c r="D178" s="40">
        <v>0.3088868839963459</v>
      </c>
      <c r="E178" s="40">
        <v>5.9993604173178084E-3</v>
      </c>
      <c r="F178" s="37">
        <v>20.328878812412597</v>
      </c>
      <c r="G178" s="12">
        <v>18.930953586994953</v>
      </c>
      <c r="H178" s="37">
        <v>139394.46590307821</v>
      </c>
      <c r="I178" s="37">
        <v>29772.055417498523</v>
      </c>
      <c r="J178" s="37">
        <v>368926.90015406581</v>
      </c>
      <c r="K178" s="37">
        <v>84071.828768399268</v>
      </c>
      <c r="L178" s="37">
        <v>84623.402910652818</v>
      </c>
      <c r="M178" s="37">
        <v>21134.139991273096</v>
      </c>
      <c r="N178" s="37">
        <v>243885.01403728969</v>
      </c>
      <c r="O178" s="37">
        <v>849049.05500170588</v>
      </c>
      <c r="P178" s="68">
        <v>1</v>
      </c>
    </row>
    <row r="179" spans="1:16" x14ac:dyDescent="0.2">
      <c r="A179" s="10">
        <v>177</v>
      </c>
      <c r="B179" s="40">
        <v>0.13468416489541474</v>
      </c>
      <c r="C179" s="12">
        <v>6.0177748615477595</v>
      </c>
      <c r="D179" s="40">
        <v>0.58099855715950655</v>
      </c>
      <c r="E179" s="40">
        <v>1.9766806474323391E-2</v>
      </c>
      <c r="F179" s="37">
        <v>11.341494036691344</v>
      </c>
      <c r="G179" s="12">
        <v>14.306867366845225</v>
      </c>
      <c r="H179" s="37">
        <v>15957.63201951589</v>
      </c>
      <c r="I179" s="37">
        <v>45984.367186818752</v>
      </c>
      <c r="J179" s="37">
        <v>326881.90269012388</v>
      </c>
      <c r="K179" s="37">
        <v>128975.72350367178</v>
      </c>
      <c r="L179" s="37">
        <v>114476.50372653941</v>
      </c>
      <c r="M179" s="37">
        <v>73071.591258722459</v>
      </c>
      <c r="N179" s="37">
        <v>184313.51239430933</v>
      </c>
      <c r="O179" s="37">
        <v>527135.16736668604</v>
      </c>
      <c r="P179" s="68">
        <v>1</v>
      </c>
    </row>
    <row r="180" spans="1:16" x14ac:dyDescent="0.2">
      <c r="A180" s="10">
        <v>178</v>
      </c>
      <c r="B180" s="40">
        <v>0.12226161796768646</v>
      </c>
      <c r="C180" s="12">
        <v>5.6311656638060441</v>
      </c>
      <c r="D180" s="40">
        <v>0.63285018580806196</v>
      </c>
      <c r="E180" s="40">
        <v>4.0574493098298157E-2</v>
      </c>
      <c r="F180" s="37">
        <v>13.62564761205337</v>
      </c>
      <c r="G180" s="12">
        <v>11.563067087442287</v>
      </c>
      <c r="H180" s="37">
        <v>25366.344524368295</v>
      </c>
      <c r="I180" s="37">
        <v>16498.374010132564</v>
      </c>
      <c r="J180" s="37">
        <v>210531.97828223597</v>
      </c>
      <c r="K180" s="37">
        <v>112195.07770486889</v>
      </c>
      <c r="L180" s="37">
        <v>105920.05177060627</v>
      </c>
      <c r="M180" s="37">
        <v>196280.83630032776</v>
      </c>
      <c r="N180" s="37">
        <v>148965.49008879761</v>
      </c>
      <c r="O180" s="37">
        <v>856432.29618229915</v>
      </c>
      <c r="P180" s="68">
        <v>1</v>
      </c>
    </row>
    <row r="181" spans="1:16" x14ac:dyDescent="0.2">
      <c r="A181" s="10">
        <v>179</v>
      </c>
      <c r="B181" s="40">
        <v>0.18760430763314062</v>
      </c>
      <c r="C181" s="12">
        <v>5.5844142521214213</v>
      </c>
      <c r="D181" s="40">
        <v>0.69615057356708743</v>
      </c>
      <c r="E181" s="40">
        <v>2.8850258765930822E-2</v>
      </c>
      <c r="F181" s="37">
        <v>16.705484903580089</v>
      </c>
      <c r="G181" s="12">
        <v>8.9830345568340029</v>
      </c>
      <c r="H181" s="37">
        <v>44748.80982795592</v>
      </c>
      <c r="I181" s="37">
        <v>10177.961381861394</v>
      </c>
      <c r="J181" s="37">
        <v>437762.6657866757</v>
      </c>
      <c r="K181" s="37">
        <v>150533.61771479307</v>
      </c>
      <c r="L181" s="37">
        <v>177301.51548316405</v>
      </c>
      <c r="M181" s="37">
        <v>188225.61132113246</v>
      </c>
      <c r="N181" s="37">
        <v>115727.26640120008</v>
      </c>
      <c r="O181" s="37">
        <v>642681.76264812821</v>
      </c>
      <c r="P181" s="68">
        <v>1</v>
      </c>
    </row>
    <row r="182" spans="1:16" x14ac:dyDescent="0.2">
      <c r="A182" s="10">
        <v>180</v>
      </c>
      <c r="B182" s="40">
        <v>0.128793056861537</v>
      </c>
      <c r="C182" s="12">
        <v>5.3066854513637862</v>
      </c>
      <c r="D182" s="40">
        <v>0.36271057812542834</v>
      </c>
      <c r="E182" s="40">
        <v>2.5218346086140618E-2</v>
      </c>
      <c r="F182" s="37">
        <v>14.984391190762917</v>
      </c>
      <c r="G182" s="12">
        <v>14.012551433116048</v>
      </c>
      <c r="H182" s="37">
        <v>23700.209157700992</v>
      </c>
      <c r="I182" s="37">
        <v>47250.381342459965</v>
      </c>
      <c r="J182" s="37">
        <v>312435.05863639258</v>
      </c>
      <c r="K182" s="37">
        <v>98759.209464792337</v>
      </c>
      <c r="L182" s="37">
        <v>60264.95661984801</v>
      </c>
      <c r="M182" s="37">
        <v>76892.265435977009</v>
      </c>
      <c r="N182" s="37">
        <v>180521.87848114778</v>
      </c>
      <c r="O182" s="37">
        <v>499676.80221192853</v>
      </c>
      <c r="P182" s="68">
        <v>1</v>
      </c>
    </row>
    <row r="183" spans="1:16" x14ac:dyDescent="0.2">
      <c r="A183" s="10">
        <v>181</v>
      </c>
      <c r="B183" s="40">
        <v>0.10278240180704215</v>
      </c>
      <c r="C183" s="12">
        <v>4.4873953583212183</v>
      </c>
      <c r="D183" s="40">
        <v>0.67338051413111466</v>
      </c>
      <c r="E183" s="40">
        <v>2.4042103005688174E-2</v>
      </c>
      <c r="F183" s="37">
        <v>10.944366539113648</v>
      </c>
      <c r="G183" s="12">
        <v>12.431634419485206</v>
      </c>
      <c r="H183" s="37">
        <v>86675.490196782193</v>
      </c>
      <c r="I183" s="37">
        <v>55629.374282394601</v>
      </c>
      <c r="J183" s="37">
        <v>251670.78163889656</v>
      </c>
      <c r="K183" s="37">
        <v>137108.45006383827</v>
      </c>
      <c r="L183" s="37">
        <v>75502.69798520366</v>
      </c>
      <c r="M183" s="37">
        <v>99400.909923492218</v>
      </c>
      <c r="N183" s="37">
        <v>160155.13011375337</v>
      </c>
      <c r="O183" s="37">
        <v>701600.63637722167</v>
      </c>
      <c r="P183" s="68">
        <v>1</v>
      </c>
    </row>
    <row r="184" spans="1:16" x14ac:dyDescent="0.2">
      <c r="A184" s="10">
        <v>182</v>
      </c>
      <c r="B184" s="40">
        <v>0.16113704302323906</v>
      </c>
      <c r="C184" s="12">
        <v>5.1338684974169864</v>
      </c>
      <c r="D184" s="40">
        <v>0.31877949498405411</v>
      </c>
      <c r="E184" s="40">
        <v>2.4368241241743541E-2</v>
      </c>
      <c r="F184" s="37">
        <v>10.77754622441917</v>
      </c>
      <c r="G184" s="12">
        <v>7.3710699307172636</v>
      </c>
      <c r="H184" s="37">
        <v>145446.80517672194</v>
      </c>
      <c r="I184" s="37">
        <v>48860.244621754871</v>
      </c>
      <c r="J184" s="37">
        <v>486213.16648949333</v>
      </c>
      <c r="K184" s="37">
        <v>165218.73196108168</v>
      </c>
      <c r="L184" s="37">
        <v>64109.049469439691</v>
      </c>
      <c r="M184" s="37">
        <v>46967.905102940676</v>
      </c>
      <c r="N184" s="37">
        <v>94960.535678339511</v>
      </c>
      <c r="O184" s="37">
        <v>172523.99261737615</v>
      </c>
      <c r="P184" s="68">
        <v>1</v>
      </c>
    </row>
    <row r="185" spans="1:16" x14ac:dyDescent="0.2">
      <c r="A185" s="10">
        <v>183</v>
      </c>
      <c r="B185" s="40">
        <v>0.12414678811381147</v>
      </c>
      <c r="C185" s="12">
        <v>2.0094447331407252</v>
      </c>
      <c r="D185" s="40">
        <v>0.51691893071556527</v>
      </c>
      <c r="E185" s="40">
        <v>2.1212687866185111E-2</v>
      </c>
      <c r="F185" s="37">
        <v>11.380407444450618</v>
      </c>
      <c r="G185" s="12">
        <v>22.476321298788925</v>
      </c>
      <c r="H185" s="37">
        <v>114884.88851742953</v>
      </c>
      <c r="I185" s="37">
        <v>36206.381064625995</v>
      </c>
      <c r="J185" s="37">
        <v>442157.32242893212</v>
      </c>
      <c r="K185" s="37">
        <v>146593.71209542206</v>
      </c>
      <c r="L185" s="37">
        <v>31348.937137841509</v>
      </c>
      <c r="M185" s="37">
        <v>70007.195791288104</v>
      </c>
      <c r="N185" s="37">
        <v>289559.52537052886</v>
      </c>
      <c r="O185" s="37">
        <v>665646.96565993328</v>
      </c>
      <c r="P185" s="68">
        <v>1</v>
      </c>
    </row>
    <row r="186" spans="1:16" x14ac:dyDescent="0.2">
      <c r="A186" s="10">
        <v>184</v>
      </c>
      <c r="B186" s="40">
        <v>0.1034170192831679</v>
      </c>
      <c r="C186" s="12">
        <v>5.6875600964885802</v>
      </c>
      <c r="D186" s="40">
        <v>0.4088237715889288</v>
      </c>
      <c r="E186" s="40">
        <v>2.4311901493533079E-2</v>
      </c>
      <c r="F186" s="37">
        <v>11.22345499472339</v>
      </c>
      <c r="G186" s="12">
        <v>12.596713248030483</v>
      </c>
      <c r="H186" s="37">
        <v>47039.696677642198</v>
      </c>
      <c r="I186" s="37">
        <v>47859.83410738864</v>
      </c>
      <c r="J186" s="37">
        <v>517366.07069342391</v>
      </c>
      <c r="K186" s="37">
        <v>152067.62665132532</v>
      </c>
      <c r="L186" s="37">
        <v>58457.869691223139</v>
      </c>
      <c r="M186" s="37">
        <v>62581.84595837658</v>
      </c>
      <c r="N186" s="37">
        <v>162281.81920165446</v>
      </c>
      <c r="O186" s="37">
        <v>116233.76732763834</v>
      </c>
      <c r="P186" s="68">
        <v>1</v>
      </c>
    </row>
    <row r="187" spans="1:16" x14ac:dyDescent="0.2">
      <c r="A187" s="10">
        <v>185</v>
      </c>
      <c r="B187" s="40">
        <v>0.1128104839273901</v>
      </c>
      <c r="C187" s="12">
        <v>5.5369569928427858</v>
      </c>
      <c r="D187" s="40">
        <v>0.57327072480116292</v>
      </c>
      <c r="E187" s="40">
        <v>2.5029581017190751E-2</v>
      </c>
      <c r="F187" s="37">
        <v>12.254710985514912</v>
      </c>
      <c r="G187" s="12">
        <v>11.235497103277496</v>
      </c>
      <c r="H187" s="37">
        <v>180756.85968391178</v>
      </c>
      <c r="I187" s="37">
        <v>61969.280946221574</v>
      </c>
      <c r="J187" s="37">
        <v>455588.73960867361</v>
      </c>
      <c r="K187" s="37">
        <v>174191.66604280612</v>
      </c>
      <c r="L187" s="37">
        <v>87050.086349444566</v>
      </c>
      <c r="M187" s="37">
        <v>98646.833518142317</v>
      </c>
      <c r="N187" s="37">
        <v>144745.44856690054</v>
      </c>
      <c r="O187" s="37">
        <v>662199.53832942329</v>
      </c>
      <c r="P187" s="68">
        <v>1</v>
      </c>
    </row>
    <row r="188" spans="1:16" x14ac:dyDescent="0.2">
      <c r="A188" s="10">
        <v>186</v>
      </c>
      <c r="B188" s="40">
        <v>0.19688579745643331</v>
      </c>
      <c r="C188" s="12">
        <v>6.8325247573377084</v>
      </c>
      <c r="D188" s="40">
        <v>0.6761709819876669</v>
      </c>
      <c r="E188" s="40">
        <v>2.8839080595739312E-2</v>
      </c>
      <c r="F188" s="37">
        <v>9.1284551423889848</v>
      </c>
      <c r="G188" s="12">
        <v>22.679490158298158</v>
      </c>
      <c r="H188" s="37">
        <v>55327.268822452112</v>
      </c>
      <c r="I188" s="37">
        <v>58560.955456248426</v>
      </c>
      <c r="J188" s="37">
        <v>336619.07555685134</v>
      </c>
      <c r="K188" s="37">
        <v>98949.137123510256</v>
      </c>
      <c r="L188" s="37">
        <v>221126.58637174248</v>
      </c>
      <c r="M188" s="37">
        <v>99862.390384010636</v>
      </c>
      <c r="N188" s="37">
        <v>292176.92337563459</v>
      </c>
      <c r="O188" s="37">
        <v>1423103.0847215247</v>
      </c>
      <c r="P188" s="68">
        <v>1</v>
      </c>
    </row>
    <row r="189" spans="1:16" x14ac:dyDescent="0.2">
      <c r="A189" s="10">
        <v>187</v>
      </c>
      <c r="B189" s="40">
        <v>0.12749454935507282</v>
      </c>
      <c r="C189" s="12">
        <v>7.1553551507634232</v>
      </c>
      <c r="D189" s="40">
        <v>0.59729737064276878</v>
      </c>
      <c r="E189" s="40">
        <v>3.5069562004932518E-2</v>
      </c>
      <c r="F189" s="37">
        <v>20.712336932455933</v>
      </c>
      <c r="G189" s="12">
        <v>16.985143513622344</v>
      </c>
      <c r="H189" s="37">
        <v>98606.50459457899</v>
      </c>
      <c r="I189" s="37">
        <v>31908.218745637903</v>
      </c>
      <c r="J189" s="37">
        <v>343397.5813372687</v>
      </c>
      <c r="K189" s="37">
        <v>103504.33379830616</v>
      </c>
      <c r="L189" s="37">
        <v>132465.33594117116</v>
      </c>
      <c r="M189" s="37">
        <v>243397.87318077782</v>
      </c>
      <c r="N189" s="37">
        <v>218817.39581733989</v>
      </c>
      <c r="O189" s="37">
        <v>1398354.8995022457</v>
      </c>
      <c r="P189" s="68">
        <v>1</v>
      </c>
    </row>
    <row r="190" spans="1:16" x14ac:dyDescent="0.2">
      <c r="A190" s="10">
        <v>188</v>
      </c>
      <c r="B190" s="40">
        <v>0.18516218993880379</v>
      </c>
      <c r="C190" s="12">
        <v>4.4541770089819419</v>
      </c>
      <c r="D190" s="40">
        <v>0.61325303856278479</v>
      </c>
      <c r="E190" s="40">
        <v>2.670196322816076E-2</v>
      </c>
      <c r="F190" s="37">
        <v>28.47509929216416</v>
      </c>
      <c r="G190" s="12">
        <v>12.569911319951647</v>
      </c>
      <c r="H190" s="37">
        <v>99617.950199782761</v>
      </c>
      <c r="I190" s="37">
        <v>39769.454615728995</v>
      </c>
      <c r="J190" s="37">
        <v>414046.27702745632</v>
      </c>
      <c r="K190" s="37">
        <v>175291.22715314582</v>
      </c>
      <c r="L190" s="37">
        <v>122955.60151850057</v>
      </c>
      <c r="M190" s="37">
        <v>261586.23150121572</v>
      </c>
      <c r="N190" s="37">
        <v>161936.53344646547</v>
      </c>
      <c r="O190" s="37">
        <v>1016398.2473162126</v>
      </c>
      <c r="P190" s="68">
        <v>1</v>
      </c>
    </row>
    <row r="191" spans="1:16" x14ac:dyDescent="0.2">
      <c r="A191" s="10">
        <v>189</v>
      </c>
      <c r="B191" s="40">
        <v>0.10753849540086856</v>
      </c>
      <c r="C191" s="12">
        <v>2.1343389771980221</v>
      </c>
      <c r="D191" s="40">
        <v>0.49441892288785116</v>
      </c>
      <c r="E191" s="40">
        <v>2.6175725265718073E-2</v>
      </c>
      <c r="F191" s="37">
        <v>12.685689807351576</v>
      </c>
      <c r="G191" s="12">
        <v>22.537453946975539</v>
      </c>
      <c r="H191" s="37">
        <v>42908.196616739013</v>
      </c>
      <c r="I191" s="37">
        <v>45799.300040949449</v>
      </c>
      <c r="J191" s="37">
        <v>215556.09280258574</v>
      </c>
      <c r="K191" s="37">
        <v>93713.900107374968</v>
      </c>
      <c r="L191" s="37">
        <v>27587.431325349884</v>
      </c>
      <c r="M191" s="37">
        <v>92103.180527996374</v>
      </c>
      <c r="N191" s="37">
        <v>290347.08932987275</v>
      </c>
      <c r="O191" s="37">
        <v>919194.56935512694</v>
      </c>
      <c r="P191" s="68">
        <v>1</v>
      </c>
    </row>
    <row r="192" spans="1:16" x14ac:dyDescent="0.2">
      <c r="A192" s="10">
        <v>190</v>
      </c>
      <c r="B192" s="40">
        <v>0.12173524713490531</v>
      </c>
      <c r="C192" s="12">
        <v>9.3344834082937744</v>
      </c>
      <c r="D192" s="40">
        <v>0.6908409126590358</v>
      </c>
      <c r="E192" s="40">
        <v>2.3408384581572246E-2</v>
      </c>
      <c r="F192" s="37">
        <v>10.113892781025925</v>
      </c>
      <c r="G192" s="12">
        <v>6.5121123636881464</v>
      </c>
      <c r="H192" s="37">
        <v>82052.275564753392</v>
      </c>
      <c r="I192" s="37">
        <v>63090.55855896735</v>
      </c>
      <c r="J192" s="37">
        <v>501631.78022102761</v>
      </c>
      <c r="K192" s="37">
        <v>149361.01200507616</v>
      </c>
      <c r="L192" s="37">
        <v>190841.80197907792</v>
      </c>
      <c r="M192" s="37">
        <v>91756.020648363148</v>
      </c>
      <c r="N192" s="37">
        <v>83894.697006787115</v>
      </c>
      <c r="O192" s="37">
        <v>513329.41286997159</v>
      </c>
      <c r="P192" s="68">
        <v>1</v>
      </c>
    </row>
    <row r="193" spans="1:16" x14ac:dyDescent="0.2">
      <c r="A193" s="10">
        <v>191</v>
      </c>
      <c r="B193" s="40">
        <v>0.18291942173522374</v>
      </c>
      <c r="C193" s="12">
        <v>7.2627337469875251</v>
      </c>
      <c r="D193" s="40">
        <v>0.69655502360091126</v>
      </c>
      <c r="E193" s="40">
        <v>2.0253590288234265E-2</v>
      </c>
      <c r="F193" s="37">
        <v>18.607102430488197</v>
      </c>
      <c r="G193" s="12">
        <v>16.203288167485574</v>
      </c>
      <c r="H193" s="37">
        <v>68856.574322285393</v>
      </c>
      <c r="I193" s="37">
        <v>49287.860428933745</v>
      </c>
      <c r="J193" s="37">
        <v>527708.56332131894</v>
      </c>
      <c r="K193" s="37">
        <v>137325.74846107658</v>
      </c>
      <c r="L193" s="37">
        <v>224959.42910036459</v>
      </c>
      <c r="M193" s="37">
        <v>147266.14873906816</v>
      </c>
      <c r="N193" s="37">
        <v>208744.8550342549</v>
      </c>
      <c r="O193" s="37">
        <v>1046220.6084029744</v>
      </c>
      <c r="P193" s="68">
        <v>1</v>
      </c>
    </row>
    <row r="194" spans="1:16" x14ac:dyDescent="0.2">
      <c r="A194" s="10">
        <v>192</v>
      </c>
      <c r="B194" s="40">
        <v>0.12044117010045427</v>
      </c>
      <c r="C194" s="12">
        <v>5.3177128443374482</v>
      </c>
      <c r="D194" s="40">
        <v>0.691893556443538</v>
      </c>
      <c r="E194" s="40">
        <v>2.903216160309469E-2</v>
      </c>
      <c r="F194" s="37">
        <v>10.347853066756159</v>
      </c>
      <c r="G194" s="12">
        <v>9.5828462708119382</v>
      </c>
      <c r="H194" s="37">
        <v>121731.6118613234</v>
      </c>
      <c r="I194" s="37">
        <v>42583.369803463196</v>
      </c>
      <c r="J194" s="37">
        <v>246148.09317324322</v>
      </c>
      <c r="K194" s="37">
        <v>96931.422189560704</v>
      </c>
      <c r="L194" s="37">
        <v>107727.84282550345</v>
      </c>
      <c r="M194" s="37">
        <v>116609.9593689238</v>
      </c>
      <c r="N194" s="37">
        <v>123454.56273685499</v>
      </c>
      <c r="O194" s="37">
        <v>917024.13022904098</v>
      </c>
      <c r="P194" s="68">
        <v>1</v>
      </c>
    </row>
    <row r="195" spans="1:16" x14ac:dyDescent="0.2">
      <c r="A195" s="10">
        <v>193</v>
      </c>
      <c r="B195" s="40">
        <v>0.14982812287659031</v>
      </c>
      <c r="C195" s="12">
        <v>3.1231709710417275</v>
      </c>
      <c r="D195" s="40">
        <v>0.55562321711863727</v>
      </c>
      <c r="E195" s="40">
        <v>2.0064795703316936E-2</v>
      </c>
      <c r="F195" s="37">
        <v>8.3346239079708546</v>
      </c>
      <c r="G195" s="12">
        <v>13.22974707445228</v>
      </c>
      <c r="H195" s="37">
        <v>27728.039939942777</v>
      </c>
      <c r="I195" s="37">
        <v>59556.218516487686</v>
      </c>
      <c r="J195" s="37">
        <v>258054.351324772</v>
      </c>
      <c r="K195" s="37">
        <v>123506.73644596447</v>
      </c>
      <c r="L195" s="37">
        <v>63206.000776868335</v>
      </c>
      <c r="M195" s="37">
        <v>52127.616356111823</v>
      </c>
      <c r="N195" s="37">
        <v>170437.11169304905</v>
      </c>
      <c r="O195" s="37">
        <v>441089.25674106926</v>
      </c>
      <c r="P195" s="68">
        <v>1</v>
      </c>
    </row>
    <row r="196" spans="1:16" x14ac:dyDescent="0.2">
      <c r="A196" s="10">
        <v>194</v>
      </c>
      <c r="B196" s="40">
        <v>0.11475715542259349</v>
      </c>
      <c r="C196" s="12">
        <v>5.2722669384362888</v>
      </c>
      <c r="D196" s="40">
        <v>0.649259570398519</v>
      </c>
      <c r="E196" s="40">
        <v>1.4552014966155949E-2</v>
      </c>
      <c r="F196" s="37">
        <v>26.833096495777259</v>
      </c>
      <c r="G196" s="12">
        <v>6.8230088104258355</v>
      </c>
      <c r="H196" s="37">
        <v>36090.027193491587</v>
      </c>
      <c r="I196" s="37">
        <v>40255.880643711978</v>
      </c>
      <c r="J196" s="37">
        <v>420610.59209161659</v>
      </c>
      <c r="K196" s="37">
        <v>97644.275580279224</v>
      </c>
      <c r="L196" s="37">
        <v>95495.8183755637</v>
      </c>
      <c r="M196" s="37">
        <v>142226.0069308992</v>
      </c>
      <c r="N196" s="37">
        <v>87899.935513570672</v>
      </c>
      <c r="O196" s="37">
        <v>431993.08010991022</v>
      </c>
      <c r="P196" s="68">
        <v>1</v>
      </c>
    </row>
    <row r="197" spans="1:16" x14ac:dyDescent="0.2">
      <c r="A197" s="10">
        <v>195</v>
      </c>
      <c r="B197" s="40">
        <v>0.1628154725359352</v>
      </c>
      <c r="C197" s="12">
        <v>2.3384900070654582</v>
      </c>
      <c r="D197" s="40">
        <v>0.38945845739224871</v>
      </c>
      <c r="E197" s="40">
        <v>1.4080490126431951E-2</v>
      </c>
      <c r="F197" s="37">
        <v>15.546244896503898</v>
      </c>
      <c r="G197" s="12">
        <v>15.865752359644201</v>
      </c>
      <c r="H197" s="37">
        <v>27782.499014924535</v>
      </c>
      <c r="I197" s="37">
        <v>16531.35413812544</v>
      </c>
      <c r="J197" s="37">
        <v>250642.03236991051</v>
      </c>
      <c r="K197" s="37">
        <v>130819.77518659695</v>
      </c>
      <c r="L197" s="37">
        <v>36047.998911745955</v>
      </c>
      <c r="M197" s="37">
        <v>47826.780661802397</v>
      </c>
      <c r="N197" s="37">
        <v>204396.4251014895</v>
      </c>
      <c r="O197" s="37">
        <v>314631.04494298575</v>
      </c>
      <c r="P197" s="68">
        <v>1</v>
      </c>
    </row>
    <row r="198" spans="1:16" x14ac:dyDescent="0.2">
      <c r="A198" s="10">
        <v>196</v>
      </c>
      <c r="B198" s="40">
        <v>0.17281902568709795</v>
      </c>
      <c r="C198" s="12">
        <v>3.0957326980995781</v>
      </c>
      <c r="D198" s="40">
        <v>0.39423785098826303</v>
      </c>
      <c r="E198" s="40">
        <v>3.5659309863651373E-2</v>
      </c>
      <c r="F198" s="37">
        <v>23.43204661934136</v>
      </c>
      <c r="G198" s="12">
        <v>16.908817315052886</v>
      </c>
      <c r="H198" s="37">
        <v>130200.45764095247</v>
      </c>
      <c r="I198" s="37">
        <v>52498.516570158303</v>
      </c>
      <c r="J198" s="37">
        <v>257302.14421327494</v>
      </c>
      <c r="K198" s="37">
        <v>200224.79476741466</v>
      </c>
      <c r="L198" s="37">
        <v>51274.585121492142</v>
      </c>
      <c r="M198" s="37">
        <v>184802.65539706816</v>
      </c>
      <c r="N198" s="37">
        <v>217834.09532357537</v>
      </c>
      <c r="O198" s="37">
        <v>965291.65334657137</v>
      </c>
      <c r="P198" s="68">
        <v>1</v>
      </c>
    </row>
    <row r="199" spans="1:16" x14ac:dyDescent="0.2">
      <c r="A199" s="10">
        <v>197</v>
      </c>
      <c r="B199" s="40">
        <v>0.19328988310784892</v>
      </c>
      <c r="C199" s="12">
        <v>2.6994900903166226</v>
      </c>
      <c r="D199" s="40">
        <v>0.47264546958392012</v>
      </c>
      <c r="E199" s="40">
        <v>2.8467487419726899E-2</v>
      </c>
      <c r="F199" s="37">
        <v>18.748179024889129</v>
      </c>
      <c r="G199" s="12">
        <v>7.1452713878742342</v>
      </c>
      <c r="H199" s="37">
        <v>96831.509335957031</v>
      </c>
      <c r="I199" s="37">
        <v>38876.102711486834</v>
      </c>
      <c r="J199" s="37">
        <v>311116.4498283671</v>
      </c>
      <c r="K199" s="37">
        <v>110016.24038438271</v>
      </c>
      <c r="L199" s="37">
        <v>59953.589493303931</v>
      </c>
      <c r="M199" s="37">
        <v>141517.60193877452</v>
      </c>
      <c r="N199" s="37">
        <v>92051.602404703342</v>
      </c>
      <c r="O199" s="37">
        <v>583205.76106748404</v>
      </c>
      <c r="P199" s="68">
        <v>1</v>
      </c>
    </row>
    <row r="200" spans="1:16" x14ac:dyDescent="0.2">
      <c r="A200" s="10">
        <v>198</v>
      </c>
      <c r="B200" s="40">
        <v>0.16807480718681816</v>
      </c>
      <c r="C200" s="12">
        <v>4.6289468317612759</v>
      </c>
      <c r="D200" s="40">
        <v>0.30951337182159788</v>
      </c>
      <c r="E200" s="40">
        <v>1.6048262942460624E-2</v>
      </c>
      <c r="F200" s="37">
        <v>25.449964054907927</v>
      </c>
      <c r="G200" s="12">
        <v>16.837783842829886</v>
      </c>
      <c r="H200" s="37">
        <v>79853.563197414187</v>
      </c>
      <c r="I200" s="37">
        <v>23397.62321470473</v>
      </c>
      <c r="J200" s="37">
        <v>289309.44849522912</v>
      </c>
      <c r="K200" s="37">
        <v>161814.85545317689</v>
      </c>
      <c r="L200" s="37">
        <v>58540.04611463831</v>
      </c>
      <c r="M200" s="37">
        <v>70918.795873927331</v>
      </c>
      <c r="N200" s="37">
        <v>216918.98033527788</v>
      </c>
      <c r="O200" s="37">
        <v>517041.32697217318</v>
      </c>
      <c r="P200" s="68">
        <v>1</v>
      </c>
    </row>
    <row r="201" spans="1:16" x14ac:dyDescent="0.2">
      <c r="A201" s="10">
        <v>199</v>
      </c>
      <c r="B201" s="40">
        <v>0.14579065305027922</v>
      </c>
      <c r="C201" s="12">
        <v>4.6988274242522241</v>
      </c>
      <c r="D201" s="40">
        <v>0.45240069497834329</v>
      </c>
      <c r="E201" s="40">
        <v>2.0404836723144387E-2</v>
      </c>
      <c r="F201" s="37">
        <v>15.399018260201215</v>
      </c>
      <c r="G201" s="12">
        <v>8.1790615976079692</v>
      </c>
      <c r="H201" s="37">
        <v>139956.69116639532</v>
      </c>
      <c r="I201" s="37">
        <v>41201.035961164547</v>
      </c>
      <c r="J201" s="37">
        <v>265214.10369686515</v>
      </c>
      <c r="K201" s="37">
        <v>91899.727720861978</v>
      </c>
      <c r="L201" s="37">
        <v>75340.980710097792</v>
      </c>
      <c r="M201" s="37">
        <v>79747.33033553655</v>
      </c>
      <c r="N201" s="37">
        <v>105369.78728397579</v>
      </c>
      <c r="O201" s="37">
        <v>714563.44854198862</v>
      </c>
      <c r="P201" s="68">
        <v>1</v>
      </c>
    </row>
    <row r="202" spans="1:16" x14ac:dyDescent="0.2">
      <c r="A202" s="10">
        <v>200</v>
      </c>
      <c r="B202" s="40">
        <v>0.10926802554901999</v>
      </c>
      <c r="C202" s="12">
        <v>3.2270398932928024</v>
      </c>
      <c r="D202" s="40">
        <v>0.45711743548780426</v>
      </c>
      <c r="E202" s="40">
        <v>3.4624088126760155E-2</v>
      </c>
      <c r="F202" s="37">
        <v>10.206378980530632</v>
      </c>
      <c r="G202" s="12">
        <v>19.76759579288996</v>
      </c>
      <c r="H202" s="37">
        <v>61499.495171780436</v>
      </c>
      <c r="I202" s="37">
        <v>53293.057008289179</v>
      </c>
      <c r="J202" s="37">
        <v>338245.19260351965</v>
      </c>
      <c r="K202" s="37">
        <v>110524.38603095793</v>
      </c>
      <c r="L202" s="37">
        <v>39184.476220528639</v>
      </c>
      <c r="M202" s="37">
        <v>90624.276711207669</v>
      </c>
      <c r="N202" s="37">
        <v>254663.36681234828</v>
      </c>
      <c r="O202" s="37">
        <v>750863.96832580469</v>
      </c>
      <c r="P202" s="68">
        <v>1</v>
      </c>
    </row>
    <row r="203" spans="1:16" x14ac:dyDescent="0.2">
      <c r="A203" s="10">
        <v>201</v>
      </c>
      <c r="B203" s="40">
        <v>0.13987365253261219</v>
      </c>
      <c r="C203" s="12">
        <v>4.2146557318959683</v>
      </c>
      <c r="D203" s="40">
        <v>0.6460267918830449</v>
      </c>
      <c r="E203" s="40">
        <v>2.5393075922688198E-2</v>
      </c>
      <c r="F203" s="37">
        <v>16.079724825743625</v>
      </c>
      <c r="G203" s="12">
        <v>11.773832002962973</v>
      </c>
      <c r="H203" s="37">
        <v>209145.85197343735</v>
      </c>
      <c r="I203" s="37">
        <v>47958.806391524413</v>
      </c>
      <c r="J203" s="37">
        <v>445395.64390521141</v>
      </c>
      <c r="K203" s="37">
        <v>74599.58845526159</v>
      </c>
      <c r="L203" s="37">
        <v>92584.307036506856</v>
      </c>
      <c r="M203" s="37">
        <v>147982.78105474944</v>
      </c>
      <c r="N203" s="37">
        <v>151680.74709601159</v>
      </c>
      <c r="O203" s="37">
        <v>1164853.3499020089</v>
      </c>
      <c r="P203" s="68">
        <v>1</v>
      </c>
    </row>
    <row r="204" spans="1:16" x14ac:dyDescent="0.2">
      <c r="A204" s="10">
        <v>202</v>
      </c>
      <c r="B204" s="40">
        <v>8.4746229795456651E-2</v>
      </c>
      <c r="C204" s="12">
        <v>2.7109236136866937</v>
      </c>
      <c r="D204" s="40">
        <v>0.66891943616524008</v>
      </c>
      <c r="E204" s="40">
        <v>3.2039870957196084E-2</v>
      </c>
      <c r="F204" s="37">
        <v>9.8030146514538572</v>
      </c>
      <c r="G204" s="12">
        <v>13.221460667287147</v>
      </c>
      <c r="H204" s="37">
        <v>96530.987741120509</v>
      </c>
      <c r="I204" s="37">
        <v>50193.177264071332</v>
      </c>
      <c r="J204" s="37">
        <v>333544.22122248652</v>
      </c>
      <c r="K204" s="37">
        <v>83655.046553057036</v>
      </c>
      <c r="L204" s="37">
        <v>37359.436017318432</v>
      </c>
      <c r="M204" s="37">
        <v>117866.65454936825</v>
      </c>
      <c r="N204" s="37">
        <v>170330.35898677356</v>
      </c>
      <c r="O204" s="37">
        <v>755243.54183056182</v>
      </c>
      <c r="P204" s="68">
        <v>1</v>
      </c>
    </row>
    <row r="205" spans="1:16" x14ac:dyDescent="0.2">
      <c r="A205" s="10">
        <v>203</v>
      </c>
      <c r="B205" s="40">
        <v>0.12992616594178014</v>
      </c>
      <c r="C205" s="12">
        <v>4.7497804756254425</v>
      </c>
      <c r="D205" s="40">
        <v>0.84085360683059829</v>
      </c>
      <c r="E205" s="40">
        <v>2.7508362403677732E-2</v>
      </c>
      <c r="F205" s="37">
        <v>24.666571029346493</v>
      </c>
      <c r="G205" s="12">
        <v>5.2268108034226053</v>
      </c>
      <c r="H205" s="37">
        <v>121523.38881833093</v>
      </c>
      <c r="I205" s="37">
        <v>24842.558015249509</v>
      </c>
      <c r="J205" s="37">
        <v>295355.55309217045</v>
      </c>
      <c r="K205" s="37">
        <v>115697.82105473075</v>
      </c>
      <c r="L205" s="37">
        <v>126147.71310883299</v>
      </c>
      <c r="M205" s="37">
        <v>320081.55024219514</v>
      </c>
      <c r="N205" s="37">
        <v>67336.324095088974</v>
      </c>
      <c r="O205" s="37">
        <v>1229389.7441388522</v>
      </c>
      <c r="P205" s="68">
        <v>1</v>
      </c>
    </row>
    <row r="206" spans="1:16" x14ac:dyDescent="0.2">
      <c r="A206" s="10">
        <v>204</v>
      </c>
      <c r="B206" s="40">
        <v>0.11740560507183861</v>
      </c>
      <c r="C206" s="12">
        <v>1.804309978419016</v>
      </c>
      <c r="D206" s="40">
        <v>0.67131561036603782</v>
      </c>
      <c r="E206" s="40">
        <v>2.1816411725842535E-3</v>
      </c>
      <c r="F206" s="37">
        <v>10.259862836514866</v>
      </c>
      <c r="G206" s="12">
        <v>6.228891002445776</v>
      </c>
      <c r="H206" s="37">
        <v>17689.946176225418</v>
      </c>
      <c r="I206" s="37">
        <v>32965.129369830785</v>
      </c>
      <c r="J206" s="37">
        <v>523699.85765781847</v>
      </c>
      <c r="K206" s="37">
        <v>148382.08735307079</v>
      </c>
      <c r="L206" s="37">
        <v>34571.287809953734</v>
      </c>
      <c r="M206" s="37">
        <v>8429.8210219414486</v>
      </c>
      <c r="N206" s="37">
        <v>80245.993028678626</v>
      </c>
      <c r="O206" s="37">
        <v>-452201.82960752031</v>
      </c>
      <c r="P206" s="68">
        <v>0</v>
      </c>
    </row>
    <row r="207" spans="1:16" x14ac:dyDescent="0.2">
      <c r="A207" s="10">
        <v>205</v>
      </c>
      <c r="B207" s="40">
        <v>0.10163309008794219</v>
      </c>
      <c r="C207" s="12">
        <v>4.6752219404371971</v>
      </c>
      <c r="D207" s="40">
        <v>0.76255431007888208</v>
      </c>
      <c r="E207" s="40">
        <v>1.1890857815032312E-2</v>
      </c>
      <c r="F207" s="37">
        <v>20.811437016280181</v>
      </c>
      <c r="G207" s="12">
        <v>8.7329877199931225</v>
      </c>
      <c r="H207" s="37">
        <v>193142.65971864754</v>
      </c>
      <c r="I207" s="37">
        <v>32581.537861087869</v>
      </c>
      <c r="J207" s="37">
        <v>296682.68950798747</v>
      </c>
      <c r="K207" s="37">
        <v>136555.6228276715</v>
      </c>
      <c r="L207" s="37">
        <v>88083.988643610966</v>
      </c>
      <c r="M207" s="37">
        <v>105865.08904438779</v>
      </c>
      <c r="N207" s="37">
        <v>112505.9455082678</v>
      </c>
      <c r="O207" s="37">
        <v>811711.01302616962</v>
      </c>
      <c r="P207" s="68">
        <v>1</v>
      </c>
    </row>
    <row r="208" spans="1:16" x14ac:dyDescent="0.2">
      <c r="A208" s="10">
        <v>206</v>
      </c>
      <c r="B208" s="40">
        <v>0.22242479006340393</v>
      </c>
      <c r="C208" s="12">
        <v>5.114741510442383</v>
      </c>
      <c r="D208" s="40">
        <v>0.49917201396792027</v>
      </c>
      <c r="E208" s="40">
        <v>1.2555131456373938E-2</v>
      </c>
      <c r="F208" s="37">
        <v>8.2992156914558386</v>
      </c>
      <c r="G208" s="12">
        <v>14.531873861902497</v>
      </c>
      <c r="H208" s="37">
        <v>71572.557556088141</v>
      </c>
      <c r="I208" s="37">
        <v>52947.323573753689</v>
      </c>
      <c r="J208" s="37">
        <v>360842.14327291312</v>
      </c>
      <c r="K208" s="37">
        <v>195181.92447470699</v>
      </c>
      <c r="L208" s="37">
        <v>138053.02831586709</v>
      </c>
      <c r="M208" s="37">
        <v>29179.327383300413</v>
      </c>
      <c r="N208" s="37">
        <v>187212.24181928782</v>
      </c>
      <c r="O208" s="37">
        <v>434213.55503794923</v>
      </c>
      <c r="P208" s="68">
        <v>1</v>
      </c>
    </row>
    <row r="209" spans="1:16" x14ac:dyDescent="0.2">
      <c r="A209" s="10">
        <v>207</v>
      </c>
      <c r="B209" s="40">
        <v>4.580591948311577E-2</v>
      </c>
      <c r="C209" s="12">
        <v>4.8391322023227623</v>
      </c>
      <c r="D209" s="40">
        <v>0.58989823359828875</v>
      </c>
      <c r="E209" s="40">
        <v>2.6455771357392816E-2</v>
      </c>
      <c r="F209" s="37">
        <v>9.97614372640958</v>
      </c>
      <c r="G209" s="12">
        <v>8.7746504654239761</v>
      </c>
      <c r="H209" s="37">
        <v>136873.37873270229</v>
      </c>
      <c r="I209" s="37">
        <v>60247.277899084118</v>
      </c>
      <c r="J209" s="37">
        <v>238726.49962183717</v>
      </c>
      <c r="K209" s="37">
        <v>149811.19833404836</v>
      </c>
      <c r="L209" s="37">
        <v>31787.400777335541</v>
      </c>
      <c r="M209" s="37">
        <v>87342.768501338564</v>
      </c>
      <c r="N209" s="37">
        <v>113042.68124149658</v>
      </c>
      <c r="O209" s="37">
        <v>544281.47227354581</v>
      </c>
      <c r="P209" s="68">
        <v>1</v>
      </c>
    </row>
    <row r="210" spans="1:16" x14ac:dyDescent="0.2">
      <c r="A210" s="10">
        <v>208</v>
      </c>
      <c r="B210" s="40">
        <v>0.17998811961009095</v>
      </c>
      <c r="C210" s="12">
        <v>5.9547985878987859</v>
      </c>
      <c r="D210" s="40">
        <v>0.25773500562288515</v>
      </c>
      <c r="E210" s="40">
        <v>3.0734508493750215E-2</v>
      </c>
      <c r="F210" s="37">
        <v>14.49653299166911</v>
      </c>
      <c r="G210" s="12">
        <v>7.450476494690176</v>
      </c>
      <c r="H210" s="37">
        <v>137426.48447317397</v>
      </c>
      <c r="I210" s="37">
        <v>54875.457066306255</v>
      </c>
      <c r="J210" s="37">
        <v>312370.25426403049</v>
      </c>
      <c r="K210" s="37">
        <v>121850.06946248689</v>
      </c>
      <c r="L210" s="37">
        <v>67154.196101493944</v>
      </c>
      <c r="M210" s="37">
        <v>64421.459687829971</v>
      </c>
      <c r="N210" s="37">
        <v>95983.520119149223</v>
      </c>
      <c r="O210" s="37">
        <v>522548.51849288552</v>
      </c>
      <c r="P210" s="68">
        <v>1</v>
      </c>
    </row>
    <row r="211" spans="1:16" x14ac:dyDescent="0.2">
      <c r="A211" s="10">
        <v>209</v>
      </c>
      <c r="B211" s="40">
        <v>0.1876033758565869</v>
      </c>
      <c r="C211" s="12">
        <v>5.6603493759205525</v>
      </c>
      <c r="D211" s="40">
        <v>0.4854672085881887</v>
      </c>
      <c r="E211" s="40">
        <v>1.481677910529387E-2</v>
      </c>
      <c r="F211" s="37">
        <v>26.551763729380493</v>
      </c>
      <c r="G211" s="12">
        <v>5.1146474199789704</v>
      </c>
      <c r="H211" s="37">
        <v>127047.55761726551</v>
      </c>
      <c r="I211" s="37">
        <v>39386.168778649066</v>
      </c>
      <c r="J211" s="37">
        <v>500799.75325276889</v>
      </c>
      <c r="K211" s="37">
        <v>188731.43624394527</v>
      </c>
      <c r="L211" s="37">
        <v>125323.52939905378</v>
      </c>
      <c r="M211" s="37">
        <v>107145.46980083562</v>
      </c>
      <c r="N211" s="37">
        <v>65891.337807424483</v>
      </c>
      <c r="O211" s="37">
        <v>272627.51204485632</v>
      </c>
      <c r="P211" s="68">
        <v>1</v>
      </c>
    </row>
    <row r="212" spans="1:16" x14ac:dyDescent="0.2">
      <c r="A212" s="10">
        <v>210</v>
      </c>
      <c r="B212" s="40">
        <v>6.8752238654738951E-2</v>
      </c>
      <c r="C212" s="12">
        <v>5.0104268169581347</v>
      </c>
      <c r="D212" s="40">
        <v>0.45149560880628914</v>
      </c>
      <c r="E212" s="40">
        <v>6.6744517246784445E-3</v>
      </c>
      <c r="F212" s="37">
        <v>13.19359616025854</v>
      </c>
      <c r="G212" s="12">
        <v>21.856984923107508</v>
      </c>
      <c r="H212" s="37">
        <v>79877.243894662213</v>
      </c>
      <c r="I212" s="37">
        <v>24559.857838221742</v>
      </c>
      <c r="J212" s="37">
        <v>280748.20546167076</v>
      </c>
      <c r="K212" s="37">
        <v>110335.53128172788</v>
      </c>
      <c r="L212" s="37">
        <v>37809.7605815227</v>
      </c>
      <c r="M212" s="37">
        <v>22304.836580848852</v>
      </c>
      <c r="N212" s="37">
        <v>281580.695356354</v>
      </c>
      <c r="O212" s="37">
        <v>660032.70390954392</v>
      </c>
      <c r="P212" s="68">
        <v>1</v>
      </c>
    </row>
    <row r="213" spans="1:16" x14ac:dyDescent="0.2">
      <c r="A213" s="10">
        <v>211</v>
      </c>
      <c r="B213" s="40">
        <v>0.16820023253073368</v>
      </c>
      <c r="C213" s="12">
        <v>2.4353004129894158</v>
      </c>
      <c r="D213" s="40">
        <v>0.46418201847877938</v>
      </c>
      <c r="E213" s="40">
        <v>9.9388237576943702E-3</v>
      </c>
      <c r="F213" s="37">
        <v>12.495722947033904</v>
      </c>
      <c r="G213" s="12">
        <v>20.148710337826884</v>
      </c>
      <c r="H213" s="37">
        <v>31529.511755447842</v>
      </c>
      <c r="I213" s="37">
        <v>35789.687260135091</v>
      </c>
      <c r="J213" s="37">
        <v>323885.98958336073</v>
      </c>
      <c r="K213" s="37">
        <v>129798.20100281987</v>
      </c>
      <c r="L213" s="37">
        <v>46222.80284061245</v>
      </c>
      <c r="M213" s="37">
        <v>32340.849372225126</v>
      </c>
      <c r="N213" s="37">
        <v>259573.21594987987</v>
      </c>
      <c r="O213" s="37">
        <v>448407.28237361182</v>
      </c>
      <c r="P213" s="68">
        <v>1</v>
      </c>
    </row>
    <row r="214" spans="1:16" x14ac:dyDescent="0.2">
      <c r="A214" s="10">
        <v>212</v>
      </c>
      <c r="B214" s="40">
        <v>0.17499339940492731</v>
      </c>
      <c r="C214" s="12">
        <v>3.8688088151889541</v>
      </c>
      <c r="D214" s="40">
        <v>0.58450138932402596</v>
      </c>
      <c r="E214" s="40">
        <v>2.3273851561458871E-2</v>
      </c>
      <c r="F214" s="37">
        <v>9.4725092231244883</v>
      </c>
      <c r="G214" s="12">
        <v>9.0921193901684205</v>
      </c>
      <c r="H214" s="37">
        <v>119373.66040255278</v>
      </c>
      <c r="I214" s="37">
        <v>30150.752840755908</v>
      </c>
      <c r="J214" s="37">
        <v>337402.97579739132</v>
      </c>
      <c r="K214" s="37">
        <v>105469.49971366597</v>
      </c>
      <c r="L214" s="37">
        <v>96199.61054961996</v>
      </c>
      <c r="M214" s="37">
        <v>72291.223764095252</v>
      </c>
      <c r="N214" s="37">
        <v>117132.59212801904</v>
      </c>
      <c r="O214" s="37">
        <v>586236.05327264185</v>
      </c>
      <c r="P214" s="68">
        <v>1</v>
      </c>
    </row>
    <row r="215" spans="1:16" x14ac:dyDescent="0.2">
      <c r="A215" s="10">
        <v>213</v>
      </c>
      <c r="B215" s="40">
        <v>0.14199434614353559</v>
      </c>
      <c r="C215" s="12">
        <v>4.7676738489630477</v>
      </c>
      <c r="D215" s="40">
        <v>0.80345462757360742</v>
      </c>
      <c r="E215" s="40">
        <v>2.9645526922890419E-2</v>
      </c>
      <c r="F215" s="37">
        <v>10.600689996580703</v>
      </c>
      <c r="G215" s="12">
        <v>8.6173247360838143</v>
      </c>
      <c r="H215" s="37">
        <v>121613.23326295475</v>
      </c>
      <c r="I215" s="37">
        <v>7746.0821505053655</v>
      </c>
      <c r="J215" s="37">
        <v>289400.68820008426</v>
      </c>
      <c r="K215" s="37">
        <v>159844.32418985607</v>
      </c>
      <c r="L215" s="37">
        <v>132229.32360376613</v>
      </c>
      <c r="M215" s="37">
        <v>141651.57139490539</v>
      </c>
      <c r="N215" s="37">
        <v>111015.8743227521</v>
      </c>
      <c r="O215" s="37">
        <v>703532.40661357949</v>
      </c>
      <c r="P215" s="68">
        <v>1</v>
      </c>
    </row>
    <row r="216" spans="1:16" x14ac:dyDescent="0.2">
      <c r="A216" s="10">
        <v>214</v>
      </c>
      <c r="B216" s="40">
        <v>0.17394237604000812</v>
      </c>
      <c r="C216" s="12">
        <v>8.1411777145710875</v>
      </c>
      <c r="D216" s="40">
        <v>0.78853118016319823</v>
      </c>
      <c r="E216" s="40">
        <v>3.3343906804358565E-2</v>
      </c>
      <c r="F216" s="37">
        <v>12.685053760407861</v>
      </c>
      <c r="G216" s="12">
        <v>22.75948816425991</v>
      </c>
      <c r="H216" s="37">
        <v>182247.7269755282</v>
      </c>
      <c r="I216" s="37">
        <v>41219.214752174812</v>
      </c>
      <c r="J216" s="37">
        <v>561903.05169728294</v>
      </c>
      <c r="K216" s="37">
        <v>146949.00696392919</v>
      </c>
      <c r="L216" s="37">
        <v>271456.55532452138</v>
      </c>
      <c r="M216" s="37">
        <v>187108.87968909735</v>
      </c>
      <c r="N216" s="37">
        <v>293207.5272866991</v>
      </c>
      <c r="O216" s="37">
        <v>1758667.3564716191</v>
      </c>
      <c r="P216" s="68">
        <v>1</v>
      </c>
    </row>
    <row r="217" spans="1:16" x14ac:dyDescent="0.2">
      <c r="A217" s="10">
        <v>215</v>
      </c>
      <c r="B217" s="40">
        <v>0.18424375381418351</v>
      </c>
      <c r="C217" s="12">
        <v>6.40336540637586</v>
      </c>
      <c r="D217" s="40">
        <v>0.60966868902647264</v>
      </c>
      <c r="E217" s="40">
        <v>2.4185289436933266E-2</v>
      </c>
      <c r="F217" s="37">
        <v>22.425716625408128</v>
      </c>
      <c r="G217" s="12">
        <v>12.248897611279265</v>
      </c>
      <c r="H217" s="37">
        <v>23937.513999634612</v>
      </c>
      <c r="I217" s="37">
        <v>37628.035765845321</v>
      </c>
      <c r="J217" s="37">
        <v>254768.78984355571</v>
      </c>
      <c r="K217" s="37">
        <v>103755.33731189012</v>
      </c>
      <c r="L217" s="37">
        <v>174857.30470993195</v>
      </c>
      <c r="M217" s="37">
        <v>185506.12026543127</v>
      </c>
      <c r="N217" s="37">
        <v>157800.95556942132</v>
      </c>
      <c r="O217" s="37">
        <v>1078739.231876014</v>
      </c>
      <c r="P217" s="68">
        <v>1</v>
      </c>
    </row>
    <row r="218" spans="1:16" x14ac:dyDescent="0.2">
      <c r="A218" s="10">
        <v>216</v>
      </c>
      <c r="B218" s="40">
        <v>0.10447081035771145</v>
      </c>
      <c r="C218" s="12">
        <v>7.4817057546307311</v>
      </c>
      <c r="D218" s="40">
        <v>0.57851420549413979</v>
      </c>
      <c r="E218" s="40">
        <v>3.9339529749895574E-2</v>
      </c>
      <c r="F218" s="37">
        <v>27.016746034073062</v>
      </c>
      <c r="G218" s="12">
        <v>7.4172646581648154</v>
      </c>
      <c r="H218" s="37">
        <v>227963.44876303489</v>
      </c>
      <c r="I218" s="37">
        <v>35392.461224775107</v>
      </c>
      <c r="J218" s="37">
        <v>349815.27228726342</v>
      </c>
      <c r="K218" s="37">
        <v>95363.852760807917</v>
      </c>
      <c r="L218" s="37">
        <v>109925.49869722208</v>
      </c>
      <c r="M218" s="37">
        <v>344939.52743767586</v>
      </c>
      <c r="N218" s="37">
        <v>95555.656346731761</v>
      </c>
      <c r="O218" s="37">
        <v>1662916.4268399335</v>
      </c>
      <c r="P218" s="68">
        <v>1</v>
      </c>
    </row>
    <row r="219" spans="1:16" x14ac:dyDescent="0.2">
      <c r="A219" s="10">
        <v>217</v>
      </c>
      <c r="B219" s="40">
        <v>0.22119896891705587</v>
      </c>
      <c r="C219" s="12">
        <v>4.0853248774893673</v>
      </c>
      <c r="D219" s="40">
        <v>0.55874232714269823</v>
      </c>
      <c r="E219" s="40">
        <v>3.310084051573349E-2</v>
      </c>
      <c r="F219" s="37">
        <v>10.329577691340734</v>
      </c>
      <c r="G219" s="12">
        <v>15.918063756518832</v>
      </c>
      <c r="H219" s="37">
        <v>202051.8127206591</v>
      </c>
      <c r="I219" s="37">
        <v>46339.585761118091</v>
      </c>
      <c r="J219" s="37">
        <v>285096.61773366807</v>
      </c>
      <c r="K219" s="37">
        <v>126007.31503973718</v>
      </c>
      <c r="L219" s="37">
        <v>122746.77733860145</v>
      </c>
      <c r="M219" s="37">
        <v>107176.57946617158</v>
      </c>
      <c r="N219" s="37">
        <v>205070.34602694376</v>
      </c>
      <c r="O219" s="37">
        <v>1276473.600630675</v>
      </c>
      <c r="P219" s="68">
        <v>1</v>
      </c>
    </row>
    <row r="220" spans="1:16" x14ac:dyDescent="0.2">
      <c r="A220" s="10">
        <v>218</v>
      </c>
      <c r="B220" s="40">
        <v>6.1936588149879526E-2</v>
      </c>
      <c r="C220" s="12">
        <v>9.0582601744229532</v>
      </c>
      <c r="D220" s="40">
        <v>0.68813599569321293</v>
      </c>
      <c r="E220" s="40">
        <v>2.8410867922609009E-2</v>
      </c>
      <c r="F220" s="37">
        <v>14.951871584668153</v>
      </c>
      <c r="G220" s="12">
        <v>8.4163087003039596</v>
      </c>
      <c r="H220" s="37">
        <v>92541.22459580173</v>
      </c>
      <c r="I220" s="37">
        <v>32430.365546924189</v>
      </c>
      <c r="J220" s="37">
        <v>307625.66181084455</v>
      </c>
      <c r="K220" s="37">
        <v>131536.80423042079</v>
      </c>
      <c r="L220" s="37">
        <v>93854.515914130068</v>
      </c>
      <c r="M220" s="37">
        <v>163991.39773968805</v>
      </c>
      <c r="N220" s="37">
        <v>108426.21086588487</v>
      </c>
      <c r="O220" s="37">
        <v>700142.52074566414</v>
      </c>
      <c r="P220" s="68">
        <v>1</v>
      </c>
    </row>
    <row r="221" spans="1:16" x14ac:dyDescent="0.2">
      <c r="A221" s="10">
        <v>219</v>
      </c>
      <c r="B221" s="40">
        <v>6.3059627074730104E-2</v>
      </c>
      <c r="C221" s="12">
        <v>8.0312668151204285</v>
      </c>
      <c r="D221" s="40">
        <v>0.61586636898399016</v>
      </c>
      <c r="E221" s="40">
        <v>2.7187409556260377E-2</v>
      </c>
      <c r="F221" s="37">
        <v>11.329418379765038</v>
      </c>
      <c r="G221" s="12">
        <v>27.216225299392239</v>
      </c>
      <c r="H221" s="37">
        <v>142780.70104193426</v>
      </c>
      <c r="I221" s="37">
        <v>35861.928772208492</v>
      </c>
      <c r="J221" s="37">
        <v>279736.52360202349</v>
      </c>
      <c r="K221" s="37">
        <v>156456.95258784841</v>
      </c>
      <c r="L221" s="37">
        <v>75824.712246158393</v>
      </c>
      <c r="M221" s="37">
        <v>106421.32588518561</v>
      </c>
      <c r="N221" s="37">
        <v>350623.09242278128</v>
      </c>
      <c r="O221" s="37">
        <v>1275325.5523095189</v>
      </c>
      <c r="P221" s="68">
        <v>1</v>
      </c>
    </row>
    <row r="222" spans="1:16" x14ac:dyDescent="0.2">
      <c r="A222" s="10">
        <v>220</v>
      </c>
      <c r="B222" s="40">
        <v>8.2082196947146219E-2</v>
      </c>
      <c r="C222" s="12">
        <v>2.8967239987362423</v>
      </c>
      <c r="D222" s="40">
        <v>0.52631069860557023</v>
      </c>
      <c r="E222" s="40">
        <v>2.4092164540845021E-2</v>
      </c>
      <c r="F222" s="37">
        <v>8.3793651230850941</v>
      </c>
      <c r="G222" s="12">
        <v>22.765644130708999</v>
      </c>
      <c r="H222" s="37">
        <v>200442.00911244523</v>
      </c>
      <c r="I222" s="37">
        <v>29806.358584837039</v>
      </c>
      <c r="J222" s="37">
        <v>465948.43132168439</v>
      </c>
      <c r="K222" s="37">
        <v>111411.72009422621</v>
      </c>
      <c r="L222" s="37">
        <v>30421.954824275796</v>
      </c>
      <c r="M222" s="37">
        <v>59606.808003241618</v>
      </c>
      <c r="N222" s="37">
        <v>293286.83380218706</v>
      </c>
      <c r="O222" s="37">
        <v>940899.86616960191</v>
      </c>
      <c r="P222" s="68">
        <v>1</v>
      </c>
    </row>
    <row r="223" spans="1:16" x14ac:dyDescent="0.2">
      <c r="A223" s="10">
        <v>221</v>
      </c>
      <c r="B223" s="40">
        <v>0.16115450436998169</v>
      </c>
      <c r="C223" s="12">
        <v>2.8998916972225999</v>
      </c>
      <c r="D223" s="40">
        <v>0.64552575884949248</v>
      </c>
      <c r="E223" s="40">
        <v>2.2073141953208551E-2</v>
      </c>
      <c r="F223" s="37">
        <v>10.102187288721915</v>
      </c>
      <c r="G223" s="12">
        <v>12.026633102176163</v>
      </c>
      <c r="H223" s="37">
        <v>45383.093395977688</v>
      </c>
      <c r="I223" s="37">
        <v>55977.623884206187</v>
      </c>
      <c r="J223" s="37">
        <v>325172.63979286846</v>
      </c>
      <c r="K223" s="37">
        <v>136362.23032594984</v>
      </c>
      <c r="L223" s="37">
        <v>73337.589931719689</v>
      </c>
      <c r="M223" s="37">
        <v>80753.2260016566</v>
      </c>
      <c r="N223" s="37">
        <v>154937.55079303225</v>
      </c>
      <c r="O223" s="37">
        <v>442551.12724223407</v>
      </c>
      <c r="P223" s="68">
        <v>1</v>
      </c>
    </row>
    <row r="224" spans="1:16" x14ac:dyDescent="0.2">
      <c r="A224" s="10">
        <v>222</v>
      </c>
      <c r="B224" s="40">
        <v>8.3447250412644475E-2</v>
      </c>
      <c r="C224" s="12">
        <v>6.9824516006485835</v>
      </c>
      <c r="D224" s="40">
        <v>0.47268127568337592</v>
      </c>
      <c r="E224" s="40">
        <v>4.0009824664611879E-2</v>
      </c>
      <c r="F224" s="37">
        <v>9.9964046285717387</v>
      </c>
      <c r="G224" s="12">
        <v>18.999992532065903</v>
      </c>
      <c r="H224" s="37">
        <v>89590.187408633647</v>
      </c>
      <c r="I224" s="37">
        <v>35445.647777558042</v>
      </c>
      <c r="J224" s="37">
        <v>350023.09310418955</v>
      </c>
      <c r="K224" s="37">
        <v>141590.26655895959</v>
      </c>
      <c r="L224" s="37">
        <v>66954.102645717969</v>
      </c>
      <c r="M224" s="37">
        <v>106058.53063758607</v>
      </c>
      <c r="N224" s="37">
        <v>244774.4337915759</v>
      </c>
      <c r="O224" s="37">
        <v>774085.09702830284</v>
      </c>
      <c r="P224" s="68">
        <v>1</v>
      </c>
    </row>
    <row r="225" spans="1:16" x14ac:dyDescent="0.2">
      <c r="A225" s="10">
        <v>223</v>
      </c>
      <c r="B225" s="40">
        <v>0.15668996224710866</v>
      </c>
      <c r="C225" s="12">
        <v>7.2044827647897804</v>
      </c>
      <c r="D225" s="40">
        <v>0.68050115369397046</v>
      </c>
      <c r="E225" s="40">
        <v>3.7004286135237298E-2</v>
      </c>
      <c r="F225" s="37">
        <v>15.705596600630988</v>
      </c>
      <c r="G225" s="12">
        <v>8.2649533552162957</v>
      </c>
      <c r="H225" s="37">
        <v>37983.625589516872</v>
      </c>
      <c r="I225" s="37">
        <v>22312.070605211436</v>
      </c>
      <c r="J225" s="37">
        <v>475633.56967657042</v>
      </c>
      <c r="K225" s="37">
        <v>112935.78792749329</v>
      </c>
      <c r="L225" s="37">
        <v>186750.45904955256</v>
      </c>
      <c r="M225" s="37">
        <v>221871.77951584442</v>
      </c>
      <c r="N225" s="37">
        <v>106476.31963131537</v>
      </c>
      <c r="O225" s="37">
        <v>820007.17210544064</v>
      </c>
      <c r="P225" s="68">
        <v>1</v>
      </c>
    </row>
    <row r="226" spans="1:16" x14ac:dyDescent="0.2">
      <c r="A226" s="10">
        <v>224</v>
      </c>
      <c r="B226" s="40">
        <v>0.13539004484098327</v>
      </c>
      <c r="C226" s="12">
        <v>2.8367806417509822</v>
      </c>
      <c r="D226" s="40">
        <v>0.68436499293392861</v>
      </c>
      <c r="E226" s="40">
        <v>1.4815411586873077E-2</v>
      </c>
      <c r="F226" s="37">
        <v>12.456220974413391</v>
      </c>
      <c r="G226" s="12">
        <v>16.488410673182482</v>
      </c>
      <c r="H226" s="37">
        <v>14837.161581208475</v>
      </c>
      <c r="I226" s="37">
        <v>26071.385298921217</v>
      </c>
      <c r="J226" s="37">
        <v>412172.41237962223</v>
      </c>
      <c r="K226" s="37">
        <v>146821.28971456416</v>
      </c>
      <c r="L226" s="37">
        <v>63898.270335895548</v>
      </c>
      <c r="M226" s="37">
        <v>70852.396323474124</v>
      </c>
      <c r="N226" s="37">
        <v>212418.05120922241</v>
      </c>
      <c r="O226" s="37">
        <v>263739.24914245447</v>
      </c>
      <c r="P226" s="68">
        <v>1</v>
      </c>
    </row>
    <row r="227" spans="1:16" x14ac:dyDescent="0.2">
      <c r="A227" s="10">
        <v>225</v>
      </c>
      <c r="B227" s="40">
        <v>0.18018153481013638</v>
      </c>
      <c r="C227" s="12">
        <v>2.4504278910901665</v>
      </c>
      <c r="D227" s="40">
        <v>0.51272925553044568</v>
      </c>
      <c r="E227" s="40">
        <v>2.8426287944316595E-2</v>
      </c>
      <c r="F227" s="37">
        <v>15.516923558705459</v>
      </c>
      <c r="G227" s="12">
        <v>8.0790691093048803</v>
      </c>
      <c r="H227" s="37">
        <v>12837.081212994242</v>
      </c>
      <c r="I227" s="37">
        <v>33064.969243284169</v>
      </c>
      <c r="J227" s="37">
        <v>523064.86077692237</v>
      </c>
      <c r="K227" s="37">
        <v>131719.03032341646</v>
      </c>
      <c r="L227" s="37">
        <v>55033.75382786549</v>
      </c>
      <c r="M227" s="37">
        <v>126876.32824944297</v>
      </c>
      <c r="N227" s="37">
        <v>104081.59705619057</v>
      </c>
      <c r="O227" s="37">
        <v>37751.979330983362</v>
      </c>
      <c r="P227" s="68">
        <v>1</v>
      </c>
    </row>
    <row r="228" spans="1:16" x14ac:dyDescent="0.2">
      <c r="A228" s="10">
        <v>226</v>
      </c>
      <c r="B228" s="40">
        <v>0.14064652407398265</v>
      </c>
      <c r="C228" s="12">
        <v>8.0745350501435311</v>
      </c>
      <c r="D228" s="40">
        <v>0.57364734148034358</v>
      </c>
      <c r="E228" s="40">
        <v>2.3565797552051786E-2</v>
      </c>
      <c r="F228" s="37">
        <v>21.470245539437869</v>
      </c>
      <c r="G228" s="12">
        <v>19.826414557171606</v>
      </c>
      <c r="H228" s="37">
        <v>61566.614573317755</v>
      </c>
      <c r="I228" s="37">
        <v>58089.075933261411</v>
      </c>
      <c r="J228" s="37">
        <v>433357.19410707487</v>
      </c>
      <c r="K228" s="37">
        <v>90742.686052714867</v>
      </c>
      <c r="L228" s="37">
        <v>158372.70785888773</v>
      </c>
      <c r="M228" s="37">
        <v>162828.66822486019</v>
      </c>
      <c r="N228" s="37">
        <v>255421.12130614938</v>
      </c>
      <c r="O228" s="37">
        <v>1263133.4611145149</v>
      </c>
      <c r="P228" s="68">
        <v>1</v>
      </c>
    </row>
    <row r="229" spans="1:16" x14ac:dyDescent="0.2">
      <c r="A229" s="10">
        <v>227</v>
      </c>
      <c r="B229" s="40">
        <v>0.20204349313203501</v>
      </c>
      <c r="C229" s="12">
        <v>4.6275327849685404</v>
      </c>
      <c r="D229" s="40">
        <v>0.66894663638480867</v>
      </c>
      <c r="E229" s="40">
        <v>2.5391398166530462E-2</v>
      </c>
      <c r="F229" s="37">
        <v>9.6608434076192538</v>
      </c>
      <c r="G229" s="12">
        <v>12.911086892875176</v>
      </c>
      <c r="H229" s="37">
        <v>201975.35001515201</v>
      </c>
      <c r="I229" s="37">
        <v>31052.55449975083</v>
      </c>
      <c r="J229" s="37">
        <v>210088.93020924245</v>
      </c>
      <c r="K229" s="37">
        <v>106337.85640451995</v>
      </c>
      <c r="L229" s="37">
        <v>152045.88703755342</v>
      </c>
      <c r="M229" s="37">
        <v>92057.6458707579</v>
      </c>
      <c r="N229" s="37">
        <v>166331.8539996148</v>
      </c>
      <c r="O229" s="37">
        <v>1294741.5519273849</v>
      </c>
      <c r="P229" s="68">
        <v>1</v>
      </c>
    </row>
    <row r="230" spans="1:16" x14ac:dyDescent="0.2">
      <c r="A230" s="10">
        <v>228</v>
      </c>
      <c r="B230" s="40">
        <v>0.16029746729295086</v>
      </c>
      <c r="C230" s="12">
        <v>2.764803961909772</v>
      </c>
      <c r="D230" s="40">
        <v>0.39917670085848156</v>
      </c>
      <c r="E230" s="40">
        <v>4.4056135587334309E-2</v>
      </c>
      <c r="F230" s="37">
        <v>11.742125970337776</v>
      </c>
      <c r="G230" s="12">
        <v>3.6510907549525955</v>
      </c>
      <c r="H230" s="37">
        <v>196300.43574476926</v>
      </c>
      <c r="I230" s="37">
        <v>31550.826517888909</v>
      </c>
      <c r="J230" s="37">
        <v>444841.35210741265</v>
      </c>
      <c r="K230" s="37">
        <v>114790.70742213749</v>
      </c>
      <c r="L230" s="37">
        <v>43007.581169907542</v>
      </c>
      <c r="M230" s="37">
        <v>115847.06935467861</v>
      </c>
      <c r="N230" s="37">
        <v>47036.527554256143</v>
      </c>
      <c r="O230" s="37">
        <v>448745.61796596891</v>
      </c>
      <c r="P230" s="68">
        <v>1</v>
      </c>
    </row>
    <row r="231" spans="1:16" x14ac:dyDescent="0.2">
      <c r="A231" s="10">
        <v>229</v>
      </c>
      <c r="B231" s="40">
        <v>0.19061771760005419</v>
      </c>
      <c r="C231" s="12">
        <v>5.5896587276543279</v>
      </c>
      <c r="D231" s="40">
        <v>0.67603123449528435</v>
      </c>
      <c r="E231" s="40">
        <v>9.4780509370444438E-3</v>
      </c>
      <c r="F231" s="37">
        <v>11.004456934451536</v>
      </c>
      <c r="G231" s="12">
        <v>12.279404299841339</v>
      </c>
      <c r="H231" s="37">
        <v>62460.397043579986</v>
      </c>
      <c r="I231" s="37">
        <v>23481.212317788395</v>
      </c>
      <c r="J231" s="37">
        <v>266522.23529963836</v>
      </c>
      <c r="K231" s="37">
        <v>111748.04502583676</v>
      </c>
      <c r="L231" s="37">
        <v>175107.25895683546</v>
      </c>
      <c r="M231" s="37">
        <v>39556.799631985705</v>
      </c>
      <c r="N231" s="37">
        <v>158193.96927229699</v>
      </c>
      <c r="O231" s="37">
        <v>705790.33968345949</v>
      </c>
      <c r="P231" s="68">
        <v>1</v>
      </c>
    </row>
    <row r="232" spans="1:16" x14ac:dyDescent="0.2">
      <c r="A232" s="10">
        <v>230</v>
      </c>
      <c r="B232" s="40">
        <v>0.10140922015963177</v>
      </c>
      <c r="C232" s="12">
        <v>4.7906400247131273</v>
      </c>
      <c r="D232" s="40">
        <v>0.37866711403039399</v>
      </c>
      <c r="E232" s="40">
        <v>2.4176041008846079E-2</v>
      </c>
      <c r="F232" s="37">
        <v>15.20191964605455</v>
      </c>
      <c r="G232" s="12">
        <v>12.107886297581089</v>
      </c>
      <c r="H232" s="37">
        <v>50879.627859205757</v>
      </c>
      <c r="I232" s="37">
        <v>33538.551759324124</v>
      </c>
      <c r="J232" s="37">
        <v>269418.01347084867</v>
      </c>
      <c r="K232" s="37">
        <v>69539.789397110188</v>
      </c>
      <c r="L232" s="37">
        <v>44721.607002912846</v>
      </c>
      <c r="M232" s="37">
        <v>78074.271033470402</v>
      </c>
      <c r="N232" s="37">
        <v>155984.3251465185</v>
      </c>
      <c r="O232" s="37">
        <v>553306.76157378405</v>
      </c>
      <c r="P232" s="68">
        <v>1</v>
      </c>
    </row>
    <row r="233" spans="1:16" x14ac:dyDescent="0.2">
      <c r="A233" s="10">
        <v>231</v>
      </c>
      <c r="B233" s="40">
        <v>0.16349197912803409</v>
      </c>
      <c r="C233" s="12">
        <v>2.7714762920001248</v>
      </c>
      <c r="D233" s="40">
        <v>0.66638916692662464</v>
      </c>
      <c r="E233" s="40">
        <v>2.0642729458905787E-2</v>
      </c>
      <c r="F233" s="37">
        <v>17.209399663921019</v>
      </c>
      <c r="G233" s="12">
        <v>9.5741573733744545</v>
      </c>
      <c r="H233" s="37">
        <v>115161.21716008635</v>
      </c>
      <c r="I233" s="37">
        <v>25233.453607793879</v>
      </c>
      <c r="J233" s="37">
        <v>572768.32006820035</v>
      </c>
      <c r="K233" s="37">
        <v>108246.57628379921</v>
      </c>
      <c r="L233" s="37">
        <v>73404.786012430719</v>
      </c>
      <c r="M233" s="37">
        <v>132808.99849714543</v>
      </c>
      <c r="N233" s="37">
        <v>123342.62480072456</v>
      </c>
      <c r="O233" s="37">
        <v>440596.39392516227</v>
      </c>
      <c r="P233" s="68">
        <v>1</v>
      </c>
    </row>
    <row r="234" spans="1:16" x14ac:dyDescent="0.2">
      <c r="A234" s="10">
        <v>232</v>
      </c>
      <c r="B234" s="40">
        <v>6.5232269794672754E-2</v>
      </c>
      <c r="C234" s="12">
        <v>3.8938261152563332</v>
      </c>
      <c r="D234" s="40">
        <v>0.46837904789008555</v>
      </c>
      <c r="E234" s="40">
        <v>1.8928378522707179E-2</v>
      </c>
      <c r="F234" s="37">
        <v>12.677527580601506</v>
      </c>
      <c r="G234" s="12">
        <v>14.818822300891663</v>
      </c>
      <c r="H234" s="37">
        <v>223545.48719640003</v>
      </c>
      <c r="I234" s="37">
        <v>66798.394385688793</v>
      </c>
      <c r="J234" s="37">
        <v>400238.42272215744</v>
      </c>
      <c r="K234" s="37">
        <v>130535.88713903146</v>
      </c>
      <c r="L234" s="37">
        <v>28921.800950407138</v>
      </c>
      <c r="M234" s="37">
        <v>63053.9310730734</v>
      </c>
      <c r="N234" s="37">
        <v>190908.96125548819</v>
      </c>
      <c r="O234" s="37">
        <v>840025.78237993014</v>
      </c>
      <c r="P234" s="68">
        <v>1</v>
      </c>
    </row>
    <row r="235" spans="1:16" x14ac:dyDescent="0.2">
      <c r="A235" s="10">
        <v>233</v>
      </c>
      <c r="B235" s="40">
        <v>6.6671795493996128E-2</v>
      </c>
      <c r="C235" s="12">
        <v>5.5917769011809693</v>
      </c>
      <c r="D235" s="40">
        <v>0.42318249166141519</v>
      </c>
      <c r="E235" s="40">
        <v>7.804454498551207E-3</v>
      </c>
      <c r="F235" s="37">
        <v>16.15521817765093</v>
      </c>
      <c r="G235" s="12">
        <v>21.431559049438313</v>
      </c>
      <c r="H235" s="37">
        <v>82171.249939719593</v>
      </c>
      <c r="I235" s="37">
        <v>43581.335596370314</v>
      </c>
      <c r="J235" s="37">
        <v>632034.07210035576</v>
      </c>
      <c r="K235" s="37">
        <v>72853.520043027529</v>
      </c>
      <c r="L235" s="37">
        <v>38353.809568939243</v>
      </c>
      <c r="M235" s="37">
        <v>29932.969544141753</v>
      </c>
      <c r="N235" s="37">
        <v>276099.98913123738</v>
      </c>
      <c r="O235" s="37">
        <v>481016.61169140309</v>
      </c>
      <c r="P235" s="68">
        <v>1</v>
      </c>
    </row>
    <row r="236" spans="1:16" x14ac:dyDescent="0.2">
      <c r="A236" s="10">
        <v>234</v>
      </c>
      <c r="B236" s="40">
        <v>0.19146194618160162</v>
      </c>
      <c r="C236" s="12">
        <v>4.2991176557933919</v>
      </c>
      <c r="D236" s="40">
        <v>0.37717329774698183</v>
      </c>
      <c r="E236" s="40">
        <v>2.8557029542726101E-2</v>
      </c>
      <c r="F236" s="37">
        <v>10.909563500429229</v>
      </c>
      <c r="G236" s="12">
        <v>17.758235497194129</v>
      </c>
      <c r="H236" s="37">
        <v>164265.98844439507</v>
      </c>
      <c r="I236" s="37">
        <v>27651.026264197353</v>
      </c>
      <c r="J236" s="37">
        <v>281143.55495900719</v>
      </c>
      <c r="K236" s="37">
        <v>135464.84663874452</v>
      </c>
      <c r="L236" s="37">
        <v>75472.992215608843</v>
      </c>
      <c r="M236" s="37">
        <v>65921.65108575976</v>
      </c>
      <c r="N236" s="37">
        <v>228777.03933973733</v>
      </c>
      <c r="O236" s="37">
        <v>914101.6021325863</v>
      </c>
      <c r="P236" s="68">
        <v>1</v>
      </c>
    </row>
    <row r="237" spans="1:16" x14ac:dyDescent="0.2">
      <c r="A237" s="10">
        <v>235</v>
      </c>
      <c r="B237" s="40">
        <v>0.17188065415940801</v>
      </c>
      <c r="C237" s="12">
        <v>7.0840221118955444</v>
      </c>
      <c r="D237" s="40">
        <v>0.60369718083919044</v>
      </c>
      <c r="E237" s="40">
        <v>2.5309072190349464E-2</v>
      </c>
      <c r="F237" s="37">
        <v>8.6626151229322552</v>
      </c>
      <c r="G237" s="12">
        <v>6.9854718122305588</v>
      </c>
      <c r="H237" s="37">
        <v>181223.10214622022</v>
      </c>
      <c r="I237" s="37">
        <v>34296.93035093083</v>
      </c>
      <c r="J237" s="37">
        <v>248986.64671592385</v>
      </c>
      <c r="K237" s="37">
        <v>114957.46299900212</v>
      </c>
      <c r="L237" s="37">
        <v>178696.02145041415</v>
      </c>
      <c r="M237" s="37">
        <v>74252.507373329412</v>
      </c>
      <c r="N237" s="37">
        <v>89992.9252456307</v>
      </c>
      <c r="O237" s="37">
        <v>993550.62689484912</v>
      </c>
      <c r="P237" s="68">
        <v>1</v>
      </c>
    </row>
    <row r="238" spans="1:16" x14ac:dyDescent="0.2">
      <c r="A238" s="10">
        <v>236</v>
      </c>
      <c r="B238" s="40">
        <v>0.14486818762816511</v>
      </c>
      <c r="C238" s="12">
        <v>2.9819750429723317</v>
      </c>
      <c r="D238" s="40">
        <v>0.41703438313134061</v>
      </c>
      <c r="E238" s="40">
        <v>2.2925166791209824E-2</v>
      </c>
      <c r="F238" s="37">
        <v>14.434370943338809</v>
      </c>
      <c r="G238" s="12">
        <v>10.16298796067464</v>
      </c>
      <c r="H238" s="37">
        <v>129089.02808332861</v>
      </c>
      <c r="I238" s="37">
        <v>17291.911971054597</v>
      </c>
      <c r="J238" s="37">
        <v>482002.41577504127</v>
      </c>
      <c r="K238" s="37">
        <v>130839.27440307336</v>
      </c>
      <c r="L238" s="37">
        <v>43796.330404443172</v>
      </c>
      <c r="M238" s="37">
        <v>77419.250129355351</v>
      </c>
      <c r="N238" s="37">
        <v>130928.4527089365</v>
      </c>
      <c r="O238" s="37">
        <v>267955.73750823166</v>
      </c>
      <c r="P238" s="68">
        <v>1</v>
      </c>
    </row>
    <row r="239" spans="1:16" x14ac:dyDescent="0.2">
      <c r="A239" s="10">
        <v>237</v>
      </c>
      <c r="B239" s="40">
        <v>0.11386744431884244</v>
      </c>
      <c r="C239" s="12">
        <v>6.1263513089087756</v>
      </c>
      <c r="D239" s="40">
        <v>0.62054328568737338</v>
      </c>
      <c r="E239" s="40">
        <v>1.5261097087218933E-2</v>
      </c>
      <c r="F239" s="37">
        <v>17.456252914628067</v>
      </c>
      <c r="G239" s="12">
        <v>18.994288548337572</v>
      </c>
      <c r="H239" s="37">
        <v>108310.26535422113</v>
      </c>
      <c r="I239" s="37">
        <v>26244.669920052751</v>
      </c>
      <c r="J239" s="37">
        <v>273290.95208475</v>
      </c>
      <c r="K239" s="37">
        <v>93003.081490654833</v>
      </c>
      <c r="L239" s="37">
        <v>105235.52719107985</v>
      </c>
      <c r="M239" s="37">
        <v>92741.815564992081</v>
      </c>
      <c r="N239" s="37">
        <v>244700.95011072169</v>
      </c>
      <c r="O239" s="37">
        <v>1083346.1340442873</v>
      </c>
      <c r="P239" s="68">
        <v>1</v>
      </c>
    </row>
    <row r="240" spans="1:16" x14ac:dyDescent="0.2">
      <c r="A240" s="10">
        <v>238</v>
      </c>
      <c r="B240" s="40">
        <v>0.1268338223912317</v>
      </c>
      <c r="C240" s="12">
        <v>3.6420399679526811</v>
      </c>
      <c r="D240" s="40">
        <v>0.70568860621829088</v>
      </c>
      <c r="E240" s="40">
        <v>1.3789859940138035E-2</v>
      </c>
      <c r="F240" s="37">
        <v>20.444247529690568</v>
      </c>
      <c r="G240" s="12">
        <v>27.686185036573814</v>
      </c>
      <c r="H240" s="37">
        <v>114708.37872991562</v>
      </c>
      <c r="I240" s="37">
        <v>40934.203739350705</v>
      </c>
      <c r="J240" s="37">
        <v>465793.39673567819</v>
      </c>
      <c r="K240" s="37">
        <v>138758.35860662401</v>
      </c>
      <c r="L240" s="37">
        <v>79246.798023098163</v>
      </c>
      <c r="M240" s="37">
        <v>111611.98273318014</v>
      </c>
      <c r="N240" s="37">
        <v>356677.52262212569</v>
      </c>
      <c r="O240" s="37">
        <v>1115508.0251696184</v>
      </c>
      <c r="P240" s="68">
        <v>1</v>
      </c>
    </row>
    <row r="241" spans="1:16" x14ac:dyDescent="0.2">
      <c r="A241" s="10">
        <v>239</v>
      </c>
      <c r="B241" s="40">
        <v>0.1572509832798144</v>
      </c>
      <c r="C241" s="12">
        <v>6.3714889494344593</v>
      </c>
      <c r="D241" s="40">
        <v>0.46200357619206056</v>
      </c>
      <c r="E241" s="40">
        <v>2.4771623776251729E-2</v>
      </c>
      <c r="F241" s="37">
        <v>15.468700186707354</v>
      </c>
      <c r="G241" s="12">
        <v>10.733017379536225</v>
      </c>
      <c r="H241" s="37">
        <v>247379.4381720841</v>
      </c>
      <c r="I241" s="37">
        <v>41397.637090262651</v>
      </c>
      <c r="J241" s="37">
        <v>412936.34741756192</v>
      </c>
      <c r="K241" s="37">
        <v>139778.367713054</v>
      </c>
      <c r="L241" s="37">
        <v>112530.03935924487</v>
      </c>
      <c r="M241" s="37">
        <v>99316.262288605009</v>
      </c>
      <c r="N241" s="37">
        <v>138272.06760830584</v>
      </c>
      <c r="O241" s="37">
        <v>985408.51276610233</v>
      </c>
      <c r="P241" s="68">
        <v>1</v>
      </c>
    </row>
    <row r="242" spans="1:16" x14ac:dyDescent="0.2">
      <c r="A242" s="10">
        <v>240</v>
      </c>
      <c r="B242" s="40">
        <v>0.10588506956010098</v>
      </c>
      <c r="C242" s="12">
        <v>5.144676801897722</v>
      </c>
      <c r="D242" s="40">
        <v>0.68689228088604781</v>
      </c>
      <c r="E242" s="40">
        <v>3.1149879157746314E-2</v>
      </c>
      <c r="F242" s="37">
        <v>12.84753665898225</v>
      </c>
      <c r="G242" s="12">
        <v>12.509143734680631</v>
      </c>
      <c r="H242" s="37">
        <v>216940.54483305232</v>
      </c>
      <c r="I242" s="37">
        <v>10341.027017881177</v>
      </c>
      <c r="J242" s="37">
        <v>353365.31919810531</v>
      </c>
      <c r="K242" s="37">
        <v>182521.10527242208</v>
      </c>
      <c r="L242" s="37">
        <v>90964.154778931756</v>
      </c>
      <c r="M242" s="37">
        <v>154216.76888601109</v>
      </c>
      <c r="N242" s="37">
        <v>161153.67254520507</v>
      </c>
      <c r="O242" s="37">
        <v>910439.29061816877</v>
      </c>
      <c r="P242" s="68">
        <v>1</v>
      </c>
    </row>
    <row r="243" spans="1:16" x14ac:dyDescent="0.2">
      <c r="A243" s="10">
        <v>241</v>
      </c>
      <c r="B243" s="40">
        <v>0.17400277726524749</v>
      </c>
      <c r="C243" s="12">
        <v>3.9712775201107213</v>
      </c>
      <c r="D243" s="40">
        <v>0.80655894370250425</v>
      </c>
      <c r="E243" s="40">
        <v>3.5780538003063661E-2</v>
      </c>
      <c r="F243" s="37">
        <v>15.435364707417673</v>
      </c>
      <c r="G243" s="12">
        <v>4.6653761279950521</v>
      </c>
      <c r="H243" s="37">
        <v>58272.368257035931</v>
      </c>
      <c r="I243" s="37">
        <v>37591.515484407537</v>
      </c>
      <c r="J243" s="37">
        <v>261271.97204491019</v>
      </c>
      <c r="K243" s="37">
        <v>119756.59518189562</v>
      </c>
      <c r="L243" s="37">
        <v>135491.28399216643</v>
      </c>
      <c r="M243" s="37">
        <v>249900.20084323935</v>
      </c>
      <c r="N243" s="37">
        <v>60103.434158063625</v>
      </c>
      <c r="O243" s="37">
        <v>919904.363870456</v>
      </c>
      <c r="P243" s="68">
        <v>1</v>
      </c>
    </row>
    <row r="244" spans="1:16" x14ac:dyDescent="0.2">
      <c r="A244" s="10">
        <v>242</v>
      </c>
      <c r="B244" s="40">
        <v>0.1582172774031653</v>
      </c>
      <c r="C244" s="12">
        <v>3.0077145750624568</v>
      </c>
      <c r="D244" s="40">
        <v>0.79948702336935418</v>
      </c>
      <c r="E244" s="40">
        <v>2.3538675656406396E-2</v>
      </c>
      <c r="F244" s="37">
        <v>17.963397069763275</v>
      </c>
      <c r="G244" s="12">
        <v>1.6497986290964639</v>
      </c>
      <c r="H244" s="37">
        <v>55926.587402130375</v>
      </c>
      <c r="I244" s="37">
        <v>37154.579354350462</v>
      </c>
      <c r="J244" s="37">
        <v>579124.67906677385</v>
      </c>
      <c r="K244" s="37">
        <v>122531.05696443819</v>
      </c>
      <c r="L244" s="37">
        <v>92489.147373124797</v>
      </c>
      <c r="M244" s="37">
        <v>189648.16526353321</v>
      </c>
      <c r="N244" s="37">
        <v>21254.141264827962</v>
      </c>
      <c r="O244" s="37">
        <v>188360.13638632873</v>
      </c>
      <c r="P244" s="68">
        <v>1</v>
      </c>
    </row>
    <row r="245" spans="1:16" x14ac:dyDescent="0.2">
      <c r="A245" s="10">
        <v>243</v>
      </c>
      <c r="B245" s="40">
        <v>0.15760847368178696</v>
      </c>
      <c r="C245" s="12">
        <v>2.5239114982274136</v>
      </c>
      <c r="D245" s="40">
        <v>0.57345092001808207</v>
      </c>
      <c r="E245" s="40">
        <v>2.1437651944549663E-2</v>
      </c>
      <c r="F245" s="37">
        <v>24.501666894620204</v>
      </c>
      <c r="G245" s="12">
        <v>13.328459307497567</v>
      </c>
      <c r="H245" s="37">
        <v>66246.825412219245</v>
      </c>
      <c r="I245" s="37">
        <v>52567.500493404943</v>
      </c>
      <c r="J245" s="37">
        <v>543331.17157594999</v>
      </c>
      <c r="K245" s="37">
        <v>124941.56985903184</v>
      </c>
      <c r="L245" s="37">
        <v>55454.752174826266</v>
      </c>
      <c r="M245" s="37">
        <v>168980.20498305597</v>
      </c>
      <c r="N245" s="37">
        <v>171708.80855878119</v>
      </c>
      <c r="O245" s="37">
        <v>549353.53896330169</v>
      </c>
      <c r="P245" s="68">
        <v>1</v>
      </c>
    </row>
    <row r="246" spans="1:16" x14ac:dyDescent="0.2">
      <c r="A246" s="10">
        <v>244</v>
      </c>
      <c r="B246" s="40">
        <v>0.12073871870694543</v>
      </c>
      <c r="C246" s="12">
        <v>2.9022577145154571</v>
      </c>
      <c r="D246" s="40">
        <v>0.68278352541928289</v>
      </c>
      <c r="E246" s="40">
        <v>3.2281473392972923E-2</v>
      </c>
      <c r="F246" s="37">
        <v>13.835206428959555</v>
      </c>
      <c r="G246" s="12">
        <v>20.50647512194832</v>
      </c>
      <c r="H246" s="37">
        <v>21836.387753060579</v>
      </c>
      <c r="I246" s="37">
        <v>65615.406740033024</v>
      </c>
      <c r="J246" s="37">
        <v>420117.4852791013</v>
      </c>
      <c r="K246" s="37">
        <v>120688.35328314555</v>
      </c>
      <c r="L246" s="37">
        <v>58164.018009690408</v>
      </c>
      <c r="M246" s="37">
        <v>171075.87015821668</v>
      </c>
      <c r="N246" s="37">
        <v>264182.25315429439</v>
      </c>
      <c r="O246" s="37">
        <v>869155.4608262605</v>
      </c>
      <c r="P246" s="68">
        <v>1</v>
      </c>
    </row>
    <row r="247" spans="1:16" x14ac:dyDescent="0.2">
      <c r="A247" s="10">
        <v>245</v>
      </c>
      <c r="B247" s="40">
        <v>8.9392750734007959E-2</v>
      </c>
      <c r="C247" s="12">
        <v>6.8051848786381974</v>
      </c>
      <c r="D247" s="40">
        <v>0.26087850105095245</v>
      </c>
      <c r="E247" s="40">
        <v>3.3033635083334879E-2</v>
      </c>
      <c r="F247" s="37">
        <v>21.374372286007535</v>
      </c>
      <c r="G247" s="12">
        <v>11.058853024527656</v>
      </c>
      <c r="H247" s="37">
        <v>101197.00199716189</v>
      </c>
      <c r="I247" s="37">
        <v>29510.700205567966</v>
      </c>
      <c r="J247" s="37">
        <v>240252.14162648277</v>
      </c>
      <c r="K247" s="37">
        <v>138433.22425809503</v>
      </c>
      <c r="L247" s="37">
        <v>38580.633061234294</v>
      </c>
      <c r="M247" s="37">
        <v>103336.74050447065</v>
      </c>
      <c r="N247" s="37">
        <v>142469.76586409661</v>
      </c>
      <c r="O247" s="37">
        <v>534853.27680912125</v>
      </c>
      <c r="P247" s="68">
        <v>1</v>
      </c>
    </row>
    <row r="248" spans="1:16" x14ac:dyDescent="0.2">
      <c r="A248" s="10">
        <v>246</v>
      </c>
      <c r="B248" s="40">
        <v>7.4519071427431957E-2</v>
      </c>
      <c r="C248" s="12">
        <v>2.3637990616506013</v>
      </c>
      <c r="D248" s="40">
        <v>0.38964770040408797</v>
      </c>
      <c r="E248" s="40">
        <v>3.2506502098086226E-2</v>
      </c>
      <c r="F248" s="37">
        <v>11.800922881477426</v>
      </c>
      <c r="G248" s="12">
        <v>11.440283105457361</v>
      </c>
      <c r="H248" s="37">
        <v>80025.806606964063</v>
      </c>
      <c r="I248" s="37">
        <v>34740.345474276743</v>
      </c>
      <c r="J248" s="37">
        <v>265536.75191812986</v>
      </c>
      <c r="K248" s="37">
        <v>178158.61239601596</v>
      </c>
      <c r="L248" s="37">
        <v>16685.488942997927</v>
      </c>
      <c r="M248" s="37">
        <v>83854.246529068128</v>
      </c>
      <c r="N248" s="37">
        <v>147383.68001080348</v>
      </c>
      <c r="O248" s="37">
        <v>251451.99620412255</v>
      </c>
      <c r="P248" s="68">
        <v>1</v>
      </c>
    </row>
    <row r="249" spans="1:16" x14ac:dyDescent="0.2">
      <c r="A249" s="10">
        <v>247</v>
      </c>
      <c r="B249" s="40">
        <v>6.476717603340261E-2</v>
      </c>
      <c r="C249" s="12">
        <v>5.5595361215973949</v>
      </c>
      <c r="D249" s="40">
        <v>0.70577772970814301</v>
      </c>
      <c r="E249" s="40">
        <v>3.9869682588032668E-2</v>
      </c>
      <c r="F249" s="37">
        <v>16.979952970762383</v>
      </c>
      <c r="G249" s="12">
        <v>12.67422998968625</v>
      </c>
      <c r="H249" s="37">
        <v>165852.59041556896</v>
      </c>
      <c r="I249" s="37">
        <v>25637.400044347072</v>
      </c>
      <c r="J249" s="37">
        <v>271751.01933719264</v>
      </c>
      <c r="K249" s="37">
        <v>120282.33363442364</v>
      </c>
      <c r="L249" s="37">
        <v>61780.340514251984</v>
      </c>
      <c r="M249" s="37">
        <v>268048.84705694427</v>
      </c>
      <c r="N249" s="37">
        <v>163280.45730722931</v>
      </c>
      <c r="O249" s="37">
        <v>1309261.2020859104</v>
      </c>
      <c r="P249" s="68">
        <v>1</v>
      </c>
    </row>
    <row r="250" spans="1:16" x14ac:dyDescent="0.2">
      <c r="A250" s="10">
        <v>248</v>
      </c>
      <c r="B250" s="40">
        <v>0.19119666232768467</v>
      </c>
      <c r="C250" s="12">
        <v>5.1323202968471966</v>
      </c>
      <c r="D250" s="40">
        <v>0.72149864001435082</v>
      </c>
      <c r="E250" s="40">
        <v>2.1321179413853752E-2</v>
      </c>
      <c r="F250" s="37">
        <v>23.277644055008135</v>
      </c>
      <c r="G250" s="12">
        <v>14.135111298793207</v>
      </c>
      <c r="H250" s="37">
        <v>123124.57252025968</v>
      </c>
      <c r="I250" s="37">
        <v>31303.637217097894</v>
      </c>
      <c r="J250" s="37">
        <v>384320.19559686794</v>
      </c>
      <c r="K250" s="37">
        <v>107064.56951764968</v>
      </c>
      <c r="L250" s="37">
        <v>172114.87465252655</v>
      </c>
      <c r="M250" s="37">
        <v>200887.30680502552</v>
      </c>
      <c r="N250" s="37">
        <v>182100.80129788406</v>
      </c>
      <c r="O250" s="37">
        <v>1303572.5750964582</v>
      </c>
      <c r="P250" s="68">
        <v>1</v>
      </c>
    </row>
    <row r="251" spans="1:16" x14ac:dyDescent="0.2">
      <c r="A251" s="10">
        <v>249</v>
      </c>
      <c r="B251" s="40">
        <v>0.14148715458094535</v>
      </c>
      <c r="C251" s="12">
        <v>4.9564944701850102</v>
      </c>
      <c r="D251" s="40">
        <v>0.44563387160371315</v>
      </c>
      <c r="E251" s="40">
        <v>2.5349700022154014E-2</v>
      </c>
      <c r="F251" s="37">
        <v>21.39853006558624</v>
      </c>
      <c r="G251" s="12">
        <v>21.400921669521892</v>
      </c>
      <c r="H251" s="37">
        <v>83827.358008314885</v>
      </c>
      <c r="I251" s="37">
        <v>31011.58905833738</v>
      </c>
      <c r="J251" s="37">
        <v>445198.64617647463</v>
      </c>
      <c r="K251" s="37">
        <v>123640.73587298118</v>
      </c>
      <c r="L251" s="37">
        <v>75972.892467948914</v>
      </c>
      <c r="M251" s="37">
        <v>135613.11471791621</v>
      </c>
      <c r="N251" s="37">
        <v>275705.29174863349</v>
      </c>
      <c r="O251" s="37">
        <v>895355.26037786331</v>
      </c>
      <c r="P251" s="68">
        <v>1</v>
      </c>
    </row>
    <row r="252" spans="1:16" x14ac:dyDescent="0.2">
      <c r="A252" s="10">
        <v>250</v>
      </c>
      <c r="B252" s="40">
        <v>9.3207577553224188E-2</v>
      </c>
      <c r="C252" s="12">
        <v>2.5926467808646709</v>
      </c>
      <c r="D252" s="40">
        <v>0.62303582207396402</v>
      </c>
      <c r="E252" s="40">
        <v>2.906671452418564E-2</v>
      </c>
      <c r="F252" s="37">
        <v>15.484105081937374</v>
      </c>
      <c r="G252" s="12">
        <v>3.8648741080351665</v>
      </c>
      <c r="H252" s="37">
        <v>144889.50812480558</v>
      </c>
      <c r="I252" s="37">
        <v>28067.907662730369</v>
      </c>
      <c r="J252" s="37">
        <v>257584.68625506858</v>
      </c>
      <c r="K252" s="37">
        <v>157228.04408738425</v>
      </c>
      <c r="L252" s="37">
        <v>36601.292428852423</v>
      </c>
      <c r="M252" s="37">
        <v>157311.98269868561</v>
      </c>
      <c r="N252" s="37">
        <v>49790.670700183007</v>
      </c>
      <c r="O252" s="37">
        <v>469253.29021213378</v>
      </c>
      <c r="P252" s="68">
        <v>1</v>
      </c>
    </row>
    <row r="253" spans="1:16" x14ac:dyDescent="0.2">
      <c r="A253" s="10">
        <v>251</v>
      </c>
      <c r="B253" s="40">
        <v>0.17432912545734158</v>
      </c>
      <c r="C253" s="12">
        <v>4.9910919222282955</v>
      </c>
      <c r="D253" s="40">
        <v>0.47606523949515195</v>
      </c>
      <c r="E253" s="40">
        <v>4.1221652230712974E-2</v>
      </c>
      <c r="F253" s="37">
        <v>9.6259273010259534</v>
      </c>
      <c r="G253" s="12">
        <v>6.8288588333063291</v>
      </c>
      <c r="H253" s="37">
        <v>151732.24935183936</v>
      </c>
      <c r="I253" s="37">
        <v>60507.299206258176</v>
      </c>
      <c r="J253" s="37">
        <v>374505.72606613045</v>
      </c>
      <c r="K253" s="37">
        <v>177836.86010002674</v>
      </c>
      <c r="L253" s="37">
        <v>100697.99457111809</v>
      </c>
      <c r="M253" s="37">
        <v>105974.45125481579</v>
      </c>
      <c r="N253" s="37">
        <v>87975.300597837107</v>
      </c>
      <c r="O253" s="37">
        <v>547374.14088455727</v>
      </c>
      <c r="P253" s="68">
        <v>1</v>
      </c>
    </row>
    <row r="254" spans="1:16" x14ac:dyDescent="0.2">
      <c r="A254" s="10">
        <v>252</v>
      </c>
      <c r="B254" s="40">
        <v>0.13885387093960838</v>
      </c>
      <c r="C254" s="12">
        <v>6.4411824092292154</v>
      </c>
      <c r="D254" s="40">
        <v>0.42859014282897706</v>
      </c>
      <c r="E254" s="40">
        <v>3.6914471901008265E-2</v>
      </c>
      <c r="F254" s="37">
        <v>8.3486191014343376</v>
      </c>
      <c r="G254" s="12">
        <v>5.3999824584250256</v>
      </c>
      <c r="H254" s="37">
        <v>58117.647434219201</v>
      </c>
      <c r="I254" s="37">
        <v>33406.009242553824</v>
      </c>
      <c r="J254" s="37">
        <v>273124.14765319275</v>
      </c>
      <c r="K254" s="37">
        <v>165743.91934642053</v>
      </c>
      <c r="L254" s="37">
        <v>93186.842732962017</v>
      </c>
      <c r="M254" s="37">
        <v>74100.342848619766</v>
      </c>
      <c r="N254" s="37">
        <v>69567.272014170012</v>
      </c>
      <c r="O254" s="37">
        <v>182517.82721290051</v>
      </c>
      <c r="P254" s="68">
        <v>1</v>
      </c>
    </row>
    <row r="255" spans="1:16" x14ac:dyDescent="0.2">
      <c r="A255" s="10">
        <v>253</v>
      </c>
      <c r="B255" s="40">
        <v>0.13888675727885208</v>
      </c>
      <c r="C255" s="12">
        <v>4.0578985045686489</v>
      </c>
      <c r="D255" s="40">
        <v>0.60797600747610825</v>
      </c>
      <c r="E255" s="40">
        <v>2.6005154440872036E-2</v>
      </c>
      <c r="F255" s="37">
        <v>26.814960237206773</v>
      </c>
      <c r="G255" s="12">
        <v>15.69183469146218</v>
      </c>
      <c r="H255" s="37">
        <v>84144.404387885006</v>
      </c>
      <c r="I255" s="37">
        <v>15648.507004099647</v>
      </c>
      <c r="J255" s="37">
        <v>182552.83730797248</v>
      </c>
      <c r="K255" s="37">
        <v>68807.19293558193</v>
      </c>
      <c r="L255" s="37">
        <v>83298.520750596974</v>
      </c>
      <c r="M255" s="37">
        <v>237842.66785689016</v>
      </c>
      <c r="N255" s="37">
        <v>202155.8663915974</v>
      </c>
      <c r="O255" s="37">
        <v>1370346.2786883048</v>
      </c>
      <c r="P255" s="68">
        <v>1</v>
      </c>
    </row>
    <row r="256" spans="1:16" x14ac:dyDescent="0.2">
      <c r="A256" s="10">
        <v>254</v>
      </c>
      <c r="B256" s="40">
        <v>0.14907278807303459</v>
      </c>
      <c r="C256" s="12">
        <v>7.5414933404325524</v>
      </c>
      <c r="D256" s="40">
        <v>0.44904819281540886</v>
      </c>
      <c r="E256" s="40">
        <v>2.7614833074218345E-2</v>
      </c>
      <c r="F256" s="37">
        <v>11.235544506714836</v>
      </c>
      <c r="G256" s="12">
        <v>22.245834528565958</v>
      </c>
      <c r="H256" s="37">
        <v>49502.867709576691</v>
      </c>
      <c r="I256" s="37">
        <v>54670.105730354699</v>
      </c>
      <c r="J256" s="37">
        <v>300367.24928788492</v>
      </c>
      <c r="K256" s="37">
        <v>129908.06527122844</v>
      </c>
      <c r="L256" s="37">
        <v>122726.26248678587</v>
      </c>
      <c r="M256" s="37">
        <v>78162.102247122122</v>
      </c>
      <c r="N256" s="37">
        <v>286590.19427302654</v>
      </c>
      <c r="O256" s="37">
        <v>993270.32404667023</v>
      </c>
      <c r="P256" s="68">
        <v>1</v>
      </c>
    </row>
    <row r="257" spans="1:16" x14ac:dyDescent="0.2">
      <c r="A257" s="10">
        <v>255</v>
      </c>
      <c r="B257" s="40">
        <v>7.766182464951131E-2</v>
      </c>
      <c r="C257" s="12">
        <v>6.1798826667597542</v>
      </c>
      <c r="D257" s="40">
        <v>0.72207292625133002</v>
      </c>
      <c r="E257" s="40">
        <v>2.8707265769014098E-2</v>
      </c>
      <c r="F257" s="37">
        <v>20.177444286376748</v>
      </c>
      <c r="G257" s="12">
        <v>20.247574923937556</v>
      </c>
      <c r="H257" s="37">
        <v>48353.974519084913</v>
      </c>
      <c r="I257" s="37">
        <v>28958.373325268156</v>
      </c>
      <c r="J257" s="37">
        <v>414324.23134289123</v>
      </c>
      <c r="K257" s="37">
        <v>212839.62561419056</v>
      </c>
      <c r="L257" s="37">
        <v>84247.633546419631</v>
      </c>
      <c r="M257" s="37">
        <v>234642.0154797686</v>
      </c>
      <c r="N257" s="37">
        <v>260846.87556034746</v>
      </c>
      <c r="O257" s="37">
        <v>830188.82180257072</v>
      </c>
      <c r="P257" s="68">
        <v>1</v>
      </c>
    </row>
    <row r="258" spans="1:16" x14ac:dyDescent="0.2">
      <c r="A258" s="10">
        <v>256</v>
      </c>
      <c r="B258" s="40">
        <v>0.14423642632488104</v>
      </c>
      <c r="C258" s="12">
        <v>6.1015432567620813</v>
      </c>
      <c r="D258" s="40">
        <v>0.82754802699759233</v>
      </c>
      <c r="E258" s="40">
        <v>1.0388574149141188E-2</v>
      </c>
      <c r="F258" s="37">
        <v>12.125307531598047</v>
      </c>
      <c r="G258" s="12">
        <v>9.6704837671488129</v>
      </c>
      <c r="H258" s="37">
        <v>150948.07884626923</v>
      </c>
      <c r="I258" s="37">
        <v>19897.042824424763</v>
      </c>
      <c r="J258" s="37">
        <v>404044.0601508742</v>
      </c>
      <c r="K258" s="37">
        <v>144483.45400118694</v>
      </c>
      <c r="L258" s="37">
        <v>177050.30743656322</v>
      </c>
      <c r="M258" s="37">
        <v>58480.172609562425</v>
      </c>
      <c r="N258" s="37">
        <v>124583.58520928845</v>
      </c>
      <c r="O258" s="37">
        <v>678720.64543729275</v>
      </c>
      <c r="P258" s="68">
        <v>1</v>
      </c>
    </row>
    <row r="259" spans="1:16" x14ac:dyDescent="0.2">
      <c r="A259" s="10">
        <v>257</v>
      </c>
      <c r="B259" s="40">
        <v>0.13537456514873147</v>
      </c>
      <c r="C259" s="12">
        <v>6.9181607712721647</v>
      </c>
      <c r="D259" s="40">
        <v>0.60519331731959769</v>
      </c>
      <c r="E259" s="40">
        <v>2.1540568806483112E-2</v>
      </c>
      <c r="F259" s="37">
        <v>19.434825971185543</v>
      </c>
      <c r="G259" s="12">
        <v>15.842394555851834</v>
      </c>
      <c r="H259" s="37">
        <v>84944.798400220316</v>
      </c>
      <c r="I259" s="37">
        <v>57163.238175077706</v>
      </c>
      <c r="J259" s="37">
        <v>393087.33848673024</v>
      </c>
      <c r="K259" s="37">
        <v>158103.52890482804</v>
      </c>
      <c r="L259" s="37">
        <v>137787.77217991572</v>
      </c>
      <c r="M259" s="37">
        <v>142134.22934031865</v>
      </c>
      <c r="N259" s="37">
        <v>204095.50955174692</v>
      </c>
      <c r="O259" s="37">
        <v>918140.45710398385</v>
      </c>
      <c r="P259" s="68">
        <v>1</v>
      </c>
    </row>
    <row r="260" spans="1:16" x14ac:dyDescent="0.2">
      <c r="A260" s="10">
        <v>258</v>
      </c>
      <c r="B260" s="40">
        <v>0.23172577719477225</v>
      </c>
      <c r="C260" s="12">
        <v>6.8090872750369726</v>
      </c>
      <c r="D260" s="40">
        <v>0.69807119008098362</v>
      </c>
      <c r="E260" s="40">
        <v>2.3454428248597878E-2</v>
      </c>
      <c r="F260" s="37">
        <v>9.6393265973886706</v>
      </c>
      <c r="G260" s="12">
        <v>8.7046794998958994</v>
      </c>
      <c r="H260" s="37">
        <v>187992.11751512822</v>
      </c>
      <c r="I260" s="37">
        <v>33078.519314736172</v>
      </c>
      <c r="J260" s="37">
        <v>392330.87285532977</v>
      </c>
      <c r="K260" s="37">
        <v>97587.655387765713</v>
      </c>
      <c r="L260" s="37">
        <v>267763.7566671329</v>
      </c>
      <c r="M260" s="37">
        <v>88539.689052499351</v>
      </c>
      <c r="N260" s="37">
        <v>112141.25438882389</v>
      </c>
      <c r="O260" s="37">
        <v>1266035.6098031842</v>
      </c>
      <c r="P260" s="68">
        <v>1</v>
      </c>
    </row>
    <row r="261" spans="1:16" x14ac:dyDescent="0.2">
      <c r="A261" s="10">
        <v>259</v>
      </c>
      <c r="B261" s="40">
        <v>0.20081524718229307</v>
      </c>
      <c r="C261" s="12">
        <v>7.6353465049686591</v>
      </c>
      <c r="D261" s="40">
        <v>0.55202443046630312</v>
      </c>
      <c r="E261" s="40">
        <v>2.933959163127442E-2</v>
      </c>
      <c r="F261" s="37">
        <v>10.760427214422862</v>
      </c>
      <c r="G261" s="12">
        <v>4.3092798893093844</v>
      </c>
      <c r="H261" s="37">
        <v>80928.848083956807</v>
      </c>
      <c r="I261" s="37">
        <v>11096.934564618154</v>
      </c>
      <c r="J261" s="37">
        <v>300511.39361351542</v>
      </c>
      <c r="K261" s="37">
        <v>120522.01086285451</v>
      </c>
      <c r="L261" s="37">
        <v>205765.50144305991</v>
      </c>
      <c r="M261" s="37">
        <v>97770.674034005584</v>
      </c>
      <c r="N261" s="37">
        <v>55515.892607587193</v>
      </c>
      <c r="O261" s="37">
        <v>625586.07162429346</v>
      </c>
      <c r="P261" s="68">
        <v>1</v>
      </c>
    </row>
    <row r="262" spans="1:16" x14ac:dyDescent="0.2">
      <c r="A262" s="10">
        <v>260</v>
      </c>
      <c r="B262" s="40">
        <v>6.0977720802918314E-2</v>
      </c>
      <c r="C262" s="12">
        <v>4.9853296413743777</v>
      </c>
      <c r="D262" s="40">
        <v>0.43029495560547421</v>
      </c>
      <c r="E262" s="40">
        <v>2.3837236633542695E-2</v>
      </c>
      <c r="F262" s="37">
        <v>18.243966840508691</v>
      </c>
      <c r="G262" s="12">
        <v>2.9720862546624045</v>
      </c>
      <c r="H262" s="37">
        <v>147379.89384008723</v>
      </c>
      <c r="I262" s="37">
        <v>28779.781177926219</v>
      </c>
      <c r="J262" s="37">
        <v>379687.38103273371</v>
      </c>
      <c r="K262" s="37">
        <v>113720.57108960894</v>
      </c>
      <c r="L262" s="37">
        <v>31799.489792027987</v>
      </c>
      <c r="M262" s="37">
        <v>104980.38684184208</v>
      </c>
      <c r="N262" s="37">
        <v>38289.000847602649</v>
      </c>
      <c r="O262" s="37">
        <v>285723.76294733048</v>
      </c>
      <c r="P262" s="68">
        <v>1</v>
      </c>
    </row>
    <row r="263" spans="1:16" x14ac:dyDescent="0.2">
      <c r="A263" s="10">
        <v>261</v>
      </c>
      <c r="B263" s="40">
        <v>0.1288438614023405</v>
      </c>
      <c r="C263" s="12">
        <v>3.4264961331817965</v>
      </c>
      <c r="D263" s="40">
        <v>0.54053220838909555</v>
      </c>
      <c r="E263" s="40">
        <v>4.5669780673016427E-2</v>
      </c>
      <c r="F263" s="37">
        <v>10.728916919975905</v>
      </c>
      <c r="G263" s="12">
        <v>19.498226871743473</v>
      </c>
      <c r="H263" s="37">
        <v>58148.397395650602</v>
      </c>
      <c r="I263" s="37">
        <v>39473.799017573307</v>
      </c>
      <c r="J263" s="37">
        <v>279484.18269888498</v>
      </c>
      <c r="K263" s="37">
        <v>65294.760928690332</v>
      </c>
      <c r="L263" s="37">
        <v>58012.874458966449</v>
      </c>
      <c r="M263" s="37">
        <v>148584.36662571793</v>
      </c>
      <c r="N263" s="37">
        <v>251193.12201917786</v>
      </c>
      <c r="O263" s="37">
        <v>1093647.966830354</v>
      </c>
      <c r="P263" s="68">
        <v>1</v>
      </c>
    </row>
    <row r="264" spans="1:16" x14ac:dyDescent="0.2">
      <c r="A264" s="10">
        <v>262</v>
      </c>
      <c r="B264" s="40">
        <v>0.21284081697202753</v>
      </c>
      <c r="C264" s="12">
        <v>3.6228844194973657</v>
      </c>
      <c r="D264" s="40">
        <v>0.48126039938196108</v>
      </c>
      <c r="E264" s="40">
        <v>1.881865850684851E-2</v>
      </c>
      <c r="F264" s="37">
        <v>26.831404734463487</v>
      </c>
      <c r="G264" s="12">
        <v>26.280020609550636</v>
      </c>
      <c r="H264" s="37">
        <v>145954.06960875943</v>
      </c>
      <c r="I264" s="37">
        <v>34772.005614759204</v>
      </c>
      <c r="J264" s="37">
        <v>323491.9723006736</v>
      </c>
      <c r="K264" s="37">
        <v>196941.02905290437</v>
      </c>
      <c r="L264" s="37">
        <v>90214.916800850202</v>
      </c>
      <c r="M264" s="37">
        <v>136326.07495249374</v>
      </c>
      <c r="N264" s="37">
        <v>338562.08911016164</v>
      </c>
      <c r="O264" s="37">
        <v>1214293.3027825472</v>
      </c>
      <c r="P264" s="68">
        <v>1</v>
      </c>
    </row>
    <row r="265" spans="1:16" x14ac:dyDescent="0.2">
      <c r="A265" s="10">
        <v>263</v>
      </c>
      <c r="B265" s="40">
        <v>0.15581106903762801</v>
      </c>
      <c r="C265" s="12">
        <v>2.8073141724416182</v>
      </c>
      <c r="D265" s="40">
        <v>0.69091388922229502</v>
      </c>
      <c r="E265" s="40">
        <v>2.5656045609354829E-2</v>
      </c>
      <c r="F265" s="37">
        <v>21.853415771144199</v>
      </c>
      <c r="G265" s="12">
        <v>7.1355358707909193</v>
      </c>
      <c r="H265" s="37">
        <v>179444.44783957856</v>
      </c>
      <c r="I265" s="37">
        <v>8068.3640494888768</v>
      </c>
      <c r="J265" s="37">
        <v>602283.571463614</v>
      </c>
      <c r="K265" s="37">
        <v>74018.460833528967</v>
      </c>
      <c r="L265" s="37">
        <v>73468.653148322177</v>
      </c>
      <c r="M265" s="37">
        <v>217320.00315302075</v>
      </c>
      <c r="N265" s="37">
        <v>91926.181003736201</v>
      </c>
      <c r="O265" s="37">
        <v>787914.44091664057</v>
      </c>
      <c r="P265" s="68">
        <v>1</v>
      </c>
    </row>
    <row r="266" spans="1:16" x14ac:dyDescent="0.2">
      <c r="A266" s="10">
        <v>264</v>
      </c>
      <c r="B266" s="40">
        <v>0.16266129963465542</v>
      </c>
      <c r="C266" s="12">
        <v>1.6177341102183769</v>
      </c>
      <c r="D266" s="40">
        <v>0.37510994536549336</v>
      </c>
      <c r="E266" s="40">
        <v>2.9589597365136222E-2</v>
      </c>
      <c r="F266" s="37">
        <v>9.8632959518012946</v>
      </c>
      <c r="G266" s="12">
        <v>15.825715329635958</v>
      </c>
      <c r="H266" s="37">
        <v>94170.567738717451</v>
      </c>
      <c r="I266" s="37">
        <v>45106.822381270831</v>
      </c>
      <c r="J266" s="37">
        <v>295142.02917784458</v>
      </c>
      <c r="K266" s="37">
        <v>186099.75963278036</v>
      </c>
      <c r="L266" s="37">
        <v>23995.996452749918</v>
      </c>
      <c r="M266" s="37">
        <v>61416.693407180603</v>
      </c>
      <c r="N266" s="37">
        <v>203880.63324870722</v>
      </c>
      <c r="O266" s="37">
        <v>384173.56121367449</v>
      </c>
      <c r="P266" s="68">
        <v>1</v>
      </c>
    </row>
    <row r="267" spans="1:16" x14ac:dyDescent="0.2">
      <c r="A267" s="10">
        <v>265</v>
      </c>
      <c r="B267" s="40">
        <v>9.8067364797258791E-2</v>
      </c>
      <c r="C267" s="12">
        <v>7.3275935600638933</v>
      </c>
      <c r="D267" s="40">
        <v>0.61634912591773616</v>
      </c>
      <c r="E267" s="40">
        <v>2.9491698746277335E-2</v>
      </c>
      <c r="F267" s="37">
        <v>22.953641453674969</v>
      </c>
      <c r="G267" s="12">
        <v>17.560959972055642</v>
      </c>
      <c r="H267" s="37">
        <v>181998.30323149665</v>
      </c>
      <c r="I267" s="37">
        <v>32460.190960958538</v>
      </c>
      <c r="J267" s="37">
        <v>272928.24089497095</v>
      </c>
      <c r="K267" s="37">
        <v>76952.122261272438</v>
      </c>
      <c r="L267" s="37">
        <v>107671.68055502976</v>
      </c>
      <c r="M267" s="37">
        <v>234069.53849174656</v>
      </c>
      <c r="N267" s="37">
        <v>226235.56439519647</v>
      </c>
      <c r="O267" s="37">
        <v>1703579.4566101136</v>
      </c>
      <c r="P267" s="68">
        <v>1</v>
      </c>
    </row>
    <row r="268" spans="1:16" x14ac:dyDescent="0.2">
      <c r="A268" s="10">
        <v>266</v>
      </c>
      <c r="B268" s="40">
        <v>0.15718110688812856</v>
      </c>
      <c r="C268" s="12">
        <v>7.2248937663551427</v>
      </c>
      <c r="D268" s="40">
        <v>0.77409867175618763</v>
      </c>
      <c r="E268" s="40">
        <v>3.1684969120003292E-2</v>
      </c>
      <c r="F268" s="37">
        <v>13.306410593060701</v>
      </c>
      <c r="G268" s="12">
        <v>15.643337362221793</v>
      </c>
      <c r="H268" s="37">
        <v>71136.571968557721</v>
      </c>
      <c r="I268" s="37">
        <v>21810.384750998361</v>
      </c>
      <c r="J268" s="37">
        <v>493730.39435293031</v>
      </c>
      <c r="K268" s="37">
        <v>98850.272603604375</v>
      </c>
      <c r="L268" s="37">
        <v>213706.12042499008</v>
      </c>
      <c r="M268" s="37">
        <v>183095.32800874213</v>
      </c>
      <c r="N268" s="37">
        <v>201531.08160364625</v>
      </c>
      <c r="O268" s="37">
        <v>1166041.2005926531</v>
      </c>
      <c r="P268" s="68">
        <v>1</v>
      </c>
    </row>
    <row r="269" spans="1:16" x14ac:dyDescent="0.2">
      <c r="A269" s="10">
        <v>267</v>
      </c>
      <c r="B269" s="40">
        <v>0.12433712641005579</v>
      </c>
      <c r="C269" s="12">
        <v>5.4867094378395294</v>
      </c>
      <c r="D269" s="40">
        <v>0.68941922993442417</v>
      </c>
      <c r="E269" s="40">
        <v>3.3149314715256353E-2</v>
      </c>
      <c r="F269" s="37">
        <v>16.206235912028582</v>
      </c>
      <c r="G269" s="12">
        <v>14.451785656564859</v>
      </c>
      <c r="H269" s="37">
        <v>78748.183873392758</v>
      </c>
      <c r="I269" s="37">
        <v>46799.618530097992</v>
      </c>
      <c r="J269" s="37">
        <v>481756.46780045982</v>
      </c>
      <c r="K269" s="37">
        <v>96413.257712066115</v>
      </c>
      <c r="L269" s="37">
        <v>114336.53068121999</v>
      </c>
      <c r="M269" s="37">
        <v>207781.48046731364</v>
      </c>
      <c r="N269" s="37">
        <v>186180.47588138972</v>
      </c>
      <c r="O269" s="37">
        <v>1023935.7886346087</v>
      </c>
      <c r="P269" s="68">
        <v>1</v>
      </c>
    </row>
    <row r="270" spans="1:16" x14ac:dyDescent="0.2">
      <c r="A270" s="10">
        <v>268</v>
      </c>
      <c r="B270" s="40">
        <v>4.9198478163217804E-2</v>
      </c>
      <c r="C270" s="12">
        <v>6.4416555365831538</v>
      </c>
      <c r="D270" s="40">
        <v>0.38843891130362851</v>
      </c>
      <c r="E270" s="40">
        <v>1.1122624223081135E-2</v>
      </c>
      <c r="F270" s="37">
        <v>14.825152321214166</v>
      </c>
      <c r="G270" s="12">
        <v>9.3376422750967478</v>
      </c>
      <c r="H270" s="37">
        <v>128732.7506458221</v>
      </c>
      <c r="I270" s="37">
        <v>44371.073273137059</v>
      </c>
      <c r="J270" s="37">
        <v>502752.63739438576</v>
      </c>
      <c r="K270" s="37">
        <v>86555.732224811887</v>
      </c>
      <c r="L270" s="37">
        <v>29926.830534338911</v>
      </c>
      <c r="M270" s="37">
        <v>35933.199556093103</v>
      </c>
      <c r="N270" s="37">
        <v>120295.63153657565</v>
      </c>
      <c r="O270" s="37">
        <v>261264.28274411603</v>
      </c>
      <c r="P270" s="68">
        <v>1</v>
      </c>
    </row>
    <row r="271" spans="1:16" x14ac:dyDescent="0.2">
      <c r="A271" s="10">
        <v>269</v>
      </c>
      <c r="B271" s="40">
        <v>0.17350144649219856</v>
      </c>
      <c r="C271" s="12">
        <v>7.4174450041350646</v>
      </c>
      <c r="D271" s="40">
        <v>0.62708954704855002</v>
      </c>
      <c r="E271" s="40">
        <v>7.7666894699068359E-3</v>
      </c>
      <c r="F271" s="37">
        <v>19.216601343578908</v>
      </c>
      <c r="G271" s="12">
        <v>17.72879131581486</v>
      </c>
      <c r="H271" s="37">
        <v>57543.394811824051</v>
      </c>
      <c r="I271" s="37">
        <v>20082.1892088553</v>
      </c>
      <c r="J271" s="37">
        <v>295302.39895706298</v>
      </c>
      <c r="K271" s="37">
        <v>104091.98255601735</v>
      </c>
      <c r="L271" s="37">
        <v>196189.52964181671</v>
      </c>
      <c r="M271" s="37">
        <v>52505.985654002092</v>
      </c>
      <c r="N271" s="37">
        <v>228397.71377877181</v>
      </c>
      <c r="O271" s="37">
        <v>967190.39407361671</v>
      </c>
      <c r="P271" s="68">
        <v>1</v>
      </c>
    </row>
    <row r="272" spans="1:16" x14ac:dyDescent="0.2">
      <c r="A272" s="10">
        <v>270</v>
      </c>
      <c r="B272" s="40">
        <v>0.12592269914969942</v>
      </c>
      <c r="C272" s="12">
        <v>8.660610091191737</v>
      </c>
      <c r="D272" s="40">
        <v>0.45821978491846493</v>
      </c>
      <c r="E272" s="40">
        <v>3.5114416331304195E-2</v>
      </c>
      <c r="F272" s="37">
        <v>20.531062933554566</v>
      </c>
      <c r="G272" s="12">
        <v>1.951976807247952</v>
      </c>
      <c r="H272" s="37">
        <v>184100.95350487257</v>
      </c>
      <c r="I272" s="37">
        <v>17483.830993387619</v>
      </c>
      <c r="J272" s="37">
        <v>240487.86960404145</v>
      </c>
      <c r="K272" s="37">
        <v>207966.4654497669</v>
      </c>
      <c r="L272" s="37">
        <v>121482.90751697868</v>
      </c>
      <c r="M272" s="37">
        <v>185326.47158895541</v>
      </c>
      <c r="N272" s="37">
        <v>25147.063450790425</v>
      </c>
      <c r="O272" s="37">
        <v>671654.42256128287</v>
      </c>
      <c r="P272" s="68">
        <v>1</v>
      </c>
    </row>
    <row r="273" spans="1:16" x14ac:dyDescent="0.2">
      <c r="A273" s="10">
        <v>271</v>
      </c>
      <c r="B273" s="40">
        <v>0.20726345989402714</v>
      </c>
      <c r="C273" s="12">
        <v>5.4081293573973408</v>
      </c>
      <c r="D273" s="40">
        <v>0.31901652436570316</v>
      </c>
      <c r="E273" s="40">
        <v>2.3867689009862511E-2</v>
      </c>
      <c r="F273" s="37">
        <v>10.84866907003283</v>
      </c>
      <c r="G273" s="12">
        <v>13.234751251862022</v>
      </c>
      <c r="H273" s="37">
        <v>191661.46364191978</v>
      </c>
      <c r="I273" s="37">
        <v>36889.908295422007</v>
      </c>
      <c r="J273" s="37">
        <v>305095.93483550975</v>
      </c>
      <c r="K273" s="37">
        <v>101459.69517585497</v>
      </c>
      <c r="L273" s="37">
        <v>86930.429091921047</v>
      </c>
      <c r="M273" s="37">
        <v>46341.143186167297</v>
      </c>
      <c r="N273" s="37">
        <v>170501.5798600757</v>
      </c>
      <c r="O273" s="37">
        <v>902030.90358478553</v>
      </c>
      <c r="P273" s="68">
        <v>1</v>
      </c>
    </row>
    <row r="274" spans="1:16" x14ac:dyDescent="0.2">
      <c r="A274" s="10">
        <v>272</v>
      </c>
      <c r="B274" s="40">
        <v>0.16025576113934753</v>
      </c>
      <c r="C274" s="12">
        <v>5.1514761991788252</v>
      </c>
      <c r="D274" s="40">
        <v>0.42754667245053779</v>
      </c>
      <c r="E274" s="40">
        <v>2.5850402065629406E-2</v>
      </c>
      <c r="F274" s="37">
        <v>22.408634860175965</v>
      </c>
      <c r="G274" s="12">
        <v>17.278067837844201</v>
      </c>
      <c r="H274" s="37">
        <v>147426.9505921441</v>
      </c>
      <c r="I274" s="37">
        <v>50555.952029666383</v>
      </c>
      <c r="J274" s="37">
        <v>281337.15717471467</v>
      </c>
      <c r="K274" s="37">
        <v>80355.41017222876</v>
      </c>
      <c r="L274" s="37">
        <v>85806.010289613158</v>
      </c>
      <c r="M274" s="37">
        <v>138941.81410837083</v>
      </c>
      <c r="N274" s="37">
        <v>222591.10180612793</v>
      </c>
      <c r="O274" s="37">
        <v>1301493.6542998182</v>
      </c>
      <c r="P274" s="68">
        <v>1</v>
      </c>
    </row>
    <row r="275" spans="1:16" x14ac:dyDescent="0.2">
      <c r="A275" s="10">
        <v>273</v>
      </c>
      <c r="B275" s="40">
        <v>0.15854460769612255</v>
      </c>
      <c r="C275" s="12">
        <v>4.9138390753813557</v>
      </c>
      <c r="D275" s="40">
        <v>0.52445780877847692</v>
      </c>
      <c r="E275" s="40">
        <v>2.7864931727418649E-2</v>
      </c>
      <c r="F275" s="37">
        <v>19.99641382368328</v>
      </c>
      <c r="G275" s="12">
        <v>17.675731399288047</v>
      </c>
      <c r="H275" s="37">
        <v>89817.230545892351</v>
      </c>
      <c r="I275" s="37">
        <v>54277.19375057779</v>
      </c>
      <c r="J275" s="37">
        <v>331050.5317152667</v>
      </c>
      <c r="K275" s="37">
        <v>146900.18083230651</v>
      </c>
      <c r="L275" s="37">
        <v>99328.022872517002</v>
      </c>
      <c r="M275" s="37">
        <v>163940.92729122459</v>
      </c>
      <c r="N275" s="37">
        <v>227714.14977194602</v>
      </c>
      <c r="O275" s="37">
        <v>1036645.1667979398</v>
      </c>
      <c r="P275" s="68">
        <v>1</v>
      </c>
    </row>
    <row r="276" spans="1:16" x14ac:dyDescent="0.2">
      <c r="A276" s="10">
        <v>274</v>
      </c>
      <c r="B276" s="40">
        <v>0.19907129830238041</v>
      </c>
      <c r="C276" s="12">
        <v>5.6283951349253867</v>
      </c>
      <c r="D276" s="40">
        <v>0.35885705522227623</v>
      </c>
      <c r="E276" s="40">
        <v>3.7453157548258002E-2</v>
      </c>
      <c r="F276" s="37">
        <v>15.90297117937782</v>
      </c>
      <c r="G276" s="12">
        <v>13.404341211590204</v>
      </c>
      <c r="H276" s="37">
        <v>104531.68594876089</v>
      </c>
      <c r="I276" s="37">
        <v>16847.508840405215</v>
      </c>
      <c r="J276" s="37">
        <v>543570.20452295849</v>
      </c>
      <c r="K276" s="37">
        <v>148638.20079725678</v>
      </c>
      <c r="L276" s="37">
        <v>97747.02458130804</v>
      </c>
      <c r="M276" s="37">
        <v>119909.8694925631</v>
      </c>
      <c r="N276" s="37">
        <v>172686.3852645591</v>
      </c>
      <c r="O276" s="37">
        <v>473660.12282748148</v>
      </c>
      <c r="P276" s="68">
        <v>1</v>
      </c>
    </row>
    <row r="277" spans="1:16" x14ac:dyDescent="0.2">
      <c r="A277" s="10">
        <v>275</v>
      </c>
      <c r="B277" s="40">
        <v>0.14301905157100561</v>
      </c>
      <c r="C277" s="12">
        <v>8.0437328655988392</v>
      </c>
      <c r="D277" s="40">
        <v>0.60359762285203811</v>
      </c>
      <c r="E277" s="40">
        <v>2.9121375311534213E-2</v>
      </c>
      <c r="F277" s="37">
        <v>22.407429296452587</v>
      </c>
      <c r="G277" s="12">
        <v>7.186910517568494</v>
      </c>
      <c r="H277" s="37">
        <v>29536.214623789168</v>
      </c>
      <c r="I277" s="37">
        <v>63280.858119444383</v>
      </c>
      <c r="J277" s="37">
        <v>349968.13521429553</v>
      </c>
      <c r="K277" s="37">
        <v>93840.500227844794</v>
      </c>
      <c r="L277" s="37">
        <v>168806.00158456143</v>
      </c>
      <c r="M277" s="37">
        <v>220962.29342792727</v>
      </c>
      <c r="N277" s="37">
        <v>92588.033899467642</v>
      </c>
      <c r="O277" s="37">
        <v>998551.92155502038</v>
      </c>
      <c r="P277" s="68">
        <v>1</v>
      </c>
    </row>
    <row r="278" spans="1:16" x14ac:dyDescent="0.2">
      <c r="A278" s="10">
        <v>276</v>
      </c>
      <c r="B278" s="40">
        <v>0.12129514779128081</v>
      </c>
      <c r="C278" s="12">
        <v>5.5419611921742113</v>
      </c>
      <c r="D278" s="40">
        <v>0.52607932910297617</v>
      </c>
      <c r="E278" s="40">
        <v>3.9713658695012831E-2</v>
      </c>
      <c r="F278" s="37">
        <v>21.335910079694344</v>
      </c>
      <c r="G278" s="12">
        <v>27.137448430779344</v>
      </c>
      <c r="H278" s="37">
        <v>149545.97748836971</v>
      </c>
      <c r="I278" s="37">
        <v>37635.292463575686</v>
      </c>
      <c r="J278" s="37">
        <v>442379.94888196996</v>
      </c>
      <c r="K278" s="37">
        <v>93632.939502997382</v>
      </c>
      <c r="L278" s="37">
        <v>85970.0096535505</v>
      </c>
      <c r="M278" s="37">
        <v>250074.2880609057</v>
      </c>
      <c r="N278" s="37">
        <v>349608.22026543436</v>
      </c>
      <c r="O278" s="37">
        <v>1740657.9636355578</v>
      </c>
      <c r="P278" s="68">
        <v>1</v>
      </c>
    </row>
    <row r="279" spans="1:16" x14ac:dyDescent="0.2">
      <c r="A279" s="10">
        <v>277</v>
      </c>
      <c r="B279" s="40">
        <v>0.1194339600123181</v>
      </c>
      <c r="C279" s="12">
        <v>5.3522597357629476</v>
      </c>
      <c r="D279" s="40">
        <v>0.3320477367851718</v>
      </c>
      <c r="E279" s="40">
        <v>1.7770036527513279E-2</v>
      </c>
      <c r="F279" s="37">
        <v>19.481291573941455</v>
      </c>
      <c r="G279" s="12">
        <v>12.031456930449473</v>
      </c>
      <c r="H279" s="37">
        <v>85167.375830471283</v>
      </c>
      <c r="I279" s="37">
        <v>28927.767897035475</v>
      </c>
      <c r="J279" s="37">
        <v>502686.29516584938</v>
      </c>
      <c r="K279" s="37">
        <v>90107.682629379371</v>
      </c>
      <c r="L279" s="37">
        <v>51600.554318201132</v>
      </c>
      <c r="M279" s="37">
        <v>64487.170727558645</v>
      </c>
      <c r="N279" s="37">
        <v>154999.6955455796</v>
      </c>
      <c r="O279" s="37">
        <v>324006.40551408124</v>
      </c>
      <c r="P279" s="68">
        <v>1</v>
      </c>
    </row>
    <row r="280" spans="1:16" x14ac:dyDescent="0.2">
      <c r="A280" s="10">
        <v>278</v>
      </c>
      <c r="B280" s="40">
        <v>8.8664674880199329E-2</v>
      </c>
      <c r="C280" s="12">
        <v>5.3024489430528572</v>
      </c>
      <c r="D280" s="40">
        <v>0.51222175861892616</v>
      </c>
      <c r="E280" s="40">
        <v>2.5267117848195068E-2</v>
      </c>
      <c r="F280" s="37">
        <v>12.847978121577999</v>
      </c>
      <c r="G280" s="12">
        <v>24.617915219815423</v>
      </c>
      <c r="H280" s="37">
        <v>62179.856776466477</v>
      </c>
      <c r="I280" s="37">
        <v>48265.488473969468</v>
      </c>
      <c r="J280" s="37">
        <v>484983.6813970356</v>
      </c>
      <c r="K280" s="37">
        <v>104234.82949274551</v>
      </c>
      <c r="L280" s="37">
        <v>58542.865190533645</v>
      </c>
      <c r="M280" s="37">
        <v>93285.737464582809</v>
      </c>
      <c r="N280" s="37">
        <v>317149.40144790354</v>
      </c>
      <c r="O280" s="37">
        <v>846322.04875035235</v>
      </c>
      <c r="P280" s="68">
        <v>1</v>
      </c>
    </row>
    <row r="281" spans="1:16" x14ac:dyDescent="0.2">
      <c r="A281" s="10">
        <v>279</v>
      </c>
      <c r="B281" s="40">
        <v>0.10406522532619471</v>
      </c>
      <c r="C281" s="12">
        <v>4.1679440829146728</v>
      </c>
      <c r="D281" s="40">
        <v>0.53980932657534653</v>
      </c>
      <c r="E281" s="40">
        <v>3.2359585477231723E-2</v>
      </c>
      <c r="F281" s="37">
        <v>12.998307799125996</v>
      </c>
      <c r="G281" s="12">
        <v>3.9926155764145648</v>
      </c>
      <c r="H281" s="37">
        <v>110338.01152210892</v>
      </c>
      <c r="I281" s="37">
        <v>58497.82181591633</v>
      </c>
      <c r="J281" s="37">
        <v>503600.68036188371</v>
      </c>
      <c r="K281" s="37">
        <v>96928.953189423657</v>
      </c>
      <c r="L281" s="37">
        <v>56918.929841677702</v>
      </c>
      <c r="M281" s="37">
        <v>127378.72054732342</v>
      </c>
      <c r="N281" s="37">
        <v>51436.34743092391</v>
      </c>
      <c r="O281" s="37">
        <v>358297.38019548461</v>
      </c>
      <c r="P281" s="68">
        <v>1</v>
      </c>
    </row>
    <row r="282" spans="1:16" x14ac:dyDescent="0.2">
      <c r="A282" s="10">
        <v>280</v>
      </c>
      <c r="B282" s="40">
        <v>6.6694513853411519E-2</v>
      </c>
      <c r="C282" s="12">
        <v>2.4063771967163792</v>
      </c>
      <c r="D282" s="40">
        <v>0.53235938628976476</v>
      </c>
      <c r="E282" s="40">
        <v>2.5452694836737604E-2</v>
      </c>
      <c r="F282" s="37">
        <v>25.221178446140001</v>
      </c>
      <c r="G282" s="12">
        <v>1.7091574606704709</v>
      </c>
      <c r="H282" s="37">
        <v>169344.89631187922</v>
      </c>
      <c r="I282" s="37">
        <v>20834.485375972738</v>
      </c>
      <c r="J282" s="37">
        <v>219403.23527098552</v>
      </c>
      <c r="K282" s="37">
        <v>76742.262343206981</v>
      </c>
      <c r="L282" s="37">
        <v>20770.529113943543</v>
      </c>
      <c r="M282" s="37">
        <v>191721.48895545013</v>
      </c>
      <c r="N282" s="37">
        <v>22018.853375347793</v>
      </c>
      <c r="O282" s="37">
        <v>755420.72315916244</v>
      </c>
      <c r="P282" s="68">
        <v>1</v>
      </c>
    </row>
    <row r="283" spans="1:16" x14ac:dyDescent="0.2">
      <c r="A283" s="10">
        <v>281</v>
      </c>
      <c r="B283" s="40">
        <v>0.15983908722660073</v>
      </c>
      <c r="C283" s="12">
        <v>6.5606894330366199</v>
      </c>
      <c r="D283" s="40">
        <v>0.57782405188167529</v>
      </c>
      <c r="E283" s="40">
        <v>2.8381638025985482E-2</v>
      </c>
      <c r="F283" s="37">
        <v>20.422361950433636</v>
      </c>
      <c r="G283" s="12">
        <v>11.688710969276013</v>
      </c>
      <c r="H283" s="37">
        <v>128121.49211757022</v>
      </c>
      <c r="I283" s="37">
        <v>48335.833194969775</v>
      </c>
      <c r="J283" s="37">
        <v>280800.73952960339</v>
      </c>
      <c r="K283" s="37">
        <v>94437.39596149986</v>
      </c>
      <c r="L283" s="37">
        <v>147304.80568194826</v>
      </c>
      <c r="M283" s="37">
        <v>187890.9114576393</v>
      </c>
      <c r="N283" s="37">
        <v>150584.14388475686</v>
      </c>
      <c r="O283" s="37">
        <v>1309968.1509410939</v>
      </c>
      <c r="P283" s="68">
        <v>1</v>
      </c>
    </row>
    <row r="284" spans="1:16" x14ac:dyDescent="0.2">
      <c r="A284" s="10">
        <v>282</v>
      </c>
      <c r="B284" s="40">
        <v>0.15477473466425715</v>
      </c>
      <c r="C284" s="12">
        <v>2.0256707181694935</v>
      </c>
      <c r="D284" s="40">
        <v>0.53586493510826805</v>
      </c>
      <c r="E284" s="40">
        <v>2.6742676632418416E-2</v>
      </c>
      <c r="F284" s="37">
        <v>15.294742431419094</v>
      </c>
      <c r="G284" s="12">
        <v>13.075234991829007</v>
      </c>
      <c r="H284" s="37">
        <v>122205.74204141321</v>
      </c>
      <c r="I284" s="37">
        <v>61861.055839044304</v>
      </c>
      <c r="J284" s="37">
        <v>505958.4442513152</v>
      </c>
      <c r="K284" s="37">
        <v>139636.17322077142</v>
      </c>
      <c r="L284" s="37">
        <v>40842.572384107538</v>
      </c>
      <c r="M284" s="37">
        <v>122961.48856794737</v>
      </c>
      <c r="N284" s="37">
        <v>168446.55261918416</v>
      </c>
      <c r="O284" s="37">
        <v>549365.64279278996</v>
      </c>
      <c r="P284" s="68">
        <v>1</v>
      </c>
    </row>
    <row r="285" spans="1:16" x14ac:dyDescent="0.2">
      <c r="A285" s="10">
        <v>283</v>
      </c>
      <c r="B285" s="40">
        <v>0.19664818345057539</v>
      </c>
      <c r="C285" s="12">
        <v>5.2839918015403358</v>
      </c>
      <c r="D285" s="40">
        <v>0.41802259737536929</v>
      </c>
      <c r="E285" s="40">
        <v>3.0039187025723543E-2</v>
      </c>
      <c r="F285" s="37">
        <v>11.055922527962997</v>
      </c>
      <c r="G285" s="12">
        <v>22.271150476563687</v>
      </c>
      <c r="H285" s="37">
        <v>150157.21143736801</v>
      </c>
      <c r="I285" s="37">
        <v>4099.9397584465851</v>
      </c>
      <c r="J285" s="37">
        <v>218489.35238736431</v>
      </c>
      <c r="K285" s="37">
        <v>99733.594983785762</v>
      </c>
      <c r="L285" s="37">
        <v>105594.34558059814</v>
      </c>
      <c r="M285" s="37">
        <v>77884.251949246565</v>
      </c>
      <c r="N285" s="37">
        <v>286916.33634000807</v>
      </c>
      <c r="O285" s="37">
        <v>1252141.701391391</v>
      </c>
      <c r="P285" s="68">
        <v>1</v>
      </c>
    </row>
    <row r="286" spans="1:16" x14ac:dyDescent="0.2">
      <c r="A286" s="10">
        <v>284</v>
      </c>
      <c r="B286" s="40">
        <v>0.1184811784776636</v>
      </c>
      <c r="C286" s="12">
        <v>1.7764959237954456</v>
      </c>
      <c r="D286" s="40">
        <v>0.61469422305566768</v>
      </c>
      <c r="E286" s="40">
        <v>2.8513154879505578E-2</v>
      </c>
      <c r="F286" s="37">
        <v>10.60798843017046</v>
      </c>
      <c r="G286" s="12">
        <v>21.086935743393106</v>
      </c>
      <c r="H286" s="37">
        <v>205988.24704397662</v>
      </c>
      <c r="I286" s="37">
        <v>40953.760336644991</v>
      </c>
      <c r="J286" s="37">
        <v>201406.16737509577</v>
      </c>
      <c r="K286" s="37">
        <v>132340.5877169767</v>
      </c>
      <c r="L286" s="37">
        <v>31452.961383880702</v>
      </c>
      <c r="M286" s="37">
        <v>104304.77103318924</v>
      </c>
      <c r="N286" s="37">
        <v>271660.25188048673</v>
      </c>
      <c r="O286" s="37">
        <v>1261102.6995171094</v>
      </c>
      <c r="P286" s="68">
        <v>1</v>
      </c>
    </row>
    <row r="287" spans="1:16" x14ac:dyDescent="0.2">
      <c r="A287" s="10">
        <v>285</v>
      </c>
      <c r="B287" s="40">
        <v>0.10902155074152035</v>
      </c>
      <c r="C287" s="12">
        <v>5.8397900410408248</v>
      </c>
      <c r="D287" s="40">
        <v>0.59254344215061683</v>
      </c>
      <c r="E287" s="40">
        <v>2.0882489104485265E-2</v>
      </c>
      <c r="F287" s="37">
        <v>21.618032393394046</v>
      </c>
      <c r="G287" s="12">
        <v>13.819371397489075</v>
      </c>
      <c r="H287" s="37">
        <v>180219.49876779987</v>
      </c>
      <c r="I287" s="37">
        <v>41718.588805417457</v>
      </c>
      <c r="J287" s="37">
        <v>565778.85069254937</v>
      </c>
      <c r="K287" s="37">
        <v>107117.4128574487</v>
      </c>
      <c r="L287" s="37">
        <v>91710.405546077949</v>
      </c>
      <c r="M287" s="37">
        <v>150067.05325538354</v>
      </c>
      <c r="N287" s="37">
        <v>178033.16519557009</v>
      </c>
      <c r="O287" s="37">
        <v>932063.96693512506</v>
      </c>
      <c r="P287" s="68">
        <v>1</v>
      </c>
    </row>
    <row r="288" spans="1:16" x14ac:dyDescent="0.2">
      <c r="A288" s="10">
        <v>286</v>
      </c>
      <c r="B288" s="40">
        <v>4.3201974276375447E-2</v>
      </c>
      <c r="C288" s="12">
        <v>9.5546951013100205</v>
      </c>
      <c r="D288" s="40">
        <v>0.55537562422265185</v>
      </c>
      <c r="E288" s="40">
        <v>2.6545185666506446E-2</v>
      </c>
      <c r="F288" s="37">
        <v>22.00151974795941</v>
      </c>
      <c r="G288" s="12">
        <v>20.74638069935402</v>
      </c>
      <c r="H288" s="37">
        <v>211990.65796017775</v>
      </c>
      <c r="I288" s="37">
        <v>56933.93471486523</v>
      </c>
      <c r="J288" s="37">
        <v>415351.99993663165</v>
      </c>
      <c r="K288" s="37">
        <v>203885.04927475471</v>
      </c>
      <c r="L288" s="37">
        <v>55730.901829454204</v>
      </c>
      <c r="M288" s="37">
        <v>181966.7314684403</v>
      </c>
      <c r="N288" s="37">
        <v>267272.92552028695</v>
      </c>
      <c r="O288" s="37">
        <v>1181609.3819330037</v>
      </c>
      <c r="P288" s="68">
        <v>1</v>
      </c>
    </row>
    <row r="289" spans="1:16" x14ac:dyDescent="0.2">
      <c r="A289" s="10">
        <v>287</v>
      </c>
      <c r="B289" s="40">
        <v>8.1913990266434422E-2</v>
      </c>
      <c r="C289" s="12">
        <v>5.4114104024765632</v>
      </c>
      <c r="D289" s="40">
        <v>0.30191045005827372</v>
      </c>
      <c r="E289" s="40">
        <v>1.8954795210771806E-2</v>
      </c>
      <c r="F289" s="37">
        <v>17.417942988204722</v>
      </c>
      <c r="G289" s="12">
        <v>25.460582641322731</v>
      </c>
      <c r="H289" s="37">
        <v>36429.366707704772</v>
      </c>
      <c r="I289" s="37">
        <v>50322.277599992158</v>
      </c>
      <c r="J289" s="37">
        <v>190390.67588894058</v>
      </c>
      <c r="K289" s="37">
        <v>162051.05098950618</v>
      </c>
      <c r="L289" s="37">
        <v>32533.855203978961</v>
      </c>
      <c r="M289" s="37">
        <v>55919.185739090346</v>
      </c>
      <c r="N289" s="37">
        <v>328005.37629241741</v>
      </c>
      <c r="O289" s="37">
        <v>765413.02445015335</v>
      </c>
      <c r="P289" s="68">
        <v>1</v>
      </c>
    </row>
    <row r="290" spans="1:16" x14ac:dyDescent="0.2">
      <c r="A290" s="10">
        <v>288</v>
      </c>
      <c r="B290" s="40">
        <v>0.19332697577506641</v>
      </c>
      <c r="C290" s="12">
        <v>9.2337244392528017</v>
      </c>
      <c r="D290" s="40">
        <v>0.54612499347515842</v>
      </c>
      <c r="E290" s="40">
        <v>3.6845907746825807E-2</v>
      </c>
      <c r="F290" s="37">
        <v>16.992661849761468</v>
      </c>
      <c r="G290" s="12">
        <v>9.7558329685422081</v>
      </c>
      <c r="H290" s="37">
        <v>166603.67293304071</v>
      </c>
      <c r="I290" s="37">
        <v>13983.290292724692</v>
      </c>
      <c r="J290" s="37">
        <v>297507.78772758535</v>
      </c>
      <c r="K290" s="37">
        <v>106118.91788330977</v>
      </c>
      <c r="L290" s="37">
        <v>237001.03859375426</v>
      </c>
      <c r="M290" s="37">
        <v>191826.8785949233</v>
      </c>
      <c r="N290" s="37">
        <v>125683.12787544336</v>
      </c>
      <c r="O290" s="37">
        <v>1464663.2921769111</v>
      </c>
      <c r="P290" s="68">
        <v>1</v>
      </c>
    </row>
    <row r="291" spans="1:16" x14ac:dyDescent="0.2">
      <c r="A291" s="10">
        <v>289</v>
      </c>
      <c r="B291" s="40">
        <v>0.21701822862319836</v>
      </c>
      <c r="C291" s="12">
        <v>6.8092985395410732</v>
      </c>
      <c r="D291" s="40">
        <v>0.73648914052470638</v>
      </c>
      <c r="E291" s="40">
        <v>1.4286006075396616E-2</v>
      </c>
      <c r="F291" s="37">
        <v>20.17763967162373</v>
      </c>
      <c r="G291" s="12">
        <v>3.8983856419329652</v>
      </c>
      <c r="H291" s="37">
        <v>57361.135198183423</v>
      </c>
      <c r="I291" s="37">
        <v>9028.0762446028402</v>
      </c>
      <c r="J291" s="37">
        <v>216889.32974523434</v>
      </c>
      <c r="K291" s="37">
        <v>100949.76861761477</v>
      </c>
      <c r="L291" s="37">
        <v>264578.02287947893</v>
      </c>
      <c r="M291" s="37">
        <v>119100.68854813057</v>
      </c>
      <c r="N291" s="37">
        <v>50222.395434888938</v>
      </c>
      <c r="O291" s="37">
        <v>901917.92223812779</v>
      </c>
      <c r="P291" s="68">
        <v>1</v>
      </c>
    </row>
    <row r="292" spans="1:16" x14ac:dyDescent="0.2">
      <c r="A292" s="10">
        <v>290</v>
      </c>
      <c r="B292" s="40">
        <v>0.17087365863253767</v>
      </c>
      <c r="C292" s="12">
        <v>5.5758702663935971</v>
      </c>
      <c r="D292" s="40">
        <v>0.67137687771485599</v>
      </c>
      <c r="E292" s="40">
        <v>1.8850956547888542E-2</v>
      </c>
      <c r="F292" s="37">
        <v>11.700107426541619</v>
      </c>
      <c r="G292" s="12">
        <v>10.737017143545119</v>
      </c>
      <c r="H292" s="37">
        <v>51163.082079491258</v>
      </c>
      <c r="I292" s="37">
        <v>56129.313184992439</v>
      </c>
      <c r="J292" s="37">
        <v>290091.55176617368</v>
      </c>
      <c r="K292" s="37">
        <v>115467.37473000109</v>
      </c>
      <c r="L292" s="37">
        <v>155504.50974824987</v>
      </c>
      <c r="M292" s="37">
        <v>83072.322730729342</v>
      </c>
      <c r="N292" s="37">
        <v>138323.5960480631</v>
      </c>
      <c r="O292" s="37">
        <v>742943.30212858738</v>
      </c>
      <c r="P292" s="68">
        <v>1</v>
      </c>
    </row>
    <row r="293" spans="1:16" x14ac:dyDescent="0.2">
      <c r="A293" s="10">
        <v>291</v>
      </c>
      <c r="B293" s="40">
        <v>4.2731613894291608E-2</v>
      </c>
      <c r="C293" s="12">
        <v>4.1520242264848015</v>
      </c>
      <c r="D293" s="40">
        <v>0.66301864248080555</v>
      </c>
      <c r="E293" s="40">
        <v>2.8594623393528914E-2</v>
      </c>
      <c r="F293" s="37">
        <v>14.343562305845504</v>
      </c>
      <c r="G293" s="12">
        <v>8.1131663243639309</v>
      </c>
      <c r="H293" s="37">
        <v>126102.87390593121</v>
      </c>
      <c r="I293" s="37">
        <v>22814.49094344581</v>
      </c>
      <c r="J293" s="37">
        <v>443072.42587512755</v>
      </c>
      <c r="K293" s="37">
        <v>89453.518238035962</v>
      </c>
      <c r="L293" s="37">
        <v>28597.215227136363</v>
      </c>
      <c r="M293" s="37">
        <v>152557.61027446337</v>
      </c>
      <c r="N293" s="37">
        <v>104520.86704515836</v>
      </c>
      <c r="O293" s="37">
        <v>523883.27060569858</v>
      </c>
      <c r="P293" s="68">
        <v>1</v>
      </c>
    </row>
    <row r="294" spans="1:16" x14ac:dyDescent="0.2">
      <c r="A294" s="10">
        <v>292</v>
      </c>
      <c r="B294" s="40">
        <v>0.15741770707228117</v>
      </c>
      <c r="C294" s="12">
        <v>6.3442366017048979</v>
      </c>
      <c r="D294" s="40">
        <v>0.46481482880874947</v>
      </c>
      <c r="E294" s="40">
        <v>1.3892113998280879E-2</v>
      </c>
      <c r="F294" s="37">
        <v>19.115509289463454</v>
      </c>
      <c r="G294" s="12">
        <v>3.6592858388823837</v>
      </c>
      <c r="H294" s="37">
        <v>206710.18963723857</v>
      </c>
      <c r="I294" s="37">
        <v>58565.368820660275</v>
      </c>
      <c r="J294" s="37">
        <v>313020.83176380384</v>
      </c>
      <c r="K294" s="37">
        <v>190990.1992465576</v>
      </c>
      <c r="L294" s="37">
        <v>112850.0504776973</v>
      </c>
      <c r="M294" s="37">
        <v>69246.992876745164</v>
      </c>
      <c r="N294" s="37">
        <v>47142.103755162694</v>
      </c>
      <c r="O294" s="37">
        <v>537344.64975851926</v>
      </c>
      <c r="P294" s="68">
        <v>1</v>
      </c>
    </row>
    <row r="295" spans="1:16" x14ac:dyDescent="0.2">
      <c r="A295" s="10">
        <v>293</v>
      </c>
      <c r="B295" s="40">
        <v>0.16571589765765918</v>
      </c>
      <c r="C295" s="12">
        <v>3.7197184277181612</v>
      </c>
      <c r="D295" s="40">
        <v>0.62647490668460226</v>
      </c>
      <c r="E295" s="40">
        <v>1.2639938230980577E-2</v>
      </c>
      <c r="F295" s="37">
        <v>19.284666316045058</v>
      </c>
      <c r="G295" s="12">
        <v>7.2176853567634769</v>
      </c>
      <c r="H295" s="37">
        <v>21351.287368472244</v>
      </c>
      <c r="I295" s="37">
        <v>36608.380130772333</v>
      </c>
      <c r="J295" s="37">
        <v>432645.06778191996</v>
      </c>
      <c r="K295" s="37">
        <v>136147.39781944687</v>
      </c>
      <c r="L295" s="37">
        <v>93878.631383886415</v>
      </c>
      <c r="M295" s="37">
        <v>85669.748577046776</v>
      </c>
      <c r="N295" s="37">
        <v>92984.502152087487</v>
      </c>
      <c r="O295" s="37">
        <v>111839.49654211709</v>
      </c>
      <c r="P295" s="68">
        <v>1</v>
      </c>
    </row>
    <row r="296" spans="1:16" x14ac:dyDescent="0.2">
      <c r="A296" s="10">
        <v>294</v>
      </c>
      <c r="B296" s="40">
        <v>0.15354863710091807</v>
      </c>
      <c r="C296" s="12">
        <v>4.9085847129475031</v>
      </c>
      <c r="D296" s="40">
        <v>0.76286434503944023</v>
      </c>
      <c r="E296" s="40">
        <v>1.576135171194086E-2</v>
      </c>
      <c r="F296" s="37">
        <v>13.055190583687875</v>
      </c>
      <c r="G296" s="12">
        <v>8.0302178689175499</v>
      </c>
      <c r="H296" s="37">
        <v>117544.3418282824</v>
      </c>
      <c r="I296" s="37">
        <v>70281.792738702512</v>
      </c>
      <c r="J296" s="37">
        <v>300173.96351937659</v>
      </c>
      <c r="K296" s="37">
        <v>198399.48589804827</v>
      </c>
      <c r="L296" s="37">
        <v>139777.86518147922</v>
      </c>
      <c r="M296" s="37">
        <v>88062.442255175323</v>
      </c>
      <c r="N296" s="37">
        <v>103452.25287694184</v>
      </c>
      <c r="O296" s="37">
        <v>598364.83285546198</v>
      </c>
      <c r="P296" s="68">
        <v>1</v>
      </c>
    </row>
    <row r="297" spans="1:16" x14ac:dyDescent="0.2">
      <c r="A297" s="10">
        <v>295</v>
      </c>
      <c r="B297" s="40">
        <v>0.17675824682534086</v>
      </c>
      <c r="C297" s="12">
        <v>2.5163780359152783</v>
      </c>
      <c r="D297" s="40">
        <v>0.67989550312714531</v>
      </c>
      <c r="E297" s="40">
        <v>3.1212070767149502E-2</v>
      </c>
      <c r="F297" s="37">
        <v>9.3472445222974514</v>
      </c>
      <c r="G297" s="12">
        <v>13.362857040024302</v>
      </c>
      <c r="H297" s="37">
        <v>176487.78000015925</v>
      </c>
      <c r="I297" s="37">
        <v>55684.346092700667</v>
      </c>
      <c r="J297" s="37">
        <v>276863.34699562367</v>
      </c>
      <c r="K297" s="37">
        <v>74925.935593916976</v>
      </c>
      <c r="L297" s="37">
        <v>73516.79566675458</v>
      </c>
      <c r="M297" s="37">
        <v>111279.47998712923</v>
      </c>
      <c r="N297" s="37">
        <v>172151.9500752179</v>
      </c>
      <c r="O297" s="37">
        <v>1163722.7448881732</v>
      </c>
      <c r="P297" s="68">
        <v>1</v>
      </c>
    </row>
    <row r="298" spans="1:16" x14ac:dyDescent="0.2">
      <c r="A298" s="10">
        <v>296</v>
      </c>
      <c r="B298" s="40">
        <v>0.1415909376828057</v>
      </c>
      <c r="C298" s="12">
        <v>6.2423500697942602</v>
      </c>
      <c r="D298" s="40">
        <v>0.69382755380740435</v>
      </c>
      <c r="E298" s="40">
        <v>3.2056283818658229E-2</v>
      </c>
      <c r="F298" s="37">
        <v>9.9456173196748647</v>
      </c>
      <c r="G298" s="12">
        <v>15.37890399199882</v>
      </c>
      <c r="H298" s="37">
        <v>93636.868694061035</v>
      </c>
      <c r="I298" s="37">
        <v>32942.381987725807</v>
      </c>
      <c r="J298" s="37">
        <v>262507.87270538369</v>
      </c>
      <c r="K298" s="37">
        <v>206096.67850425391</v>
      </c>
      <c r="L298" s="37">
        <v>149081.56750591111</v>
      </c>
      <c r="M298" s="37">
        <v>124097.54618661145</v>
      </c>
      <c r="N298" s="37">
        <v>198124.42087140182</v>
      </c>
      <c r="O298" s="37">
        <v>835134.57254966698</v>
      </c>
      <c r="P298" s="68">
        <v>1</v>
      </c>
    </row>
    <row r="299" spans="1:16" x14ac:dyDescent="0.2">
      <c r="A299" s="10">
        <v>297</v>
      </c>
      <c r="B299" s="40">
        <v>0.15066738208226665</v>
      </c>
      <c r="C299" s="12">
        <v>2.6880507696808404</v>
      </c>
      <c r="D299" s="40">
        <v>0.71965872441979573</v>
      </c>
      <c r="E299" s="40">
        <v>4.0740116633624354E-2</v>
      </c>
      <c r="F299" s="37">
        <v>22.706867911263238</v>
      </c>
      <c r="G299" s="12">
        <v>22.303775673634188</v>
      </c>
      <c r="H299" s="37">
        <v>67783.113628921797</v>
      </c>
      <c r="I299" s="37">
        <v>21249.666160062756</v>
      </c>
      <c r="J299" s="37">
        <v>346875.49958809576</v>
      </c>
      <c r="K299" s="37">
        <v>116447.12821111265</v>
      </c>
      <c r="L299" s="37">
        <v>70855.266130067088</v>
      </c>
      <c r="M299" s="37">
        <v>373484.71106682561</v>
      </c>
      <c r="N299" s="37">
        <v>287336.64251259167</v>
      </c>
      <c r="O299" s="37">
        <v>1626211.7239128049</v>
      </c>
      <c r="P299" s="68">
        <v>1</v>
      </c>
    </row>
    <row r="300" spans="1:16" x14ac:dyDescent="0.2">
      <c r="A300" s="10">
        <v>298</v>
      </c>
      <c r="B300" s="40">
        <v>0.16445160026866612</v>
      </c>
      <c r="C300" s="12">
        <v>1.7006050803621209</v>
      </c>
      <c r="D300" s="40">
        <v>0.36183656957012378</v>
      </c>
      <c r="E300" s="40">
        <v>1.8278429994820856E-2</v>
      </c>
      <c r="F300" s="37">
        <v>15.587058265453173</v>
      </c>
      <c r="G300" s="12">
        <v>4.2694369142713819</v>
      </c>
      <c r="H300" s="37">
        <v>49993.477362605168</v>
      </c>
      <c r="I300" s="37">
        <v>52105.739526150712</v>
      </c>
      <c r="J300" s="37">
        <v>456509.0597054289</v>
      </c>
      <c r="K300" s="37">
        <v>149728.23999808746</v>
      </c>
      <c r="L300" s="37">
        <v>24600.439326122058</v>
      </c>
      <c r="M300" s="37">
        <v>57833.867801647</v>
      </c>
      <c r="N300" s="37">
        <v>55002.600739759364</v>
      </c>
      <c r="O300" s="37">
        <v>-204899.968589233</v>
      </c>
      <c r="P300" s="68">
        <v>0</v>
      </c>
    </row>
    <row r="301" spans="1:16" x14ac:dyDescent="0.2">
      <c r="A301" s="10">
        <v>299</v>
      </c>
      <c r="B301" s="40">
        <v>0.11624164488859053</v>
      </c>
      <c r="C301" s="12">
        <v>8.7351676394202187</v>
      </c>
      <c r="D301" s="40">
        <v>0.58980085823352391</v>
      </c>
      <c r="E301" s="40">
        <v>2.8677171718520626E-2</v>
      </c>
      <c r="F301" s="37">
        <v>21.21449336663175</v>
      </c>
      <c r="G301" s="12">
        <v>15.198903550608266</v>
      </c>
      <c r="H301" s="37">
        <v>38731.226605405485</v>
      </c>
      <c r="I301" s="37">
        <v>17655.18140757435</v>
      </c>
      <c r="J301" s="37">
        <v>295944.48420673318</v>
      </c>
      <c r="K301" s="37">
        <v>171851.19185185444</v>
      </c>
      <c r="L301" s="37">
        <v>145588.54999583133</v>
      </c>
      <c r="M301" s="37">
        <v>201298.7664887711</v>
      </c>
      <c r="N301" s="37">
        <v>195805.49858502473</v>
      </c>
      <c r="O301" s="37">
        <v>900993.3673722758</v>
      </c>
      <c r="P301" s="68">
        <v>1</v>
      </c>
    </row>
    <row r="302" spans="1:16" x14ac:dyDescent="0.2">
      <c r="A302" s="10">
        <v>300</v>
      </c>
      <c r="B302" s="40">
        <v>6.4304821194069856E-2</v>
      </c>
      <c r="C302" s="12">
        <v>4.9936898192709158</v>
      </c>
      <c r="D302" s="40">
        <v>0.38380829121654569</v>
      </c>
      <c r="E302" s="40">
        <v>3.2960355192881929E-2</v>
      </c>
      <c r="F302" s="37">
        <v>15.373883281910647</v>
      </c>
      <c r="G302" s="12">
        <v>5.5395804302602514</v>
      </c>
      <c r="H302" s="37">
        <v>127288.90922238167</v>
      </c>
      <c r="I302" s="37">
        <v>4848.2445443251008</v>
      </c>
      <c r="J302" s="37">
        <v>325076.01849434874</v>
      </c>
      <c r="K302" s="37">
        <v>183560.70254507242</v>
      </c>
      <c r="L302" s="37">
        <v>29961.826147593572</v>
      </c>
      <c r="M302" s="37">
        <v>109107.98794934401</v>
      </c>
      <c r="N302" s="37">
        <v>71365.694537586882</v>
      </c>
      <c r="O302" s="37">
        <v>120417.768646223</v>
      </c>
      <c r="P302" s="68">
        <v>1</v>
      </c>
    </row>
    <row r="303" spans="1:16" x14ac:dyDescent="0.2">
      <c r="A303" s="10">
        <v>301</v>
      </c>
      <c r="B303" s="40">
        <v>0.15710012112052876</v>
      </c>
      <c r="C303" s="12">
        <v>4.8992758002899333</v>
      </c>
      <c r="D303" s="40">
        <v>0.63275149070132741</v>
      </c>
      <c r="E303" s="40">
        <v>1.3918816651308581E-2</v>
      </c>
      <c r="F303" s="37">
        <v>6.490037150137197</v>
      </c>
      <c r="G303" s="12">
        <v>18.653957049819809</v>
      </c>
      <c r="H303" s="37">
        <v>12999.931934929682</v>
      </c>
      <c r="I303" s="37">
        <v>55899.755931673877</v>
      </c>
      <c r="J303" s="37">
        <v>319658.87796816556</v>
      </c>
      <c r="K303" s="37">
        <v>114909.38845408456</v>
      </c>
      <c r="L303" s="37">
        <v>118394.19658016862</v>
      </c>
      <c r="M303" s="37">
        <v>32066.340935924698</v>
      </c>
      <c r="N303" s="37">
        <v>240316.50365841214</v>
      </c>
      <c r="O303" s="37">
        <v>646254.05323169462</v>
      </c>
      <c r="P303" s="68">
        <v>1</v>
      </c>
    </row>
    <row r="304" spans="1:16" x14ac:dyDescent="0.2">
      <c r="A304" s="10">
        <v>302</v>
      </c>
      <c r="B304" s="40">
        <v>0.14500554321883655</v>
      </c>
      <c r="C304" s="12">
        <v>6.7689246002723031</v>
      </c>
      <c r="D304" s="40">
        <v>0.2623240944435139</v>
      </c>
      <c r="E304" s="40">
        <v>4.5339188754023999E-2</v>
      </c>
      <c r="F304" s="37">
        <v>6.6471931807612545</v>
      </c>
      <c r="G304" s="12">
        <v>25.280018513646315</v>
      </c>
      <c r="H304" s="37">
        <v>124585.22682361097</v>
      </c>
      <c r="I304" s="37">
        <v>42412.006282716335</v>
      </c>
      <c r="J304" s="37">
        <v>222418.93202337119</v>
      </c>
      <c r="K304" s="37">
        <v>159161.88860057923</v>
      </c>
      <c r="L304" s="37">
        <v>62593.796405738402</v>
      </c>
      <c r="M304" s="37">
        <v>44352.383092513934</v>
      </c>
      <c r="N304" s="37">
        <v>325679.19210889871</v>
      </c>
      <c r="O304" s="37">
        <v>1011592.0988782367</v>
      </c>
      <c r="P304" s="68">
        <v>1</v>
      </c>
    </row>
    <row r="305" spans="1:16" x14ac:dyDescent="0.2">
      <c r="A305" s="10">
        <v>303</v>
      </c>
      <c r="B305" s="40">
        <v>0.19791269860968336</v>
      </c>
      <c r="C305" s="12">
        <v>2.6598887130439994</v>
      </c>
      <c r="D305" s="40">
        <v>0.63023266297490987</v>
      </c>
      <c r="E305" s="40">
        <v>3.0966686013763369E-2</v>
      </c>
      <c r="F305" s="37">
        <v>15.563468532053038</v>
      </c>
      <c r="G305" s="12">
        <v>28.125760368397462</v>
      </c>
      <c r="H305" s="37">
        <v>161419.76238239836</v>
      </c>
      <c r="I305" s="37">
        <v>60585.778179549459</v>
      </c>
      <c r="J305" s="37">
        <v>193536.09587870556</v>
      </c>
      <c r="K305" s="37">
        <v>104557.0402856138</v>
      </c>
      <c r="L305" s="37">
        <v>80654.177051319537</v>
      </c>
      <c r="M305" s="37">
        <v>170399.67496240855</v>
      </c>
      <c r="N305" s="37">
        <v>362340.51447721664</v>
      </c>
      <c r="O305" s="37">
        <v>1854020.3068934521</v>
      </c>
      <c r="P305" s="68">
        <v>1</v>
      </c>
    </row>
    <row r="306" spans="1:16" x14ac:dyDescent="0.2">
      <c r="A306" s="10">
        <v>304</v>
      </c>
      <c r="B306" s="40">
        <v>0.13412066120360472</v>
      </c>
      <c r="C306" s="12">
        <v>4.5857037840025896</v>
      </c>
      <c r="D306" s="40">
        <v>0.65745222878928478</v>
      </c>
      <c r="E306" s="40">
        <v>3.5587937593755836E-2</v>
      </c>
      <c r="F306" s="37">
        <v>8.2290404962695742</v>
      </c>
      <c r="G306" s="12">
        <v>8.1230510228602935</v>
      </c>
      <c r="H306" s="37">
        <v>60355.958179307258</v>
      </c>
      <c r="I306" s="37">
        <v>26981.447630654191</v>
      </c>
      <c r="J306" s="37">
        <v>293423.72259755479</v>
      </c>
      <c r="K306" s="37">
        <v>109372.62400296105</v>
      </c>
      <c r="L306" s="37">
        <v>98300.271004716036</v>
      </c>
      <c r="M306" s="37">
        <v>108014.72239820068</v>
      </c>
      <c r="N306" s="37">
        <v>104648.21033087619</v>
      </c>
      <c r="O306" s="37">
        <v>516047.60651441675</v>
      </c>
      <c r="P306" s="68">
        <v>1</v>
      </c>
    </row>
    <row r="307" spans="1:16" x14ac:dyDescent="0.2">
      <c r="A307" s="10">
        <v>305</v>
      </c>
      <c r="B307" s="40">
        <v>6.8462906541303964E-2</v>
      </c>
      <c r="C307" s="12">
        <v>2.72682040487161</v>
      </c>
      <c r="D307" s="40">
        <v>0.47637679487574297</v>
      </c>
      <c r="E307" s="40">
        <v>3.987634447859803E-2</v>
      </c>
      <c r="F307" s="37">
        <v>23.51990701554098</v>
      </c>
      <c r="G307" s="12">
        <v>14.846092632907155</v>
      </c>
      <c r="H307" s="37">
        <v>65814.977395241149</v>
      </c>
      <c r="I307" s="37">
        <v>42261.408144868314</v>
      </c>
      <c r="J307" s="37">
        <v>491585.71478341694</v>
      </c>
      <c r="K307" s="37">
        <v>101452.97177054184</v>
      </c>
      <c r="L307" s="37">
        <v>21619.781261693999</v>
      </c>
      <c r="M307" s="37">
        <v>250650.32356456324</v>
      </c>
      <c r="N307" s="37">
        <v>191260.2813977006</v>
      </c>
      <c r="O307" s="37">
        <v>825614.55799552496</v>
      </c>
      <c r="P307" s="68">
        <v>1</v>
      </c>
    </row>
    <row r="308" spans="1:16" x14ac:dyDescent="0.2">
      <c r="A308" s="10">
        <v>306</v>
      </c>
      <c r="B308" s="40">
        <v>0.11742698915038123</v>
      </c>
      <c r="C308" s="12">
        <v>3.1809574846369948</v>
      </c>
      <c r="D308" s="40">
        <v>0.46677181873479723</v>
      </c>
      <c r="E308" s="40">
        <v>2.3353086293346044E-2</v>
      </c>
      <c r="F308" s="37">
        <v>14.433613696846205</v>
      </c>
      <c r="G308" s="12">
        <v>9.6152936558802171</v>
      </c>
      <c r="H308" s="37">
        <v>169802.76671524229</v>
      </c>
      <c r="I308" s="37">
        <v>32832.976443471052</v>
      </c>
      <c r="J308" s="37">
        <v>458490.96619019879</v>
      </c>
      <c r="K308" s="37">
        <v>144312.11848018767</v>
      </c>
      <c r="L308" s="37">
        <v>42385.68902117855</v>
      </c>
      <c r="M308" s="37">
        <v>88265.446278389893</v>
      </c>
      <c r="N308" s="37">
        <v>123872.57818052957</v>
      </c>
      <c r="O308" s="37">
        <v>417993.70577540016</v>
      </c>
      <c r="P308" s="68">
        <v>1</v>
      </c>
    </row>
    <row r="309" spans="1:16" x14ac:dyDescent="0.2">
      <c r="A309" s="10">
        <v>307</v>
      </c>
      <c r="B309" s="40">
        <v>0.16037845863720762</v>
      </c>
      <c r="C309" s="12">
        <v>6.7095502930481166</v>
      </c>
      <c r="D309" s="40">
        <v>0.66925799960812271</v>
      </c>
      <c r="E309" s="40">
        <v>2.4044366717279636E-2</v>
      </c>
      <c r="F309" s="37">
        <v>12.842743272155452</v>
      </c>
      <c r="G309" s="12">
        <v>15.669170726857276</v>
      </c>
      <c r="H309" s="37">
        <v>71165.628174972779</v>
      </c>
      <c r="I309" s="37">
        <v>3431.0504414878192</v>
      </c>
      <c r="J309" s="37">
        <v>308088.55071865546</v>
      </c>
      <c r="K309" s="37">
        <v>96391.015387438922</v>
      </c>
      <c r="L309" s="37">
        <v>175074.07820166709</v>
      </c>
      <c r="M309" s="37">
        <v>115939.50639724288</v>
      </c>
      <c r="N309" s="37">
        <v>201863.88948190783</v>
      </c>
      <c r="O309" s="37">
        <v>1011715.3878534144</v>
      </c>
      <c r="P309" s="68">
        <v>1</v>
      </c>
    </row>
    <row r="310" spans="1:16" x14ac:dyDescent="0.2">
      <c r="A310" s="10">
        <v>308</v>
      </c>
      <c r="B310" s="40">
        <v>0.11546496497303346</v>
      </c>
      <c r="C310" s="12">
        <v>5.9679877719850154</v>
      </c>
      <c r="D310" s="40">
        <v>0.47478949995276754</v>
      </c>
      <c r="E310" s="40">
        <v>1.7469499772202954E-2</v>
      </c>
      <c r="F310" s="37">
        <v>15.495039475362029</v>
      </c>
      <c r="G310" s="12">
        <v>13.267461115514759</v>
      </c>
      <c r="H310" s="37">
        <v>41177.960421200114</v>
      </c>
      <c r="I310" s="37">
        <v>17242.466183669865</v>
      </c>
      <c r="J310" s="37">
        <v>549299.81797281501</v>
      </c>
      <c r="K310" s="37">
        <v>132716.95261187549</v>
      </c>
      <c r="L310" s="37">
        <v>79536.795267580339</v>
      </c>
      <c r="M310" s="37">
        <v>72100.951204340003</v>
      </c>
      <c r="N310" s="37">
        <v>170922.97678123164</v>
      </c>
      <c r="O310" s="37">
        <v>146246.33806883032</v>
      </c>
      <c r="P310" s="68">
        <v>1</v>
      </c>
    </row>
    <row r="311" spans="1:16" x14ac:dyDescent="0.2">
      <c r="A311" s="10">
        <v>309</v>
      </c>
      <c r="B311" s="40">
        <v>0.2063631439720468</v>
      </c>
      <c r="C311" s="12">
        <v>8.6159093409729373</v>
      </c>
      <c r="D311" s="40">
        <v>0.7729188139207962</v>
      </c>
      <c r="E311" s="40">
        <v>1.0503634368689065E-2</v>
      </c>
      <c r="F311" s="37">
        <v>17.553503000037381</v>
      </c>
      <c r="G311" s="12">
        <v>20.841841411133792</v>
      </c>
      <c r="H311" s="37">
        <v>78610.124636503053</v>
      </c>
      <c r="I311" s="37">
        <v>30818.363769768468</v>
      </c>
      <c r="J311" s="37">
        <v>234865.46009012847</v>
      </c>
      <c r="K311" s="37">
        <v>163252.32935448183</v>
      </c>
      <c r="L311" s="37">
        <v>334084.22138985177</v>
      </c>
      <c r="M311" s="37">
        <v>79947.337346247732</v>
      </c>
      <c r="N311" s="37">
        <v>268502.73346025322</v>
      </c>
      <c r="O311" s="37">
        <v>1526552.9904135773</v>
      </c>
      <c r="P311" s="68">
        <v>1</v>
      </c>
    </row>
    <row r="312" spans="1:16" x14ac:dyDescent="0.2">
      <c r="A312" s="10">
        <v>310</v>
      </c>
      <c r="B312" s="40">
        <v>0.10467119366337388</v>
      </c>
      <c r="C312" s="12">
        <v>4.2286343973923204</v>
      </c>
      <c r="D312" s="40">
        <v>0.6433496831365102</v>
      </c>
      <c r="E312" s="40">
        <v>3.2447126339602186E-2</v>
      </c>
      <c r="F312" s="37">
        <v>11.798981351568663</v>
      </c>
      <c r="G312" s="12">
        <v>19.279023035447743</v>
      </c>
      <c r="H312" s="37">
        <v>184680.1852167703</v>
      </c>
      <c r="I312" s="37">
        <v>27758.399620689965</v>
      </c>
      <c r="J312" s="37">
        <v>501861.12815150555</v>
      </c>
      <c r="K312" s="37">
        <v>179513.15649800541</v>
      </c>
      <c r="L312" s="37">
        <v>69225.043288586938</v>
      </c>
      <c r="M312" s="37">
        <v>138176.62409639489</v>
      </c>
      <c r="N312" s="37">
        <v>248369.14749267866</v>
      </c>
      <c r="O312" s="37">
        <v>867288.3392791372</v>
      </c>
      <c r="P312" s="68">
        <v>1</v>
      </c>
    </row>
    <row r="313" spans="1:16" x14ac:dyDescent="0.2">
      <c r="A313" s="10">
        <v>311</v>
      </c>
      <c r="B313" s="40">
        <v>0.16106923149288999</v>
      </c>
      <c r="C313" s="12">
        <v>3.3037614956544514</v>
      </c>
      <c r="D313" s="40">
        <v>0.35492665919811861</v>
      </c>
      <c r="E313" s="40">
        <v>3.4388654691019843E-2</v>
      </c>
      <c r="F313" s="37">
        <v>9.7107214543715301</v>
      </c>
      <c r="G313" s="12">
        <v>9.5366772518919856</v>
      </c>
      <c r="H313" s="37">
        <v>14668.792856645588</v>
      </c>
      <c r="I313" s="37">
        <v>64154.958018699523</v>
      </c>
      <c r="J313" s="37">
        <v>197073.08117949823</v>
      </c>
      <c r="K313" s="37">
        <v>119909.82219599521</v>
      </c>
      <c r="L313" s="37">
        <v>45914.380040107695</v>
      </c>
      <c r="M313" s="37">
        <v>66492.404205939456</v>
      </c>
      <c r="N313" s="37">
        <v>122859.77326808171</v>
      </c>
      <c r="O313" s="37">
        <v>346950.14991194487</v>
      </c>
      <c r="P313" s="68">
        <v>1</v>
      </c>
    </row>
    <row r="314" spans="1:16" x14ac:dyDescent="0.2">
      <c r="A314" s="10">
        <v>312</v>
      </c>
      <c r="B314" s="40">
        <v>0.11200816990770154</v>
      </c>
      <c r="C314" s="12">
        <v>2.9221013569446166</v>
      </c>
      <c r="D314" s="40">
        <v>0.620256247349256</v>
      </c>
      <c r="E314" s="40">
        <v>4.132034876507857E-2</v>
      </c>
      <c r="F314" s="37">
        <v>10.547344822753121</v>
      </c>
      <c r="G314" s="12">
        <v>2.6635364071924248</v>
      </c>
      <c r="H314" s="37">
        <v>67444.772343628661</v>
      </c>
      <c r="I314" s="37">
        <v>871.41270665420495</v>
      </c>
      <c r="J314" s="37">
        <v>192134.57498535811</v>
      </c>
      <c r="K314" s="37">
        <v>121052.48961891148</v>
      </c>
      <c r="L314" s="37">
        <v>49352.022375519045</v>
      </c>
      <c r="M314" s="37">
        <v>151650.90358662943</v>
      </c>
      <c r="N314" s="37">
        <v>34313.993274127075</v>
      </c>
      <c r="O314" s="37">
        <v>319390.02706546709</v>
      </c>
      <c r="P314" s="68">
        <v>1</v>
      </c>
    </row>
    <row r="315" spans="1:16" x14ac:dyDescent="0.2">
      <c r="A315" s="10">
        <v>313</v>
      </c>
      <c r="B315" s="40">
        <v>8.5458001325198416E-2</v>
      </c>
      <c r="C315" s="12">
        <v>4.8764144019034958</v>
      </c>
      <c r="D315" s="40">
        <v>0.63548610772896774</v>
      </c>
      <c r="E315" s="40">
        <v>4.3097594555181938E-2</v>
      </c>
      <c r="F315" s="37">
        <v>10.208744520848436</v>
      </c>
      <c r="G315" s="12">
        <v>4.3776814026659903</v>
      </c>
      <c r="H315" s="37">
        <v>75702.665453072696</v>
      </c>
      <c r="I315" s="37">
        <v>30210.647751823733</v>
      </c>
      <c r="J315" s="37">
        <v>357184.07937453699</v>
      </c>
      <c r="K315" s="37">
        <v>104456.22866390653</v>
      </c>
      <c r="L315" s="37">
        <v>64379.593048556337</v>
      </c>
      <c r="M315" s="37">
        <v>156854.92505686017</v>
      </c>
      <c r="N315" s="37">
        <v>56397.100411963605</v>
      </c>
      <c r="O315" s="37">
        <v>424721.15206902148</v>
      </c>
      <c r="P315" s="68">
        <v>1</v>
      </c>
    </row>
    <row r="316" spans="1:16" x14ac:dyDescent="0.2">
      <c r="A316" s="10">
        <v>314</v>
      </c>
      <c r="B316" s="40">
        <v>0.13859956706975518</v>
      </c>
      <c r="C316" s="12">
        <v>4.4562539522284634</v>
      </c>
      <c r="D316" s="40">
        <v>0.27744691737187088</v>
      </c>
      <c r="E316" s="40">
        <v>2.3184633035430419E-2</v>
      </c>
      <c r="F316" s="37">
        <v>24.907884579075276</v>
      </c>
      <c r="G316" s="12">
        <v>23.503472060682927</v>
      </c>
      <c r="H316" s="37">
        <v>41631.662858989112</v>
      </c>
      <c r="I316" s="37">
        <v>36253.971809591683</v>
      </c>
      <c r="J316" s="37">
        <v>315208.31771530176</v>
      </c>
      <c r="K316" s="37">
        <v>82962.922459852038</v>
      </c>
      <c r="L316" s="37">
        <v>41658.203722492734</v>
      </c>
      <c r="M316" s="37">
        <v>89884.272291372239</v>
      </c>
      <c r="N316" s="37">
        <v>302792.17510641029</v>
      </c>
      <c r="O316" s="37">
        <v>887414.98571672384</v>
      </c>
      <c r="P316" s="68">
        <v>1</v>
      </c>
    </row>
    <row r="317" spans="1:16" x14ac:dyDescent="0.2">
      <c r="A317" s="10">
        <v>315</v>
      </c>
      <c r="B317" s="40">
        <v>7.1615507953128169E-2</v>
      </c>
      <c r="C317" s="12">
        <v>5.8361987930896806</v>
      </c>
      <c r="D317" s="40">
        <v>0.79612422817790607</v>
      </c>
      <c r="E317" s="40">
        <v>2.8169641552627866E-2</v>
      </c>
      <c r="F317" s="37">
        <v>10.419406355226485</v>
      </c>
      <c r="G317" s="12">
        <v>9.9730131803557267</v>
      </c>
      <c r="H317" s="37">
        <v>68341.386059968994</v>
      </c>
      <c r="I317" s="37">
        <v>25844.515113526315</v>
      </c>
      <c r="J317" s="37">
        <v>423403.29433503008</v>
      </c>
      <c r="K317" s="37">
        <v>117383.48273783797</v>
      </c>
      <c r="L317" s="37">
        <v>80892.232879868679</v>
      </c>
      <c r="M317" s="37">
        <v>131090.6960357955</v>
      </c>
      <c r="N317" s="37">
        <v>128481.03231080939</v>
      </c>
      <c r="O317" s="37">
        <v>465461.92772698682</v>
      </c>
      <c r="P317" s="68">
        <v>1</v>
      </c>
    </row>
    <row r="318" spans="1:16" x14ac:dyDescent="0.2">
      <c r="A318" s="10">
        <v>316</v>
      </c>
      <c r="B318" s="40">
        <v>0.1373701689011525</v>
      </c>
      <c r="C318" s="12">
        <v>2.6923420700095706</v>
      </c>
      <c r="D318" s="40">
        <v>0.54050084580602165</v>
      </c>
      <c r="E318" s="40">
        <v>2.7339648797130342E-2</v>
      </c>
      <c r="F318" s="37">
        <v>17.913006616554839</v>
      </c>
      <c r="G318" s="12">
        <v>4.819405417470521</v>
      </c>
      <c r="H318" s="37">
        <v>129771.27421500588</v>
      </c>
      <c r="I318" s="37">
        <v>41891.975000200502</v>
      </c>
      <c r="J318" s="37">
        <v>259866.67333037185</v>
      </c>
      <c r="K318" s="37">
        <v>164821.93853862048</v>
      </c>
      <c r="L318" s="37">
        <v>48596.822863401969</v>
      </c>
      <c r="M318" s="37">
        <v>148499.34139415494</v>
      </c>
      <c r="N318" s="37">
        <v>62087.773470568456</v>
      </c>
      <c r="O318" s="37">
        <v>485439.50045700779</v>
      </c>
      <c r="P318" s="68">
        <v>1</v>
      </c>
    </row>
    <row r="319" spans="1:16" x14ac:dyDescent="0.2">
      <c r="A319" s="10">
        <v>317</v>
      </c>
      <c r="B319" s="40">
        <v>0.16498103396799257</v>
      </c>
      <c r="C319" s="12">
        <v>7.8559464620581858</v>
      </c>
      <c r="D319" s="40">
        <v>0.68057374777247326</v>
      </c>
      <c r="E319" s="40">
        <v>3.9170870200177968E-2</v>
      </c>
      <c r="F319" s="37">
        <v>18.323430459692702</v>
      </c>
      <c r="G319" s="12">
        <v>17.25328796831263</v>
      </c>
      <c r="H319" s="37">
        <v>75724.027660844789</v>
      </c>
      <c r="I319" s="37">
        <v>36332.324608655057</v>
      </c>
      <c r="J319" s="37">
        <v>577823.82906955853</v>
      </c>
      <c r="K319" s="37">
        <v>101533.90774694554</v>
      </c>
      <c r="L319" s="37">
        <v>214435.43760551908</v>
      </c>
      <c r="M319" s="37">
        <v>274038.71899765206</v>
      </c>
      <c r="N319" s="37">
        <v>222271.86596833577</v>
      </c>
      <c r="O319" s="37">
        <v>1442908.5815080651</v>
      </c>
      <c r="P319" s="68">
        <v>1</v>
      </c>
    </row>
    <row r="320" spans="1:16" x14ac:dyDescent="0.2">
      <c r="A320" s="10">
        <v>318</v>
      </c>
      <c r="B320" s="40">
        <v>0.18814558682654975</v>
      </c>
      <c r="C320" s="12">
        <v>6.6726381420892427</v>
      </c>
      <c r="D320" s="40">
        <v>0.31817401991658933</v>
      </c>
      <c r="E320" s="40">
        <v>2.0800499677239945E-2</v>
      </c>
      <c r="F320" s="37">
        <v>11.266037620871014</v>
      </c>
      <c r="G320" s="12">
        <v>11.254981078905281</v>
      </c>
      <c r="H320" s="37">
        <v>58259.220604482791</v>
      </c>
      <c r="I320" s="37">
        <v>55731.773694687821</v>
      </c>
      <c r="J320" s="37">
        <v>170372.67430168216</v>
      </c>
      <c r="K320" s="37">
        <v>123986.17442541133</v>
      </c>
      <c r="L320" s="37">
        <v>97105.796329738921</v>
      </c>
      <c r="M320" s="37">
        <v>41828.896933343472</v>
      </c>
      <c r="N320" s="37">
        <v>144996.45809199649</v>
      </c>
      <c r="O320" s="37">
        <v>597096.47309552925</v>
      </c>
      <c r="P320" s="68">
        <v>1</v>
      </c>
    </row>
    <row r="321" spans="1:16" x14ac:dyDescent="0.2">
      <c r="A321" s="10">
        <v>319</v>
      </c>
      <c r="B321" s="40">
        <v>6.6701192538368051E-2</v>
      </c>
      <c r="C321" s="12">
        <v>7.2919000351228069</v>
      </c>
      <c r="D321" s="40">
        <v>0.43004998747129619</v>
      </c>
      <c r="E321" s="40">
        <v>1.8094689473050277E-2</v>
      </c>
      <c r="F321" s="37">
        <v>15.246775149257427</v>
      </c>
      <c r="G321" s="12">
        <v>17.439240042530791</v>
      </c>
      <c r="H321" s="37">
        <v>134523.96833322477</v>
      </c>
      <c r="I321" s="37">
        <v>13614.173284203885</v>
      </c>
      <c r="J321" s="37">
        <v>359990.00903965713</v>
      </c>
      <c r="K321" s="37">
        <v>190486.18434124847</v>
      </c>
      <c r="L321" s="37">
        <v>50848.959880081944</v>
      </c>
      <c r="M321" s="37">
        <v>66560.228070748606</v>
      </c>
      <c r="N321" s="37">
        <v>224667.46236671868</v>
      </c>
      <c r="O321" s="37">
        <v>479740.74223269173</v>
      </c>
      <c r="P321" s="68">
        <v>1</v>
      </c>
    </row>
    <row r="322" spans="1:16" x14ac:dyDescent="0.2">
      <c r="A322" s="10">
        <v>320</v>
      </c>
      <c r="B322" s="40">
        <v>0.112940072675803</v>
      </c>
      <c r="C322" s="12">
        <v>5.5759638561418514</v>
      </c>
      <c r="D322" s="40">
        <v>0.68799117425456402</v>
      </c>
      <c r="E322" s="40">
        <v>3.7170174136768673E-2</v>
      </c>
      <c r="F322" s="37">
        <v>13.760984407435274</v>
      </c>
      <c r="G322" s="12">
        <v>10.035335515279776</v>
      </c>
      <c r="H322" s="37">
        <v>65537.967022536177</v>
      </c>
      <c r="I322" s="37">
        <v>45344.441092719615</v>
      </c>
      <c r="J322" s="37">
        <v>350953.22778442735</v>
      </c>
      <c r="K322" s="37">
        <v>137430.60914452662</v>
      </c>
      <c r="L322" s="37">
        <v>105326.99876866642</v>
      </c>
      <c r="M322" s="37">
        <v>197421.15911034495</v>
      </c>
      <c r="N322" s="37">
        <v>129283.92284973238</v>
      </c>
      <c r="O322" s="37">
        <v>785065.40474595851</v>
      </c>
      <c r="P322" s="68">
        <v>1</v>
      </c>
    </row>
    <row r="323" spans="1:16" x14ac:dyDescent="0.2">
      <c r="A323" s="10">
        <v>321</v>
      </c>
      <c r="B323" s="40">
        <v>5.6319702626964008E-2</v>
      </c>
      <c r="C323" s="12">
        <v>6.383655377029803</v>
      </c>
      <c r="D323" s="40">
        <v>0.35431596727226389</v>
      </c>
      <c r="E323" s="40">
        <v>3.4484821142627631E-2</v>
      </c>
      <c r="F323" s="37">
        <v>8.3500535999169223</v>
      </c>
      <c r="G323" s="12">
        <v>16.428062709212032</v>
      </c>
      <c r="H323" s="37">
        <v>188708.34902746347</v>
      </c>
      <c r="I323" s="37">
        <v>49747.814892538387</v>
      </c>
      <c r="J323" s="37">
        <v>357759.95449553378</v>
      </c>
      <c r="K323" s="37">
        <v>164286.39301698277</v>
      </c>
      <c r="L323" s="37">
        <v>30967.727755980639</v>
      </c>
      <c r="M323" s="37">
        <v>57236.714619935556</v>
      </c>
      <c r="N323" s="37">
        <v>211640.59623462643</v>
      </c>
      <c r="O323" s="37">
        <v>690093.7672470361</v>
      </c>
      <c r="P323" s="68">
        <v>1</v>
      </c>
    </row>
    <row r="324" spans="1:16" x14ac:dyDescent="0.2">
      <c r="A324" s="10">
        <v>322</v>
      </c>
      <c r="B324" s="40">
        <v>0.16774927806440426</v>
      </c>
      <c r="C324" s="12">
        <v>3.8888052609746042</v>
      </c>
      <c r="D324" s="40">
        <v>0.69026559019982447</v>
      </c>
      <c r="E324" s="40">
        <v>4.5646704493220711E-2</v>
      </c>
      <c r="F324" s="37">
        <v>12.303515053164322</v>
      </c>
      <c r="G324" s="12">
        <v>14.873721647538757</v>
      </c>
      <c r="H324" s="37">
        <v>39203.221861805388</v>
      </c>
      <c r="I324" s="37">
        <v>25869.76327059824</v>
      </c>
      <c r="J324" s="37">
        <v>439747.84958399151</v>
      </c>
      <c r="K324" s="37">
        <v>98147.860773407403</v>
      </c>
      <c r="L324" s="37">
        <v>109466.67057812065</v>
      </c>
      <c r="M324" s="37">
        <v>217481.13453072726</v>
      </c>
      <c r="N324" s="37">
        <v>191616.22240142763</v>
      </c>
      <c r="O324" s="37">
        <v>920416.51212536474</v>
      </c>
      <c r="P324" s="68">
        <v>1</v>
      </c>
    </row>
    <row r="325" spans="1:16" x14ac:dyDescent="0.2">
      <c r="A325" s="10">
        <v>323</v>
      </c>
      <c r="B325" s="40">
        <v>0.10137192693763039</v>
      </c>
      <c r="C325" s="12">
        <v>4.4538783730502365</v>
      </c>
      <c r="D325" s="40">
        <v>0.62852440277877819</v>
      </c>
      <c r="E325" s="40">
        <v>2.4402631833344568E-2</v>
      </c>
      <c r="F325" s="37">
        <v>9.8076691991827349</v>
      </c>
      <c r="G325" s="12">
        <v>6.1370858044640348</v>
      </c>
      <c r="H325" s="37">
        <v>76593.172258848994</v>
      </c>
      <c r="I325" s="37">
        <v>27210.422620916241</v>
      </c>
      <c r="J325" s="37">
        <v>429987.37105420604</v>
      </c>
      <c r="K325" s="37">
        <v>154828.95989865929</v>
      </c>
      <c r="L325" s="37">
        <v>68986.963332904023</v>
      </c>
      <c r="M325" s="37">
        <v>84390.071121669549</v>
      </c>
      <c r="N325" s="37">
        <v>79063.278597755576</v>
      </c>
      <c r="O325" s="37">
        <v>78271.456246794201</v>
      </c>
      <c r="P325" s="68">
        <v>1</v>
      </c>
    </row>
    <row r="326" spans="1:16" x14ac:dyDescent="0.2">
      <c r="A326" s="10">
        <v>324</v>
      </c>
      <c r="B326" s="40">
        <v>0.10532086745339146</v>
      </c>
      <c r="C326" s="12">
        <v>7.8793933641945699</v>
      </c>
      <c r="D326" s="40">
        <v>0.76882873733465251</v>
      </c>
      <c r="E326" s="40">
        <v>1.9569104345259929E-2</v>
      </c>
      <c r="F326" s="37">
        <v>19.802144501901708</v>
      </c>
      <c r="G326" s="12">
        <v>24.368911038842349</v>
      </c>
      <c r="H326" s="37">
        <v>55559.234999291395</v>
      </c>
      <c r="I326" s="37">
        <v>22438.65099438656</v>
      </c>
      <c r="J326" s="37">
        <v>178131.2495314324</v>
      </c>
      <c r="K326" s="37">
        <v>154733.02617773306</v>
      </c>
      <c r="L326" s="37">
        <v>155104.94619265603</v>
      </c>
      <c r="M326" s="37">
        <v>167139.65998376688</v>
      </c>
      <c r="N326" s="37">
        <v>313941.51295497094</v>
      </c>
      <c r="O326" s="37">
        <v>1389247.3020957769</v>
      </c>
      <c r="P326" s="68">
        <v>1</v>
      </c>
    </row>
    <row r="327" spans="1:16" x14ac:dyDescent="0.2">
      <c r="A327" s="10">
        <v>325</v>
      </c>
      <c r="B327" s="40">
        <v>0.13089531448080632</v>
      </c>
      <c r="C327" s="12">
        <v>5.6467816494722598</v>
      </c>
      <c r="D327" s="40">
        <v>0.73353604197592115</v>
      </c>
      <c r="E327" s="40">
        <v>1.1102778658754186E-2</v>
      </c>
      <c r="F327" s="37">
        <v>11.587994441004479</v>
      </c>
      <c r="G327" s="12">
        <v>23.055540326779056</v>
      </c>
      <c r="H327" s="37">
        <v>165671.13492266415</v>
      </c>
      <c r="I327" s="37">
        <v>8056.9325598093164</v>
      </c>
      <c r="J327" s="37">
        <v>425106.87046648539</v>
      </c>
      <c r="K327" s="37">
        <v>141315.68516472226</v>
      </c>
      <c r="L327" s="37">
        <v>131806.06138321469</v>
      </c>
      <c r="M327" s="37">
        <v>52945.389753146846</v>
      </c>
      <c r="N327" s="37">
        <v>297021.52880965208</v>
      </c>
      <c r="O327" s="37">
        <v>1015453.8554961613</v>
      </c>
      <c r="P327" s="68">
        <v>1</v>
      </c>
    </row>
    <row r="328" spans="1:16" x14ac:dyDescent="0.2">
      <c r="A328" s="10">
        <v>326</v>
      </c>
      <c r="B328" s="40">
        <v>9.8606775867290594E-2</v>
      </c>
      <c r="C328" s="12">
        <v>3.0902323145407009</v>
      </c>
      <c r="D328" s="40">
        <v>0.32992817414472786</v>
      </c>
      <c r="E328" s="40">
        <v>3.431163098937718E-2</v>
      </c>
      <c r="F328" s="37">
        <v>16.429208398888811</v>
      </c>
      <c r="G328" s="12">
        <v>10.3541132541246</v>
      </c>
      <c r="H328" s="37">
        <v>134609.8438768487</v>
      </c>
      <c r="I328" s="37">
        <v>47644.041294144903</v>
      </c>
      <c r="J328" s="37">
        <v>356891.27508672397</v>
      </c>
      <c r="K328" s="37">
        <v>106601.42143576998</v>
      </c>
      <c r="L328" s="37">
        <v>24440.27688545837</v>
      </c>
      <c r="M328" s="37">
        <v>104338.39135031024</v>
      </c>
      <c r="N328" s="37">
        <v>133390.6950181642</v>
      </c>
      <c r="O328" s="37">
        <v>589562.84836591035</v>
      </c>
      <c r="P328" s="68">
        <v>1</v>
      </c>
    </row>
    <row r="329" spans="1:16" x14ac:dyDescent="0.2">
      <c r="A329" s="10">
        <v>327</v>
      </c>
      <c r="B329" s="40">
        <v>0.1535551271324872</v>
      </c>
      <c r="C329" s="12">
        <v>5.8100938698265461</v>
      </c>
      <c r="D329" s="40">
        <v>0.72426533286499939</v>
      </c>
      <c r="E329" s="40">
        <v>3.3163862573605374E-2</v>
      </c>
      <c r="F329" s="37">
        <v>20.743169336771736</v>
      </c>
      <c r="G329" s="12">
        <v>14.29947676055742</v>
      </c>
      <c r="H329" s="37">
        <v>151715.41266271047</v>
      </c>
      <c r="I329" s="37">
        <v>21760.643799979163</v>
      </c>
      <c r="J329" s="37">
        <v>285422.71431883558</v>
      </c>
      <c r="K329" s="37">
        <v>143682.34812745533</v>
      </c>
      <c r="L329" s="37">
        <v>157084.74037947491</v>
      </c>
      <c r="M329" s="37">
        <v>279514.69788853597</v>
      </c>
      <c r="N329" s="37">
        <v>184218.3001742824</v>
      </c>
      <c r="O329" s="37">
        <v>1537354.37517882</v>
      </c>
      <c r="P329" s="68">
        <v>1</v>
      </c>
    </row>
    <row r="330" spans="1:16" x14ac:dyDescent="0.2">
      <c r="A330" s="10">
        <v>328</v>
      </c>
      <c r="B330" s="40">
        <v>0.10158106599364777</v>
      </c>
      <c r="C330" s="12">
        <v>4.6222537485531259</v>
      </c>
      <c r="D330" s="40">
        <v>0.70052982257201935</v>
      </c>
      <c r="E330" s="40">
        <v>3.306841439818381E-2</v>
      </c>
      <c r="F330" s="37">
        <v>15.974672683881598</v>
      </c>
      <c r="G330" s="12">
        <v>8.876439921008517</v>
      </c>
      <c r="H330" s="37">
        <v>49211.155863581422</v>
      </c>
      <c r="I330" s="37">
        <v>15547.960984772348</v>
      </c>
      <c r="J330" s="37">
        <v>461016.5862383364</v>
      </c>
      <c r="K330" s="37">
        <v>186722.78649522029</v>
      </c>
      <c r="L330" s="37">
        <v>79961.697923288899</v>
      </c>
      <c r="M330" s="37">
        <v>207605.42607270053</v>
      </c>
      <c r="N330" s="37">
        <v>114354.021565163</v>
      </c>
      <c r="O330" s="37">
        <v>323322.63136637025</v>
      </c>
      <c r="P330" s="68">
        <v>1</v>
      </c>
    </row>
    <row r="331" spans="1:16" x14ac:dyDescent="0.2">
      <c r="A331" s="10">
        <v>329</v>
      </c>
      <c r="B331" s="40">
        <v>0.11695463350584881</v>
      </c>
      <c r="C331" s="12">
        <v>5.7487551882939272</v>
      </c>
      <c r="D331" s="40">
        <v>0.60782459856884774</v>
      </c>
      <c r="E331" s="40">
        <v>2.9024759398161359E-2</v>
      </c>
      <c r="F331" s="37">
        <v>12.129285141680974</v>
      </c>
      <c r="G331" s="12">
        <v>7.9639452868651075</v>
      </c>
      <c r="H331" s="37">
        <v>204123.61251804794</v>
      </c>
      <c r="I331" s="37">
        <v>54253.580661354528</v>
      </c>
      <c r="J331" s="37">
        <v>545099.33769820468</v>
      </c>
      <c r="K331" s="37">
        <v>79220.692599797607</v>
      </c>
      <c r="L331" s="37">
        <v>99347.821506498542</v>
      </c>
      <c r="M331" s="37">
        <v>120046.3163068607</v>
      </c>
      <c r="N331" s="37">
        <v>102598.47181779589</v>
      </c>
      <c r="O331" s="37">
        <v>858938.54242023232</v>
      </c>
      <c r="P331" s="68">
        <v>1</v>
      </c>
    </row>
    <row r="332" spans="1:16" x14ac:dyDescent="0.2">
      <c r="A332" s="10">
        <v>330</v>
      </c>
      <c r="B332" s="40">
        <v>9.3580082221721539E-2</v>
      </c>
      <c r="C332" s="12">
        <v>6.4292607643995359</v>
      </c>
      <c r="D332" s="40">
        <v>0.82282944569510819</v>
      </c>
      <c r="E332" s="40">
        <v>2.8906450707135382E-2</v>
      </c>
      <c r="F332" s="37">
        <v>8.8673615862578181</v>
      </c>
      <c r="G332" s="12">
        <v>28.242628019685931</v>
      </c>
      <c r="H332" s="37">
        <v>183665.79954131361</v>
      </c>
      <c r="I332" s="37">
        <v>34634.010010156664</v>
      </c>
      <c r="J332" s="37">
        <v>401109.05845124356</v>
      </c>
      <c r="K332" s="37">
        <v>74451.677905090735</v>
      </c>
      <c r="L332" s="37">
        <v>120349.17501731859</v>
      </c>
      <c r="M332" s="37">
        <v>118322.06619331155</v>
      </c>
      <c r="N332" s="37">
        <v>363846.10523597134</v>
      </c>
      <c r="O332" s="37">
        <v>1689936.0662513506</v>
      </c>
      <c r="P332" s="68">
        <v>1</v>
      </c>
    </row>
    <row r="333" spans="1:16" x14ac:dyDescent="0.2">
      <c r="A333" s="10">
        <v>331</v>
      </c>
      <c r="B333" s="40">
        <v>0.17869632780037431</v>
      </c>
      <c r="C333" s="12">
        <v>7.0157351371954224</v>
      </c>
      <c r="D333" s="40">
        <v>0.42143568291105971</v>
      </c>
      <c r="E333" s="40">
        <v>3.5741955391464977E-2</v>
      </c>
      <c r="F333" s="37">
        <v>10.258662460795328</v>
      </c>
      <c r="G333" s="12">
        <v>18.598597545714892</v>
      </c>
      <c r="H333" s="37">
        <v>54078.877078001053</v>
      </c>
      <c r="I333" s="37">
        <v>40942.219493272765</v>
      </c>
      <c r="J333" s="37">
        <v>631855.33129199059</v>
      </c>
      <c r="K333" s="37">
        <v>94009.745621605325</v>
      </c>
      <c r="L333" s="37">
        <v>128442.55818132886</v>
      </c>
      <c r="M333" s="37">
        <v>86689.617241730375</v>
      </c>
      <c r="N333" s="37">
        <v>239603.31436376405</v>
      </c>
      <c r="O333" s="37">
        <v>644981.87164992932</v>
      </c>
      <c r="P333" s="68">
        <v>1</v>
      </c>
    </row>
    <row r="334" spans="1:16" x14ac:dyDescent="0.2">
      <c r="A334" s="10">
        <v>332</v>
      </c>
      <c r="B334" s="40">
        <v>0.17510153681474375</v>
      </c>
      <c r="C334" s="12">
        <v>3.7404688360585081</v>
      </c>
      <c r="D334" s="40">
        <v>0.60156126297460744</v>
      </c>
      <c r="E334" s="40">
        <v>4.4510084773963551E-2</v>
      </c>
      <c r="F334" s="37">
        <v>10.011880722802285</v>
      </c>
      <c r="G334" s="12">
        <v>14.809061320696468</v>
      </c>
      <c r="H334" s="37">
        <v>117307.08210254699</v>
      </c>
      <c r="I334" s="37">
        <v>55866.234546707354</v>
      </c>
      <c r="J334" s="37">
        <v>448253.54616250464</v>
      </c>
      <c r="K334" s="37">
        <v>109948.15292728646</v>
      </c>
      <c r="L334" s="37">
        <v>95782.174083276332</v>
      </c>
      <c r="M334" s="37">
        <v>150390.59682346022</v>
      </c>
      <c r="N334" s="37">
        <v>190783.21181656091</v>
      </c>
      <c r="O334" s="37">
        <v>953072.45087433804</v>
      </c>
      <c r="P334" s="68">
        <v>1</v>
      </c>
    </row>
    <row r="335" spans="1:16" x14ac:dyDescent="0.2">
      <c r="A335" s="10">
        <v>333</v>
      </c>
      <c r="B335" s="40">
        <v>0.14865617669165337</v>
      </c>
      <c r="C335" s="12">
        <v>6.2847426851135637</v>
      </c>
      <c r="D335" s="40">
        <v>0.67440737386276328</v>
      </c>
      <c r="E335" s="40">
        <v>1.6673516431145848E-2</v>
      </c>
      <c r="F335" s="37">
        <v>25.458690644825644</v>
      </c>
      <c r="G335" s="12">
        <v>8.6289603110851942</v>
      </c>
      <c r="H335" s="37">
        <v>61359.007410476537</v>
      </c>
      <c r="I335" s="37">
        <v>27056.702676004938</v>
      </c>
      <c r="J335" s="37">
        <v>370210.75095079036</v>
      </c>
      <c r="K335" s="37">
        <v>193859.50955239747</v>
      </c>
      <c r="L335" s="37">
        <v>153172.78181770921</v>
      </c>
      <c r="M335" s="37">
        <v>160602.50237966565</v>
      </c>
      <c r="N335" s="37">
        <v>111165.77392287012</v>
      </c>
      <c r="O335" s="37">
        <v>524904.58419571188</v>
      </c>
      <c r="P335" s="68">
        <v>1</v>
      </c>
    </row>
    <row r="336" spans="1:16" x14ac:dyDescent="0.2">
      <c r="A336" s="10">
        <v>334</v>
      </c>
      <c r="B336" s="40">
        <v>0.14995239644438524</v>
      </c>
      <c r="C336" s="12">
        <v>2.7081507330222712</v>
      </c>
      <c r="D336" s="40">
        <v>0.45103786547556379</v>
      </c>
      <c r="E336" s="40">
        <v>9.3539394741059129E-3</v>
      </c>
      <c r="F336" s="37">
        <v>9.7943624378817979</v>
      </c>
      <c r="G336" s="12">
        <v>6.5943208448871786</v>
      </c>
      <c r="H336" s="37">
        <v>40061.29054227587</v>
      </c>
      <c r="I336" s="37">
        <v>33857.656247525985</v>
      </c>
      <c r="J336" s="37">
        <v>298237.53106815799</v>
      </c>
      <c r="K336" s="37">
        <v>151740.11848026869</v>
      </c>
      <c r="L336" s="37">
        <v>44527.475837572718</v>
      </c>
      <c r="M336" s="37">
        <v>23181.976516996579</v>
      </c>
      <c r="N336" s="37">
        <v>84953.778182971684</v>
      </c>
      <c r="O336" s="37">
        <v>-88557.25127447932</v>
      </c>
      <c r="P336" s="68">
        <v>0</v>
      </c>
    </row>
    <row r="337" spans="1:16" x14ac:dyDescent="0.2">
      <c r="A337" s="10">
        <v>335</v>
      </c>
      <c r="B337" s="40">
        <v>0.19521846977085228</v>
      </c>
      <c r="C337" s="12">
        <v>6.1607752068175792</v>
      </c>
      <c r="D337" s="40">
        <v>0.59069716588999532</v>
      </c>
      <c r="E337" s="40">
        <v>2.9368952679330023E-2</v>
      </c>
      <c r="F337" s="37">
        <v>8.8882571624657611</v>
      </c>
      <c r="G337" s="12">
        <v>8.4494296946918652</v>
      </c>
      <c r="H337" s="37">
        <v>84963.827578472818</v>
      </c>
      <c r="I337" s="37">
        <v>54759.678309848547</v>
      </c>
      <c r="J337" s="37">
        <v>626720.49618148583</v>
      </c>
      <c r="K337" s="37">
        <v>100391.6217994793</v>
      </c>
      <c r="L337" s="37">
        <v>172707.01717842222</v>
      </c>
      <c r="M337" s="37">
        <v>86504.099615828163</v>
      </c>
      <c r="N337" s="37">
        <v>108852.90433085499</v>
      </c>
      <c r="O337" s="37">
        <v>514654.9377387024</v>
      </c>
      <c r="P337" s="68">
        <v>1</v>
      </c>
    </row>
    <row r="338" spans="1:16" x14ac:dyDescent="0.2">
      <c r="A338" s="10">
        <v>336</v>
      </c>
      <c r="B338" s="40">
        <v>0.1427354683598504</v>
      </c>
      <c r="C338" s="12">
        <v>5.6275090488478963</v>
      </c>
      <c r="D338" s="40">
        <v>0.67284035893379912</v>
      </c>
      <c r="E338" s="40">
        <v>4.4638163240527648E-2</v>
      </c>
      <c r="F338" s="37">
        <v>26.18969032117338</v>
      </c>
      <c r="G338" s="12">
        <v>25.757025491912973</v>
      </c>
      <c r="H338" s="37">
        <v>4524.0324558241455</v>
      </c>
      <c r="I338" s="37">
        <v>26899.226451577983</v>
      </c>
      <c r="J338" s="37">
        <v>297723.65578130016</v>
      </c>
      <c r="K338" s="37">
        <v>93113.9224019705</v>
      </c>
      <c r="L338" s="37">
        <v>131385.96336657155</v>
      </c>
      <c r="M338" s="37">
        <v>441281.21981835796</v>
      </c>
      <c r="N338" s="37">
        <v>331824.41099900089</v>
      </c>
      <c r="O338" s="37">
        <v>2063498.5991864605</v>
      </c>
      <c r="P338" s="68">
        <v>1</v>
      </c>
    </row>
    <row r="339" spans="1:16" x14ac:dyDescent="0.2">
      <c r="A339" s="10">
        <v>337</v>
      </c>
      <c r="B339" s="40">
        <v>0.11946827149588532</v>
      </c>
      <c r="C339" s="12">
        <v>5.6088008289673139</v>
      </c>
      <c r="D339" s="40">
        <v>0.490412902795133</v>
      </c>
      <c r="E339" s="40">
        <v>2.4978165767467315E-2</v>
      </c>
      <c r="F339" s="37">
        <v>14.132700891338301</v>
      </c>
      <c r="G339" s="12">
        <v>19.466672685495439</v>
      </c>
      <c r="H339" s="37">
        <v>179038.39134162589</v>
      </c>
      <c r="I339" s="37">
        <v>39664.258195534567</v>
      </c>
      <c r="J339" s="37">
        <v>354582.37517257128</v>
      </c>
      <c r="K339" s="37">
        <v>122312.04916463706</v>
      </c>
      <c r="L339" s="37">
        <v>79886.485623828266</v>
      </c>
      <c r="M339" s="37">
        <v>97121.265109684333</v>
      </c>
      <c r="N339" s="37">
        <v>250786.61353978861</v>
      </c>
      <c r="O339" s="37">
        <v>1113993.6066180863</v>
      </c>
      <c r="P339" s="68">
        <v>1</v>
      </c>
    </row>
    <row r="340" spans="1:16" x14ac:dyDescent="0.2">
      <c r="A340" s="10">
        <v>338</v>
      </c>
      <c r="B340" s="40">
        <v>5.1005559598605255E-2</v>
      </c>
      <c r="C340" s="12">
        <v>8.5154780598099791</v>
      </c>
      <c r="D340" s="40">
        <v>0.63457248496144048</v>
      </c>
      <c r="E340" s="40">
        <v>1.8380264122678222E-2</v>
      </c>
      <c r="F340" s="37">
        <v>20.315067411944831</v>
      </c>
      <c r="G340" s="12">
        <v>12.219474563355284</v>
      </c>
      <c r="H340" s="37">
        <v>88935.933352430759</v>
      </c>
      <c r="I340" s="37">
        <v>29690.622200000162</v>
      </c>
      <c r="J340" s="37">
        <v>433532.94754647301</v>
      </c>
      <c r="K340" s="37">
        <v>150010.57236146071</v>
      </c>
      <c r="L340" s="37">
        <v>67003.365563128726</v>
      </c>
      <c r="M340" s="37">
        <v>132928.46348799166</v>
      </c>
      <c r="N340" s="37">
        <v>157421.9022680129</v>
      </c>
      <c r="O340" s="37">
        <v>479715.85928289848</v>
      </c>
      <c r="P340" s="68">
        <v>1</v>
      </c>
    </row>
    <row r="341" spans="1:16" x14ac:dyDescent="0.2">
      <c r="A341" s="10">
        <v>339</v>
      </c>
      <c r="B341" s="40">
        <v>0.17702272221276302</v>
      </c>
      <c r="C341" s="12">
        <v>5.7853898367711185</v>
      </c>
      <c r="D341" s="40">
        <v>0.37787807267279822</v>
      </c>
      <c r="E341" s="40">
        <v>2.3627928176046191E-2</v>
      </c>
      <c r="F341" s="37">
        <v>7.8322230745912167</v>
      </c>
      <c r="G341" s="12">
        <v>21.523809321148939</v>
      </c>
      <c r="H341" s="37">
        <v>102139.92584414373</v>
      </c>
      <c r="I341" s="37">
        <v>61740.239482239471</v>
      </c>
      <c r="J341" s="37">
        <v>358296.19383636117</v>
      </c>
      <c r="K341" s="37">
        <v>194093.16172281836</v>
      </c>
      <c r="L341" s="37">
        <v>94081.051881520601</v>
      </c>
      <c r="M341" s="37">
        <v>39230.976109851486</v>
      </c>
      <c r="N341" s="37">
        <v>277288.43738915003</v>
      </c>
      <c r="O341" s="37">
        <v>707411.40634560201</v>
      </c>
      <c r="P341" s="68">
        <v>1</v>
      </c>
    </row>
    <row r="342" spans="1:16" x14ac:dyDescent="0.2">
      <c r="A342" s="10">
        <v>340</v>
      </c>
      <c r="B342" s="40">
        <v>0.2113331437363879</v>
      </c>
      <c r="C342" s="12">
        <v>4.0726307215811843</v>
      </c>
      <c r="D342" s="40">
        <v>0.58427283092746674</v>
      </c>
      <c r="E342" s="40">
        <v>1.2802515229502452E-2</v>
      </c>
      <c r="F342" s="37">
        <v>20.230097737390558</v>
      </c>
      <c r="G342" s="12">
        <v>9.2175895569366144</v>
      </c>
      <c r="H342" s="37">
        <v>57699.586647726464</v>
      </c>
      <c r="I342" s="37">
        <v>13571.520269120872</v>
      </c>
      <c r="J342" s="37">
        <v>299024.08619921631</v>
      </c>
      <c r="K342" s="37">
        <v>80540.644028403636</v>
      </c>
      <c r="L342" s="37">
        <v>122249.52149112862</v>
      </c>
      <c r="M342" s="37">
        <v>84893.747620505383</v>
      </c>
      <c r="N342" s="37">
        <v>118749.00797537202</v>
      </c>
      <c r="O342" s="37">
        <v>588037.89111421118</v>
      </c>
      <c r="P342" s="68">
        <v>1</v>
      </c>
    </row>
    <row r="343" spans="1:16" x14ac:dyDescent="0.2">
      <c r="A343" s="10">
        <v>341</v>
      </c>
      <c r="B343" s="40">
        <v>0.12525768690334116</v>
      </c>
      <c r="C343" s="12">
        <v>5.4011826159489367</v>
      </c>
      <c r="D343" s="40">
        <v>0.61620998853102549</v>
      </c>
      <c r="E343" s="40">
        <v>1.3507820609091954E-2</v>
      </c>
      <c r="F343" s="37">
        <v>21.179588862066829</v>
      </c>
      <c r="G343" s="12">
        <v>16.279156367321796</v>
      </c>
      <c r="H343" s="37">
        <v>45344.133145129759</v>
      </c>
      <c r="I343" s="37">
        <v>37614.44208525031</v>
      </c>
      <c r="J343" s="37">
        <v>356916.44744445692</v>
      </c>
      <c r="K343" s="37">
        <v>164557.56048713281</v>
      </c>
      <c r="L343" s="37">
        <v>101346.98002799909</v>
      </c>
      <c r="M343" s="37">
        <v>98900.451768799976</v>
      </c>
      <c r="N343" s="37">
        <v>209722.25518987895</v>
      </c>
      <c r="O343" s="37">
        <v>563059.05397066846</v>
      </c>
      <c r="P343" s="68">
        <v>1</v>
      </c>
    </row>
    <row r="344" spans="1:16" x14ac:dyDescent="0.2">
      <c r="A344" s="10">
        <v>342</v>
      </c>
      <c r="B344" s="40">
        <v>7.4385371071753775E-2</v>
      </c>
      <c r="C344" s="12">
        <v>5.5611805596481583</v>
      </c>
      <c r="D344" s="40">
        <v>0.76457004949774798</v>
      </c>
      <c r="E344" s="40">
        <v>2.0181770211118132E-2</v>
      </c>
      <c r="F344" s="37">
        <v>16.539560687231386</v>
      </c>
      <c r="G344" s="12">
        <v>9.2120478769152161</v>
      </c>
      <c r="H344" s="37">
        <v>151701.5829121641</v>
      </c>
      <c r="I344" s="37">
        <v>14577.416448215638</v>
      </c>
      <c r="J344" s="37">
        <v>381275.31821176689</v>
      </c>
      <c r="K344" s="37">
        <v>103174.2464633818</v>
      </c>
      <c r="L344" s="37">
        <v>76888.367618134886</v>
      </c>
      <c r="M344" s="37">
        <v>143175.01599051899</v>
      </c>
      <c r="N344" s="37">
        <v>118677.61523207474</v>
      </c>
      <c r="O344" s="37">
        <v>744550.60047969432</v>
      </c>
      <c r="P344" s="68">
        <v>1</v>
      </c>
    </row>
    <row r="345" spans="1:16" x14ac:dyDescent="0.2">
      <c r="A345" s="10">
        <v>343</v>
      </c>
      <c r="B345" s="40">
        <v>8.4770580651386762E-2</v>
      </c>
      <c r="C345" s="12">
        <v>4.2365859928231799</v>
      </c>
      <c r="D345" s="40">
        <v>0.54781595140127926</v>
      </c>
      <c r="E345" s="40">
        <v>3.1542643878953516E-2</v>
      </c>
      <c r="F345" s="37">
        <v>10.6330657208616</v>
      </c>
      <c r="G345" s="12">
        <v>6.5992761156847077</v>
      </c>
      <c r="H345" s="37">
        <v>77146.654341267858</v>
      </c>
      <c r="I345" s="37">
        <v>60419.166670050356</v>
      </c>
      <c r="J345" s="37">
        <v>324767.92914439569</v>
      </c>
      <c r="K345" s="37">
        <v>93455.226099593012</v>
      </c>
      <c r="L345" s="37">
        <v>47828.271673468822</v>
      </c>
      <c r="M345" s="37">
        <v>103076.10442778163</v>
      </c>
      <c r="N345" s="37">
        <v>85017.616292471052</v>
      </c>
      <c r="O345" s="37">
        <v>459781.72331147478</v>
      </c>
      <c r="P345" s="68">
        <v>1</v>
      </c>
    </row>
    <row r="346" spans="1:16" x14ac:dyDescent="0.2">
      <c r="A346" s="10">
        <v>344</v>
      </c>
      <c r="B346" s="40">
        <v>0.18377562191260421</v>
      </c>
      <c r="C346" s="12">
        <v>2.7065802515736337</v>
      </c>
      <c r="D346" s="40">
        <v>0.69663636292378572</v>
      </c>
      <c r="E346" s="40">
        <v>1.7906097864268736E-2</v>
      </c>
      <c r="F346" s="37">
        <v>11.630386966751782</v>
      </c>
      <c r="G346" s="12">
        <v>13.30182578908278</v>
      </c>
      <c r="H346" s="37">
        <v>52098.145307603285</v>
      </c>
      <c r="I346" s="37">
        <v>25654.319578333692</v>
      </c>
      <c r="J346" s="37">
        <v>519557.09595852392</v>
      </c>
      <c r="K346" s="37">
        <v>157801.62046468753</v>
      </c>
      <c r="L346" s="37">
        <v>84237.172185399846</v>
      </c>
      <c r="M346" s="37">
        <v>81389.426915169694</v>
      </c>
      <c r="N346" s="37">
        <v>171365.69240340087</v>
      </c>
      <c r="O346" s="37">
        <v>200304.29564149515</v>
      </c>
      <c r="P346" s="68">
        <v>1</v>
      </c>
    </row>
    <row r="347" spans="1:16" x14ac:dyDescent="0.2">
      <c r="A347" s="10">
        <v>345</v>
      </c>
      <c r="B347" s="40">
        <v>0.12836251825647177</v>
      </c>
      <c r="C347" s="12">
        <v>4.2951752472288405</v>
      </c>
      <c r="D347" s="40">
        <v>0.55104402576792455</v>
      </c>
      <c r="E347" s="40">
        <v>8.9370075985074522E-3</v>
      </c>
      <c r="F347" s="37">
        <v>12.580938784796938</v>
      </c>
      <c r="G347" s="12">
        <v>25.212856343768518</v>
      </c>
      <c r="H347" s="37">
        <v>124290.77447471561</v>
      </c>
      <c r="I347" s="37">
        <v>46188.658794986899</v>
      </c>
      <c r="J347" s="37">
        <v>572403.18435621134</v>
      </c>
      <c r="K347" s="37">
        <v>89850.971527399772</v>
      </c>
      <c r="L347" s="37">
        <v>73857.439026769527</v>
      </c>
      <c r="M347" s="37">
        <v>34758.274334434864</v>
      </c>
      <c r="N347" s="37">
        <v>324813.95060544513</v>
      </c>
      <c r="O347" s="37">
        <v>867801.07096914854</v>
      </c>
      <c r="P347" s="68">
        <v>1</v>
      </c>
    </row>
    <row r="348" spans="1:16" x14ac:dyDescent="0.2">
      <c r="A348" s="10">
        <v>346</v>
      </c>
      <c r="B348" s="40">
        <v>0.12415254779883672</v>
      </c>
      <c r="C348" s="12">
        <v>7.7000679326365447</v>
      </c>
      <c r="D348" s="40">
        <v>0.63718963634461656</v>
      </c>
      <c r="E348" s="40">
        <v>4.4061944158450841E-2</v>
      </c>
      <c r="F348" s="37">
        <v>24.127333869484431</v>
      </c>
      <c r="G348" s="12">
        <v>8.2692634776820775</v>
      </c>
      <c r="H348" s="37">
        <v>21084.65056187725</v>
      </c>
      <c r="I348" s="37">
        <v>53672.850960372336</v>
      </c>
      <c r="J348" s="37">
        <v>364087.86227667268</v>
      </c>
      <c r="K348" s="37">
        <v>127964.41269834625</v>
      </c>
      <c r="L348" s="37">
        <v>148083.85992858768</v>
      </c>
      <c r="M348" s="37">
        <v>380021.72517881298</v>
      </c>
      <c r="N348" s="37">
        <v>106531.8463787261</v>
      </c>
      <c r="O348" s="37">
        <v>1264869.385255774</v>
      </c>
      <c r="P348" s="68">
        <v>1</v>
      </c>
    </row>
    <row r="349" spans="1:16" x14ac:dyDescent="0.2">
      <c r="A349" s="10">
        <v>347</v>
      </c>
      <c r="B349" s="40">
        <v>0.17226514916737909</v>
      </c>
      <c r="C349" s="12">
        <v>4.3563319541342729</v>
      </c>
      <c r="D349" s="40">
        <v>0.40825445325613974</v>
      </c>
      <c r="E349" s="40">
        <v>8.1537582143855064E-3</v>
      </c>
      <c r="F349" s="37">
        <v>28.347383357023546</v>
      </c>
      <c r="G349" s="12">
        <v>20.605267455477993</v>
      </c>
      <c r="H349" s="37">
        <v>162693.26259733349</v>
      </c>
      <c r="I349" s="37">
        <v>56713.712248729658</v>
      </c>
      <c r="J349" s="37">
        <v>184293.34160520564</v>
      </c>
      <c r="K349" s="37">
        <v>165469.74399472645</v>
      </c>
      <c r="L349" s="37">
        <v>74479.739771423905</v>
      </c>
      <c r="M349" s="37">
        <v>52938.114469194996</v>
      </c>
      <c r="N349" s="37">
        <v>265454.98194415378</v>
      </c>
      <c r="O349" s="37">
        <v>1067506.2656476665</v>
      </c>
      <c r="P349" s="68">
        <v>1</v>
      </c>
    </row>
    <row r="350" spans="1:16" x14ac:dyDescent="0.2">
      <c r="A350" s="10">
        <v>348</v>
      </c>
      <c r="B350" s="40">
        <v>0.11816059703289972</v>
      </c>
      <c r="C350" s="12">
        <v>1.8786273623691621</v>
      </c>
      <c r="D350" s="40">
        <v>0.76374604024473713</v>
      </c>
      <c r="E350" s="40">
        <v>4.2656084227941149E-2</v>
      </c>
      <c r="F350" s="37">
        <v>14.574574229246307</v>
      </c>
      <c r="G350" s="12">
        <v>22.165144604028651</v>
      </c>
      <c r="H350" s="37">
        <v>224589.12045083853</v>
      </c>
      <c r="I350" s="37">
        <v>66178.881521990683</v>
      </c>
      <c r="J350" s="37">
        <v>229981.48562074752</v>
      </c>
      <c r="K350" s="37">
        <v>202955.74668262075</v>
      </c>
      <c r="L350" s="37">
        <v>41214.603051565035</v>
      </c>
      <c r="M350" s="37">
        <v>266374.4495618277</v>
      </c>
      <c r="N350" s="37">
        <v>285550.67646490259</v>
      </c>
      <c r="O350" s="37">
        <v>1677798.7760125881</v>
      </c>
      <c r="P350" s="68">
        <v>1</v>
      </c>
    </row>
    <row r="351" spans="1:16" x14ac:dyDescent="0.2">
      <c r="A351" s="10">
        <v>349</v>
      </c>
      <c r="B351" s="40">
        <v>0.22078747606339055</v>
      </c>
      <c r="C351" s="12">
        <v>6.9447220928054012</v>
      </c>
      <c r="D351" s="40">
        <v>0.57128905290838394</v>
      </c>
      <c r="E351" s="40">
        <v>1.5534138431654161E-2</v>
      </c>
      <c r="F351" s="37">
        <v>27.061308386700532</v>
      </c>
      <c r="G351" s="12">
        <v>10.011124896697403</v>
      </c>
      <c r="H351" s="37">
        <v>185466.24078836379</v>
      </c>
      <c r="I351" s="37">
        <v>50900.771836515298</v>
      </c>
      <c r="J351" s="37">
        <v>241884.77960145421</v>
      </c>
      <c r="K351" s="37">
        <v>120810.70656273488</v>
      </c>
      <c r="L351" s="37">
        <v>212948.23155718768</v>
      </c>
      <c r="M351" s="37">
        <v>134728.22731643225</v>
      </c>
      <c r="N351" s="37">
        <v>128972.02059791608</v>
      </c>
      <c r="O351" s="37">
        <v>1417258.0478237425</v>
      </c>
      <c r="P351" s="68">
        <v>1</v>
      </c>
    </row>
    <row r="352" spans="1:16" x14ac:dyDescent="0.2">
      <c r="A352" s="10">
        <v>350</v>
      </c>
      <c r="B352" s="40">
        <v>7.902070483881278E-2</v>
      </c>
      <c r="C352" s="12">
        <v>3.3507750270239907</v>
      </c>
      <c r="D352" s="40">
        <v>0.68229808636840095</v>
      </c>
      <c r="E352" s="40">
        <v>1.8897141763704384E-2</v>
      </c>
      <c r="F352" s="37">
        <v>18.249564545598759</v>
      </c>
      <c r="G352" s="12">
        <v>13.66796793021944</v>
      </c>
      <c r="H352" s="37">
        <v>76896.823433826037</v>
      </c>
      <c r="I352" s="37">
        <v>49078.148904701855</v>
      </c>
      <c r="J352" s="37">
        <v>336777.37954104535</v>
      </c>
      <c r="K352" s="37">
        <v>98827.975565268076</v>
      </c>
      <c r="L352" s="37">
        <v>43918.667181649544</v>
      </c>
      <c r="M352" s="37">
        <v>132004.73586906886</v>
      </c>
      <c r="N352" s="37">
        <v>176082.65400918611</v>
      </c>
      <c r="O352" s="37">
        <v>725471.83750429261</v>
      </c>
      <c r="P352" s="68">
        <v>1</v>
      </c>
    </row>
    <row r="353" spans="1:16" x14ac:dyDescent="0.2">
      <c r="A353" s="10">
        <v>351</v>
      </c>
      <c r="B353" s="40">
        <v>9.3592350615941219E-2</v>
      </c>
      <c r="C353" s="12">
        <v>8.126267060044162</v>
      </c>
      <c r="D353" s="40">
        <v>0.50167012124620491</v>
      </c>
      <c r="E353" s="40">
        <v>2.7592864899401066E-2</v>
      </c>
      <c r="F353" s="37">
        <v>11.888365497168699</v>
      </c>
      <c r="G353" s="12">
        <v>15.353565519206242</v>
      </c>
      <c r="H353" s="37">
        <v>76953.239615859464</v>
      </c>
      <c r="I353" s="37">
        <v>24314.819901340605</v>
      </c>
      <c r="J353" s="37">
        <v>289119.85066828388</v>
      </c>
      <c r="K353" s="37">
        <v>153780.15606150712</v>
      </c>
      <c r="L353" s="37">
        <v>92755.252307329385</v>
      </c>
      <c r="M353" s="37">
        <v>92321.725091848552</v>
      </c>
      <c r="N353" s="37">
        <v>197797.98862041652</v>
      </c>
      <c r="O353" s="37">
        <v>636436.98157443129</v>
      </c>
      <c r="P353" s="68">
        <v>1</v>
      </c>
    </row>
    <row r="354" spans="1:16" x14ac:dyDescent="0.2">
      <c r="A354" s="10">
        <v>352</v>
      </c>
      <c r="B354" s="40">
        <v>0.18874277864827468</v>
      </c>
      <c r="C354" s="12">
        <v>7.6481404377737352</v>
      </c>
      <c r="D354" s="40">
        <v>0.81638804553192634</v>
      </c>
      <c r="E354" s="40">
        <v>2.043997869370625E-2</v>
      </c>
      <c r="F354" s="37">
        <v>16.708413073506435</v>
      </c>
      <c r="G354" s="12">
        <v>23.991694743051088</v>
      </c>
      <c r="H354" s="37">
        <v>49349.81781512688</v>
      </c>
      <c r="I354" s="37">
        <v>74652.817323584954</v>
      </c>
      <c r="J354" s="37">
        <v>333124.65346204001</v>
      </c>
      <c r="K354" s="37">
        <v>101552.03420015659</v>
      </c>
      <c r="L354" s="37">
        <v>286491.44941548572</v>
      </c>
      <c r="M354" s="37">
        <v>156415.22039452233</v>
      </c>
      <c r="N354" s="37">
        <v>309081.88445441058</v>
      </c>
      <c r="O354" s="37">
        <v>1836572.7232221386</v>
      </c>
      <c r="P354" s="68">
        <v>1</v>
      </c>
    </row>
    <row r="355" spans="1:16" x14ac:dyDescent="0.2">
      <c r="A355" s="10">
        <v>353</v>
      </c>
      <c r="B355" s="40">
        <v>0.15415350527839222</v>
      </c>
      <c r="C355" s="12">
        <v>4.0370825052338475</v>
      </c>
      <c r="D355" s="40">
        <v>0.63425951939287817</v>
      </c>
      <c r="E355" s="40">
        <v>1.4265764922929396E-2</v>
      </c>
      <c r="F355" s="37">
        <v>19.821224890796522</v>
      </c>
      <c r="G355" s="12">
        <v>7.4593873997564213</v>
      </c>
      <c r="H355" s="37">
        <v>191320.54128605177</v>
      </c>
      <c r="I355" s="37">
        <v>50248.268775954042</v>
      </c>
      <c r="J355" s="37">
        <v>177981.89725068462</v>
      </c>
      <c r="K355" s="37">
        <v>127895.70473396231</v>
      </c>
      <c r="L355" s="37">
        <v>95957.042334300306</v>
      </c>
      <c r="M355" s="37">
        <v>100614.19999763419</v>
      </c>
      <c r="N355" s="37">
        <v>96098.318150700012</v>
      </c>
      <c r="O355" s="37">
        <v>960442.74220754858</v>
      </c>
      <c r="P355" s="68">
        <v>1</v>
      </c>
    </row>
    <row r="356" spans="1:16" x14ac:dyDescent="0.2">
      <c r="A356" s="10">
        <v>354</v>
      </c>
      <c r="B356" s="40">
        <v>0.22251726256763116</v>
      </c>
      <c r="C356" s="12">
        <v>8.0689525903572665</v>
      </c>
      <c r="D356" s="40">
        <v>0.66069397281558306</v>
      </c>
      <c r="E356" s="40">
        <v>2.6715020928330793E-2</v>
      </c>
      <c r="F356" s="37">
        <v>11.966027005930385</v>
      </c>
      <c r="G356" s="12">
        <v>13.255742632920107</v>
      </c>
      <c r="H356" s="37">
        <v>19948.908335560416</v>
      </c>
      <c r="I356" s="37">
        <v>41484.256218430062</v>
      </c>
      <c r="J356" s="37">
        <v>309840.53372773976</v>
      </c>
      <c r="K356" s="37">
        <v>135265.79886737134</v>
      </c>
      <c r="L356" s="37">
        <v>288383.25991153135</v>
      </c>
      <c r="M356" s="37">
        <v>118487.51038227633</v>
      </c>
      <c r="N356" s="37">
        <v>170772.00909336747</v>
      </c>
      <c r="O356" s="37">
        <v>1101652.6000704747</v>
      </c>
      <c r="P356" s="68">
        <v>1</v>
      </c>
    </row>
    <row r="357" spans="1:16" x14ac:dyDescent="0.2">
      <c r="A357" s="10">
        <v>355</v>
      </c>
      <c r="B357" s="40">
        <v>0.11957069041171674</v>
      </c>
      <c r="C357" s="12">
        <v>6.0156607013509937</v>
      </c>
      <c r="D357" s="40">
        <v>0.55681423820694698</v>
      </c>
      <c r="E357" s="40">
        <v>9.6962875178186053E-3</v>
      </c>
      <c r="F357" s="37">
        <v>15.832964965555375</v>
      </c>
      <c r="G357" s="12">
        <v>19.835586149906586</v>
      </c>
      <c r="H357" s="37">
        <v>128583.15934055181</v>
      </c>
      <c r="I357" s="37">
        <v>61293.799161473064</v>
      </c>
      <c r="J357" s="37">
        <v>555976.53014579718</v>
      </c>
      <c r="K357" s="37">
        <v>148090.47368293977</v>
      </c>
      <c r="L357" s="37">
        <v>97365.978204105879</v>
      </c>
      <c r="M357" s="37">
        <v>47956.20407292759</v>
      </c>
      <c r="N357" s="37">
        <v>255539.27774304707</v>
      </c>
      <c r="O357" s="37">
        <v>684162.32164103573</v>
      </c>
      <c r="P357" s="68">
        <v>1</v>
      </c>
    </row>
    <row r="358" spans="1:16" x14ac:dyDescent="0.2">
      <c r="A358" s="10">
        <v>356</v>
      </c>
      <c r="B358" s="40">
        <v>0.12688802673348445</v>
      </c>
      <c r="C358" s="12">
        <v>7.476768814048846</v>
      </c>
      <c r="D358" s="40">
        <v>0.29191197986999695</v>
      </c>
      <c r="E358" s="40">
        <v>4.0031155340130631E-2</v>
      </c>
      <c r="F358" s="37">
        <v>18.610078427440278</v>
      </c>
      <c r="G358" s="12">
        <v>10.579968023586531</v>
      </c>
      <c r="H358" s="37">
        <v>174506.67022563706</v>
      </c>
      <c r="I358" s="37">
        <v>55116.090216578654</v>
      </c>
      <c r="J358" s="37">
        <v>378369.72491004859</v>
      </c>
      <c r="K358" s="37">
        <v>212918.08054390718</v>
      </c>
      <c r="L358" s="37">
        <v>67324.842157700507</v>
      </c>
      <c r="M358" s="37">
        <v>122001.44605260588</v>
      </c>
      <c r="N358" s="37">
        <v>136300.35265202221</v>
      </c>
      <c r="O358" s="37">
        <v>580718.36305796588</v>
      </c>
      <c r="P358" s="68">
        <v>1</v>
      </c>
    </row>
    <row r="359" spans="1:16" x14ac:dyDescent="0.2">
      <c r="A359" s="10">
        <v>357</v>
      </c>
      <c r="B359" s="40">
        <v>0.12854710888168247</v>
      </c>
      <c r="C359" s="12">
        <v>8.3039551124973769</v>
      </c>
      <c r="D359" s="40">
        <v>0.73373826639150752</v>
      </c>
      <c r="E359" s="40">
        <v>1.1530082571828464E-2</v>
      </c>
      <c r="F359" s="37">
        <v>11.562307066982935</v>
      </c>
      <c r="G359" s="12">
        <v>11.585706975496947</v>
      </c>
      <c r="H359" s="37">
        <v>140222.45079198002</v>
      </c>
      <c r="I359" s="37">
        <v>26605.055901021962</v>
      </c>
      <c r="J359" s="37">
        <v>385238.23398716928</v>
      </c>
      <c r="K359" s="37">
        <v>162210.52241517795</v>
      </c>
      <c r="L359" s="37">
        <v>190404.54251417911</v>
      </c>
      <c r="M359" s="37">
        <v>54876.299501332942</v>
      </c>
      <c r="N359" s="37">
        <v>149257.15682342037</v>
      </c>
      <c r="O359" s="37">
        <v>733049.12782869977</v>
      </c>
      <c r="P359" s="68">
        <v>1</v>
      </c>
    </row>
    <row r="360" spans="1:16" x14ac:dyDescent="0.2">
      <c r="A360" s="10">
        <v>358</v>
      </c>
      <c r="B360" s="40">
        <v>0.1141889188778991</v>
      </c>
      <c r="C360" s="12">
        <v>4.1893323023888911</v>
      </c>
      <c r="D360" s="40">
        <v>0.23564865915570821</v>
      </c>
      <c r="E360" s="40">
        <v>1.2077402247559882E-2</v>
      </c>
      <c r="F360" s="37">
        <v>15.604849027123633</v>
      </c>
      <c r="G360" s="12">
        <v>13.939756739587299</v>
      </c>
      <c r="H360" s="37">
        <v>58147.548241653662</v>
      </c>
      <c r="I360" s="37">
        <v>50748.173724704262</v>
      </c>
      <c r="J360" s="37">
        <v>255458.66023276126</v>
      </c>
      <c r="K360" s="37">
        <v>133634.46798065596</v>
      </c>
      <c r="L360" s="37">
        <v>27404.543627395989</v>
      </c>
      <c r="M360" s="37">
        <v>24915.22464686726</v>
      </c>
      <c r="N360" s="37">
        <v>179584.07390772703</v>
      </c>
      <c r="O360" s="37">
        <v>324942.73434517847</v>
      </c>
      <c r="P360" s="68">
        <v>1</v>
      </c>
    </row>
    <row r="361" spans="1:16" x14ac:dyDescent="0.2">
      <c r="A361" s="10">
        <v>359</v>
      </c>
      <c r="B361" s="40">
        <v>9.0457202681536494E-2</v>
      </c>
      <c r="C361" s="12">
        <v>4.0330353629358173</v>
      </c>
      <c r="D361" s="40">
        <v>0.31660625279882121</v>
      </c>
      <c r="E361" s="40">
        <v>7.8671539233681476E-3</v>
      </c>
      <c r="F361" s="37">
        <v>18.804639667361354</v>
      </c>
      <c r="G361" s="12">
        <v>18.741107760283331</v>
      </c>
      <c r="H361" s="37">
        <v>141695.17751274304</v>
      </c>
      <c r="I361" s="37">
        <v>22645.741084116031</v>
      </c>
      <c r="J361" s="37">
        <v>269052.8387820028</v>
      </c>
      <c r="K361" s="37">
        <v>102954.55437277793</v>
      </c>
      <c r="L361" s="37">
        <v>28079.12050497844</v>
      </c>
      <c r="M361" s="37">
        <v>26276.58263199381</v>
      </c>
      <c r="N361" s="37">
        <v>241439.25493172134</v>
      </c>
      <c r="O361" s="37">
        <v>731639.56264507282</v>
      </c>
      <c r="P361" s="68">
        <v>1</v>
      </c>
    </row>
    <row r="362" spans="1:16" x14ac:dyDescent="0.2">
      <c r="A362" s="10">
        <v>360</v>
      </c>
      <c r="B362" s="40">
        <v>0.16175881929890251</v>
      </c>
      <c r="C362" s="12">
        <v>8.2445516358276159</v>
      </c>
      <c r="D362" s="40">
        <v>0.47325591341086154</v>
      </c>
      <c r="E362" s="40">
        <v>2.0611795302391094E-2</v>
      </c>
      <c r="F362" s="37">
        <v>10.836452638920182</v>
      </c>
      <c r="G362" s="12">
        <v>15.492039263786436</v>
      </c>
      <c r="H362" s="37">
        <v>88957.353511079971</v>
      </c>
      <c r="I362" s="37">
        <v>44527.512350857083</v>
      </c>
      <c r="J362" s="37">
        <v>372921.77544141887</v>
      </c>
      <c r="K362" s="37">
        <v>129763.05085415798</v>
      </c>
      <c r="L362" s="37">
        <v>153433.39312758468</v>
      </c>
      <c r="M362" s="37">
        <v>59301.508258385824</v>
      </c>
      <c r="N362" s="37">
        <v>199581.92787025639</v>
      </c>
      <c r="O362" s="37">
        <v>792667.4758177998</v>
      </c>
      <c r="P362" s="68">
        <v>1</v>
      </c>
    </row>
    <row r="363" spans="1:16" x14ac:dyDescent="0.2">
      <c r="A363" s="10">
        <v>361</v>
      </c>
      <c r="B363" s="40">
        <v>0.1469525455545051</v>
      </c>
      <c r="C363" s="12">
        <v>5.7582166194910727</v>
      </c>
      <c r="D363" s="40">
        <v>0.61665001904163974</v>
      </c>
      <c r="E363" s="40">
        <v>3.0964536684965099E-2</v>
      </c>
      <c r="F363" s="37">
        <v>21.3279705061626</v>
      </c>
      <c r="G363" s="12">
        <v>16.502867182478806</v>
      </c>
      <c r="H363" s="37">
        <v>131471.8466313566</v>
      </c>
      <c r="I363" s="37">
        <v>50618.299500440597</v>
      </c>
      <c r="J363" s="37">
        <v>213467.48387240124</v>
      </c>
      <c r="K363" s="37">
        <v>95987.903711623774</v>
      </c>
      <c r="L363" s="37">
        <v>126850.64823303393</v>
      </c>
      <c r="M363" s="37">
        <v>228464.95879289656</v>
      </c>
      <c r="N363" s="37">
        <v>212604.29253914076</v>
      </c>
      <c r="O363" s="37">
        <v>1618865.1354498197</v>
      </c>
      <c r="P363" s="68">
        <v>1</v>
      </c>
    </row>
    <row r="364" spans="1:16" x14ac:dyDescent="0.2">
      <c r="A364" s="10">
        <v>362</v>
      </c>
      <c r="B364" s="40">
        <v>0.16460483565419171</v>
      </c>
      <c r="C364" s="12">
        <v>3.268190076924927</v>
      </c>
      <c r="D364" s="40">
        <v>0.72182032544720365</v>
      </c>
      <c r="E364" s="40">
        <v>3.3365637529926856E-2</v>
      </c>
      <c r="F364" s="37">
        <v>15.704438522329431</v>
      </c>
      <c r="G364" s="12">
        <v>5.6849889204829385</v>
      </c>
      <c r="H364" s="37">
        <v>119252.15246857297</v>
      </c>
      <c r="I364" s="37">
        <v>30933.53728895669</v>
      </c>
      <c r="J364" s="37">
        <v>296394.51100120094</v>
      </c>
      <c r="K364" s="37">
        <v>80791.228885641438</v>
      </c>
      <c r="L364" s="37">
        <v>94399.095504187586</v>
      </c>
      <c r="M364" s="37">
        <v>212186.46630353748</v>
      </c>
      <c r="N364" s="37">
        <v>73238.973214022029</v>
      </c>
      <c r="O364" s="37">
        <v>962154.04042330582</v>
      </c>
      <c r="P364" s="68">
        <v>1</v>
      </c>
    </row>
    <row r="365" spans="1:16" x14ac:dyDescent="0.2">
      <c r="A365" s="10">
        <v>363</v>
      </c>
      <c r="B365" s="40">
        <v>9.7226937974930205E-2</v>
      </c>
      <c r="C365" s="12">
        <v>3.399591256842748</v>
      </c>
      <c r="D365" s="40">
        <v>0.60678561425158617</v>
      </c>
      <c r="E365" s="40">
        <v>2.4544599793255351E-2</v>
      </c>
      <c r="F365" s="37">
        <v>20.002133009269194</v>
      </c>
      <c r="G365" s="12">
        <v>12.117579273354377</v>
      </c>
      <c r="H365" s="37">
        <v>124218.88888386438</v>
      </c>
      <c r="I365" s="37">
        <v>58121.732309243918</v>
      </c>
      <c r="J365" s="37">
        <v>273847.37830301921</v>
      </c>
      <c r="K365" s="37">
        <v>171169.15801082074</v>
      </c>
      <c r="L365" s="37">
        <v>48757.04959935174</v>
      </c>
      <c r="M365" s="37">
        <v>167122.24999259488</v>
      </c>
      <c r="N365" s="37">
        <v>156109.19849331889</v>
      </c>
      <c r="O365" s="37">
        <v>799627.73878960009</v>
      </c>
      <c r="P365" s="68">
        <v>1</v>
      </c>
    </row>
    <row r="366" spans="1:16" x14ac:dyDescent="0.2">
      <c r="A366" s="10">
        <v>364</v>
      </c>
      <c r="B366" s="40">
        <v>0.15122968809229967</v>
      </c>
      <c r="C366" s="12">
        <v>2.0331792311598305</v>
      </c>
      <c r="D366" s="40">
        <v>0.57781120475888792</v>
      </c>
      <c r="E366" s="40">
        <v>3.9489460844718029E-2</v>
      </c>
      <c r="F366" s="37">
        <v>23.498985485519476</v>
      </c>
      <c r="G366" s="12">
        <v>9.1865851664045195</v>
      </c>
      <c r="H366" s="37">
        <v>147568.16004941851</v>
      </c>
      <c r="I366" s="37">
        <v>63411.631089329821</v>
      </c>
      <c r="J366" s="37">
        <v>382247.0050223741</v>
      </c>
      <c r="K366" s="37">
        <v>126067.63322987346</v>
      </c>
      <c r="L366" s="37">
        <v>43190.428227719778</v>
      </c>
      <c r="M366" s="37">
        <v>300803.58546308061</v>
      </c>
      <c r="N366" s="37">
        <v>118349.5824427178</v>
      </c>
      <c r="O366" s="37">
        <v>1150964.9535205802</v>
      </c>
      <c r="P366" s="68">
        <v>1</v>
      </c>
    </row>
    <row r="367" spans="1:16" x14ac:dyDescent="0.2">
      <c r="A367" s="10">
        <v>365</v>
      </c>
      <c r="B367" s="40">
        <v>0.11864858572328114</v>
      </c>
      <c r="C367" s="12">
        <v>4.5689099319518931</v>
      </c>
      <c r="D367" s="40">
        <v>0.58345952748607033</v>
      </c>
      <c r="E367" s="40">
        <v>4.2869127248555863E-2</v>
      </c>
      <c r="F367" s="37">
        <v>15.519315522643364</v>
      </c>
      <c r="G367" s="12">
        <v>3.8573713556761349</v>
      </c>
      <c r="H367" s="37">
        <v>228103.75060649766</v>
      </c>
      <c r="I367" s="37">
        <v>34239.093216144713</v>
      </c>
      <c r="J367" s="37">
        <v>302269.04025740945</v>
      </c>
      <c r="K367" s="37">
        <v>124274.84457242659</v>
      </c>
      <c r="L367" s="37">
        <v>76890.861727923606</v>
      </c>
      <c r="M367" s="37">
        <v>217768.30598807192</v>
      </c>
      <c r="N367" s="37">
        <v>49694.013716899412</v>
      </c>
      <c r="O367" s="37">
        <v>1049299.9799204203</v>
      </c>
      <c r="P367" s="68">
        <v>1</v>
      </c>
    </row>
    <row r="368" spans="1:16" x14ac:dyDescent="0.2">
      <c r="A368" s="10">
        <v>366</v>
      </c>
      <c r="B368" s="40">
        <v>5.7203038875070056E-2</v>
      </c>
      <c r="C368" s="12">
        <v>4.0396804949965341</v>
      </c>
      <c r="D368" s="40">
        <v>0.62166031114204801</v>
      </c>
      <c r="E368" s="40">
        <v>1.0089891749656948E-2</v>
      </c>
      <c r="F368" s="37">
        <v>22.190152373691593</v>
      </c>
      <c r="G368" s="12">
        <v>13.48150893344901</v>
      </c>
      <c r="H368" s="37">
        <v>42371.274822879932</v>
      </c>
      <c r="I368" s="37">
        <v>8631.9166001676258</v>
      </c>
      <c r="J368" s="37">
        <v>275409.4607100935</v>
      </c>
      <c r="K368" s="37">
        <v>161133.85456448648</v>
      </c>
      <c r="L368" s="37">
        <v>34922.722211103413</v>
      </c>
      <c r="M368" s="37">
        <v>78084.829208946161</v>
      </c>
      <c r="N368" s="37">
        <v>173680.52699346223</v>
      </c>
      <c r="O368" s="37">
        <v>219240.32317067473</v>
      </c>
      <c r="P368" s="68">
        <v>1</v>
      </c>
    </row>
    <row r="369" spans="1:16" x14ac:dyDescent="0.2">
      <c r="A369" s="10">
        <v>367</v>
      </c>
      <c r="B369" s="40">
        <v>0.17890614741823468</v>
      </c>
      <c r="C369" s="12">
        <v>3.5298028195376712</v>
      </c>
      <c r="D369" s="40">
        <v>0.65837280285707356</v>
      </c>
      <c r="E369" s="40">
        <v>1.9689861385952093E-2</v>
      </c>
      <c r="F369" s="37">
        <v>15.530182236724393</v>
      </c>
      <c r="G369" s="12">
        <v>7.053971596548978</v>
      </c>
      <c r="H369" s="37">
        <v>112831.5418968864</v>
      </c>
      <c r="I369" s="37">
        <v>6132.5010750867632</v>
      </c>
      <c r="J369" s="37">
        <v>324600.48430855683</v>
      </c>
      <c r="K369" s="37">
        <v>201679.69754297048</v>
      </c>
      <c r="L369" s="37">
        <v>101073.29428896957</v>
      </c>
      <c r="M369" s="37">
        <v>112942.61130479113</v>
      </c>
      <c r="N369" s="37">
        <v>90875.399062032942</v>
      </c>
      <c r="O369" s="37">
        <v>297855.03322754009</v>
      </c>
      <c r="P369" s="68">
        <v>1</v>
      </c>
    </row>
    <row r="370" spans="1:16" x14ac:dyDescent="0.2">
      <c r="A370" s="10">
        <v>368</v>
      </c>
      <c r="B370" s="40">
        <v>5.2156545608395749E-2</v>
      </c>
      <c r="C370" s="12">
        <v>6.7118953582920451</v>
      </c>
      <c r="D370" s="40">
        <v>0.52729582145906484</v>
      </c>
      <c r="E370" s="40">
        <v>2.6768924858518429E-2</v>
      </c>
      <c r="F370" s="37">
        <v>16.710878614733033</v>
      </c>
      <c r="G370" s="12">
        <v>20.946041136774472</v>
      </c>
      <c r="H370" s="37">
        <v>225968.17535177682</v>
      </c>
      <c r="I370" s="37">
        <v>39093.512608249839</v>
      </c>
      <c r="J370" s="37">
        <v>350971.23384281696</v>
      </c>
      <c r="K370" s="37">
        <v>196832.76378364509</v>
      </c>
      <c r="L370" s="37">
        <v>44874.245148480339</v>
      </c>
      <c r="M370" s="37">
        <v>132327.8556672569</v>
      </c>
      <c r="N370" s="37">
        <v>269845.12497971777</v>
      </c>
      <c r="O370" s="37">
        <v>1092645.4833010898</v>
      </c>
      <c r="P370" s="68">
        <v>1</v>
      </c>
    </row>
    <row r="371" spans="1:16" x14ac:dyDescent="0.2">
      <c r="A371" s="10">
        <v>369</v>
      </c>
      <c r="B371" s="40">
        <v>0.10682602183126455</v>
      </c>
      <c r="C371" s="12">
        <v>4.9725781395133382</v>
      </c>
      <c r="D371" s="40">
        <v>0.78253686996007243</v>
      </c>
      <c r="E371" s="40">
        <v>7.7092550563775753E-3</v>
      </c>
      <c r="F371" s="37">
        <v>22.933687451245529</v>
      </c>
      <c r="G371" s="12">
        <v>14.377619060718942</v>
      </c>
      <c r="H371" s="37">
        <v>44171.03580999549</v>
      </c>
      <c r="I371" s="37">
        <v>10691.996810712037</v>
      </c>
      <c r="J371" s="37">
        <v>432585.79479664029</v>
      </c>
      <c r="K371" s="37">
        <v>104711.11993306075</v>
      </c>
      <c r="L371" s="37">
        <v>101053.72118386209</v>
      </c>
      <c r="M371" s="37">
        <v>77617.177283699682</v>
      </c>
      <c r="N371" s="37">
        <v>185224.99726876424</v>
      </c>
      <c r="O371" s="37">
        <v>447262.15905884781</v>
      </c>
      <c r="P371" s="68">
        <v>1</v>
      </c>
    </row>
    <row r="372" spans="1:16" x14ac:dyDescent="0.2">
      <c r="A372" s="10">
        <v>370</v>
      </c>
      <c r="B372" s="40">
        <v>0.12789438654250079</v>
      </c>
      <c r="C372" s="12">
        <v>6.1485042001016383</v>
      </c>
      <c r="D372" s="40">
        <v>0.68992662580475528</v>
      </c>
      <c r="E372" s="40">
        <v>2.3234230757359482E-2</v>
      </c>
      <c r="F372" s="37">
        <v>13.687538874417992</v>
      </c>
      <c r="G372" s="12">
        <v>15.227125614326029</v>
      </c>
      <c r="H372" s="37">
        <v>55313.8433573824</v>
      </c>
      <c r="I372" s="37">
        <v>22439.046363158774</v>
      </c>
      <c r="J372" s="37">
        <v>466502.51554184966</v>
      </c>
      <c r="K372" s="37">
        <v>137218.82528941304</v>
      </c>
      <c r="L372" s="37">
        <v>131890.2502741919</v>
      </c>
      <c r="M372" s="37">
        <v>123090.15019614449</v>
      </c>
      <c r="N372" s="37">
        <v>196169.07976303238</v>
      </c>
      <c r="O372" s="37">
        <v>630852.58800554904</v>
      </c>
      <c r="P372" s="68">
        <v>1</v>
      </c>
    </row>
    <row r="373" spans="1:16" x14ac:dyDescent="0.2">
      <c r="A373" s="10">
        <v>371</v>
      </c>
      <c r="B373" s="40">
        <v>0.17082408767993021</v>
      </c>
      <c r="C373" s="12">
        <v>6.6577201228767802</v>
      </c>
      <c r="D373" s="40">
        <v>0.53342003702765739</v>
      </c>
      <c r="E373" s="40">
        <v>3.627344734216472E-2</v>
      </c>
      <c r="F373" s="37">
        <v>11.10312368090241</v>
      </c>
      <c r="G373" s="12">
        <v>18.505943740885712</v>
      </c>
      <c r="H373" s="37">
        <v>57001.822444410231</v>
      </c>
      <c r="I373" s="37">
        <v>7159.7227673315247</v>
      </c>
      <c r="J373" s="37">
        <v>234289.34871351538</v>
      </c>
      <c r="K373" s="37">
        <v>113537.42830302686</v>
      </c>
      <c r="L373" s="37">
        <v>147479.88797679715</v>
      </c>
      <c r="M373" s="37">
        <v>120523.03696656002</v>
      </c>
      <c r="N373" s="37">
        <v>238409.66744114435</v>
      </c>
      <c r="O373" s="37">
        <v>1046161.5976774422</v>
      </c>
      <c r="P373" s="68">
        <v>1</v>
      </c>
    </row>
    <row r="374" spans="1:16" x14ac:dyDescent="0.2">
      <c r="A374" s="10">
        <v>372</v>
      </c>
      <c r="B374" s="40">
        <v>0.11601282232921695</v>
      </c>
      <c r="C374" s="12">
        <v>6.1734632732312509</v>
      </c>
      <c r="D374" s="40">
        <v>0.43462519790117515</v>
      </c>
      <c r="E374" s="40">
        <v>3.4786835981856862E-2</v>
      </c>
      <c r="F374" s="37">
        <v>23.817742999778368</v>
      </c>
      <c r="G374" s="12">
        <v>19.675462208795956</v>
      </c>
      <c r="H374" s="37">
        <v>184083.75918373888</v>
      </c>
      <c r="I374" s="37">
        <v>3813.4017385079792</v>
      </c>
      <c r="J374" s="37">
        <v>391081.28776832548</v>
      </c>
      <c r="K374" s="37">
        <v>114920.46380114174</v>
      </c>
      <c r="L374" s="37">
        <v>75672.588878409399</v>
      </c>
      <c r="M374" s="37">
        <v>202021.30291024197</v>
      </c>
      <c r="N374" s="37">
        <v>253476.42182583114</v>
      </c>
      <c r="O374" s="37">
        <v>1301519.3194169342</v>
      </c>
      <c r="P374" s="68">
        <v>1</v>
      </c>
    </row>
    <row r="375" spans="1:16" x14ac:dyDescent="0.2">
      <c r="A375" s="10">
        <v>373</v>
      </c>
      <c r="B375" s="40">
        <v>0.21058473586345097</v>
      </c>
      <c r="C375" s="12">
        <v>4.0256835422417936</v>
      </c>
      <c r="D375" s="40">
        <v>0.52939420161466311</v>
      </c>
      <c r="E375" s="40">
        <v>2.5500026599146637E-2</v>
      </c>
      <c r="F375" s="37">
        <v>11.790833420236691</v>
      </c>
      <c r="G375" s="12">
        <v>22.123053917858325</v>
      </c>
      <c r="H375" s="37">
        <v>81287.305498398113</v>
      </c>
      <c r="I375" s="37">
        <v>60333.326321737317</v>
      </c>
      <c r="J375" s="37">
        <v>296908.46084680397</v>
      </c>
      <c r="K375" s="37">
        <v>197425.90533935005</v>
      </c>
      <c r="L375" s="37">
        <v>109102.45679849632</v>
      </c>
      <c r="M375" s="37">
        <v>89295.803474944376</v>
      </c>
      <c r="N375" s="37">
        <v>285008.42762675951</v>
      </c>
      <c r="O375" s="37">
        <v>901075.47477394796</v>
      </c>
      <c r="P375" s="68">
        <v>1</v>
      </c>
    </row>
    <row r="376" spans="1:16" x14ac:dyDescent="0.2">
      <c r="A376" s="10">
        <v>374</v>
      </c>
      <c r="B376" s="40">
        <v>0.16150781706326778</v>
      </c>
      <c r="C376" s="12">
        <v>5.5786407499938058</v>
      </c>
      <c r="D376" s="40">
        <v>0.66803565960891365</v>
      </c>
      <c r="E376" s="40">
        <v>3.803656615844838E-2</v>
      </c>
      <c r="F376" s="37">
        <v>21.584579509998907</v>
      </c>
      <c r="G376" s="12">
        <v>14.709295721672156</v>
      </c>
      <c r="H376" s="37">
        <v>164984.95669591887</v>
      </c>
      <c r="I376" s="37">
        <v>19470.319740717357</v>
      </c>
      <c r="J376" s="37">
        <v>304405.49590038584</v>
      </c>
      <c r="K376" s="37">
        <v>117985.95873898183</v>
      </c>
      <c r="L376" s="37">
        <v>146322.26571539519</v>
      </c>
      <c r="M376" s="37">
        <v>307688.50612361997</v>
      </c>
      <c r="N376" s="37">
        <v>189497.94457385855</v>
      </c>
      <c r="O376" s="37">
        <v>1684695.220100044</v>
      </c>
      <c r="P376" s="68">
        <v>1</v>
      </c>
    </row>
    <row r="377" spans="1:16" x14ac:dyDescent="0.2">
      <c r="A377" s="10">
        <v>375</v>
      </c>
      <c r="B377" s="40">
        <v>0.20327074044552612</v>
      </c>
      <c r="C377" s="12">
        <v>3.6975749816383283</v>
      </c>
      <c r="D377" s="40">
        <v>0.24092601852904225</v>
      </c>
      <c r="E377" s="40">
        <v>2.6641844354335854E-2</v>
      </c>
      <c r="F377" s="37">
        <v>27.715032845219305</v>
      </c>
      <c r="G377" s="12">
        <v>19.452154491918094</v>
      </c>
      <c r="H377" s="37">
        <v>64783.372705777874</v>
      </c>
      <c r="I377" s="37">
        <v>45124.437870493042</v>
      </c>
      <c r="J377" s="37">
        <v>274948.74451356073</v>
      </c>
      <c r="K377" s="37">
        <v>125351.60352096063</v>
      </c>
      <c r="L377" s="37">
        <v>44021.45492124874</v>
      </c>
      <c r="M377" s="37">
        <v>99799.903187663615</v>
      </c>
      <c r="N377" s="37">
        <v>250599.57753929688</v>
      </c>
      <c r="O377" s="37">
        <v>786807.63340561022</v>
      </c>
      <c r="P377" s="68">
        <v>1</v>
      </c>
    </row>
    <row r="378" spans="1:16" x14ac:dyDescent="0.2">
      <c r="A378" s="10">
        <v>376</v>
      </c>
      <c r="B378" s="40">
        <v>0.10928962020005202</v>
      </c>
      <c r="C378" s="12">
        <v>3.1337335119642864</v>
      </c>
      <c r="D378" s="40">
        <v>0.37727101566846521</v>
      </c>
      <c r="E378" s="40">
        <v>2.7888286010575962E-2</v>
      </c>
      <c r="F378" s="37">
        <v>17.662876875064548</v>
      </c>
      <c r="G378" s="12">
        <v>23.886039806670588</v>
      </c>
      <c r="H378" s="37">
        <v>89338.658464412321</v>
      </c>
      <c r="I378" s="37">
        <v>36305.237275199099</v>
      </c>
      <c r="J378" s="37">
        <v>180194.72425422393</v>
      </c>
      <c r="K378" s="37">
        <v>129641.54924966583</v>
      </c>
      <c r="L378" s="37">
        <v>31411.107524174218</v>
      </c>
      <c r="M378" s="37">
        <v>104256.57138765827</v>
      </c>
      <c r="N378" s="37">
        <v>307720.74564416235</v>
      </c>
      <c r="O378" s="37">
        <v>1050818.7089802464</v>
      </c>
      <c r="P378" s="68">
        <v>1</v>
      </c>
    </row>
    <row r="379" spans="1:16" x14ac:dyDescent="0.2">
      <c r="A379" s="10">
        <v>377</v>
      </c>
      <c r="B379" s="40">
        <v>0.18820171348070774</v>
      </c>
      <c r="C379" s="12">
        <v>2.0500045046148569</v>
      </c>
      <c r="D379" s="40">
        <v>0.53178542792821148</v>
      </c>
      <c r="E379" s="40">
        <v>2.101572731101331E-2</v>
      </c>
      <c r="F379" s="37">
        <v>23.379778157991911</v>
      </c>
      <c r="G379" s="12">
        <v>8.2167147177841766</v>
      </c>
      <c r="H379" s="37">
        <v>145415.18047749173</v>
      </c>
      <c r="I379" s="37">
        <v>23289.955665987985</v>
      </c>
      <c r="J379" s="37">
        <v>477957.17441718525</v>
      </c>
      <c r="K379" s="37">
        <v>103612.97945987193</v>
      </c>
      <c r="L379" s="37">
        <v>49877.382086288249</v>
      </c>
      <c r="M379" s="37">
        <v>146584.47473843221</v>
      </c>
      <c r="N379" s="37">
        <v>105854.86753630024</v>
      </c>
      <c r="O379" s="37">
        <v>551389.13383355085</v>
      </c>
      <c r="P379" s="68">
        <v>1</v>
      </c>
    </row>
    <row r="380" spans="1:16" x14ac:dyDescent="0.2">
      <c r="A380" s="10">
        <v>378</v>
      </c>
      <c r="B380" s="40">
        <v>0.1525830415441144</v>
      </c>
      <c r="C380" s="12">
        <v>5.71996842188197</v>
      </c>
      <c r="D380" s="40">
        <v>0.56948191220070843</v>
      </c>
      <c r="E380" s="40">
        <v>4.4574362200234967E-2</v>
      </c>
      <c r="F380" s="37">
        <v>14.220506063183757</v>
      </c>
      <c r="G380" s="12">
        <v>11.697380625035084</v>
      </c>
      <c r="H380" s="37">
        <v>11515.939345716542</v>
      </c>
      <c r="I380" s="37">
        <v>71164.088210306625</v>
      </c>
      <c r="J380" s="37">
        <v>299224.94280239427</v>
      </c>
      <c r="K380" s="37">
        <v>95529.526831911848</v>
      </c>
      <c r="L380" s="37">
        <v>120828.29942158364</v>
      </c>
      <c r="M380" s="37">
        <v>202510.17835588264</v>
      </c>
      <c r="N380" s="37">
        <v>150695.83393284574</v>
      </c>
      <c r="O380" s="37">
        <v>992847.48274961265</v>
      </c>
      <c r="P380" s="68">
        <v>1</v>
      </c>
    </row>
    <row r="381" spans="1:16" x14ac:dyDescent="0.2">
      <c r="A381" s="10">
        <v>379</v>
      </c>
      <c r="B381" s="40">
        <v>0.19453116960704486</v>
      </c>
      <c r="C381" s="12">
        <v>7.1385975244414706</v>
      </c>
      <c r="D381" s="40">
        <v>0.66580594457647757</v>
      </c>
      <c r="E381" s="40">
        <v>3.6332403461841849E-2</v>
      </c>
      <c r="F381" s="37">
        <v>21.763612588604815</v>
      </c>
      <c r="G381" s="12">
        <v>9.3235677128608181</v>
      </c>
      <c r="H381" s="37">
        <v>111268.73779931685</v>
      </c>
      <c r="I381" s="37">
        <v>33777.210929546098</v>
      </c>
      <c r="J381" s="37">
        <v>341823.29031101189</v>
      </c>
      <c r="K381" s="37">
        <v>97133.600872513591</v>
      </c>
      <c r="L381" s="37">
        <v>224770.12802172726</v>
      </c>
      <c r="M381" s="37">
        <v>295351.72731207096</v>
      </c>
      <c r="N381" s="37">
        <v>120114.31078098326</v>
      </c>
      <c r="O381" s="37">
        <v>1586119.0347912833</v>
      </c>
      <c r="P381" s="68">
        <v>1</v>
      </c>
    </row>
    <row r="382" spans="1:16" x14ac:dyDescent="0.2">
      <c r="A382" s="10">
        <v>380</v>
      </c>
      <c r="B382" s="40">
        <v>5.8793718060940955E-2</v>
      </c>
      <c r="C382" s="12">
        <v>5.0354781848243926</v>
      </c>
      <c r="D382" s="40">
        <v>0.3011820365889572</v>
      </c>
      <c r="E382" s="40">
        <v>4.2568381036574281E-2</v>
      </c>
      <c r="F382" s="37">
        <v>24.448204247075878</v>
      </c>
      <c r="G382" s="12">
        <v>22.768198412297405</v>
      </c>
      <c r="H382" s="37">
        <v>100404.28224174376</v>
      </c>
      <c r="I382" s="37">
        <v>16311.362154801547</v>
      </c>
      <c r="J382" s="37">
        <v>478281.78460976214</v>
      </c>
      <c r="K382" s="37">
        <v>68637.342229086658</v>
      </c>
      <c r="L382" s="37">
        <v>21676.518935248539</v>
      </c>
      <c r="M382" s="37">
        <v>175844.9482041267</v>
      </c>
      <c r="N382" s="37">
        <v>293319.7402798339</v>
      </c>
      <c r="O382" s="37">
        <v>1031575.0431840959</v>
      </c>
      <c r="P382" s="68">
        <v>1</v>
      </c>
    </row>
    <row r="383" spans="1:16" x14ac:dyDescent="0.2">
      <c r="A383" s="10">
        <v>381</v>
      </c>
      <c r="B383" s="40">
        <v>0.11418645216043471</v>
      </c>
      <c r="C383" s="12">
        <v>6.168380269752733</v>
      </c>
      <c r="D383" s="40">
        <v>0.33702977110858512</v>
      </c>
      <c r="E383" s="40">
        <v>1.4766621745525194E-2</v>
      </c>
      <c r="F383" s="37">
        <v>21.4321799088859</v>
      </c>
      <c r="G383" s="12">
        <v>20.127524430234953</v>
      </c>
      <c r="H383" s="37">
        <v>103889.50204955789</v>
      </c>
      <c r="I383" s="37">
        <v>56165.983818019697</v>
      </c>
      <c r="J383" s="37">
        <v>411085.65493387758</v>
      </c>
      <c r="K383" s="37">
        <v>119221.03487310129</v>
      </c>
      <c r="L383" s="37">
        <v>57708.902324676768</v>
      </c>
      <c r="M383" s="37">
        <v>59838.747409557764</v>
      </c>
      <c r="N383" s="37">
        <v>259300.280656541</v>
      </c>
      <c r="O383" s="37">
        <v>759108.75103112427</v>
      </c>
      <c r="P383" s="68">
        <v>1</v>
      </c>
    </row>
    <row r="384" spans="1:16" x14ac:dyDescent="0.2">
      <c r="A384" s="10">
        <v>382</v>
      </c>
      <c r="B384" s="40">
        <v>8.1287225238250216E-2</v>
      </c>
      <c r="C384" s="12">
        <v>6.5432883208985215</v>
      </c>
      <c r="D384" s="40">
        <v>0.37882557773571968</v>
      </c>
      <c r="E384" s="40">
        <v>2.6007168195116476E-2</v>
      </c>
      <c r="F384" s="37">
        <v>23.49354857634594</v>
      </c>
      <c r="G384" s="12">
        <v>5.9176060092322498</v>
      </c>
      <c r="H384" s="37">
        <v>28855.250676354586</v>
      </c>
      <c r="I384" s="37">
        <v>37119.436737485368</v>
      </c>
      <c r="J384" s="37">
        <v>244774.38351460942</v>
      </c>
      <c r="K384" s="37">
        <v>91250.507175216146</v>
      </c>
      <c r="L384" s="37">
        <v>48983.124047843929</v>
      </c>
      <c r="M384" s="37">
        <v>129851.721665212</v>
      </c>
      <c r="N384" s="37">
        <v>76235.748928157875</v>
      </c>
      <c r="O384" s="37">
        <v>399027.15580947115</v>
      </c>
      <c r="P384" s="68">
        <v>1</v>
      </c>
    </row>
    <row r="385" spans="1:16" x14ac:dyDescent="0.2">
      <c r="A385" s="10">
        <v>383</v>
      </c>
      <c r="B385" s="40">
        <v>0.1455581253339846</v>
      </c>
      <c r="C385" s="12">
        <v>3.3905679279310541</v>
      </c>
      <c r="D385" s="40">
        <v>0.43290325002310481</v>
      </c>
      <c r="E385" s="40">
        <v>3.4081856000915164E-2</v>
      </c>
      <c r="F385" s="37">
        <v>14.143535350017196</v>
      </c>
      <c r="G385" s="12">
        <v>14.611099571659665</v>
      </c>
      <c r="H385" s="37">
        <v>83664.632522333937</v>
      </c>
      <c r="I385" s="37">
        <v>55893.514666634539</v>
      </c>
      <c r="J385" s="37">
        <v>619115.15080771921</v>
      </c>
      <c r="K385" s="37">
        <v>120204.63677896661</v>
      </c>
      <c r="L385" s="37">
        <v>51938.401473108068</v>
      </c>
      <c r="M385" s="37">
        <v>117068.16087212098</v>
      </c>
      <c r="N385" s="37">
        <v>188232.89633874714</v>
      </c>
      <c r="O385" s="37">
        <v>435961.63815804175</v>
      </c>
      <c r="P385" s="68">
        <v>1</v>
      </c>
    </row>
    <row r="386" spans="1:16" x14ac:dyDescent="0.2">
      <c r="A386" s="10">
        <v>384</v>
      </c>
      <c r="B386" s="40">
        <v>9.2063908401094491E-2</v>
      </c>
      <c r="C386" s="12">
        <v>4.8607214711714182</v>
      </c>
      <c r="D386" s="40">
        <v>0.63206089667026033</v>
      </c>
      <c r="E386" s="40">
        <v>3.3246036158792479E-2</v>
      </c>
      <c r="F386" s="37">
        <v>24.358404603767909</v>
      </c>
      <c r="G386" s="12">
        <v>5.1123946904129278</v>
      </c>
      <c r="H386" s="37">
        <v>146093.45538619458</v>
      </c>
      <c r="I386" s="37">
        <v>40344.068656308344</v>
      </c>
      <c r="J386" s="37">
        <v>308941.1931391086</v>
      </c>
      <c r="K386" s="37">
        <v>73658.83440721978</v>
      </c>
      <c r="L386" s="37">
        <v>68760.321153184646</v>
      </c>
      <c r="M386" s="37">
        <v>287153.6677407145</v>
      </c>
      <c r="N386" s="37">
        <v>65862.316185279997</v>
      </c>
      <c r="O386" s="37">
        <v>1188687.8483850311</v>
      </c>
      <c r="P386" s="68">
        <v>1</v>
      </c>
    </row>
    <row r="387" spans="1:16" x14ac:dyDescent="0.2">
      <c r="A387" s="10">
        <v>385</v>
      </c>
      <c r="B387" s="40">
        <v>9.8616665767448208E-2</v>
      </c>
      <c r="C387" s="12">
        <v>4.9849589126482226</v>
      </c>
      <c r="D387" s="40">
        <v>0.72564905330283236</v>
      </c>
      <c r="E387" s="40">
        <v>4.435135543505541E-2</v>
      </c>
      <c r="F387" s="37">
        <v>12.935565858646267</v>
      </c>
      <c r="G387" s="12">
        <v>7.5289602502662012</v>
      </c>
      <c r="H387" s="37">
        <v>71891.062119986804</v>
      </c>
      <c r="I387" s="37">
        <v>48288.001618660222</v>
      </c>
      <c r="J387" s="37">
        <v>348058.66184158745</v>
      </c>
      <c r="K387" s="37">
        <v>109156.60594660186</v>
      </c>
      <c r="L387" s="37">
        <v>86721.615703857955</v>
      </c>
      <c r="M387" s="37">
        <v>233553.13076936788</v>
      </c>
      <c r="N387" s="37">
        <v>96994.616139346952</v>
      </c>
      <c r="O387" s="37">
        <v>851859.54082681844</v>
      </c>
      <c r="P387" s="68">
        <v>1</v>
      </c>
    </row>
    <row r="388" spans="1:16" x14ac:dyDescent="0.2">
      <c r="A388" s="10">
        <v>386</v>
      </c>
      <c r="B388" s="40">
        <v>0.19204871696232004</v>
      </c>
      <c r="C388" s="12">
        <v>7.5592569227916488</v>
      </c>
      <c r="D388" s="40">
        <v>0.42481384738582462</v>
      </c>
      <c r="E388" s="40">
        <v>2.1838350949525277E-2</v>
      </c>
      <c r="F388" s="37">
        <v>27.077750612602387</v>
      </c>
      <c r="G388" s="12">
        <v>6.4557489192238506</v>
      </c>
      <c r="H388" s="37">
        <v>106967.84887752205</v>
      </c>
      <c r="I388" s="37">
        <v>6142.9839167253658</v>
      </c>
      <c r="J388" s="37">
        <v>426725.36906944681</v>
      </c>
      <c r="K388" s="37">
        <v>174586.88523251758</v>
      </c>
      <c r="L388" s="37">
        <v>149926.36469645769</v>
      </c>
      <c r="M388" s="37">
        <v>140928.17298272552</v>
      </c>
      <c r="N388" s="37">
        <v>83168.574079001381</v>
      </c>
      <c r="O388" s="37">
        <v>448918.03059703833</v>
      </c>
      <c r="P388" s="68">
        <v>1</v>
      </c>
    </row>
    <row r="389" spans="1:16" x14ac:dyDescent="0.2">
      <c r="A389" s="10">
        <v>387</v>
      </c>
      <c r="B389" s="40">
        <v>0.14266012853469073</v>
      </c>
      <c r="C389" s="12">
        <v>4.7238269737646812</v>
      </c>
      <c r="D389" s="40">
        <v>0.74596839284822547</v>
      </c>
      <c r="E389" s="40">
        <v>3.4107114800570756E-2</v>
      </c>
      <c r="F389" s="37">
        <v>9.5598229345710024</v>
      </c>
      <c r="G389" s="12">
        <v>12.227391025515406</v>
      </c>
      <c r="H389" s="37">
        <v>58471.046245044126</v>
      </c>
      <c r="I389" s="37">
        <v>22916.877952532908</v>
      </c>
      <c r="J389" s="37">
        <v>285590.34380297194</v>
      </c>
      <c r="K389" s="37">
        <v>79210.622778779565</v>
      </c>
      <c r="L389" s="37">
        <v>122209.7480562001</v>
      </c>
      <c r="M389" s="37">
        <v>136452.65487860586</v>
      </c>
      <c r="N389" s="37">
        <v>157523.88902088167</v>
      </c>
      <c r="O389" s="37">
        <v>886512.57086290745</v>
      </c>
      <c r="P389" s="68">
        <v>1</v>
      </c>
    </row>
    <row r="390" spans="1:16" x14ac:dyDescent="0.2">
      <c r="A390" s="10">
        <v>388</v>
      </c>
      <c r="B390" s="40">
        <v>0.17419964050385159</v>
      </c>
      <c r="C390" s="12">
        <v>8.5077965585348565</v>
      </c>
      <c r="D390" s="40">
        <v>0.60504965727407989</v>
      </c>
      <c r="E390" s="40">
        <v>3.1199732424331619E-2</v>
      </c>
      <c r="F390" s="37">
        <v>16.036661725754254</v>
      </c>
      <c r="G390" s="12">
        <v>19.709096690418562</v>
      </c>
      <c r="H390" s="37">
        <v>119210.55489651092</v>
      </c>
      <c r="I390" s="37">
        <v>36823.85729918797</v>
      </c>
      <c r="J390" s="37">
        <v>382326.43079555733</v>
      </c>
      <c r="K390" s="37">
        <v>101462.55975106903</v>
      </c>
      <c r="L390" s="37">
        <v>217993.82893732275</v>
      </c>
      <c r="M390" s="37">
        <v>169833.19858070533</v>
      </c>
      <c r="N390" s="37">
        <v>253909.73048009261</v>
      </c>
      <c r="O390" s="37">
        <v>1568477.5223494503</v>
      </c>
      <c r="P390" s="68">
        <v>1</v>
      </c>
    </row>
    <row r="391" spans="1:16" x14ac:dyDescent="0.2">
      <c r="A391" s="10">
        <v>389</v>
      </c>
      <c r="B391" s="40">
        <v>6.3519174127318515E-2</v>
      </c>
      <c r="C391" s="12">
        <v>5.38058027451354</v>
      </c>
      <c r="D391" s="40">
        <v>0.58918505101087137</v>
      </c>
      <c r="E391" s="40">
        <v>2.3558161538813814E-2</v>
      </c>
      <c r="F391" s="37">
        <v>11.149753189234534</v>
      </c>
      <c r="G391" s="12">
        <v>17.102078486751164</v>
      </c>
      <c r="H391" s="37">
        <v>41807.203846244331</v>
      </c>
      <c r="I391" s="37">
        <v>61282.908029575665</v>
      </c>
      <c r="J391" s="37">
        <v>337577.01834470476</v>
      </c>
      <c r="K391" s="37">
        <v>84555.745216425159</v>
      </c>
      <c r="L391" s="37">
        <v>48952.458367262036</v>
      </c>
      <c r="M391" s="37">
        <v>86821.063347108531</v>
      </c>
      <c r="N391" s="37">
        <v>220323.85387461199</v>
      </c>
      <c r="O391" s="37">
        <v>712005.12496246095</v>
      </c>
      <c r="P391" s="68">
        <v>1</v>
      </c>
    </row>
    <row r="392" spans="1:16" x14ac:dyDescent="0.2">
      <c r="A392" s="10">
        <v>390</v>
      </c>
      <c r="B392" s="40">
        <v>0.15816120472170359</v>
      </c>
      <c r="C392" s="12">
        <v>7.7306308157546404</v>
      </c>
      <c r="D392" s="40">
        <v>0.79857491827048976</v>
      </c>
      <c r="E392" s="40">
        <v>1.6823232886025847E-2</v>
      </c>
      <c r="F392" s="37">
        <v>15.951344824754317</v>
      </c>
      <c r="G392" s="12">
        <v>21.711612753689817</v>
      </c>
      <c r="H392" s="37">
        <v>142701.67459945666</v>
      </c>
      <c r="I392" s="37">
        <v>16025.960172367226</v>
      </c>
      <c r="J392" s="37">
        <v>347698.15135363082</v>
      </c>
      <c r="K392" s="37">
        <v>91319.55776189547</v>
      </c>
      <c r="L392" s="37">
        <v>237366.48200827368</v>
      </c>
      <c r="M392" s="37">
        <v>120223.44209645154</v>
      </c>
      <c r="N392" s="37">
        <v>279707.88459612796</v>
      </c>
      <c r="O392" s="37">
        <v>1626631.9187212046</v>
      </c>
      <c r="P392" s="68">
        <v>1</v>
      </c>
    </row>
    <row r="393" spans="1:16" x14ac:dyDescent="0.2">
      <c r="A393" s="10">
        <v>391</v>
      </c>
      <c r="B393" s="40">
        <v>4.6366897238511194E-2</v>
      </c>
      <c r="C393" s="12">
        <v>6.308749305972384</v>
      </c>
      <c r="D393" s="40">
        <v>0.46905286716394717</v>
      </c>
      <c r="E393" s="40">
        <v>3.4474577080691841E-2</v>
      </c>
      <c r="F393" s="37">
        <v>10.65708873266122</v>
      </c>
      <c r="G393" s="12">
        <v>20.482391527406836</v>
      </c>
      <c r="H393" s="37">
        <v>16459.481505735206</v>
      </c>
      <c r="I393" s="37">
        <v>29135.088632361741</v>
      </c>
      <c r="J393" s="37">
        <v>408992.81797333155</v>
      </c>
      <c r="K393" s="37">
        <v>184644.78271776871</v>
      </c>
      <c r="L393" s="37">
        <v>33355.075608341569</v>
      </c>
      <c r="M393" s="37">
        <v>96677.64347477394</v>
      </c>
      <c r="N393" s="37">
        <v>263871.98733668373</v>
      </c>
      <c r="O393" s="37">
        <v>305016.95672120003</v>
      </c>
      <c r="P393" s="68">
        <v>1</v>
      </c>
    </row>
    <row r="394" spans="1:16" x14ac:dyDescent="0.2">
      <c r="A394" s="10">
        <v>392</v>
      </c>
      <c r="B394" s="40">
        <v>0.18147024540510523</v>
      </c>
      <c r="C394" s="12">
        <v>4.5590056050489789</v>
      </c>
      <c r="D394" s="40">
        <v>0.3770172257957905</v>
      </c>
      <c r="E394" s="40">
        <v>1.8316966449806855E-2</v>
      </c>
      <c r="F394" s="37">
        <v>15.750268909340576</v>
      </c>
      <c r="G394" s="12">
        <v>5.4996591920462876</v>
      </c>
      <c r="H394" s="37">
        <v>142853.35687076204</v>
      </c>
      <c r="I394" s="37">
        <v>51115.83198630454</v>
      </c>
      <c r="J394" s="37">
        <v>181074.27865098999</v>
      </c>
      <c r="K394" s="37">
        <v>92305.940905011608</v>
      </c>
      <c r="L394" s="37">
        <v>75827.297103956502</v>
      </c>
      <c r="M394" s="37">
        <v>61019.612922395696</v>
      </c>
      <c r="N394" s="37">
        <v>70851.39441543736</v>
      </c>
      <c r="O394" s="37">
        <v>685644.48700846126</v>
      </c>
      <c r="P394" s="68">
        <v>1</v>
      </c>
    </row>
    <row r="395" spans="1:16" x14ac:dyDescent="0.2">
      <c r="A395" s="10">
        <v>393</v>
      </c>
      <c r="B395" s="40">
        <v>0.21839304137504681</v>
      </c>
      <c r="C395" s="12">
        <v>3.8288532194951856</v>
      </c>
      <c r="D395" s="40">
        <v>0.59426545381757245</v>
      </c>
      <c r="E395" s="40">
        <v>8.0650598369829928E-3</v>
      </c>
      <c r="F395" s="37">
        <v>13.251886080371325</v>
      </c>
      <c r="G395" s="12">
        <v>10.242603681666099</v>
      </c>
      <c r="H395" s="37">
        <v>119364.31341481945</v>
      </c>
      <c r="I395" s="37">
        <v>7031.7355733012837</v>
      </c>
      <c r="J395" s="37">
        <v>584059.86035732867</v>
      </c>
      <c r="K395" s="37">
        <v>186134.85492525465</v>
      </c>
      <c r="L395" s="37">
        <v>120802.75201788696</v>
      </c>
      <c r="M395" s="37">
        <v>35631.368607460769</v>
      </c>
      <c r="N395" s="37">
        <v>131954.13169242573</v>
      </c>
      <c r="O395" s="37">
        <v>56532.884288104018</v>
      </c>
      <c r="P395" s="68">
        <v>1</v>
      </c>
    </row>
    <row r="396" spans="1:16" x14ac:dyDescent="0.2">
      <c r="A396" s="10">
        <v>394</v>
      </c>
      <c r="B396" s="40">
        <v>0.17036764926949044</v>
      </c>
      <c r="C396" s="12">
        <v>3.3570716759447117</v>
      </c>
      <c r="D396" s="40">
        <v>0.5949928830014074</v>
      </c>
      <c r="E396" s="40">
        <v>3.4160319534149414E-2</v>
      </c>
      <c r="F396" s="37">
        <v>11.311156316503876</v>
      </c>
      <c r="G396" s="12">
        <v>10.159278396284241</v>
      </c>
      <c r="H396" s="37">
        <v>101571.64181906765</v>
      </c>
      <c r="I396" s="37">
        <v>72921.379673355783</v>
      </c>
      <c r="J396" s="37">
        <v>282291.09294967324</v>
      </c>
      <c r="K396" s="37">
        <v>75429.792484351041</v>
      </c>
      <c r="L396" s="37">
        <v>82727.203817105736</v>
      </c>
      <c r="M396" s="37">
        <v>128975.56277285801</v>
      </c>
      <c r="N396" s="37">
        <v>130880.66287313838</v>
      </c>
      <c r="O396" s="37">
        <v>955042.51792011096</v>
      </c>
      <c r="P396" s="68">
        <v>1</v>
      </c>
    </row>
    <row r="397" spans="1:16" x14ac:dyDescent="0.2">
      <c r="A397" s="10">
        <v>395</v>
      </c>
      <c r="B397" s="40">
        <v>0.11766222611351443</v>
      </c>
      <c r="C397" s="12">
        <v>6.0768730164008309</v>
      </c>
      <c r="D397" s="40">
        <v>0.40113414394244551</v>
      </c>
      <c r="E397" s="40">
        <v>2.5220018339197726E-2</v>
      </c>
      <c r="F397" s="37">
        <v>19.46207008362088</v>
      </c>
      <c r="G397" s="12">
        <v>17.198366986023139</v>
      </c>
      <c r="H397" s="37">
        <v>124996.26329350228</v>
      </c>
      <c r="I397" s="37">
        <v>24024.705309973786</v>
      </c>
      <c r="J397" s="37">
        <v>511994.66232715681</v>
      </c>
      <c r="K397" s="37">
        <v>116079.99354964326</v>
      </c>
      <c r="L397" s="37">
        <v>69726.149333984285</v>
      </c>
      <c r="M397" s="37">
        <v>110456.37650339644</v>
      </c>
      <c r="N397" s="37">
        <v>221564.32609322795</v>
      </c>
      <c r="O397" s="37">
        <v>705842.82890545006</v>
      </c>
      <c r="P397" s="68">
        <v>1</v>
      </c>
    </row>
    <row r="398" spans="1:16" x14ac:dyDescent="0.2">
      <c r="A398" s="10">
        <v>396</v>
      </c>
      <c r="B398" s="40">
        <v>0.12816965644629186</v>
      </c>
      <c r="C398" s="12">
        <v>5.062051294876329</v>
      </c>
      <c r="D398" s="40">
        <v>0.63689219108819839</v>
      </c>
      <c r="E398" s="40">
        <v>2.9827841201475528E-2</v>
      </c>
      <c r="F398" s="37">
        <v>11.389541087779095</v>
      </c>
      <c r="G398" s="12">
        <v>25.263961155277187</v>
      </c>
      <c r="H398" s="37">
        <v>52818.796083572532</v>
      </c>
      <c r="I398" s="37">
        <v>8748.874036902178</v>
      </c>
      <c r="J398" s="37">
        <v>420586.88567664335</v>
      </c>
      <c r="K398" s="37">
        <v>136286.48553683245</v>
      </c>
      <c r="L398" s="37">
        <v>100453.83363496924</v>
      </c>
      <c r="M398" s="37">
        <v>121383.79293698497</v>
      </c>
      <c r="N398" s="37">
        <v>325472.32724848582</v>
      </c>
      <c r="O398" s="37">
        <v>903441.9245283159</v>
      </c>
      <c r="P398" s="68">
        <v>1</v>
      </c>
    </row>
    <row r="399" spans="1:16" x14ac:dyDescent="0.2">
      <c r="A399" s="10">
        <v>397</v>
      </c>
      <c r="B399" s="40">
        <v>0.14508547978684067</v>
      </c>
      <c r="C399" s="12">
        <v>7.1305036003937206</v>
      </c>
      <c r="D399" s="40">
        <v>0.69418851255908109</v>
      </c>
      <c r="E399" s="40">
        <v>2.5561980349253766E-2</v>
      </c>
      <c r="F399" s="37">
        <v>12.621574693819777</v>
      </c>
      <c r="G399" s="12">
        <v>9.4323786922932271</v>
      </c>
      <c r="H399" s="37">
        <v>9127.216972690916</v>
      </c>
      <c r="I399" s="37">
        <v>26305.52150928729</v>
      </c>
      <c r="J399" s="37">
        <v>409993.50964881887</v>
      </c>
      <c r="K399" s="37">
        <v>115527.27812517608</v>
      </c>
      <c r="L399" s="37">
        <v>174586.39844576397</v>
      </c>
      <c r="M399" s="37">
        <v>125647.0200779921</v>
      </c>
      <c r="N399" s="37">
        <v>121516.10848358365</v>
      </c>
      <c r="O399" s="37">
        <v>547199.73766414763</v>
      </c>
      <c r="P399" s="68">
        <v>1</v>
      </c>
    </row>
    <row r="400" spans="1:16" x14ac:dyDescent="0.2">
      <c r="A400" s="10">
        <v>398</v>
      </c>
      <c r="B400" s="40">
        <v>0.1763432006164688</v>
      </c>
      <c r="C400" s="12">
        <v>5.0238078021681183</v>
      </c>
      <c r="D400" s="40">
        <v>0.64191035129185225</v>
      </c>
      <c r="E400" s="40">
        <v>4.8092359366495536E-2</v>
      </c>
      <c r="F400" s="37">
        <v>29.361205252454738</v>
      </c>
      <c r="G400" s="12">
        <v>12.368456492611241</v>
      </c>
      <c r="H400" s="37">
        <v>55944.174712308923</v>
      </c>
      <c r="I400" s="37">
        <v>59979.433564401261</v>
      </c>
      <c r="J400" s="37">
        <v>449524.06759968668</v>
      </c>
      <c r="K400" s="37">
        <v>97616.848423442716</v>
      </c>
      <c r="L400" s="37">
        <v>138246.75420833277</v>
      </c>
      <c r="M400" s="37">
        <v>508500.13637683564</v>
      </c>
      <c r="N400" s="37">
        <v>159341.21709496659</v>
      </c>
      <c r="O400" s="37">
        <v>1860131.0801573051</v>
      </c>
      <c r="P400" s="68">
        <v>1</v>
      </c>
    </row>
    <row r="401" spans="1:16" x14ac:dyDescent="0.2">
      <c r="A401" s="10">
        <v>399</v>
      </c>
      <c r="B401" s="40">
        <v>0.13986873651688092</v>
      </c>
      <c r="C401" s="12">
        <v>7.0576269033609575</v>
      </c>
      <c r="D401" s="40">
        <v>0.54355030564237616</v>
      </c>
      <c r="E401" s="40">
        <v>3.9328056331420662E-2</v>
      </c>
      <c r="F401" s="37">
        <v>13.868997652734169</v>
      </c>
      <c r="G401" s="12">
        <v>7.3217728222055394</v>
      </c>
      <c r="H401" s="37">
        <v>114783.4935466196</v>
      </c>
      <c r="I401" s="37">
        <v>24533.256064087484</v>
      </c>
      <c r="J401" s="37">
        <v>269200.48754931166</v>
      </c>
      <c r="K401" s="37">
        <v>117804.54110288995</v>
      </c>
      <c r="L401" s="37">
        <v>130439.13842381549</v>
      </c>
      <c r="M401" s="37">
        <v>166323.6603680572</v>
      </c>
      <c r="N401" s="37">
        <v>94325.447438007075</v>
      </c>
      <c r="O401" s="37">
        <v>886756.2047856095</v>
      </c>
      <c r="P401" s="68">
        <v>1</v>
      </c>
    </row>
    <row r="402" spans="1:16" x14ac:dyDescent="0.2">
      <c r="A402" s="10">
        <v>400</v>
      </c>
      <c r="B402" s="40">
        <v>7.722138711990495E-2</v>
      </c>
      <c r="C402" s="12">
        <v>2.4749800462576168</v>
      </c>
      <c r="D402" s="40">
        <v>0.49577157128471966</v>
      </c>
      <c r="E402" s="40">
        <v>2.1546714342898517E-2</v>
      </c>
      <c r="F402" s="37">
        <v>24.987839018114812</v>
      </c>
      <c r="G402" s="12">
        <v>13.47509579894589</v>
      </c>
      <c r="H402" s="37">
        <v>108730.83638625251</v>
      </c>
      <c r="I402" s="37">
        <v>38422.253125399213</v>
      </c>
      <c r="J402" s="37">
        <v>300756.51594996202</v>
      </c>
      <c r="K402" s="37">
        <v>113995.94808532897</v>
      </c>
      <c r="L402" s="37">
        <v>23034.550919315712</v>
      </c>
      <c r="M402" s="37">
        <v>149746.9911841852</v>
      </c>
      <c r="N402" s="37">
        <v>173597.90741536603</v>
      </c>
      <c r="O402" s="37">
        <v>762567.23285197932</v>
      </c>
      <c r="P402" s="68">
        <v>1</v>
      </c>
    </row>
    <row r="403" spans="1:16" x14ac:dyDescent="0.2">
      <c r="A403" s="10">
        <v>401</v>
      </c>
      <c r="B403" s="40">
        <v>0.13975381742299964</v>
      </c>
      <c r="C403" s="12">
        <v>6.0565698426792114</v>
      </c>
      <c r="D403" s="40">
        <v>0.60467291474993523</v>
      </c>
      <c r="E403" s="40">
        <v>1.9778076902702446E-2</v>
      </c>
      <c r="F403" s="37">
        <v>11.758493444962713</v>
      </c>
      <c r="G403" s="12">
        <v>10.734068980026333</v>
      </c>
      <c r="H403" s="37">
        <v>97305.863207743299</v>
      </c>
      <c r="I403" s="37">
        <v>53303.086992569341</v>
      </c>
      <c r="J403" s="37">
        <v>571420.13259138516</v>
      </c>
      <c r="K403" s="37">
        <v>157389.11205428568</v>
      </c>
      <c r="L403" s="37">
        <v>124422.73813552318</v>
      </c>
      <c r="M403" s="37">
        <v>78890.187845407141</v>
      </c>
      <c r="N403" s="37">
        <v>138285.61524071184</v>
      </c>
      <c r="O403" s="37">
        <v>366619.42093465314</v>
      </c>
      <c r="P403" s="68">
        <v>1</v>
      </c>
    </row>
    <row r="404" spans="1:16" x14ac:dyDescent="0.2">
      <c r="A404" s="10">
        <v>402</v>
      </c>
      <c r="B404" s="40">
        <v>0.16205522202382175</v>
      </c>
      <c r="C404" s="12">
        <v>1.1891358004731962</v>
      </c>
      <c r="D404" s="40">
        <v>0.34379885400219634</v>
      </c>
      <c r="E404" s="40">
        <v>1.2924381365982628E-2</v>
      </c>
      <c r="F404" s="37">
        <v>18.539841868377273</v>
      </c>
      <c r="G404" s="12">
        <v>2.3961410839316755</v>
      </c>
      <c r="H404" s="37">
        <v>84251.488283341634</v>
      </c>
      <c r="I404" s="37">
        <v>13949.85750949929</v>
      </c>
      <c r="J404" s="37">
        <v>408051.30196559266</v>
      </c>
      <c r="K404" s="37">
        <v>117013.44826143644</v>
      </c>
      <c r="L404" s="37">
        <v>16106.001630956911</v>
      </c>
      <c r="M404" s="37">
        <v>46215.424525724273</v>
      </c>
      <c r="N404" s="37">
        <v>30869.174085950865</v>
      </c>
      <c r="O404" s="37">
        <v>-199669.75201704819</v>
      </c>
      <c r="P404" s="68">
        <v>0</v>
      </c>
    </row>
    <row r="405" spans="1:16" x14ac:dyDescent="0.2">
      <c r="A405" s="10">
        <v>403</v>
      </c>
      <c r="B405" s="40">
        <v>0.17405373667980167</v>
      </c>
      <c r="C405" s="12">
        <v>6.6860462043647022</v>
      </c>
      <c r="D405" s="40">
        <v>0.37915393112922224</v>
      </c>
      <c r="E405" s="40">
        <v>1.569015071159257E-2</v>
      </c>
      <c r="F405" s="37">
        <v>20.849432352049117</v>
      </c>
      <c r="G405" s="12">
        <v>14.335740890279974</v>
      </c>
      <c r="H405" s="37">
        <v>194758.33323621107</v>
      </c>
      <c r="I405" s="37">
        <v>36902.581640266442</v>
      </c>
      <c r="J405" s="37">
        <v>608388.94031660992</v>
      </c>
      <c r="K405" s="37">
        <v>105255.13570418875</v>
      </c>
      <c r="L405" s="37">
        <v>107264.7728971553</v>
      </c>
      <c r="M405" s="37">
        <v>69583.079584839856</v>
      </c>
      <c r="N405" s="37">
        <v>184685.48624316117</v>
      </c>
      <c r="O405" s="37">
        <v>758639.33681925863</v>
      </c>
      <c r="P405" s="68">
        <v>1</v>
      </c>
    </row>
    <row r="406" spans="1:16" x14ac:dyDescent="0.2">
      <c r="A406" s="10">
        <v>404</v>
      </c>
      <c r="B406" s="40">
        <v>0.10221109278467103</v>
      </c>
      <c r="C406" s="12">
        <v>5.5821849743611853</v>
      </c>
      <c r="D406" s="40">
        <v>0.46095850062977889</v>
      </c>
      <c r="E406" s="40">
        <v>6.9402515261158503E-3</v>
      </c>
      <c r="F406" s="37">
        <v>8.9986230527704034</v>
      </c>
      <c r="G406" s="12">
        <v>27.400589246815482</v>
      </c>
      <c r="H406" s="37">
        <v>41149.456944669306</v>
      </c>
      <c r="I406" s="37">
        <v>32711.467749656069</v>
      </c>
      <c r="J406" s="37">
        <v>604034.92551022035</v>
      </c>
      <c r="K406" s="37">
        <v>218583.13927468992</v>
      </c>
      <c r="L406" s="37">
        <v>63937.096871677095</v>
      </c>
      <c r="M406" s="37">
        <v>16150.271603901971</v>
      </c>
      <c r="N406" s="37">
        <v>352998.22919012181</v>
      </c>
      <c r="O406" s="37">
        <v>203854.5924830283</v>
      </c>
      <c r="P406" s="68">
        <v>1</v>
      </c>
    </row>
    <row r="407" spans="1:16" x14ac:dyDescent="0.2">
      <c r="A407" s="10">
        <v>405</v>
      </c>
      <c r="B407" s="40">
        <v>0.11927766964905748</v>
      </c>
      <c r="C407" s="12">
        <v>4.1999299127604921</v>
      </c>
      <c r="D407" s="40">
        <v>0.33352854267345289</v>
      </c>
      <c r="E407" s="40">
        <v>3.2888079253087107E-2</v>
      </c>
      <c r="F407" s="37">
        <v>18.212623587590979</v>
      </c>
      <c r="G407" s="12">
        <v>6.1062856985701588</v>
      </c>
      <c r="H407" s="37">
        <v>127864.45463097632</v>
      </c>
      <c r="I407" s="37">
        <v>32833.744852608776</v>
      </c>
      <c r="J407" s="37">
        <v>620019.46661867923</v>
      </c>
      <c r="K407" s="37">
        <v>102446.10090723977</v>
      </c>
      <c r="L407" s="37">
        <v>40618.419827788421</v>
      </c>
      <c r="M407" s="37">
        <v>112075.5193342362</v>
      </c>
      <c r="N407" s="37">
        <v>78666.484837538548</v>
      </c>
      <c r="O407" s="37">
        <v>191369.6867656759</v>
      </c>
      <c r="P407" s="68">
        <v>1</v>
      </c>
    </row>
    <row r="408" spans="1:16" x14ac:dyDescent="0.2">
      <c r="A408" s="10">
        <v>406</v>
      </c>
      <c r="B408" s="40">
        <v>0.10037337695827377</v>
      </c>
      <c r="C408" s="12">
        <v>4.6033310832734973</v>
      </c>
      <c r="D408" s="40">
        <v>0.66459678391145172</v>
      </c>
      <c r="E408" s="40">
        <v>1.0657987584695982E-2</v>
      </c>
      <c r="F408" s="37">
        <v>25.196653661327989</v>
      </c>
      <c r="G408" s="12">
        <v>6.8651688323748834</v>
      </c>
      <c r="H408" s="37">
        <v>3657.4282518717255</v>
      </c>
      <c r="I408" s="37">
        <v>20969.720616421742</v>
      </c>
      <c r="J408" s="37">
        <v>314450.13948550954</v>
      </c>
      <c r="K408" s="37">
        <v>105395.8413690586</v>
      </c>
      <c r="L408" s="37">
        <v>74651.375146499631</v>
      </c>
      <c r="M408" s="37">
        <v>100125.11865181926</v>
      </c>
      <c r="N408" s="37">
        <v>88443.077595537412</v>
      </c>
      <c r="O408" s="37">
        <v>196710.9900215728</v>
      </c>
      <c r="P408" s="68">
        <v>1</v>
      </c>
    </row>
    <row r="409" spans="1:16" x14ac:dyDescent="0.2">
      <c r="A409" s="10">
        <v>407</v>
      </c>
      <c r="B409" s="40">
        <v>9.1127954349417034E-2</v>
      </c>
      <c r="C409" s="12">
        <v>2.5336875926077038</v>
      </c>
      <c r="D409" s="40">
        <v>0.64548997398094743</v>
      </c>
      <c r="E409" s="40">
        <v>2.6637728888380917E-2</v>
      </c>
      <c r="F409" s="37">
        <v>19.546431278675076</v>
      </c>
      <c r="G409" s="12">
        <v>8.6791994852758414</v>
      </c>
      <c r="H409" s="37">
        <v>51912.466428651074</v>
      </c>
      <c r="I409" s="37">
        <v>4470.122766760408</v>
      </c>
      <c r="J409" s="37">
        <v>278865.60952443612</v>
      </c>
      <c r="K409" s="37">
        <v>190720.30925468754</v>
      </c>
      <c r="L409" s="37">
        <v>36231.224875132604</v>
      </c>
      <c r="M409" s="37">
        <v>188547.55471838571</v>
      </c>
      <c r="N409" s="37">
        <v>111812.99867287559</v>
      </c>
      <c r="O409" s="37">
        <v>287776.83948848769</v>
      </c>
      <c r="P409" s="68">
        <v>1</v>
      </c>
    </row>
    <row r="410" spans="1:16" x14ac:dyDescent="0.2">
      <c r="A410" s="10">
        <v>408</v>
      </c>
      <c r="B410" s="40">
        <v>0.12375655239243741</v>
      </c>
      <c r="C410" s="12">
        <v>3.2788842085953656</v>
      </c>
      <c r="D410" s="40">
        <v>0.63768936740056126</v>
      </c>
      <c r="E410" s="40">
        <v>3.4734313103445248E-2</v>
      </c>
      <c r="F410" s="37">
        <v>6.8629614915913528</v>
      </c>
      <c r="G410" s="12">
        <v>8.000630026974223</v>
      </c>
      <c r="H410" s="37">
        <v>68814.837155883259</v>
      </c>
      <c r="I410" s="37">
        <v>22603.454449092053</v>
      </c>
      <c r="J410" s="37">
        <v>652142.57901614869</v>
      </c>
      <c r="K410" s="37">
        <v>82774.460429204293</v>
      </c>
      <c r="L410" s="37">
        <v>62906.031454496682</v>
      </c>
      <c r="M410" s="37">
        <v>85279.802242956124</v>
      </c>
      <c r="N410" s="37">
        <v>103071.07655560541</v>
      </c>
      <c r="O410" s="37">
        <v>76004.949537736131</v>
      </c>
      <c r="P410" s="68">
        <v>1</v>
      </c>
    </row>
    <row r="411" spans="1:16" x14ac:dyDescent="0.2">
      <c r="A411" s="10">
        <v>409</v>
      </c>
      <c r="B411" s="40">
        <v>0.20468562194205109</v>
      </c>
      <c r="C411" s="12">
        <v>5.42296457960102</v>
      </c>
      <c r="D411" s="40">
        <v>0.44115989066982275</v>
      </c>
      <c r="E411" s="40">
        <v>2.4066768586363307E-2</v>
      </c>
      <c r="F411" s="37">
        <v>14.226067278933137</v>
      </c>
      <c r="G411" s="12">
        <v>7.6596865836984351</v>
      </c>
      <c r="H411" s="37">
        <v>63748.597077207087</v>
      </c>
      <c r="I411" s="37">
        <v>43171.949769647123</v>
      </c>
      <c r="J411" s="37">
        <v>366944.30356948858</v>
      </c>
      <c r="K411" s="37">
        <v>200101.43783101803</v>
      </c>
      <c r="L411" s="37">
        <v>119044.395677113</v>
      </c>
      <c r="M411" s="37">
        <v>84735.499264241997</v>
      </c>
      <c r="N411" s="37">
        <v>98678.746498531065</v>
      </c>
      <c r="O411" s="37">
        <v>219375.98138968169</v>
      </c>
      <c r="P411" s="68">
        <v>1</v>
      </c>
    </row>
    <row r="412" spans="1:16" x14ac:dyDescent="0.2">
      <c r="A412" s="10">
        <v>410</v>
      </c>
      <c r="B412" s="40">
        <v>0.11797193090238066</v>
      </c>
      <c r="C412" s="12">
        <v>7.5940145295463211</v>
      </c>
      <c r="D412" s="40">
        <v>0.44504251263291283</v>
      </c>
      <c r="E412" s="40">
        <v>2.9914945772788727E-2</v>
      </c>
      <c r="F412" s="37">
        <v>7.8942586315621952</v>
      </c>
      <c r="G412" s="12">
        <v>7.3418075832720486</v>
      </c>
      <c r="H412" s="37">
        <v>61700.277209185995</v>
      </c>
      <c r="I412" s="37">
        <v>31872.389492260292</v>
      </c>
      <c r="J412" s="37">
        <v>267975.0222370667</v>
      </c>
      <c r="K412" s="37">
        <v>93561.646344289184</v>
      </c>
      <c r="L412" s="37">
        <v>96926.033379929635</v>
      </c>
      <c r="M412" s="37">
        <v>58961.401955381363</v>
      </c>
      <c r="N412" s="37">
        <v>94583.552660307978</v>
      </c>
      <c r="O412" s="37">
        <v>433784.63541759306</v>
      </c>
      <c r="P412" s="68">
        <v>1</v>
      </c>
    </row>
    <row r="413" spans="1:16" x14ac:dyDescent="0.2">
      <c r="A413" s="10">
        <v>411</v>
      </c>
      <c r="B413" s="40">
        <v>0.1526576181401334</v>
      </c>
      <c r="C413" s="12">
        <v>9.1378867642808927</v>
      </c>
      <c r="D413" s="40">
        <v>0.5161883108967833</v>
      </c>
      <c r="E413" s="40">
        <v>1.2947852004992006E-2</v>
      </c>
      <c r="F413" s="37">
        <v>14.303825806562505</v>
      </c>
      <c r="G413" s="12">
        <v>12.213207269138675</v>
      </c>
      <c r="H413" s="37">
        <v>49256.829591377478</v>
      </c>
      <c r="I413" s="37">
        <v>33581.825823503459</v>
      </c>
      <c r="J413" s="37">
        <v>508784.53227964946</v>
      </c>
      <c r="K413" s="37">
        <v>145086.26586059772</v>
      </c>
      <c r="L413" s="37">
        <v>175049.65099741309</v>
      </c>
      <c r="M413" s="37">
        <v>53632.104275241953</v>
      </c>
      <c r="N413" s="37">
        <v>157341.16153136856</v>
      </c>
      <c r="O413" s="37">
        <v>398316.33952042996</v>
      </c>
      <c r="P413" s="68">
        <v>1</v>
      </c>
    </row>
    <row r="414" spans="1:16" x14ac:dyDescent="0.2">
      <c r="A414" s="10">
        <v>412</v>
      </c>
      <c r="B414" s="40">
        <v>4.0202029533670768E-2</v>
      </c>
      <c r="C414" s="12">
        <v>6.6834183336232824</v>
      </c>
      <c r="D414" s="40">
        <v>0.54128114402467009</v>
      </c>
      <c r="E414" s="40">
        <v>1.090958861216801E-2</v>
      </c>
      <c r="F414" s="37">
        <v>19.881905518111573</v>
      </c>
      <c r="G414" s="12">
        <v>17.077987188562268</v>
      </c>
      <c r="H414" s="37">
        <v>68088.040153120324</v>
      </c>
      <c r="I414" s="37">
        <v>40244.543084527271</v>
      </c>
      <c r="J414" s="37">
        <v>288207.02725049481</v>
      </c>
      <c r="K414" s="37">
        <v>107121.37975398137</v>
      </c>
      <c r="L414" s="37">
        <v>35355.611399888119</v>
      </c>
      <c r="M414" s="37">
        <v>65865.199271504142</v>
      </c>
      <c r="N414" s="37">
        <v>220013.48881191321</v>
      </c>
      <c r="O414" s="37">
        <v>615168.21819107607</v>
      </c>
      <c r="P414" s="68">
        <v>1</v>
      </c>
    </row>
    <row r="415" spans="1:16" x14ac:dyDescent="0.2">
      <c r="A415" s="10">
        <v>413</v>
      </c>
      <c r="B415" s="40">
        <v>0.18698525271916011</v>
      </c>
      <c r="C415" s="12">
        <v>8.2643802451192805</v>
      </c>
      <c r="D415" s="40">
        <v>0.43864101708207315</v>
      </c>
      <c r="E415" s="40">
        <v>1.9903436190441458E-2</v>
      </c>
      <c r="F415" s="37">
        <v>14.294323689437212</v>
      </c>
      <c r="G415" s="12">
        <v>7.9556514363086173</v>
      </c>
      <c r="H415" s="37">
        <v>172997.65872126748</v>
      </c>
      <c r="I415" s="37">
        <v>35766.906500954348</v>
      </c>
      <c r="J415" s="37">
        <v>301863.27461398894</v>
      </c>
      <c r="K415" s="37">
        <v>195156.99852251695</v>
      </c>
      <c r="L415" s="37">
        <v>164784.25618595321</v>
      </c>
      <c r="M415" s="37">
        <v>70011.21989107343</v>
      </c>
      <c r="N415" s="37">
        <v>102491.62321927719</v>
      </c>
      <c r="O415" s="37">
        <v>681216.1980457732</v>
      </c>
      <c r="P415" s="68">
        <v>1</v>
      </c>
    </row>
    <row r="416" spans="1:16" x14ac:dyDescent="0.2">
      <c r="A416" s="10">
        <v>414</v>
      </c>
      <c r="B416" s="40">
        <v>0.12933962001941168</v>
      </c>
      <c r="C416" s="12">
        <v>5.7863247067286636</v>
      </c>
      <c r="D416" s="40">
        <v>0.60071474390846236</v>
      </c>
      <c r="E416" s="40">
        <v>2.3860102870666512E-2</v>
      </c>
      <c r="F416" s="37">
        <v>12.021253685231631</v>
      </c>
      <c r="G416" s="12">
        <v>8.7466472685741117</v>
      </c>
      <c r="H416" s="37">
        <v>142073.52973771704</v>
      </c>
      <c r="I416" s="37">
        <v>56188.867177956374</v>
      </c>
      <c r="J416" s="37">
        <v>473259.82420934329</v>
      </c>
      <c r="K416" s="37">
        <v>119642.14947676574</v>
      </c>
      <c r="L416" s="37">
        <v>109292.78746779349</v>
      </c>
      <c r="M416" s="37">
        <v>96662.293918902797</v>
      </c>
      <c r="N416" s="37">
        <v>112681.91969689538</v>
      </c>
      <c r="O416" s="37">
        <v>639710.7741872964</v>
      </c>
      <c r="P416" s="68">
        <v>1</v>
      </c>
    </row>
    <row r="417" spans="1:16" x14ac:dyDescent="0.2">
      <c r="A417" s="10">
        <v>415</v>
      </c>
      <c r="B417" s="40">
        <v>0.17794902694392156</v>
      </c>
      <c r="C417" s="12">
        <v>4.6373038030085239</v>
      </c>
      <c r="D417" s="40">
        <v>0.74870602594462687</v>
      </c>
      <c r="E417" s="40">
        <v>1.9018784550022809E-2</v>
      </c>
      <c r="F417" s="37">
        <v>26.03699976867566</v>
      </c>
      <c r="G417" s="12">
        <v>13.012187319082212</v>
      </c>
      <c r="H417" s="37">
        <v>158044.89721856284</v>
      </c>
      <c r="I417" s="37">
        <v>31966.287802373608</v>
      </c>
      <c r="J417" s="37">
        <v>181216.33883543158</v>
      </c>
      <c r="K417" s="37">
        <v>145051.16730981221</v>
      </c>
      <c r="L417" s="37">
        <v>150197.02285518139</v>
      </c>
      <c r="M417" s="37">
        <v>207994.45561716924</v>
      </c>
      <c r="N417" s="37">
        <v>167634.31764738468</v>
      </c>
      <c r="O417" s="37">
        <v>1417918.3053740002</v>
      </c>
      <c r="P417" s="68">
        <v>1</v>
      </c>
    </row>
    <row r="418" spans="1:16" x14ac:dyDescent="0.2">
      <c r="A418" s="10">
        <v>416</v>
      </c>
      <c r="B418" s="40">
        <v>0.20363805742411784</v>
      </c>
      <c r="C418" s="12">
        <v>6.3856347533974844</v>
      </c>
      <c r="D418" s="40">
        <v>0.76998140132727466</v>
      </c>
      <c r="E418" s="40">
        <v>2.0548740733241436E-2</v>
      </c>
      <c r="F418" s="37">
        <v>13.244212436701691</v>
      </c>
      <c r="G418" s="12">
        <v>9.7885580745309717</v>
      </c>
      <c r="H418" s="37">
        <v>202338.93222210789</v>
      </c>
      <c r="I418" s="37">
        <v>36235.148697763419</v>
      </c>
      <c r="J418" s="37">
        <v>406931.63403327484</v>
      </c>
      <c r="K418" s="37">
        <v>122482.22763340297</v>
      </c>
      <c r="L418" s="37">
        <v>243406.45099880476</v>
      </c>
      <c r="M418" s="37">
        <v>117559.65904298009</v>
      </c>
      <c r="N418" s="37">
        <v>126104.72116163281</v>
      </c>
      <c r="O418" s="37">
        <v>1282911.2483407431</v>
      </c>
      <c r="P418" s="68">
        <v>1</v>
      </c>
    </row>
    <row r="419" spans="1:16" x14ac:dyDescent="0.2">
      <c r="A419" s="10">
        <v>417</v>
      </c>
      <c r="B419" s="40">
        <v>0.14622567147097149</v>
      </c>
      <c r="C419" s="12">
        <v>4.8891741988453123</v>
      </c>
      <c r="D419" s="40">
        <v>0.57732987344603315</v>
      </c>
      <c r="E419" s="40">
        <v>1.417057867493195E-2</v>
      </c>
      <c r="F419" s="37">
        <v>22.324642479365959</v>
      </c>
      <c r="G419" s="12">
        <v>28.207379875241774</v>
      </c>
      <c r="H419" s="37">
        <v>58119.514544757207</v>
      </c>
      <c r="I419" s="37">
        <v>19205.367038684984</v>
      </c>
      <c r="J419" s="37">
        <v>414823.27731607109</v>
      </c>
      <c r="K419" s="37">
        <v>165050.68591762168</v>
      </c>
      <c r="L419" s="37">
        <v>100339.51451309297</v>
      </c>
      <c r="M419" s="37">
        <v>102462.00745674575</v>
      </c>
      <c r="N419" s="37">
        <v>363392.00797335606</v>
      </c>
      <c r="O419" s="37">
        <v>925669.59692379204</v>
      </c>
      <c r="P419" s="68">
        <v>1</v>
      </c>
    </row>
    <row r="420" spans="1:16" x14ac:dyDescent="0.2">
      <c r="A420" s="10">
        <v>418</v>
      </c>
      <c r="B420" s="40">
        <v>0.18555908579922734</v>
      </c>
      <c r="C420" s="12">
        <v>5.8235404562664286</v>
      </c>
      <c r="D420" s="40">
        <v>0.74263642806740593</v>
      </c>
      <c r="E420" s="40">
        <v>2.9197838668340165E-2</v>
      </c>
      <c r="F420" s="37">
        <v>21.623019984868563</v>
      </c>
      <c r="G420" s="12">
        <v>16.718502401342313</v>
      </c>
      <c r="H420" s="37">
        <v>69639.703241516516</v>
      </c>
      <c r="I420" s="37">
        <v>29586.143504039414</v>
      </c>
      <c r="J420" s="37">
        <v>297947.8923782527</v>
      </c>
      <c r="K420" s="37">
        <v>95415.71220098935</v>
      </c>
      <c r="L420" s="37">
        <v>195089.72619027249</v>
      </c>
      <c r="M420" s="37">
        <v>263032.87675494025</v>
      </c>
      <c r="N420" s="37">
        <v>215382.29303118086</v>
      </c>
      <c r="O420" s="37">
        <v>1599642.9448579282</v>
      </c>
      <c r="P420" s="68">
        <v>1</v>
      </c>
    </row>
    <row r="421" spans="1:16" x14ac:dyDescent="0.2">
      <c r="A421" s="10">
        <v>419</v>
      </c>
      <c r="B421" s="40">
        <v>0.16434487272909182</v>
      </c>
      <c r="C421" s="12">
        <v>7.0622339312572455</v>
      </c>
      <c r="D421" s="40">
        <v>0.6792037985431183</v>
      </c>
      <c r="E421" s="40">
        <v>2.9046184712022277E-2</v>
      </c>
      <c r="F421" s="37">
        <v>20.568398760797834</v>
      </c>
      <c r="G421" s="12">
        <v>11.360584596251465</v>
      </c>
      <c r="H421" s="37">
        <v>112636.50956033068</v>
      </c>
      <c r="I421" s="37">
        <v>30417.183775040885</v>
      </c>
      <c r="J421" s="37">
        <v>300596.60070151481</v>
      </c>
      <c r="K421" s="37">
        <v>128831.52071297436</v>
      </c>
      <c r="L421" s="37">
        <v>191640.45539118192</v>
      </c>
      <c r="M421" s="37">
        <v>227644.10911308232</v>
      </c>
      <c r="N421" s="37">
        <v>146356.93447751013</v>
      </c>
      <c r="O421" s="37">
        <v>1323970.905553102</v>
      </c>
      <c r="P421" s="68">
        <v>1</v>
      </c>
    </row>
    <row r="422" spans="1:16" x14ac:dyDescent="0.2">
      <c r="A422" s="10">
        <v>420</v>
      </c>
      <c r="B422" s="40">
        <v>0.13834660605861515</v>
      </c>
      <c r="C422" s="12">
        <v>4.7542118420507897</v>
      </c>
      <c r="D422" s="40">
        <v>0.48644341895987148</v>
      </c>
      <c r="E422" s="40">
        <v>1.3874746487542475E-2</v>
      </c>
      <c r="F422" s="37">
        <v>20.508036553728942</v>
      </c>
      <c r="G422" s="12">
        <v>23.103846824300206</v>
      </c>
      <c r="H422" s="37">
        <v>69378.53825858151</v>
      </c>
      <c r="I422" s="37">
        <v>24040.54430901973</v>
      </c>
      <c r="J422" s="37">
        <v>363678.25714064681</v>
      </c>
      <c r="K422" s="37">
        <v>96434.951673674412</v>
      </c>
      <c r="L422" s="37">
        <v>77780.04690030645</v>
      </c>
      <c r="M422" s="37">
        <v>77651.20574552691</v>
      </c>
      <c r="N422" s="37">
        <v>297643.85513737239</v>
      </c>
      <c r="O422" s="37">
        <v>897224.34953905153</v>
      </c>
      <c r="P422" s="68">
        <v>1</v>
      </c>
    </row>
    <row r="423" spans="1:16" x14ac:dyDescent="0.2">
      <c r="A423" s="10">
        <v>421</v>
      </c>
      <c r="B423" s="40">
        <v>0.19146633747668951</v>
      </c>
      <c r="C423" s="12">
        <v>6.4391975638513053</v>
      </c>
      <c r="D423" s="40">
        <v>0.49208729887733504</v>
      </c>
      <c r="E423" s="40">
        <v>2.7081521505643791E-2</v>
      </c>
      <c r="F423" s="37">
        <v>19.341399321862266</v>
      </c>
      <c r="G423" s="12">
        <v>14.418558258043131</v>
      </c>
      <c r="H423" s="37">
        <v>56679.902376991115</v>
      </c>
      <c r="I423" s="37">
        <v>36876.389254577567</v>
      </c>
      <c r="J423" s="37">
        <v>306739.92278842477</v>
      </c>
      <c r="K423" s="37">
        <v>174119.5437667392</v>
      </c>
      <c r="L423" s="37">
        <v>147487.4833732401</v>
      </c>
      <c r="M423" s="37">
        <v>144600.51494621608</v>
      </c>
      <c r="N423" s="37">
        <v>185752.41162579611</v>
      </c>
      <c r="O423" s="37">
        <v>806286.45420456922</v>
      </c>
      <c r="P423" s="68">
        <v>1</v>
      </c>
    </row>
    <row r="424" spans="1:16" x14ac:dyDescent="0.2">
      <c r="A424" s="10">
        <v>422</v>
      </c>
      <c r="B424" s="40">
        <v>0.11405354317958166</v>
      </c>
      <c r="C424" s="12">
        <v>3.7008395579587647</v>
      </c>
      <c r="D424" s="40">
        <v>0.80842843182730195</v>
      </c>
      <c r="E424" s="40">
        <v>1.2174226995172894E-2</v>
      </c>
      <c r="F424" s="37">
        <v>16.30971696514808</v>
      </c>
      <c r="G424" s="12">
        <v>12.135382223453949</v>
      </c>
      <c r="H424" s="37">
        <v>185436.82372176362</v>
      </c>
      <c r="I424" s="37">
        <v>25198.941054339342</v>
      </c>
      <c r="J424" s="37">
        <v>514048.63693262322</v>
      </c>
      <c r="K424" s="37">
        <v>111442.54425458417</v>
      </c>
      <c r="L424" s="37">
        <v>82954.404044735275</v>
      </c>
      <c r="M424" s="37">
        <v>90052.573916278663</v>
      </c>
      <c r="N424" s="37">
        <v>156338.55158506817</v>
      </c>
      <c r="O424" s="37">
        <v>686561.37301128032</v>
      </c>
      <c r="P424" s="68">
        <v>1</v>
      </c>
    </row>
    <row r="425" spans="1:16" x14ac:dyDescent="0.2">
      <c r="A425" s="10">
        <v>423</v>
      </c>
      <c r="B425" s="40">
        <v>7.602267201109901E-2</v>
      </c>
      <c r="C425" s="12">
        <v>7.207865028418194</v>
      </c>
      <c r="D425" s="40">
        <v>0.69641421192227215</v>
      </c>
      <c r="E425" s="40">
        <v>9.400973034600189E-3</v>
      </c>
      <c r="F425" s="37">
        <v>14.943849809759035</v>
      </c>
      <c r="G425" s="12">
        <v>20.212806452550673</v>
      </c>
      <c r="H425" s="37">
        <v>36240.748598472019</v>
      </c>
      <c r="I425" s="37">
        <v>57952.824627539252</v>
      </c>
      <c r="J425" s="37">
        <v>451660.87261374062</v>
      </c>
      <c r="K425" s="37">
        <v>118111.74489834688</v>
      </c>
      <c r="L425" s="37">
        <v>92769.716709859626</v>
      </c>
      <c r="M425" s="37">
        <v>54887.020787178997</v>
      </c>
      <c r="N425" s="37">
        <v>260398.9578633715</v>
      </c>
      <c r="O425" s="37">
        <v>624553.01950736321</v>
      </c>
      <c r="P425" s="68">
        <v>1</v>
      </c>
    </row>
    <row r="426" spans="1:16" x14ac:dyDescent="0.2">
      <c r="A426" s="10">
        <v>424</v>
      </c>
      <c r="B426" s="40">
        <v>0.16990562328263109</v>
      </c>
      <c r="C426" s="12">
        <v>4.9387949601228867</v>
      </c>
      <c r="D426" s="40">
        <v>0.61494203279096982</v>
      </c>
      <c r="E426" s="40">
        <v>1.9927547959003311E-2</v>
      </c>
      <c r="F426" s="37">
        <v>13.311977566890043</v>
      </c>
      <c r="G426" s="12">
        <v>5.3323030764792092</v>
      </c>
      <c r="H426" s="37">
        <v>222553.42343960918</v>
      </c>
      <c r="I426" s="37">
        <v>60256.037453676639</v>
      </c>
      <c r="J426" s="37">
        <v>417454.91137684789</v>
      </c>
      <c r="K426" s="37">
        <v>118536.22353431294</v>
      </c>
      <c r="L426" s="37">
        <v>125444.53838704333</v>
      </c>
      <c r="M426" s="37">
        <v>91516.067760401071</v>
      </c>
      <c r="N426" s="37">
        <v>68695.36733488171</v>
      </c>
      <c r="O426" s="37">
        <v>843083.40450943122</v>
      </c>
      <c r="P426" s="68">
        <v>1</v>
      </c>
    </row>
    <row r="427" spans="1:16" x14ac:dyDescent="0.2">
      <c r="A427" s="10">
        <v>425</v>
      </c>
      <c r="B427" s="40">
        <v>9.2577393142860981E-2</v>
      </c>
      <c r="C427" s="12">
        <v>7.4852362029992623</v>
      </c>
      <c r="D427" s="40">
        <v>0.7121212400009207</v>
      </c>
      <c r="E427" s="40">
        <v>3.8156480165311715E-2</v>
      </c>
      <c r="F427" s="37">
        <v>18.445018440104434</v>
      </c>
      <c r="G427" s="12">
        <v>5.8185974776030474</v>
      </c>
      <c r="H427" s="37">
        <v>167628.03687792411</v>
      </c>
      <c r="I427" s="37">
        <v>33668.783879137751</v>
      </c>
      <c r="J427" s="37">
        <v>360480.36496446846</v>
      </c>
      <c r="K427" s="37">
        <v>93538.978872855601</v>
      </c>
      <c r="L427" s="37">
        <v>119964.6319189605</v>
      </c>
      <c r="M427" s="37">
        <v>281169.41056497191</v>
      </c>
      <c r="N427" s="37">
        <v>74960.234886287973</v>
      </c>
      <c r="O427" s="37">
        <v>1275261.3237235411</v>
      </c>
      <c r="P427" s="68">
        <v>1</v>
      </c>
    </row>
    <row r="428" spans="1:16" x14ac:dyDescent="0.2">
      <c r="A428" s="10">
        <v>426</v>
      </c>
      <c r="B428" s="40">
        <v>0.12981709439836886</v>
      </c>
      <c r="C428" s="12">
        <v>3.2281420433730559</v>
      </c>
      <c r="D428" s="40">
        <v>0.81370059370043246</v>
      </c>
      <c r="E428" s="40">
        <v>3.5217859127230355E-2</v>
      </c>
      <c r="F428" s="37">
        <v>14.492767661177066</v>
      </c>
      <c r="G428" s="12">
        <v>13.521071818975201</v>
      </c>
      <c r="H428" s="37">
        <v>91503.486998927518</v>
      </c>
      <c r="I428" s="37">
        <v>12720.377270104427</v>
      </c>
      <c r="J428" s="37">
        <v>330057.33887945459</v>
      </c>
      <c r="K428" s="37">
        <v>122574.45922864771</v>
      </c>
      <c r="L428" s="37">
        <v>82896.841380460726</v>
      </c>
      <c r="M428" s="37">
        <v>232994.48785751907</v>
      </c>
      <c r="N428" s="37">
        <v>174190.21050452106</v>
      </c>
      <c r="O428" s="37">
        <v>991561.52106561279</v>
      </c>
      <c r="P428" s="68">
        <v>1</v>
      </c>
    </row>
    <row r="429" spans="1:16" x14ac:dyDescent="0.2">
      <c r="A429" s="10">
        <v>427</v>
      </c>
      <c r="B429" s="40">
        <v>3.6180357680316577E-2</v>
      </c>
      <c r="C429" s="12">
        <v>4.4141392412358407</v>
      </c>
      <c r="D429" s="40">
        <v>0.69398212405019954</v>
      </c>
      <c r="E429" s="40">
        <v>1.5150425987171236E-2</v>
      </c>
      <c r="F429" s="37">
        <v>23.05004731348221</v>
      </c>
      <c r="G429" s="12">
        <v>7.7991264666363165</v>
      </c>
      <c r="H429" s="37">
        <v>113789.12312523794</v>
      </c>
      <c r="I429" s="37">
        <v>45694.018411630997</v>
      </c>
      <c r="J429" s="37">
        <v>392590.57581998513</v>
      </c>
      <c r="K429" s="37">
        <v>146793.99510574708</v>
      </c>
      <c r="L429" s="37">
        <v>26943.623298279352</v>
      </c>
      <c r="M429" s="37">
        <v>135960.16441387095</v>
      </c>
      <c r="N429" s="37">
        <v>100475.132383235</v>
      </c>
      <c r="O429" s="37">
        <v>380851.92861000774</v>
      </c>
      <c r="P429" s="68">
        <v>1</v>
      </c>
    </row>
    <row r="430" spans="1:16" x14ac:dyDescent="0.2">
      <c r="A430" s="10">
        <v>428</v>
      </c>
      <c r="B430" s="40">
        <v>4.9179132553312258E-2</v>
      </c>
      <c r="C430" s="12">
        <v>3.544553168203759</v>
      </c>
      <c r="D430" s="40">
        <v>0.55534643979475928</v>
      </c>
      <c r="E430" s="40">
        <v>4.0984720410981168E-2</v>
      </c>
      <c r="F430" s="37">
        <v>21.211250763120724</v>
      </c>
      <c r="G430" s="12">
        <v>21.759355263891912</v>
      </c>
      <c r="H430" s="37">
        <v>72433.712217577791</v>
      </c>
      <c r="I430" s="37">
        <v>55434.619955276692</v>
      </c>
      <c r="J430" s="37">
        <v>532378.42521891685</v>
      </c>
      <c r="K430" s="37">
        <v>135620.47565097886</v>
      </c>
      <c r="L430" s="37">
        <v>23533.969208481169</v>
      </c>
      <c r="M430" s="37">
        <v>270843.85029749555</v>
      </c>
      <c r="N430" s="37">
        <v>280322.94514853525</v>
      </c>
      <c r="O430" s="37">
        <v>1056005.798146856</v>
      </c>
      <c r="P430" s="68">
        <v>1</v>
      </c>
    </row>
    <row r="431" spans="1:16" x14ac:dyDescent="0.2">
      <c r="A431" s="10">
        <v>429</v>
      </c>
      <c r="B431" s="40">
        <v>5.0707566361949133E-2</v>
      </c>
      <c r="C431" s="12">
        <v>5.4490099240522056</v>
      </c>
      <c r="D431" s="40">
        <v>0.45091073758452122</v>
      </c>
      <c r="E431" s="40">
        <v>2.2395474183944025E-2</v>
      </c>
      <c r="F431" s="37">
        <v>21.606307022730988</v>
      </c>
      <c r="G431" s="12">
        <v>20.532123401442764</v>
      </c>
      <c r="H431" s="37">
        <v>105364.22307521341</v>
      </c>
      <c r="I431" s="37">
        <v>36405.369892707371</v>
      </c>
      <c r="J431" s="37">
        <v>453378.53130837821</v>
      </c>
      <c r="K431" s="37">
        <v>113139.59247520407</v>
      </c>
      <c r="L431" s="37">
        <v>30287.942590761904</v>
      </c>
      <c r="M431" s="37">
        <v>122404.70586383325</v>
      </c>
      <c r="N431" s="37">
        <v>264512.67660474492</v>
      </c>
      <c r="O431" s="37">
        <v>795690.20415594126</v>
      </c>
      <c r="P431" s="68">
        <v>1</v>
      </c>
    </row>
    <row r="432" spans="1:16" x14ac:dyDescent="0.2">
      <c r="A432" s="10">
        <v>430</v>
      </c>
      <c r="B432" s="40">
        <v>9.7361383812884922E-2</v>
      </c>
      <c r="C432" s="12">
        <v>8.1596542006642245</v>
      </c>
      <c r="D432" s="40">
        <v>0.54316097027887045</v>
      </c>
      <c r="E432" s="40">
        <v>4.2943690959753582E-2</v>
      </c>
      <c r="F432" s="37">
        <v>11.370149868505575</v>
      </c>
      <c r="G432" s="12">
        <v>16.711489674913192</v>
      </c>
      <c r="H432" s="37">
        <v>134831.07030154156</v>
      </c>
      <c r="I432" s="37">
        <v>18597.585857395759</v>
      </c>
      <c r="J432" s="37">
        <v>251928.54223725997</v>
      </c>
      <c r="K432" s="37">
        <v>81114.617160736496</v>
      </c>
      <c r="L432" s="37">
        <v>104900.0939283796</v>
      </c>
      <c r="M432" s="37">
        <v>148785.58103458353</v>
      </c>
      <c r="N432" s="37">
        <v>215291.94898824891</v>
      </c>
      <c r="O432" s="37">
        <v>1264574.1981420633</v>
      </c>
      <c r="P432" s="68">
        <v>1</v>
      </c>
    </row>
    <row r="433" spans="1:16" x14ac:dyDescent="0.2">
      <c r="A433" s="10">
        <v>431</v>
      </c>
      <c r="B433" s="40">
        <v>0.15212339263621988</v>
      </c>
      <c r="C433" s="12">
        <v>5.9985431605005681</v>
      </c>
      <c r="D433" s="40">
        <v>0.57311607139154708</v>
      </c>
      <c r="E433" s="40">
        <v>2.9816846258885046E-2</v>
      </c>
      <c r="F433" s="37">
        <v>21.54814578404396</v>
      </c>
      <c r="G433" s="12">
        <v>2.7748806068421517</v>
      </c>
      <c r="H433" s="37">
        <v>131285.71335582045</v>
      </c>
      <c r="I433" s="37">
        <v>37893.813685449713</v>
      </c>
      <c r="J433" s="37">
        <v>427975.60549548664</v>
      </c>
      <c r="K433" s="37">
        <v>86541.566421011201</v>
      </c>
      <c r="L433" s="37">
        <v>127137.36529006157</v>
      </c>
      <c r="M433" s="37">
        <v>206576.50727793071</v>
      </c>
      <c r="N433" s="37">
        <v>35748.426123468555</v>
      </c>
      <c r="O433" s="37">
        <v>838645.20007287944</v>
      </c>
      <c r="P433" s="68">
        <v>1</v>
      </c>
    </row>
    <row r="434" spans="1:16" x14ac:dyDescent="0.2">
      <c r="A434" s="10">
        <v>432</v>
      </c>
      <c r="B434" s="40">
        <v>0.14136412356879272</v>
      </c>
      <c r="C434" s="12">
        <v>2.8849845259204057</v>
      </c>
      <c r="D434" s="40">
        <v>0.66435103097960857</v>
      </c>
      <c r="E434" s="40">
        <v>1.5496479567433302E-2</v>
      </c>
      <c r="F434" s="37">
        <v>29.467772299211084</v>
      </c>
      <c r="G434" s="12">
        <v>11.969066803556936</v>
      </c>
      <c r="H434" s="37">
        <v>182081.85293865699</v>
      </c>
      <c r="I434" s="37">
        <v>49374.344880938894</v>
      </c>
      <c r="J434" s="37">
        <v>252134.95342126736</v>
      </c>
      <c r="K434" s="37">
        <v>125677.03396152335</v>
      </c>
      <c r="L434" s="37">
        <v>65867.189967309227</v>
      </c>
      <c r="M434" s="37">
        <v>170194.17757774884</v>
      </c>
      <c r="N434" s="37">
        <v>154195.93165153955</v>
      </c>
      <c r="O434" s="37">
        <v>1137579.1453543049</v>
      </c>
      <c r="P434" s="68">
        <v>1</v>
      </c>
    </row>
    <row r="435" spans="1:16" x14ac:dyDescent="0.2">
      <c r="A435" s="10">
        <v>433</v>
      </c>
      <c r="B435" s="40">
        <v>4.8116071992516413E-2</v>
      </c>
      <c r="C435" s="12">
        <v>2.6395857886270093</v>
      </c>
      <c r="D435" s="40">
        <v>0.56266673491254759</v>
      </c>
      <c r="E435" s="40">
        <v>2.763617591056779E-2</v>
      </c>
      <c r="F435" s="37">
        <v>11.555884188894135</v>
      </c>
      <c r="G435" s="12">
        <v>12.756130864241339</v>
      </c>
      <c r="H435" s="37">
        <v>67415.875483489974</v>
      </c>
      <c r="I435" s="37">
        <v>28600.443330437916</v>
      </c>
      <c r="J435" s="37">
        <v>427934.07645504642</v>
      </c>
      <c r="K435" s="37">
        <v>95838.672795168968</v>
      </c>
      <c r="L435" s="37">
        <v>17372.647884132035</v>
      </c>
      <c r="M435" s="37">
        <v>100808.95234619232</v>
      </c>
      <c r="N435" s="37">
        <v>164335.57562700883</v>
      </c>
      <c r="O435" s="37">
        <v>364074.19082581112</v>
      </c>
      <c r="P435" s="68">
        <v>1</v>
      </c>
    </row>
    <row r="436" spans="1:16" x14ac:dyDescent="0.2">
      <c r="A436" s="10">
        <v>434</v>
      </c>
      <c r="B436" s="40">
        <v>0.15748287797584506</v>
      </c>
      <c r="C436" s="12">
        <v>4.6005656822507284</v>
      </c>
      <c r="D436" s="40">
        <v>0.68736777206170818</v>
      </c>
      <c r="E436" s="40">
        <v>3.3169013865703645E-2</v>
      </c>
      <c r="F436" s="37">
        <v>18.829205714590966</v>
      </c>
      <c r="G436" s="12">
        <v>9.6506280901598203</v>
      </c>
      <c r="H436" s="37">
        <v>115362.08811997218</v>
      </c>
      <c r="I436" s="37">
        <v>31828.71833121873</v>
      </c>
      <c r="J436" s="37">
        <v>579941.81729475001</v>
      </c>
      <c r="K436" s="37">
        <v>100983.06139626578</v>
      </c>
      <c r="L436" s="37">
        <v>121066.10598879184</v>
      </c>
      <c r="M436" s="37">
        <v>240835.4745996953</v>
      </c>
      <c r="N436" s="37">
        <v>124327.78710387724</v>
      </c>
      <c r="O436" s="37">
        <v>911753.68778894795</v>
      </c>
      <c r="P436" s="68">
        <v>1</v>
      </c>
    </row>
    <row r="437" spans="1:16" x14ac:dyDescent="0.2">
      <c r="A437" s="10">
        <v>435</v>
      </c>
      <c r="B437" s="40">
        <v>0.1742018812542776</v>
      </c>
      <c r="C437" s="12">
        <v>5.1260532369091649</v>
      </c>
      <c r="D437" s="40">
        <v>0.63273074837129761</v>
      </c>
      <c r="E437" s="40">
        <v>2.4555846806571482E-2</v>
      </c>
      <c r="F437" s="37">
        <v>24.110937520960583</v>
      </c>
      <c r="G437" s="12">
        <v>17.378257623941987</v>
      </c>
      <c r="H437" s="37">
        <v>158226.29537165555</v>
      </c>
      <c r="I437" s="37">
        <v>49998.286626701076</v>
      </c>
      <c r="J437" s="37">
        <v>454146.70577270037</v>
      </c>
      <c r="K437" s="37">
        <v>113970.54395443444</v>
      </c>
      <c r="L437" s="37">
        <v>137354.76260695918</v>
      </c>
      <c r="M437" s="37">
        <v>210162.23822160906</v>
      </c>
      <c r="N437" s="37">
        <v>223881.83379575351</v>
      </c>
      <c r="O437" s="37">
        <v>1410770.9987460587</v>
      </c>
      <c r="P437" s="68">
        <v>1</v>
      </c>
    </row>
    <row r="438" spans="1:16" x14ac:dyDescent="0.2">
      <c r="A438" s="10">
        <v>436</v>
      </c>
      <c r="B438" s="40">
        <v>0.15856330578742389</v>
      </c>
      <c r="C438" s="12">
        <v>4.879714736789091</v>
      </c>
      <c r="D438" s="40">
        <v>0.63697309704078298</v>
      </c>
      <c r="E438" s="40">
        <v>2.5421119790895154E-2</v>
      </c>
      <c r="F438" s="37">
        <v>25.784541110573912</v>
      </c>
      <c r="G438" s="12">
        <v>11.756299612475223</v>
      </c>
      <c r="H438" s="37">
        <v>92764.440040694055</v>
      </c>
      <c r="I438" s="37">
        <v>20733.238824838056</v>
      </c>
      <c r="J438" s="37">
        <v>324864.82838283922</v>
      </c>
      <c r="K438" s="37">
        <v>124022.06846582994</v>
      </c>
      <c r="L438" s="37">
        <v>119813.85601668032</v>
      </c>
      <c r="M438" s="37">
        <v>234229.66958402775</v>
      </c>
      <c r="N438" s="37">
        <v>151454.87958856867</v>
      </c>
      <c r="O438" s="37">
        <v>1061872.678282575</v>
      </c>
      <c r="P438" s="68">
        <v>1</v>
      </c>
    </row>
    <row r="439" spans="1:16" x14ac:dyDescent="0.2">
      <c r="A439" s="10">
        <v>437</v>
      </c>
      <c r="B439" s="40">
        <v>0.13933471368032702</v>
      </c>
      <c r="C439" s="12">
        <v>4.0928656710571785</v>
      </c>
      <c r="D439" s="40">
        <v>0.63960632201534895</v>
      </c>
      <c r="E439" s="40">
        <v>2.0509146103975896E-2</v>
      </c>
      <c r="F439" s="37">
        <v>16.966940141228488</v>
      </c>
      <c r="G439" s="12">
        <v>10.822888969114498</v>
      </c>
      <c r="H439" s="37">
        <v>117643.62428242245</v>
      </c>
      <c r="I439" s="37">
        <v>61478.580839347887</v>
      </c>
      <c r="J439" s="37">
        <v>533929.40812412882</v>
      </c>
      <c r="K439" s="37">
        <v>172110.76579218108</v>
      </c>
      <c r="L439" s="37">
        <v>88672.386692116386</v>
      </c>
      <c r="M439" s="37">
        <v>124862.08604627622</v>
      </c>
      <c r="N439" s="37">
        <v>139429.87161353609</v>
      </c>
      <c r="O439" s="37">
        <v>474592.05967138533</v>
      </c>
      <c r="P439" s="68">
        <v>1</v>
      </c>
    </row>
    <row r="440" spans="1:16" x14ac:dyDescent="0.2">
      <c r="A440" s="10">
        <v>438</v>
      </c>
      <c r="B440" s="40">
        <v>0.11739810344486058</v>
      </c>
      <c r="C440" s="12">
        <v>4.2274171042099455</v>
      </c>
      <c r="D440" s="40">
        <v>0.46283827616831213</v>
      </c>
      <c r="E440" s="40">
        <v>3.0001709290454922E-2</v>
      </c>
      <c r="F440" s="37">
        <v>15.281162675982191</v>
      </c>
      <c r="G440" s="12">
        <v>9.4824840624622553</v>
      </c>
      <c r="H440" s="37">
        <v>14500.126145251479</v>
      </c>
      <c r="I440" s="37">
        <v>32660.342433355265</v>
      </c>
      <c r="J440" s="37">
        <v>430172.79845721798</v>
      </c>
      <c r="K440" s="37">
        <v>100706.5920885883</v>
      </c>
      <c r="L440" s="37">
        <v>55841.140296346282</v>
      </c>
      <c r="M440" s="37">
        <v>119041.50172486332</v>
      </c>
      <c r="N440" s="37">
        <v>122161.60945377313</v>
      </c>
      <c r="O440" s="37">
        <v>252020.56163277419</v>
      </c>
      <c r="P440" s="68">
        <v>1</v>
      </c>
    </row>
    <row r="441" spans="1:16" x14ac:dyDescent="0.2">
      <c r="A441" s="10">
        <v>439</v>
      </c>
      <c r="B441" s="40">
        <v>0.14195352126993815</v>
      </c>
      <c r="C441" s="12">
        <v>3.2450973331946766</v>
      </c>
      <c r="D441" s="40">
        <v>0.68537112441655412</v>
      </c>
      <c r="E441" s="40">
        <v>3.7777839858878087E-2</v>
      </c>
      <c r="F441" s="37">
        <v>23.199254062112676</v>
      </c>
      <c r="G441" s="12">
        <v>24.24536902018831</v>
      </c>
      <c r="H441" s="37">
        <v>76181.403484141483</v>
      </c>
      <c r="I441" s="37">
        <v>37539.569365929259</v>
      </c>
      <c r="J441" s="37">
        <v>539364.59837797284</v>
      </c>
      <c r="K441" s="37">
        <v>80076.114045563852</v>
      </c>
      <c r="L441" s="37">
        <v>76751.793060087133</v>
      </c>
      <c r="M441" s="37">
        <v>336979.65191276028</v>
      </c>
      <c r="N441" s="37">
        <v>312349.93718911341</v>
      </c>
      <c r="O441" s="37">
        <v>1589112.5336841997</v>
      </c>
      <c r="P441" s="68">
        <v>1</v>
      </c>
    </row>
    <row r="442" spans="1:16" x14ac:dyDescent="0.2">
      <c r="A442" s="10">
        <v>440</v>
      </c>
      <c r="B442" s="40">
        <v>6.2267178787207243E-2</v>
      </c>
      <c r="C442" s="12">
        <v>2.0579110773668425</v>
      </c>
      <c r="D442" s="40">
        <v>0.69647484014688121</v>
      </c>
      <c r="E442" s="40">
        <v>1.6812367875625497E-2</v>
      </c>
      <c r="F442" s="37">
        <v>14.661517697942662</v>
      </c>
      <c r="G442" s="12">
        <v>11.130651119717953</v>
      </c>
      <c r="H442" s="37">
        <v>67891.35287876011</v>
      </c>
      <c r="I442" s="37">
        <v>54067.609895940775</v>
      </c>
      <c r="J442" s="37">
        <v>341793.53711744968</v>
      </c>
      <c r="K442" s="37">
        <v>134383.32942165097</v>
      </c>
      <c r="L442" s="37">
        <v>21696.019167304861</v>
      </c>
      <c r="M442" s="37">
        <v>96311.90600345553</v>
      </c>
      <c r="N442" s="37">
        <v>143394.73139068083</v>
      </c>
      <c r="O442" s="37">
        <v>355753.24735162919</v>
      </c>
      <c r="P442" s="68">
        <v>1</v>
      </c>
    </row>
    <row r="443" spans="1:16" x14ac:dyDescent="0.2">
      <c r="A443" s="10">
        <v>441</v>
      </c>
      <c r="B443" s="40">
        <v>7.3163073981553528E-2</v>
      </c>
      <c r="C443" s="12">
        <v>3.9438477989675356</v>
      </c>
      <c r="D443" s="40">
        <v>0.48050357177734992</v>
      </c>
      <c r="E443" s="40">
        <v>1.8599940129823189E-2</v>
      </c>
      <c r="F443" s="37">
        <v>12.98802659974799</v>
      </c>
      <c r="G443" s="12">
        <v>9.0004561995587782</v>
      </c>
      <c r="H443" s="37">
        <v>55501.027396027021</v>
      </c>
      <c r="I443" s="37">
        <v>21333.581064849292</v>
      </c>
      <c r="J443" s="37">
        <v>345459.59341441304</v>
      </c>
      <c r="K443" s="37">
        <v>125212.99857228408</v>
      </c>
      <c r="L443" s="37">
        <v>33705.249042615178</v>
      </c>
      <c r="M443" s="37">
        <v>65120.551208843797</v>
      </c>
      <c r="N443" s="37">
        <v>115951.70715960981</v>
      </c>
      <c r="O443" s="37">
        <v>120730.32720370567</v>
      </c>
      <c r="P443" s="68">
        <v>1</v>
      </c>
    </row>
    <row r="444" spans="1:16" x14ac:dyDescent="0.2">
      <c r="A444" s="10">
        <v>442</v>
      </c>
      <c r="B444" s="40">
        <v>0.16882483202275922</v>
      </c>
      <c r="C444" s="12">
        <v>2.2113322232024402</v>
      </c>
      <c r="D444" s="40">
        <v>0.79653154968473494</v>
      </c>
      <c r="E444" s="40">
        <v>2.3708896961477162E-2</v>
      </c>
      <c r="F444" s="37">
        <v>20.599880626892883</v>
      </c>
      <c r="G444" s="12">
        <v>11.162371502173174</v>
      </c>
      <c r="H444" s="37">
        <v>33944.147583419821</v>
      </c>
      <c r="I444" s="37">
        <v>35894.570831815989</v>
      </c>
      <c r="J444" s="37">
        <v>438606.87144782068</v>
      </c>
      <c r="K444" s="37">
        <v>168152.63307589339</v>
      </c>
      <c r="L444" s="37">
        <v>72290.650486323459</v>
      </c>
      <c r="M444" s="37">
        <v>218245.73593963747</v>
      </c>
      <c r="N444" s="37">
        <v>143803.38095420174</v>
      </c>
      <c r="O444" s="37">
        <v>502815.58407418919</v>
      </c>
      <c r="P444" s="68">
        <v>1</v>
      </c>
    </row>
    <row r="445" spans="1:16" x14ac:dyDescent="0.2">
      <c r="A445" s="10">
        <v>443</v>
      </c>
      <c r="B445" s="40">
        <v>0.16847386822468244</v>
      </c>
      <c r="C445" s="12">
        <v>6.4256991728468051</v>
      </c>
      <c r="D445" s="40">
        <v>0.5658905299205963</v>
      </c>
      <c r="E445" s="40">
        <v>3.3132604341376631E-2</v>
      </c>
      <c r="F445" s="37">
        <v>12.942685794783301</v>
      </c>
      <c r="G445" s="12">
        <v>8.1043327836628336</v>
      </c>
      <c r="H445" s="37">
        <v>172914.96320673966</v>
      </c>
      <c r="I445" s="37">
        <v>18467.677413798519</v>
      </c>
      <c r="J445" s="37">
        <v>356945.68221458246</v>
      </c>
      <c r="K445" s="37">
        <v>137198.21967332767</v>
      </c>
      <c r="L445" s="37">
        <v>148927.25779530912</v>
      </c>
      <c r="M445" s="37">
        <v>136137.92928455758</v>
      </c>
      <c r="N445" s="37">
        <v>104407.06568866641</v>
      </c>
      <c r="O445" s="37">
        <v>886019.26169658685</v>
      </c>
      <c r="P445" s="68">
        <v>1</v>
      </c>
    </row>
    <row r="446" spans="1:16" x14ac:dyDescent="0.2">
      <c r="A446" s="10">
        <v>444</v>
      </c>
      <c r="B446" s="40">
        <v>0.19763552914690397</v>
      </c>
      <c r="C446" s="12">
        <v>2.8600409874129396</v>
      </c>
      <c r="D446" s="40">
        <v>0.60186319208025996</v>
      </c>
      <c r="E446" s="40">
        <v>2.9828322968728879E-2</v>
      </c>
      <c r="F446" s="37">
        <v>15.156667576357936</v>
      </c>
      <c r="G446" s="12">
        <v>20.394140242331737</v>
      </c>
      <c r="H446" s="37">
        <v>131706.81513250235</v>
      </c>
      <c r="I446" s="37">
        <v>62649.386174489657</v>
      </c>
      <c r="J446" s="37">
        <v>278835.09709011891</v>
      </c>
      <c r="K446" s="37">
        <v>84330.827141784393</v>
      </c>
      <c r="L446" s="37">
        <v>82703.500456158363</v>
      </c>
      <c r="M446" s="37">
        <v>152650.09484293617</v>
      </c>
      <c r="N446" s="37">
        <v>262735.05750372825</v>
      </c>
      <c r="O446" s="37">
        <v>1424879.6494758371</v>
      </c>
      <c r="P446" s="68">
        <v>1</v>
      </c>
    </row>
    <row r="447" spans="1:16" x14ac:dyDescent="0.2">
      <c r="A447" s="10">
        <v>445</v>
      </c>
      <c r="B447" s="40">
        <v>0.16814244874961043</v>
      </c>
      <c r="C447" s="12">
        <v>6.0516870659191255</v>
      </c>
      <c r="D447" s="40">
        <v>0.74177254789097447</v>
      </c>
      <c r="E447" s="40">
        <v>2.1544052223189725E-2</v>
      </c>
      <c r="F447" s="37">
        <v>21.297880631403849</v>
      </c>
      <c r="G447" s="12">
        <v>14.788356961681163</v>
      </c>
      <c r="H447" s="37">
        <v>201586.55274895311</v>
      </c>
      <c r="I447" s="37">
        <v>48040.75758587016</v>
      </c>
      <c r="J447" s="37">
        <v>296184.08783619211</v>
      </c>
      <c r="K447" s="37">
        <v>176689.72218324078</v>
      </c>
      <c r="L447" s="37">
        <v>183490.4292235527</v>
      </c>
      <c r="M447" s="37">
        <v>190941.91341394972</v>
      </c>
      <c r="N447" s="37">
        <v>190516.48025093341</v>
      </c>
      <c r="O447" s="37">
        <v>1490942.0709558097</v>
      </c>
      <c r="P447" s="68">
        <v>1</v>
      </c>
    </row>
    <row r="448" spans="1:16" x14ac:dyDescent="0.2">
      <c r="A448" s="10">
        <v>446</v>
      </c>
      <c r="B448" s="40">
        <v>0.10131872296058891</v>
      </c>
      <c r="C448" s="12">
        <v>5.064584683805454</v>
      </c>
      <c r="D448" s="40">
        <v>0.30464673681975013</v>
      </c>
      <c r="E448" s="40">
        <v>2.4075998921528147E-2</v>
      </c>
      <c r="F448" s="37">
        <v>18.186078794872948</v>
      </c>
      <c r="G448" s="12">
        <v>8.9871479747365903</v>
      </c>
      <c r="H448" s="37">
        <v>196003.55277568623</v>
      </c>
      <c r="I448" s="37">
        <v>21625.22406650383</v>
      </c>
      <c r="J448" s="37">
        <v>302737.60885260801</v>
      </c>
      <c r="K448" s="37">
        <v>85058.885248833394</v>
      </c>
      <c r="L448" s="37">
        <v>38003.089515666179</v>
      </c>
      <c r="M448" s="37">
        <v>74831.878285246377</v>
      </c>
      <c r="N448" s="37">
        <v>115780.25902929479</v>
      </c>
      <c r="O448" s="37">
        <v>709171.97587852576</v>
      </c>
      <c r="P448" s="68">
        <v>1</v>
      </c>
    </row>
    <row r="449" spans="1:16" x14ac:dyDescent="0.2">
      <c r="A449" s="10">
        <v>447</v>
      </c>
      <c r="B449" s="40">
        <v>0.16298292766819683</v>
      </c>
      <c r="C449" s="12">
        <v>6.1354428673673187</v>
      </c>
      <c r="D449" s="40">
        <v>0.3789954352795365</v>
      </c>
      <c r="E449" s="40">
        <v>1.948483631489141E-2</v>
      </c>
      <c r="F449" s="37">
        <v>22.180238072513529</v>
      </c>
      <c r="G449" s="12">
        <v>15.36842561074935</v>
      </c>
      <c r="H449" s="37">
        <v>93885.97658088</v>
      </c>
      <c r="I449" s="37">
        <v>47321.737926327274</v>
      </c>
      <c r="J449" s="37">
        <v>235579.43407741701</v>
      </c>
      <c r="K449" s="37">
        <v>160632.48910289296</v>
      </c>
      <c r="L449" s="37">
        <v>92132.072341415187</v>
      </c>
      <c r="M449" s="37">
        <v>91889.031967970004</v>
      </c>
      <c r="N449" s="37">
        <v>197989.42924795448</v>
      </c>
      <c r="O449" s="37">
        <v>780254.23698219657</v>
      </c>
      <c r="P449" s="68">
        <v>1</v>
      </c>
    </row>
    <row r="450" spans="1:16" x14ac:dyDescent="0.2">
      <c r="A450" s="10">
        <v>448</v>
      </c>
      <c r="B450" s="40">
        <v>0.22394081105950647</v>
      </c>
      <c r="C450" s="12">
        <v>8.402001914013649</v>
      </c>
      <c r="D450" s="40">
        <v>0.78389558025869333</v>
      </c>
      <c r="E450" s="40">
        <v>1.8059898576758888E-2</v>
      </c>
      <c r="F450" s="37">
        <v>13.562589002623003</v>
      </c>
      <c r="G450" s="12">
        <v>19.543212428588291</v>
      </c>
      <c r="H450" s="37">
        <v>154071.75109358469</v>
      </c>
      <c r="I450" s="37">
        <v>35547.680804385105</v>
      </c>
      <c r="J450" s="37">
        <v>444695.22171609727</v>
      </c>
      <c r="K450" s="37">
        <v>75118.215434009937</v>
      </c>
      <c r="L450" s="37">
        <v>358561.01476374362</v>
      </c>
      <c r="M450" s="37">
        <v>107716.65437847408</v>
      </c>
      <c r="N450" s="37">
        <v>251772.66509988724</v>
      </c>
      <c r="O450" s="37">
        <v>1887811.9912590219</v>
      </c>
      <c r="P450" s="68">
        <v>1</v>
      </c>
    </row>
    <row r="451" spans="1:16" x14ac:dyDescent="0.2">
      <c r="A451" s="10">
        <v>449</v>
      </c>
      <c r="B451" s="40">
        <v>0.17019271824642013</v>
      </c>
      <c r="C451" s="12">
        <v>4.3519635945556638</v>
      </c>
      <c r="D451" s="40">
        <v>0.66599723288046486</v>
      </c>
      <c r="E451" s="40">
        <v>1.9752415305756568E-2</v>
      </c>
      <c r="F451" s="37">
        <v>15.755199428475995</v>
      </c>
      <c r="G451" s="12">
        <v>3.3850537448096341</v>
      </c>
      <c r="H451" s="37">
        <v>14362.924950813624</v>
      </c>
      <c r="I451" s="37">
        <v>39345.493456796459</v>
      </c>
      <c r="J451" s="37">
        <v>363541.8962572852</v>
      </c>
      <c r="K451" s="37">
        <v>141034.75204903109</v>
      </c>
      <c r="L451" s="37">
        <v>119918.8576340173</v>
      </c>
      <c r="M451" s="37">
        <v>116274.17582600842</v>
      </c>
      <c r="N451" s="37">
        <v>43609.207337395696</v>
      </c>
      <c r="O451" s="37">
        <v>175705.72316586832</v>
      </c>
      <c r="P451" s="68">
        <v>1</v>
      </c>
    </row>
    <row r="452" spans="1:16" x14ac:dyDescent="0.2">
      <c r="A452" s="10">
        <v>450</v>
      </c>
      <c r="B452" s="40">
        <v>0.20252802038544845</v>
      </c>
      <c r="C452" s="12">
        <v>5.575026978440917</v>
      </c>
      <c r="D452" s="40">
        <v>0.6725729544202943</v>
      </c>
      <c r="E452" s="40">
        <v>1.4907327835305351E-2</v>
      </c>
      <c r="F452" s="37">
        <v>23.272042043060736</v>
      </c>
      <c r="G452" s="12">
        <v>3.7438260177952012</v>
      </c>
      <c r="H452" s="37">
        <v>104402.64432281561</v>
      </c>
      <c r="I452" s="37">
        <v>24093.309360794236</v>
      </c>
      <c r="J452" s="37">
        <v>323280.75892300496</v>
      </c>
      <c r="K452" s="37">
        <v>184917.83009847003</v>
      </c>
      <c r="L452" s="37">
        <v>184612.16695708811</v>
      </c>
      <c r="M452" s="37">
        <v>130900.23511362867</v>
      </c>
      <c r="N452" s="37">
        <v>48231.223889873268</v>
      </c>
      <c r="O452" s="37">
        <v>537723.21964339539</v>
      </c>
      <c r="P452" s="68">
        <v>1</v>
      </c>
    </row>
    <row r="453" spans="1:16" x14ac:dyDescent="0.2">
      <c r="A453" s="10">
        <v>451</v>
      </c>
      <c r="B453" s="40">
        <v>0.20987231767391998</v>
      </c>
      <c r="C453" s="12">
        <v>3.6881229744837456</v>
      </c>
      <c r="D453" s="40">
        <v>0.57266578749433006</v>
      </c>
      <c r="E453" s="40">
        <v>3.8487037336188509E-2</v>
      </c>
      <c r="F453" s="37">
        <v>14.026932282700672</v>
      </c>
      <c r="G453" s="12">
        <v>27.617535615123966</v>
      </c>
      <c r="H453" s="37">
        <v>67216.938758512872</v>
      </c>
      <c r="I453" s="37">
        <v>39591.683873292568</v>
      </c>
      <c r="J453" s="37">
        <v>242956.02531899035</v>
      </c>
      <c r="K453" s="37">
        <v>135102.88805820921</v>
      </c>
      <c r="L453" s="37">
        <v>107758.27228467603</v>
      </c>
      <c r="M453" s="37">
        <v>173438.35730428531</v>
      </c>
      <c r="N453" s="37">
        <v>355793.12105001207</v>
      </c>
      <c r="O453" s="37">
        <v>1462387.7561677238</v>
      </c>
      <c r="P453" s="68">
        <v>1</v>
      </c>
    </row>
    <row r="454" spans="1:16" x14ac:dyDescent="0.2">
      <c r="A454" s="10">
        <v>452</v>
      </c>
      <c r="B454" s="40">
        <v>0.17122230329460814</v>
      </c>
      <c r="C454" s="12">
        <v>5.8097388841406694</v>
      </c>
      <c r="D454" s="40">
        <v>0.61297342214222561</v>
      </c>
      <c r="E454" s="40">
        <v>1.2658070448111295E-2</v>
      </c>
      <c r="F454" s="37">
        <v>16.758322291916443</v>
      </c>
      <c r="G454" s="12">
        <v>15.896260026031321</v>
      </c>
      <c r="H454" s="37">
        <v>128508.43515904664</v>
      </c>
      <c r="I454" s="37">
        <v>33818.05463412778</v>
      </c>
      <c r="J454" s="37">
        <v>307836.79984929122</v>
      </c>
      <c r="K454" s="37">
        <v>93636.220905504975</v>
      </c>
      <c r="L454" s="37">
        <v>148233.86162832534</v>
      </c>
      <c r="M454" s="37">
        <v>72946.829891127039</v>
      </c>
      <c r="N454" s="37">
        <v>204789.45140155815</v>
      </c>
      <c r="O454" s="37">
        <v>1078022.1028678829</v>
      </c>
      <c r="P454" s="68">
        <v>1</v>
      </c>
    </row>
    <row r="455" spans="1:16" x14ac:dyDescent="0.2">
      <c r="A455" s="10">
        <v>453</v>
      </c>
      <c r="B455" s="40">
        <v>0.1991642705019053</v>
      </c>
      <c r="C455" s="12">
        <v>4.7972715036108227</v>
      </c>
      <c r="D455" s="40">
        <v>0.3929297490797084</v>
      </c>
      <c r="E455" s="40">
        <v>2.6015665104554133E-2</v>
      </c>
      <c r="F455" s="37">
        <v>12.555244643902071</v>
      </c>
      <c r="G455" s="12">
        <v>10.426318655148195</v>
      </c>
      <c r="H455" s="37">
        <v>147368.44760699885</v>
      </c>
      <c r="I455" s="37">
        <v>2711.8304851205098</v>
      </c>
      <c r="J455" s="37">
        <v>409612.82360065973</v>
      </c>
      <c r="K455" s="37">
        <v>91625.187560399674</v>
      </c>
      <c r="L455" s="37">
        <v>91266.094957001871</v>
      </c>
      <c r="M455" s="37">
        <v>72001.535080226269</v>
      </c>
      <c r="N455" s="37">
        <v>134320.90781284904</v>
      </c>
      <c r="O455" s="37">
        <v>587892.17249246</v>
      </c>
      <c r="P455" s="68">
        <v>1</v>
      </c>
    </row>
    <row r="456" spans="1:16" x14ac:dyDescent="0.2">
      <c r="A456" s="10">
        <v>454</v>
      </c>
      <c r="B456" s="40">
        <v>0.15573045064794255</v>
      </c>
      <c r="C456" s="12">
        <v>5.9996045251754246</v>
      </c>
      <c r="D456" s="40">
        <v>0.68884252153474868</v>
      </c>
      <c r="E456" s="40">
        <v>2.4951177475316243E-2</v>
      </c>
      <c r="F456" s="37">
        <v>19.092159583537935</v>
      </c>
      <c r="G456" s="12">
        <v>21.569876162372218</v>
      </c>
      <c r="H456" s="37">
        <v>162663.09685363842</v>
      </c>
      <c r="I456" s="37">
        <v>9043.0231554411348</v>
      </c>
      <c r="J456" s="37">
        <v>360554.63404423656</v>
      </c>
      <c r="K456" s="37">
        <v>118371.42465151186</v>
      </c>
      <c r="L456" s="37">
        <v>156460.58212062551</v>
      </c>
      <c r="M456" s="37">
        <v>184091.09496147235</v>
      </c>
      <c r="N456" s="37">
        <v>277881.91051594017</v>
      </c>
      <c r="O456" s="37">
        <v>1521496.2300890547</v>
      </c>
      <c r="P456" s="68">
        <v>1</v>
      </c>
    </row>
    <row r="457" spans="1:16" x14ac:dyDescent="0.2">
      <c r="A457" s="10">
        <v>455</v>
      </c>
      <c r="B457" s="40">
        <v>0.14898753085572475</v>
      </c>
      <c r="C457" s="12">
        <v>5.0007730964850774</v>
      </c>
      <c r="D457" s="40">
        <v>0.68794558039252296</v>
      </c>
      <c r="E457" s="40">
        <v>4.0651610220643654E-3</v>
      </c>
      <c r="F457" s="37">
        <v>15.257307992525215</v>
      </c>
      <c r="G457" s="12">
        <v>7.4426623097687479</v>
      </c>
      <c r="H457" s="37">
        <v>173610.20400893228</v>
      </c>
      <c r="I457" s="37">
        <v>27713.586767150347</v>
      </c>
      <c r="J457" s="37">
        <v>297937.59127179533</v>
      </c>
      <c r="K457" s="37">
        <v>68687.409847985691</v>
      </c>
      <c r="L457" s="37">
        <v>124603.42690214727</v>
      </c>
      <c r="M457" s="37">
        <v>23937.3727654297</v>
      </c>
      <c r="N457" s="37">
        <v>95882.850990650521</v>
      </c>
      <c r="O457" s="37">
        <v>758447.73724492104</v>
      </c>
      <c r="P457" s="68">
        <v>1</v>
      </c>
    </row>
    <row r="458" spans="1:16" x14ac:dyDescent="0.2">
      <c r="A458" s="10">
        <v>456</v>
      </c>
      <c r="B458" s="40">
        <v>0.19969786757067987</v>
      </c>
      <c r="C458" s="12">
        <v>2.3747607296815243</v>
      </c>
      <c r="D458" s="40">
        <v>0.80115038224229473</v>
      </c>
      <c r="E458" s="40">
        <v>2.5228943720601322E-2</v>
      </c>
      <c r="F458" s="37">
        <v>20.459533183283241</v>
      </c>
      <c r="G458" s="12">
        <v>14.140188982697401</v>
      </c>
      <c r="H458" s="37">
        <v>117505.56458339689</v>
      </c>
      <c r="I458" s="37">
        <v>25475.702076271064</v>
      </c>
      <c r="J458" s="37">
        <v>282257.59011417005</v>
      </c>
      <c r="K458" s="37">
        <v>113079.97440476481</v>
      </c>
      <c r="L458" s="37">
        <v>92362.602120209733</v>
      </c>
      <c r="M458" s="37">
        <v>231993.36513706605</v>
      </c>
      <c r="N458" s="37">
        <v>182166.21643952289</v>
      </c>
      <c r="O458" s="37">
        <v>1220606.2575423629</v>
      </c>
      <c r="P458" s="68">
        <v>1</v>
      </c>
    </row>
    <row r="459" spans="1:16" x14ac:dyDescent="0.2">
      <c r="A459" s="10">
        <v>457</v>
      </c>
      <c r="B459" s="40">
        <v>6.2506788018029905E-2</v>
      </c>
      <c r="C459" s="12">
        <v>2.8935994249583805</v>
      </c>
      <c r="D459" s="40">
        <v>0.6143872739680496</v>
      </c>
      <c r="E459" s="40">
        <v>1.0177947549061791E-2</v>
      </c>
      <c r="F459" s="37">
        <v>8.4687760437537243</v>
      </c>
      <c r="G459" s="12">
        <v>19.312604294739838</v>
      </c>
      <c r="H459" s="37">
        <v>134430.32542061654</v>
      </c>
      <c r="I459" s="37">
        <v>54884.485118103512</v>
      </c>
      <c r="J459" s="37">
        <v>468659.64894834417</v>
      </c>
      <c r="K459" s="37">
        <v>110957.79672732399</v>
      </c>
      <c r="L459" s="37">
        <v>27014.481301167052</v>
      </c>
      <c r="M459" s="37">
        <v>29709.120820378394</v>
      </c>
      <c r="N459" s="37">
        <v>248801.77049057503</v>
      </c>
      <c r="O459" s="37">
        <v>606839.44117716479</v>
      </c>
      <c r="P459" s="68">
        <v>1</v>
      </c>
    </row>
    <row r="460" spans="1:16" x14ac:dyDescent="0.2">
      <c r="A460" s="10">
        <v>458</v>
      </c>
      <c r="B460" s="40">
        <v>0.20885479682843253</v>
      </c>
      <c r="C460" s="12">
        <v>3.9307134038397451</v>
      </c>
      <c r="D460" s="40">
        <v>0.57964108761558886</v>
      </c>
      <c r="E460" s="40">
        <v>3.6294113940566169E-2</v>
      </c>
      <c r="F460" s="37">
        <v>10.665507879699268</v>
      </c>
      <c r="G460" s="12">
        <v>9.4371984467824728</v>
      </c>
      <c r="H460" s="37">
        <v>77782.513169003767</v>
      </c>
      <c r="I460" s="37">
        <v>43453.522133894781</v>
      </c>
      <c r="J460" s="37">
        <v>396050.05782866688</v>
      </c>
      <c r="K460" s="37">
        <v>99549.453355714373</v>
      </c>
      <c r="L460" s="37">
        <v>115681.47732410405</v>
      </c>
      <c r="M460" s="37">
        <v>125876.20291171948</v>
      </c>
      <c r="N460" s="37">
        <v>121578.20075410053</v>
      </c>
      <c r="O460" s="37">
        <v>682082.78542220895</v>
      </c>
      <c r="P460" s="68">
        <v>1</v>
      </c>
    </row>
    <row r="461" spans="1:16" x14ac:dyDescent="0.2">
      <c r="A461" s="10">
        <v>459</v>
      </c>
      <c r="B461" s="40">
        <v>0.11459806192446523</v>
      </c>
      <c r="C461" s="12">
        <v>6.2654651775604311</v>
      </c>
      <c r="D461" s="40">
        <v>0.42322306854477743</v>
      </c>
      <c r="E461" s="40">
        <v>1.2200722102745306E-2</v>
      </c>
      <c r="F461" s="37">
        <v>21.953311696623146</v>
      </c>
      <c r="G461" s="12">
        <v>15.551364583135495</v>
      </c>
      <c r="H461" s="37">
        <v>38787.502315119578</v>
      </c>
      <c r="I461" s="37">
        <v>54652.063796680653</v>
      </c>
      <c r="J461" s="37">
        <v>329581.61212677142</v>
      </c>
      <c r="K461" s="37">
        <v>172407.07331921443</v>
      </c>
      <c r="L461" s="37">
        <v>73873.513456752829</v>
      </c>
      <c r="M461" s="37">
        <v>63594.805371808659</v>
      </c>
      <c r="N461" s="37">
        <v>200346.20824713877</v>
      </c>
      <c r="O461" s="37">
        <v>395613.7711355096</v>
      </c>
      <c r="P461" s="68">
        <v>1</v>
      </c>
    </row>
    <row r="462" spans="1:16" x14ac:dyDescent="0.2">
      <c r="A462" s="10">
        <v>460</v>
      </c>
      <c r="B462" s="40">
        <v>5.2787540066192351E-2</v>
      </c>
      <c r="C462" s="12">
        <v>1.9424699449402945</v>
      </c>
      <c r="D462" s="40">
        <v>0.30005925093006591</v>
      </c>
      <c r="E462" s="40">
        <v>2.3850691873528118E-2</v>
      </c>
      <c r="F462" s="37">
        <v>12.648907790698932</v>
      </c>
      <c r="G462" s="12">
        <v>12.598905435990886</v>
      </c>
      <c r="H462" s="37">
        <v>57162.445564741785</v>
      </c>
      <c r="I462" s="37">
        <v>34735.136943482641</v>
      </c>
      <c r="J462" s="37">
        <v>338138.37965882797</v>
      </c>
      <c r="K462" s="37">
        <v>100244.27761338069</v>
      </c>
      <c r="L462" s="37">
        <v>7479.655271884686</v>
      </c>
      <c r="M462" s="37">
        <v>50784.100103564924</v>
      </c>
      <c r="N462" s="37">
        <v>162310.06087416393</v>
      </c>
      <c r="O462" s="37">
        <v>256444.97129232518</v>
      </c>
      <c r="P462" s="68">
        <v>1</v>
      </c>
    </row>
    <row r="463" spans="1:16" x14ac:dyDescent="0.2">
      <c r="A463" s="10">
        <v>461</v>
      </c>
      <c r="B463" s="40">
        <v>0.12229212325085771</v>
      </c>
      <c r="C463" s="12">
        <v>3.1235253530770697</v>
      </c>
      <c r="D463" s="40">
        <v>0.52250571020705738</v>
      </c>
      <c r="E463" s="40">
        <v>2.4621547697737299E-2</v>
      </c>
      <c r="F463" s="37">
        <v>11.65579591955083</v>
      </c>
      <c r="G463" s="12">
        <v>15.858432783637287</v>
      </c>
      <c r="H463" s="37">
        <v>180684.77176351217</v>
      </c>
      <c r="I463" s="37">
        <v>62903.737925689995</v>
      </c>
      <c r="J463" s="37">
        <v>294900.41450499126</v>
      </c>
      <c r="K463" s="37">
        <v>144676.77600399498</v>
      </c>
      <c r="L463" s="37">
        <v>48520.290372568568</v>
      </c>
      <c r="M463" s="37">
        <v>84123.05900214256</v>
      </c>
      <c r="N463" s="37">
        <v>204302.12795533729</v>
      </c>
      <c r="O463" s="37">
        <v>926213.26627323416</v>
      </c>
      <c r="P463" s="68">
        <v>1</v>
      </c>
    </row>
    <row r="464" spans="1:16" x14ac:dyDescent="0.2">
      <c r="A464" s="10">
        <v>462</v>
      </c>
      <c r="B464" s="40">
        <v>6.9242052120991771E-2</v>
      </c>
      <c r="C464" s="12">
        <v>5.891487653835318</v>
      </c>
      <c r="D464" s="40">
        <v>0.30536537646787243</v>
      </c>
      <c r="E464" s="40">
        <v>1.8416567244860647E-2</v>
      </c>
      <c r="F464" s="37">
        <v>9.5729247656616483</v>
      </c>
      <c r="G464" s="12">
        <v>4.9423094219468009</v>
      </c>
      <c r="H464" s="37">
        <v>73119.254779274226</v>
      </c>
      <c r="I464" s="37">
        <v>25549.740899955566</v>
      </c>
      <c r="J464" s="37">
        <v>228465.98622032913</v>
      </c>
      <c r="K464" s="37">
        <v>126979.21972568682</v>
      </c>
      <c r="L464" s="37">
        <v>30283.322773777414</v>
      </c>
      <c r="M464" s="37">
        <v>30202.288679653553</v>
      </c>
      <c r="N464" s="37">
        <v>63671.129782715783</v>
      </c>
      <c r="O464" s="37">
        <v>40061.160830081673</v>
      </c>
      <c r="P464" s="68">
        <v>1</v>
      </c>
    </row>
    <row r="465" spans="1:16" x14ac:dyDescent="0.2">
      <c r="A465" s="10">
        <v>463</v>
      </c>
      <c r="B465" s="40">
        <v>0.17931551138131385</v>
      </c>
      <c r="C465" s="12">
        <v>7.0933062232057518</v>
      </c>
      <c r="D465" s="40">
        <v>0.56651368043605277</v>
      </c>
      <c r="E465" s="40">
        <v>2.9741054600490664E-2</v>
      </c>
      <c r="F465" s="37">
        <v>24.427030565623916</v>
      </c>
      <c r="G465" s="12">
        <v>14.552620213840468</v>
      </c>
      <c r="H465" s="37">
        <v>201734.83984284248</v>
      </c>
      <c r="I465" s="37">
        <v>69593.955448170484</v>
      </c>
      <c r="J465" s="37">
        <v>539287.96825234592</v>
      </c>
      <c r="K465" s="37">
        <v>170122.59796658848</v>
      </c>
      <c r="L465" s="37">
        <v>175172.44815060476</v>
      </c>
      <c r="M465" s="37">
        <v>230889.49505443417</v>
      </c>
      <c r="N465" s="37">
        <v>187479.51437427895</v>
      </c>
      <c r="O465" s="37">
        <v>1407142.7541290149</v>
      </c>
      <c r="P465" s="68">
        <v>1</v>
      </c>
    </row>
    <row r="466" spans="1:16" x14ac:dyDescent="0.2">
      <c r="A466" s="10">
        <v>464</v>
      </c>
      <c r="B466" s="40">
        <v>0.13238103064108522</v>
      </c>
      <c r="C466" s="12">
        <v>4.2666494486918509</v>
      </c>
      <c r="D466" s="40">
        <v>0.50121718626809164</v>
      </c>
      <c r="E466" s="40">
        <v>2.3896447646083056E-2</v>
      </c>
      <c r="F466" s="37">
        <v>17.494258362834216</v>
      </c>
      <c r="G466" s="12">
        <v>21.306447013104552</v>
      </c>
      <c r="H466" s="37">
        <v>82518.326247005025</v>
      </c>
      <c r="I466" s="37">
        <v>57953.523233588247</v>
      </c>
      <c r="J466" s="37">
        <v>317692.43871661578</v>
      </c>
      <c r="K466" s="37">
        <v>148531.33464444551</v>
      </c>
      <c r="L466" s="37">
        <v>68822.034018892184</v>
      </c>
      <c r="M466" s="37">
        <v>117549.71144333051</v>
      </c>
      <c r="N466" s="37">
        <v>274488.18703171425</v>
      </c>
      <c r="O466" s="37">
        <v>950890.039497594</v>
      </c>
      <c r="P466" s="68">
        <v>1</v>
      </c>
    </row>
    <row r="467" spans="1:16" x14ac:dyDescent="0.2">
      <c r="A467" s="10">
        <v>465</v>
      </c>
      <c r="B467" s="40">
        <v>0.17557328530043276</v>
      </c>
      <c r="C467" s="12">
        <v>9.1203138182317858</v>
      </c>
      <c r="D467" s="40">
        <v>0.61977745189860844</v>
      </c>
      <c r="E467" s="40">
        <v>1.2706585074809653E-2</v>
      </c>
      <c r="F467" s="37">
        <v>13.860028421194329</v>
      </c>
      <c r="G467" s="12">
        <v>15.164935203531373</v>
      </c>
      <c r="H467" s="37">
        <v>156221.21388510842</v>
      </c>
      <c r="I467" s="37">
        <v>36306.026858858808</v>
      </c>
      <c r="J467" s="37">
        <v>339969.29298642324</v>
      </c>
      <c r="K467" s="37">
        <v>143197.31784234307</v>
      </c>
      <c r="L467" s="37">
        <v>241264.16420260174</v>
      </c>
      <c r="M467" s="37">
        <v>61234.400941884371</v>
      </c>
      <c r="N467" s="37">
        <v>195367.88878551821</v>
      </c>
      <c r="O467" s="37">
        <v>1193076.3121670294</v>
      </c>
      <c r="P467" s="68">
        <v>1</v>
      </c>
    </row>
    <row r="468" spans="1:16" x14ac:dyDescent="0.2">
      <c r="A468" s="10">
        <v>466</v>
      </c>
      <c r="B468" s="40">
        <v>8.2794405119397951E-2</v>
      </c>
      <c r="C468" s="12">
        <v>7.1304991800766402</v>
      </c>
      <c r="D468" s="40">
        <v>0.61123253741408301</v>
      </c>
      <c r="E468" s="40">
        <v>8.5414303703985235E-3</v>
      </c>
      <c r="F468" s="37">
        <v>13.111919715363555</v>
      </c>
      <c r="G468" s="12">
        <v>22.452981383236132</v>
      </c>
      <c r="H468" s="37">
        <v>129775.23747484256</v>
      </c>
      <c r="I468" s="37">
        <v>35811.775127787951</v>
      </c>
      <c r="J468" s="37">
        <v>449615.53789914231</v>
      </c>
      <c r="K468" s="37">
        <v>167279.94430802981</v>
      </c>
      <c r="L468" s="37">
        <v>87723.554087319251</v>
      </c>
      <c r="M468" s="37">
        <v>38403.436001479095</v>
      </c>
      <c r="N468" s="37">
        <v>289258.84027265129</v>
      </c>
      <c r="O468" s="37">
        <v>709401.78571701213</v>
      </c>
      <c r="P468" s="68">
        <v>1</v>
      </c>
    </row>
    <row r="469" spans="1:16" x14ac:dyDescent="0.2">
      <c r="A469" s="10">
        <v>467</v>
      </c>
      <c r="B469" s="40">
        <v>0.13330071011229983</v>
      </c>
      <c r="C469" s="12">
        <v>7.5974089880256379</v>
      </c>
      <c r="D469" s="40">
        <v>0.53342098721112552</v>
      </c>
      <c r="E469" s="40">
        <v>1.7677629614670974E-2</v>
      </c>
      <c r="F469" s="37">
        <v>22.201522869531981</v>
      </c>
      <c r="G469" s="12">
        <v>1.5129910343404946</v>
      </c>
      <c r="H469" s="37">
        <v>158024.68653885258</v>
      </c>
      <c r="I469" s="37">
        <v>33976.231717183662</v>
      </c>
      <c r="J469" s="37">
        <v>492192.77750946162</v>
      </c>
      <c r="K469" s="37">
        <v>187588.97040614125</v>
      </c>
      <c r="L469" s="37">
        <v>131327.86910066745</v>
      </c>
      <c r="M469" s="37">
        <v>117447.45923763727</v>
      </c>
      <c r="N469" s="37">
        <v>19491.666806574129</v>
      </c>
      <c r="O469" s="37">
        <v>271754.63310114248</v>
      </c>
      <c r="P469" s="68">
        <v>1</v>
      </c>
    </row>
    <row r="470" spans="1:16" x14ac:dyDescent="0.2">
      <c r="A470" s="10">
        <v>468</v>
      </c>
      <c r="B470" s="40">
        <v>0.19745846471300804</v>
      </c>
      <c r="C470" s="12">
        <v>5.9871466071750987</v>
      </c>
      <c r="D470" s="40">
        <v>0.77863182986406632</v>
      </c>
      <c r="E470" s="40">
        <v>2.3552644237537057E-2</v>
      </c>
      <c r="F470" s="37">
        <v>18.537333909776816</v>
      </c>
      <c r="G470" s="12">
        <v>18.377664276043756</v>
      </c>
      <c r="H470" s="37">
        <v>153840.42371259865</v>
      </c>
      <c r="I470" s="37">
        <v>38112.442471315844</v>
      </c>
      <c r="J470" s="37">
        <v>390879.07345687848</v>
      </c>
      <c r="K470" s="37">
        <v>189799.09467606287</v>
      </c>
      <c r="L470" s="37">
        <v>223777.61027320824</v>
      </c>
      <c r="M470" s="37">
        <v>190715.42950260107</v>
      </c>
      <c r="N470" s="37">
        <v>236757.05977191584</v>
      </c>
      <c r="O470" s="37">
        <v>1439721.3751645612</v>
      </c>
      <c r="P470" s="68">
        <v>1</v>
      </c>
    </row>
    <row r="471" spans="1:16" x14ac:dyDescent="0.2">
      <c r="A471" s="10">
        <v>469</v>
      </c>
      <c r="B471" s="40">
        <v>0.126628313066382</v>
      </c>
      <c r="C471" s="12">
        <v>2.6629149892555146</v>
      </c>
      <c r="D471" s="40">
        <v>0.47854283151476429</v>
      </c>
      <c r="E471" s="40">
        <v>3.7056175123573551E-2</v>
      </c>
      <c r="F471" s="37">
        <v>17.777752363525501</v>
      </c>
      <c r="G471" s="12">
        <v>12.767255820049343</v>
      </c>
      <c r="H471" s="37">
        <v>64103.577766569972</v>
      </c>
      <c r="I471" s="37">
        <v>63062.512455869248</v>
      </c>
      <c r="J471" s="37">
        <v>491602.28265790292</v>
      </c>
      <c r="K471" s="37">
        <v>123267.25226332391</v>
      </c>
      <c r="L471" s="37">
        <v>39228.144649521302</v>
      </c>
      <c r="M471" s="37">
        <v>176858.11400380539</v>
      </c>
      <c r="N471" s="37">
        <v>164478.8969864391</v>
      </c>
      <c r="O471" s="37">
        <v>585526.25963847211</v>
      </c>
      <c r="P471" s="68">
        <v>1</v>
      </c>
    </row>
    <row r="472" spans="1:16" x14ac:dyDescent="0.2">
      <c r="A472" s="10">
        <v>470</v>
      </c>
      <c r="B472" s="40">
        <v>0.2102664513091706</v>
      </c>
      <c r="C472" s="12">
        <v>5.5514242203926525</v>
      </c>
      <c r="D472" s="40">
        <v>0.28153527032377684</v>
      </c>
      <c r="E472" s="40">
        <v>1.5574105148434547E-2</v>
      </c>
      <c r="F472" s="37">
        <v>10.357483221863271</v>
      </c>
      <c r="G472" s="12">
        <v>17.734539911499908</v>
      </c>
      <c r="H472" s="37">
        <v>58839.78655752253</v>
      </c>
      <c r="I472" s="37">
        <v>76092.074717637326</v>
      </c>
      <c r="J472" s="37">
        <v>475104.46931247594</v>
      </c>
      <c r="K472" s="37">
        <v>97036.25287148288</v>
      </c>
      <c r="L472" s="37">
        <v>79890.665867400327</v>
      </c>
      <c r="M472" s="37">
        <v>25477.50428385906</v>
      </c>
      <c r="N472" s="37">
        <v>228471.77218966483</v>
      </c>
      <c r="O472" s="37">
        <v>566363.59677390254</v>
      </c>
      <c r="P472" s="68">
        <v>1</v>
      </c>
    </row>
    <row r="473" spans="1:16" x14ac:dyDescent="0.2">
      <c r="A473" s="10">
        <v>471</v>
      </c>
      <c r="B473" s="40">
        <v>0.17821520676831759</v>
      </c>
      <c r="C473" s="12">
        <v>9.6512793923982461</v>
      </c>
      <c r="D473" s="40">
        <v>0.29120417167617568</v>
      </c>
      <c r="E473" s="40">
        <v>1.064580585875724E-2</v>
      </c>
      <c r="F473" s="37">
        <v>19.476063364887317</v>
      </c>
      <c r="G473" s="12">
        <v>25.227162151603032</v>
      </c>
      <c r="H473" s="37">
        <v>205770.89089370181</v>
      </c>
      <c r="I473" s="37">
        <v>21548.488899339951</v>
      </c>
      <c r="J473" s="37">
        <v>392963.66409155348</v>
      </c>
      <c r="K473" s="37">
        <v>119454.3259242698</v>
      </c>
      <c r="L473" s="37">
        <v>121763.20437254749</v>
      </c>
      <c r="M473" s="37">
        <v>33872.24991275042</v>
      </c>
      <c r="N473" s="37">
        <v>324998.25046802219</v>
      </c>
      <c r="O473" s="37">
        <v>1255796.2212858766</v>
      </c>
      <c r="P473" s="68">
        <v>1</v>
      </c>
    </row>
    <row r="474" spans="1:16" x14ac:dyDescent="0.2">
      <c r="A474" s="10">
        <v>472</v>
      </c>
      <c r="B474" s="40">
        <v>0.10629699386774076</v>
      </c>
      <c r="C474" s="12">
        <v>5.1833794762952801</v>
      </c>
      <c r="D474" s="40">
        <v>0.5255913472492314</v>
      </c>
      <c r="E474" s="40">
        <v>2.3962163606473873E-2</v>
      </c>
      <c r="F474" s="37">
        <v>18.204297910944398</v>
      </c>
      <c r="G474" s="12">
        <v>9.7298231956876062</v>
      </c>
      <c r="H474" s="37">
        <v>45616.38840494203</v>
      </c>
      <c r="I474" s="37">
        <v>33654.008602961578</v>
      </c>
      <c r="J474" s="37">
        <v>266025.23215832864</v>
      </c>
      <c r="K474" s="37">
        <v>114359.24854230945</v>
      </c>
      <c r="L474" s="37">
        <v>70399.734914411296</v>
      </c>
      <c r="M474" s="37">
        <v>128621.89445608013</v>
      </c>
      <c r="N474" s="37">
        <v>125348.047353028</v>
      </c>
      <c r="O474" s="37">
        <v>544434.62556070939</v>
      </c>
      <c r="P474" s="68">
        <v>1</v>
      </c>
    </row>
    <row r="475" spans="1:16" x14ac:dyDescent="0.2">
      <c r="A475" s="10">
        <v>473</v>
      </c>
      <c r="B475" s="40">
        <v>0.10741679764168154</v>
      </c>
      <c r="C475" s="12">
        <v>5.4737966556507258</v>
      </c>
      <c r="D475" s="40">
        <v>0.76367539348399516</v>
      </c>
      <c r="E475" s="40">
        <v>2.2432526707088445E-2</v>
      </c>
      <c r="F475" s="37">
        <v>14.332052433340374</v>
      </c>
      <c r="G475" s="12">
        <v>10.848009442723587</v>
      </c>
      <c r="H475" s="37">
        <v>38573.452551583752</v>
      </c>
      <c r="I475" s="37">
        <v>51757.952449652745</v>
      </c>
      <c r="J475" s="37">
        <v>327373.86292974139</v>
      </c>
      <c r="K475" s="37">
        <v>183304.05965807772</v>
      </c>
      <c r="L475" s="37">
        <v>109158.73336565285</v>
      </c>
      <c r="M475" s="37">
        <v>137740.64461904962</v>
      </c>
      <c r="N475" s="37">
        <v>139753.49540938041</v>
      </c>
      <c r="O475" s="37">
        <v>495411.4984473252</v>
      </c>
      <c r="P475" s="68">
        <v>1</v>
      </c>
    </row>
    <row r="476" spans="1:16" x14ac:dyDescent="0.2">
      <c r="A476" s="10">
        <v>474</v>
      </c>
      <c r="B476" s="40">
        <v>0.15818586709888252</v>
      </c>
      <c r="C476" s="12">
        <v>2.9510981122646518</v>
      </c>
      <c r="D476" s="40">
        <v>0.51309787656660033</v>
      </c>
      <c r="E476" s="40">
        <v>2.1471832647844073E-2</v>
      </c>
      <c r="F476" s="37">
        <v>21.863758913353848</v>
      </c>
      <c r="G476" s="12">
        <v>8.6748451531789303</v>
      </c>
      <c r="H476" s="37">
        <v>80047.931618964067</v>
      </c>
      <c r="I476" s="37">
        <v>56969.669376006408</v>
      </c>
      <c r="J476" s="37">
        <v>354117.90892506146</v>
      </c>
      <c r="K476" s="37">
        <v>95682.378596316586</v>
      </c>
      <c r="L476" s="37">
        <v>58229.139823602731</v>
      </c>
      <c r="M476" s="37">
        <v>135132.83645280253</v>
      </c>
      <c r="N476" s="37">
        <v>111756.90237853426</v>
      </c>
      <c r="O476" s="37">
        <v>616520.7127758814</v>
      </c>
      <c r="P476" s="68">
        <v>1</v>
      </c>
    </row>
    <row r="477" spans="1:16" x14ac:dyDescent="0.2">
      <c r="A477" s="10">
        <v>475</v>
      </c>
      <c r="B477" s="40">
        <v>0.14295397933552662</v>
      </c>
      <c r="C477" s="12">
        <v>7.0860166055447138</v>
      </c>
      <c r="D477" s="40">
        <v>0.57602460399637523</v>
      </c>
      <c r="E477" s="40">
        <v>1.2502512307963991E-2</v>
      </c>
      <c r="F477" s="37">
        <v>21.205326859595992</v>
      </c>
      <c r="G477" s="12">
        <v>11.789601435734397</v>
      </c>
      <c r="H477" s="37">
        <v>37484.899895287992</v>
      </c>
      <c r="I477" s="37">
        <v>68126.482704355672</v>
      </c>
      <c r="J477" s="37">
        <v>519059.55060142337</v>
      </c>
      <c r="K477" s="37">
        <v>100226.0502492028</v>
      </c>
      <c r="L477" s="37">
        <v>141849.65321691192</v>
      </c>
      <c r="M477" s="37">
        <v>85674.194084559174</v>
      </c>
      <c r="N477" s="37">
        <v>151883.90264837962</v>
      </c>
      <c r="O477" s="37">
        <v>558990.97877082403</v>
      </c>
      <c r="P477" s="68">
        <v>1</v>
      </c>
    </row>
    <row r="478" spans="1:16" x14ac:dyDescent="0.2">
      <c r="A478" s="10">
        <v>476</v>
      </c>
      <c r="B478" s="40">
        <v>0.14701433966178939</v>
      </c>
      <c r="C478" s="12">
        <v>4.3157174817678587</v>
      </c>
      <c r="D478" s="40">
        <v>0.6165099380208261</v>
      </c>
      <c r="E478" s="40">
        <v>1.7028232058968192E-2</v>
      </c>
      <c r="F478" s="37">
        <v>16.682225423061652</v>
      </c>
      <c r="G478" s="12">
        <v>6.4768320710281229</v>
      </c>
      <c r="H478" s="37">
        <v>102975.77736388767</v>
      </c>
      <c r="I478" s="37">
        <v>35844.317960881053</v>
      </c>
      <c r="J478" s="37">
        <v>257513.59023748775</v>
      </c>
      <c r="K478" s="37">
        <v>153102.61993079871</v>
      </c>
      <c r="L478" s="37">
        <v>95091.4819520288</v>
      </c>
      <c r="M478" s="37">
        <v>98249.502325733862</v>
      </c>
      <c r="N478" s="37">
        <v>83440.185582886086</v>
      </c>
      <c r="O478" s="37">
        <v>477912.32174758636</v>
      </c>
      <c r="P478" s="68">
        <v>1</v>
      </c>
    </row>
    <row r="479" spans="1:16" x14ac:dyDescent="0.2">
      <c r="A479" s="10">
        <v>477</v>
      </c>
      <c r="B479" s="40">
        <v>7.2432757778170903E-2</v>
      </c>
      <c r="C479" s="12">
        <v>4.3195598084811699</v>
      </c>
      <c r="D479" s="40">
        <v>0.55245780630283781</v>
      </c>
      <c r="E479" s="40">
        <v>6.1317448604067256E-3</v>
      </c>
      <c r="F479" s="37">
        <v>16.937689408280818</v>
      </c>
      <c r="G479" s="12">
        <v>5.4361246116337503</v>
      </c>
      <c r="H479" s="37">
        <v>146327.65214919893</v>
      </c>
      <c r="I479" s="37">
        <v>18657.587677311632</v>
      </c>
      <c r="J479" s="37">
        <v>326764.76648384106</v>
      </c>
      <c r="K479" s="37">
        <v>200634.70258995716</v>
      </c>
      <c r="L479" s="37">
        <v>42020.620043026196</v>
      </c>
      <c r="M479" s="37">
        <v>32188.748163711669</v>
      </c>
      <c r="N479" s="37">
        <v>70032.88667547809</v>
      </c>
      <c r="O479" s="37">
        <v>-22527.184223228018</v>
      </c>
      <c r="P479" s="68">
        <v>0</v>
      </c>
    </row>
    <row r="480" spans="1:16" x14ac:dyDescent="0.2">
      <c r="A480" s="10">
        <v>478</v>
      </c>
      <c r="B480" s="40">
        <v>0.21990375536087647</v>
      </c>
      <c r="C480" s="12">
        <v>6.7351973103111931</v>
      </c>
      <c r="D480" s="40">
        <v>0.66975939067989509</v>
      </c>
      <c r="E480" s="40">
        <v>1.9925919692293612E-2</v>
      </c>
      <c r="F480" s="37">
        <v>18.262533241253237</v>
      </c>
      <c r="G480" s="12">
        <v>17.72519030952148</v>
      </c>
      <c r="H480" s="37">
        <v>94343.173520643933</v>
      </c>
      <c r="I480" s="37">
        <v>48673.352528260439</v>
      </c>
      <c r="J480" s="37">
        <v>294092.16699702054</v>
      </c>
      <c r="K480" s="37">
        <v>102826.1304558042</v>
      </c>
      <c r="L480" s="37">
        <v>241151.85677780249</v>
      </c>
      <c r="M480" s="37">
        <v>136730.35412242726</v>
      </c>
      <c r="N480" s="37">
        <v>228351.32248282499</v>
      </c>
      <c r="O480" s="37">
        <v>1516953.0177700755</v>
      </c>
      <c r="P480" s="68">
        <v>1</v>
      </c>
    </row>
    <row r="481" spans="1:16" x14ac:dyDescent="0.2">
      <c r="A481" s="10">
        <v>479</v>
      </c>
      <c r="B481" s="40">
        <v>0.17551364769959132</v>
      </c>
      <c r="C481" s="12">
        <v>7.4295210775461156</v>
      </c>
      <c r="D481" s="40">
        <v>0.67122323084688684</v>
      </c>
      <c r="E481" s="40">
        <v>1.1363129894659391E-2</v>
      </c>
      <c r="F481" s="37">
        <v>8.9124663536482061</v>
      </c>
      <c r="G481" s="12">
        <v>14.887232659334421</v>
      </c>
      <c r="H481" s="37">
        <v>203459.51193896236</v>
      </c>
      <c r="I481" s="37">
        <v>34012.474887734919</v>
      </c>
      <c r="J481" s="37">
        <v>510921.26994665031</v>
      </c>
      <c r="K481" s="37">
        <v>100089.13566193865</v>
      </c>
      <c r="L481" s="37">
        <v>212778.3906713714</v>
      </c>
      <c r="M481" s="37">
        <v>38135.512340145797</v>
      </c>
      <c r="N481" s="37">
        <v>191790.28300995965</v>
      </c>
      <c r="O481" s="37">
        <v>1114272.0255829401</v>
      </c>
      <c r="P481" s="68">
        <v>1</v>
      </c>
    </row>
    <row r="482" spans="1:16" x14ac:dyDescent="0.2">
      <c r="A482" s="10">
        <v>480</v>
      </c>
      <c r="B482" s="40">
        <v>0.14247501235220836</v>
      </c>
      <c r="C482" s="12">
        <v>1.3888358023497731</v>
      </c>
      <c r="D482" s="40">
        <v>0.69594421984267552</v>
      </c>
      <c r="E482" s="40">
        <v>1.7303460061528518E-2</v>
      </c>
      <c r="F482" s="37">
        <v>8.1937525268208233</v>
      </c>
      <c r="G482" s="12">
        <v>11.142296241658949</v>
      </c>
      <c r="H482" s="37">
        <v>30649.19900426226</v>
      </c>
      <c r="I482" s="37">
        <v>30216.380778937</v>
      </c>
      <c r="J482" s="37">
        <v>336795.16331894154</v>
      </c>
      <c r="K482" s="37">
        <v>81161.046838587907</v>
      </c>
      <c r="L482" s="37">
        <v>33477.488422036673</v>
      </c>
      <c r="M482" s="37">
        <v>55355.013620529782</v>
      </c>
      <c r="N482" s="37">
        <v>143544.75398278082</v>
      </c>
      <c r="O482" s="37">
        <v>257381.01963761973</v>
      </c>
      <c r="P482" s="68">
        <v>1</v>
      </c>
    </row>
    <row r="483" spans="1:16" x14ac:dyDescent="0.2">
      <c r="A483" s="10">
        <v>481</v>
      </c>
      <c r="B483" s="40">
        <v>0.11703692534894181</v>
      </c>
      <c r="C483" s="12">
        <v>8.3261399875025006</v>
      </c>
      <c r="D483" s="40">
        <v>0.48458180419013486</v>
      </c>
      <c r="E483" s="40">
        <v>1.7098628564479648E-2</v>
      </c>
      <c r="F483" s="37">
        <v>16.426047617491111</v>
      </c>
      <c r="G483" s="12">
        <v>23.710150740370032</v>
      </c>
      <c r="H483" s="37">
        <v>114441.2574742565</v>
      </c>
      <c r="I483" s="37">
        <v>38410.400341762528</v>
      </c>
      <c r="J483" s="37">
        <v>396155.35040729592</v>
      </c>
      <c r="K483" s="37">
        <v>151962.48107405324</v>
      </c>
      <c r="L483" s="37">
        <v>114794.88690710877</v>
      </c>
      <c r="M483" s="37">
        <v>76353.366475092247</v>
      </c>
      <c r="N483" s="37">
        <v>305454.78966859088</v>
      </c>
      <c r="O483" s="37">
        <v>997637.25028091716</v>
      </c>
      <c r="P483" s="68">
        <v>1</v>
      </c>
    </row>
    <row r="484" spans="1:16" x14ac:dyDescent="0.2">
      <c r="A484" s="10">
        <v>482</v>
      </c>
      <c r="B484" s="40">
        <v>0.14516584752668757</v>
      </c>
      <c r="C484" s="12">
        <v>4.2736865777242947</v>
      </c>
      <c r="D484" s="40">
        <v>0.79525385410712712</v>
      </c>
      <c r="E484" s="40">
        <v>2.254675177323108E-2</v>
      </c>
      <c r="F484" s="37">
        <v>22.1961805223381</v>
      </c>
      <c r="G484" s="12">
        <v>15.055824682771526</v>
      </c>
      <c r="H484" s="37">
        <v>216554.88286084874</v>
      </c>
      <c r="I484" s="37">
        <v>14506.9480875724</v>
      </c>
      <c r="J484" s="37">
        <v>300340.28069025138</v>
      </c>
      <c r="K484" s="37">
        <v>109397.43996725178</v>
      </c>
      <c r="L484" s="37">
        <v>119939.36216268662</v>
      </c>
      <c r="M484" s="37">
        <v>223272.24864483188</v>
      </c>
      <c r="N484" s="37">
        <v>193962.23213093681</v>
      </c>
      <c r="O484" s="37">
        <v>1545485.2798988081</v>
      </c>
      <c r="P484" s="68">
        <v>1</v>
      </c>
    </row>
    <row r="485" spans="1:16" x14ac:dyDescent="0.2">
      <c r="A485" s="10">
        <v>483</v>
      </c>
      <c r="B485" s="40">
        <v>0.19432537842331349</v>
      </c>
      <c r="C485" s="12">
        <v>3.0984134978164306</v>
      </c>
      <c r="D485" s="40">
        <v>0.51081417096447668</v>
      </c>
      <c r="E485" s="40">
        <v>2.0757358398406214E-2</v>
      </c>
      <c r="F485" s="37">
        <v>12.912732752566495</v>
      </c>
      <c r="G485" s="12">
        <v>10.704397795351355</v>
      </c>
      <c r="H485" s="37">
        <v>53748.560470096978</v>
      </c>
      <c r="I485" s="37">
        <v>39478.020234696291</v>
      </c>
      <c r="J485" s="37">
        <v>286662.68282045773</v>
      </c>
      <c r="K485" s="37">
        <v>95573.04153180492</v>
      </c>
      <c r="L485" s="37">
        <v>74768.843728431762</v>
      </c>
      <c r="M485" s="37">
        <v>76810.380340964912</v>
      </c>
      <c r="N485" s="37">
        <v>137903.36522579813</v>
      </c>
      <c r="O485" s="37">
        <v>517788.51325237751</v>
      </c>
      <c r="P485" s="68">
        <v>1</v>
      </c>
    </row>
    <row r="486" spans="1:16" x14ac:dyDescent="0.2">
      <c r="A486" s="10">
        <v>484</v>
      </c>
      <c r="B486" s="40">
        <v>0.12006296679356664</v>
      </c>
      <c r="C486" s="12">
        <v>3.5598076733518575</v>
      </c>
      <c r="D486" s="40">
        <v>0.55499073549840627</v>
      </c>
      <c r="E486" s="40">
        <v>2.3562424290938321E-2</v>
      </c>
      <c r="F486" s="37">
        <v>7.1434671194256749</v>
      </c>
      <c r="G486" s="12">
        <v>18.146863588856064</v>
      </c>
      <c r="H486" s="37">
        <v>56700.372195391261</v>
      </c>
      <c r="I486" s="37">
        <v>47399.933355261674</v>
      </c>
      <c r="J486" s="37">
        <v>377344.14866034983</v>
      </c>
      <c r="K486" s="37">
        <v>119123.48565292641</v>
      </c>
      <c r="L486" s="37">
        <v>57664.717477682163</v>
      </c>
      <c r="M486" s="37">
        <v>52406.057328533105</v>
      </c>
      <c r="N486" s="37">
        <v>233783.68452296613</v>
      </c>
      <c r="O486" s="37">
        <v>543921.72370289895</v>
      </c>
      <c r="P486" s="68">
        <v>1</v>
      </c>
    </row>
    <row r="487" spans="1:16" x14ac:dyDescent="0.2">
      <c r="A487" s="10">
        <v>485</v>
      </c>
      <c r="B487" s="40">
        <v>0.20291733168727186</v>
      </c>
      <c r="C487" s="12">
        <v>6.9450976592758336</v>
      </c>
      <c r="D487" s="40">
        <v>0.64777921872966826</v>
      </c>
      <c r="E487" s="40">
        <v>2.6415538936721345E-2</v>
      </c>
      <c r="F487" s="37">
        <v>12.878302163197908</v>
      </c>
      <c r="G487" s="12">
        <v>9.6529347757565809</v>
      </c>
      <c r="H487" s="37">
        <v>92593.27467388651</v>
      </c>
      <c r="I487" s="37">
        <v>25244.144679012279</v>
      </c>
      <c r="J487" s="37">
        <v>422094.51460250036</v>
      </c>
      <c r="K487" s="37">
        <v>108251.09823184134</v>
      </c>
      <c r="L487" s="37">
        <v>221928.63436899224</v>
      </c>
      <c r="M487" s="37">
        <v>123626.57278417738</v>
      </c>
      <c r="N487" s="37">
        <v>124357.50383455119</v>
      </c>
      <c r="O487" s="37">
        <v>921287.70606575557</v>
      </c>
      <c r="P487" s="68">
        <v>1</v>
      </c>
    </row>
    <row r="488" spans="1:16" x14ac:dyDescent="0.2">
      <c r="A488" s="10">
        <v>486</v>
      </c>
      <c r="B488" s="40">
        <v>0.1779567018826278</v>
      </c>
      <c r="C488" s="12">
        <v>5.4355206578088762</v>
      </c>
      <c r="D488" s="40">
        <v>0.39352386157042302</v>
      </c>
      <c r="E488" s="40">
        <v>2.7788143042210528E-2</v>
      </c>
      <c r="F488" s="37">
        <v>10.648791610703011</v>
      </c>
      <c r="G488" s="12">
        <v>28.579618658387989</v>
      </c>
      <c r="H488" s="37">
        <v>147589.1429277081</v>
      </c>
      <c r="I488" s="37">
        <v>33197.928318232291</v>
      </c>
      <c r="J488" s="37">
        <v>336977.62777041097</v>
      </c>
      <c r="K488" s="37">
        <v>159734.50981202134</v>
      </c>
      <c r="L488" s="37">
        <v>92536.996558569997</v>
      </c>
      <c r="M488" s="37">
        <v>65327.743477579512</v>
      </c>
      <c r="N488" s="37">
        <v>368187.5118255869</v>
      </c>
      <c r="O488" s="37">
        <v>1195811.4495945568</v>
      </c>
      <c r="P488" s="68">
        <v>1</v>
      </c>
    </row>
    <row r="489" spans="1:16" x14ac:dyDescent="0.2">
      <c r="A489" s="10">
        <v>487</v>
      </c>
      <c r="B489" s="40">
        <v>0.14997226733287017</v>
      </c>
      <c r="C489" s="12">
        <v>2.3635789976621506</v>
      </c>
      <c r="D489" s="40">
        <v>0.69941644308611195</v>
      </c>
      <c r="E489" s="40">
        <v>4.7523963353678297E-2</v>
      </c>
      <c r="F489" s="37">
        <v>16.078332101849021</v>
      </c>
      <c r="G489" s="12">
        <v>21.361512390874367</v>
      </c>
      <c r="H489" s="37">
        <v>15596.525430563624</v>
      </c>
      <c r="I489" s="37">
        <v>34635.583957296316</v>
      </c>
      <c r="J489" s="37">
        <v>335694.3457148195</v>
      </c>
      <c r="K489" s="37">
        <v>151636.63861266786</v>
      </c>
      <c r="L489" s="37">
        <v>60270.632257971163</v>
      </c>
      <c r="M489" s="37">
        <v>299816.97455070465</v>
      </c>
      <c r="N489" s="37">
        <v>275197.58713502367</v>
      </c>
      <c r="O489" s="37">
        <v>1160045.4679563898</v>
      </c>
      <c r="P489" s="68">
        <v>1</v>
      </c>
    </row>
    <row r="490" spans="1:16" x14ac:dyDescent="0.2">
      <c r="A490" s="10">
        <v>488</v>
      </c>
      <c r="B490" s="40">
        <v>0.17217169976359176</v>
      </c>
      <c r="C490" s="12">
        <v>4.3651360259973782</v>
      </c>
      <c r="D490" s="40">
        <v>0.72088744609767896</v>
      </c>
      <c r="E490" s="40">
        <v>4.4560167891269445E-2</v>
      </c>
      <c r="F490" s="37">
        <v>16.509706192289389</v>
      </c>
      <c r="G490" s="12">
        <v>6.2766911864908987</v>
      </c>
      <c r="H490" s="37">
        <v>202221.51035086546</v>
      </c>
      <c r="I490" s="37">
        <v>47723.458584343702</v>
      </c>
      <c r="J490" s="37">
        <v>527800.50988230377</v>
      </c>
      <c r="K490" s="37">
        <v>109228.20152117846</v>
      </c>
      <c r="L490" s="37">
        <v>131709.11781393818</v>
      </c>
      <c r="M490" s="37">
        <v>297522.87197724101</v>
      </c>
      <c r="N490" s="37">
        <v>80861.796585708013</v>
      </c>
      <c r="O490" s="37">
        <v>1295534.4051872257</v>
      </c>
      <c r="P490" s="68">
        <v>1</v>
      </c>
    </row>
    <row r="491" spans="1:16" x14ac:dyDescent="0.2">
      <c r="A491" s="10">
        <v>489</v>
      </c>
      <c r="B491" s="40">
        <v>0.15687457170220817</v>
      </c>
      <c r="C491" s="12">
        <v>4.7478237760168174</v>
      </c>
      <c r="D491" s="40">
        <v>0.54579530114023167</v>
      </c>
      <c r="E491" s="40">
        <v>3.5514809554178926E-2</v>
      </c>
      <c r="F491" s="37">
        <v>11.497950321817463</v>
      </c>
      <c r="G491" s="12">
        <v>9.8307876688269218</v>
      </c>
      <c r="H491" s="37">
        <v>36691.651076553797</v>
      </c>
      <c r="I491" s="37">
        <v>48720.276570335263</v>
      </c>
      <c r="J491" s="37">
        <v>452050.30247442477</v>
      </c>
      <c r="K491" s="37">
        <v>89827.861251062161</v>
      </c>
      <c r="L491" s="37">
        <v>98824.759484656111</v>
      </c>
      <c r="M491" s="37">
        <v>125033.51556916302</v>
      </c>
      <c r="N491" s="37">
        <v>126648.75953510028</v>
      </c>
      <c r="O491" s="37">
        <v>517571.32480956183</v>
      </c>
      <c r="P491" s="68">
        <v>1</v>
      </c>
    </row>
    <row r="492" spans="1:16" x14ac:dyDescent="0.2">
      <c r="A492" s="10">
        <v>490</v>
      </c>
      <c r="B492" s="40">
        <v>0.15317278883253427</v>
      </c>
      <c r="C492" s="12">
        <v>5.4045751549114707</v>
      </c>
      <c r="D492" s="40">
        <v>0.50513204959562152</v>
      </c>
      <c r="E492" s="40">
        <v>3.4140288543746344E-2</v>
      </c>
      <c r="F492" s="37">
        <v>14.843571881208367</v>
      </c>
      <c r="G492" s="12">
        <v>13.437484461860791</v>
      </c>
      <c r="H492" s="37">
        <v>212046.03126073207</v>
      </c>
      <c r="I492" s="37">
        <v>49800.891894107539</v>
      </c>
      <c r="J492" s="37">
        <v>385362.46723770065</v>
      </c>
      <c r="K492" s="37">
        <v>136304.28770918521</v>
      </c>
      <c r="L492" s="37">
        <v>101656.91691309998</v>
      </c>
      <c r="M492" s="37">
        <v>143607.54690871967</v>
      </c>
      <c r="N492" s="37">
        <v>173113.36544917256</v>
      </c>
      <c r="O492" s="37">
        <v>1138505.2213881961</v>
      </c>
      <c r="P492" s="68">
        <v>1</v>
      </c>
    </row>
    <row r="493" spans="1:16" x14ac:dyDescent="0.2">
      <c r="A493" s="10">
        <v>491</v>
      </c>
      <c r="B493" s="40">
        <v>6.6053666718966564E-2</v>
      </c>
      <c r="C493" s="12">
        <v>1.8019289397307297</v>
      </c>
      <c r="D493" s="40">
        <v>0.54944660747779994</v>
      </c>
      <c r="E493" s="40">
        <v>3.1111817796900837E-2</v>
      </c>
      <c r="F493" s="37">
        <v>18.624951671369153</v>
      </c>
      <c r="G493" s="12">
        <v>19.28055331679046</v>
      </c>
      <c r="H493" s="37">
        <v>59892.207914224156</v>
      </c>
      <c r="I493" s="37">
        <v>22865.252939476537</v>
      </c>
      <c r="J493" s="37">
        <v>293037.85185379849</v>
      </c>
      <c r="K493" s="37">
        <v>87155.480969527824</v>
      </c>
      <c r="L493" s="37">
        <v>15898.235169987189</v>
      </c>
      <c r="M493" s="37">
        <v>178612.87843898515</v>
      </c>
      <c r="N493" s="37">
        <v>248388.86190828035</v>
      </c>
      <c r="O493" s="37">
        <v>935485.44260178413</v>
      </c>
      <c r="P493" s="68">
        <v>1</v>
      </c>
    </row>
    <row r="494" spans="1:16" x14ac:dyDescent="0.2">
      <c r="A494" s="10">
        <v>492</v>
      </c>
      <c r="B494" s="40">
        <v>8.0293576352598289E-2</v>
      </c>
      <c r="C494" s="12">
        <v>4.1177652689477817</v>
      </c>
      <c r="D494" s="40">
        <v>0.68942160664113383</v>
      </c>
      <c r="E494" s="40">
        <v>3.0443285698590832E-2</v>
      </c>
      <c r="F494" s="37">
        <v>12.888927394893301</v>
      </c>
      <c r="G494" s="12">
        <v>25.079414029709294</v>
      </c>
      <c r="H494" s="37">
        <v>67479.746036654455</v>
      </c>
      <c r="I494" s="37">
        <v>38968.692845971345</v>
      </c>
      <c r="J494" s="37">
        <v>225186.16352231614</v>
      </c>
      <c r="K494" s="37">
        <v>165792.42002968938</v>
      </c>
      <c r="L494" s="37">
        <v>55413.567178470192</v>
      </c>
      <c r="M494" s="37">
        <v>151760.91025894927</v>
      </c>
      <c r="N494" s="37">
        <v>323094.83062092098</v>
      </c>
      <c r="O494" s="37">
        <v>1094175.6476011684</v>
      </c>
      <c r="P494" s="68">
        <v>1</v>
      </c>
    </row>
    <row r="495" spans="1:16" x14ac:dyDescent="0.2">
      <c r="A495" s="10">
        <v>493</v>
      </c>
      <c r="B495" s="40">
        <v>5.7021358255004019E-2</v>
      </c>
      <c r="C495" s="12">
        <v>4.5053492038932967</v>
      </c>
      <c r="D495" s="40">
        <v>0.44863044353697318</v>
      </c>
      <c r="E495" s="40">
        <v>5.2724336447188547E-3</v>
      </c>
      <c r="F495" s="37">
        <v>26.673149749783356</v>
      </c>
      <c r="G495" s="12">
        <v>14.382162974724801</v>
      </c>
      <c r="H495" s="37">
        <v>102429.47834462338</v>
      </c>
      <c r="I495" s="37">
        <v>38654.181254459516</v>
      </c>
      <c r="J495" s="37">
        <v>502614.63531362399</v>
      </c>
      <c r="K495" s="37">
        <v>94371.379434805451</v>
      </c>
      <c r="L495" s="37">
        <v>28018.416493198991</v>
      </c>
      <c r="M495" s="37">
        <v>35394.917047269759</v>
      </c>
      <c r="N495" s="37">
        <v>185283.53592219291</v>
      </c>
      <c r="O495" s="37">
        <v>325014.56278146291</v>
      </c>
      <c r="P495" s="68">
        <v>1</v>
      </c>
    </row>
    <row r="496" spans="1:16" x14ac:dyDescent="0.2">
      <c r="A496" s="10">
        <v>494</v>
      </c>
      <c r="B496" s="40">
        <v>0.1965222773211166</v>
      </c>
      <c r="C496" s="12">
        <v>4.121787963579207</v>
      </c>
      <c r="D496" s="40">
        <v>0.71106714002404248</v>
      </c>
      <c r="E496" s="40">
        <v>2.6458122805300743E-2</v>
      </c>
      <c r="F496" s="37">
        <v>21.56380029424551</v>
      </c>
      <c r="G496" s="12">
        <v>13.749425908862744</v>
      </c>
      <c r="H496" s="37">
        <v>142679.73715434078</v>
      </c>
      <c r="I496" s="37">
        <v>25853.180677543885</v>
      </c>
      <c r="J496" s="37">
        <v>454474.86473452486</v>
      </c>
      <c r="K496" s="37">
        <v>109127.19117481251</v>
      </c>
      <c r="L496" s="37">
        <v>140022.19253759729</v>
      </c>
      <c r="M496" s="37">
        <v>227594.45156740368</v>
      </c>
      <c r="N496" s="37">
        <v>177132.06655851056</v>
      </c>
      <c r="O496" s="37">
        <v>1238146.5490459013</v>
      </c>
      <c r="P496" s="68">
        <v>1</v>
      </c>
    </row>
    <row r="497" spans="1:16" x14ac:dyDescent="0.2">
      <c r="A497" s="10">
        <v>495</v>
      </c>
      <c r="B497" s="40">
        <v>0.13582543400233366</v>
      </c>
      <c r="C497" s="12">
        <v>2.7273215330509344</v>
      </c>
      <c r="D497" s="40">
        <v>0.74549024110568485</v>
      </c>
      <c r="E497" s="40">
        <v>3.1865901237300209E-2</v>
      </c>
      <c r="F497" s="37">
        <v>17.37892008118946</v>
      </c>
      <c r="G497" s="12">
        <v>14.959068140674592</v>
      </c>
      <c r="H497" s="37">
        <v>59104.103639758403</v>
      </c>
      <c r="I497" s="37">
        <v>30244.61869291907</v>
      </c>
      <c r="J497" s="37">
        <v>480275.0440479141</v>
      </c>
      <c r="K497" s="37">
        <v>133677.48580375192</v>
      </c>
      <c r="L497" s="37">
        <v>67134.882786446833</v>
      </c>
      <c r="M497" s="37">
        <v>231610.2026056528</v>
      </c>
      <c r="N497" s="37">
        <v>192715.7301774525</v>
      </c>
      <c r="O497" s="37">
        <v>772426.64846299076</v>
      </c>
      <c r="P497" s="68">
        <v>1</v>
      </c>
    </row>
    <row r="498" spans="1:16" x14ac:dyDescent="0.2">
      <c r="A498" s="10">
        <v>496</v>
      </c>
      <c r="B498" s="40">
        <v>0.10271790195614942</v>
      </c>
      <c r="C498" s="12">
        <v>7.347969453528945</v>
      </c>
      <c r="D498" s="40">
        <v>0.74103232958843324</v>
      </c>
      <c r="E498" s="40">
        <v>2.2141279157440914E-2</v>
      </c>
      <c r="F498" s="37">
        <v>11.367822673635629</v>
      </c>
      <c r="G498" s="12">
        <v>6.0238113377491134</v>
      </c>
      <c r="H498" s="37">
        <v>128795.31442235103</v>
      </c>
      <c r="I498" s="37">
        <v>14696.773964394384</v>
      </c>
      <c r="J498" s="37">
        <v>374976.95241384348</v>
      </c>
      <c r="K498" s="37">
        <v>85149.82387090163</v>
      </c>
      <c r="L498" s="37">
        <v>135968.86355480793</v>
      </c>
      <c r="M498" s="37">
        <v>104636.66411889822</v>
      </c>
      <c r="N498" s="37">
        <v>77603.978368747921</v>
      </c>
      <c r="O498" s="37">
        <v>679984.41321079631</v>
      </c>
      <c r="P498" s="68">
        <v>1</v>
      </c>
    </row>
    <row r="499" spans="1:16" x14ac:dyDescent="0.2">
      <c r="A499" s="10">
        <v>497</v>
      </c>
      <c r="B499" s="40">
        <v>0.16403418585217039</v>
      </c>
      <c r="C499" s="12">
        <v>6.7710623667933394</v>
      </c>
      <c r="D499" s="40">
        <v>0.50161708790953607</v>
      </c>
      <c r="E499" s="40">
        <v>2.0921016221578513E-2</v>
      </c>
      <c r="F499" s="37">
        <v>13.348645369342108</v>
      </c>
      <c r="G499" s="12">
        <v>8.1209409290491799</v>
      </c>
      <c r="H499" s="37">
        <v>146166.50785786059</v>
      </c>
      <c r="I499" s="37">
        <v>23663.945084534371</v>
      </c>
      <c r="J499" s="37">
        <v>255310.42030768946</v>
      </c>
      <c r="K499" s="37">
        <v>187891.08853897365</v>
      </c>
      <c r="L499" s="37">
        <v>135441.68047443414</v>
      </c>
      <c r="M499" s="37">
        <v>78588.504812050538</v>
      </c>
      <c r="N499" s="37">
        <v>104621.02626661981</v>
      </c>
      <c r="O499" s="37">
        <v>586835.25340624724</v>
      </c>
      <c r="P499" s="68">
        <v>1</v>
      </c>
    </row>
    <row r="500" spans="1:16" x14ac:dyDescent="0.2">
      <c r="A500" s="10">
        <v>498</v>
      </c>
      <c r="B500" s="40">
        <v>0.11628992853370974</v>
      </c>
      <c r="C500" s="12">
        <v>6.1827426449617837</v>
      </c>
      <c r="D500" s="40">
        <v>0.77595848827888392</v>
      </c>
      <c r="E500" s="40">
        <v>2.0265996685361803E-2</v>
      </c>
      <c r="F500" s="37">
        <v>11.293201785400335</v>
      </c>
      <c r="G500" s="12">
        <v>24.835982038324282</v>
      </c>
      <c r="H500" s="37">
        <v>147187.55922658561</v>
      </c>
      <c r="I500" s="37">
        <v>34864.606188220634</v>
      </c>
      <c r="J500" s="37">
        <v>400554.92376278894</v>
      </c>
      <c r="K500" s="37">
        <v>133023.68453407387</v>
      </c>
      <c r="L500" s="37">
        <v>135628.38516135572</v>
      </c>
      <c r="M500" s="37">
        <v>99630.033338150315</v>
      </c>
      <c r="N500" s="37">
        <v>319958.72792206676</v>
      </c>
      <c r="O500" s="37">
        <v>1292321.9712427175</v>
      </c>
      <c r="P500" s="68">
        <v>1</v>
      </c>
    </row>
    <row r="501" spans="1:16" x14ac:dyDescent="0.2">
      <c r="A501" s="10">
        <v>499</v>
      </c>
      <c r="B501" s="40">
        <v>0.12528600403318624</v>
      </c>
      <c r="C501" s="12">
        <v>7.2049199950597105</v>
      </c>
      <c r="D501" s="40">
        <v>0.69960307409153377</v>
      </c>
      <c r="E501" s="40">
        <v>2.8109385584511221E-2</v>
      </c>
      <c r="F501" s="37">
        <v>21.079247104731124</v>
      </c>
      <c r="G501" s="12">
        <v>14.590484020215152</v>
      </c>
      <c r="H501" s="37">
        <v>80461.567996210244</v>
      </c>
      <c r="I501" s="37">
        <v>39514.305168522311</v>
      </c>
      <c r="J501" s="37">
        <v>299829.25205021253</v>
      </c>
      <c r="K501" s="37">
        <v>95227.835166969235</v>
      </c>
      <c r="L501" s="37">
        <v>153522.57958617629</v>
      </c>
      <c r="M501" s="37">
        <v>232554.57564968432</v>
      </c>
      <c r="N501" s="37">
        <v>187967.3088695092</v>
      </c>
      <c r="O501" s="37">
        <v>1377769.965735741</v>
      </c>
      <c r="P501" s="68">
        <v>1</v>
      </c>
    </row>
    <row r="502" spans="1:16" x14ac:dyDescent="0.2">
      <c r="A502" s="10">
        <v>500</v>
      </c>
      <c r="B502" s="40">
        <v>0.16102720395187414</v>
      </c>
      <c r="C502" s="12">
        <v>4.752769974685938</v>
      </c>
      <c r="D502" s="40">
        <v>0.367944328217789</v>
      </c>
      <c r="E502" s="40">
        <v>2.4304309438199001E-2</v>
      </c>
      <c r="F502" s="37">
        <v>11.092705932501371</v>
      </c>
      <c r="G502" s="12">
        <v>12.172850011194353</v>
      </c>
      <c r="H502" s="37">
        <v>227185.37276124544</v>
      </c>
      <c r="I502" s="37">
        <v>58704.780656147501</v>
      </c>
      <c r="J502" s="37">
        <v>268104.01601646742</v>
      </c>
      <c r="K502" s="37">
        <v>140521.28876916436</v>
      </c>
      <c r="L502" s="37">
        <v>68456.862384461856</v>
      </c>
      <c r="M502" s="37">
        <v>55650.571753255324</v>
      </c>
      <c r="N502" s="37">
        <v>156821.24422371539</v>
      </c>
      <c r="O502" s="37">
        <v>926226.94535202743</v>
      </c>
      <c r="P502" s="68">
        <v>1</v>
      </c>
    </row>
    <row r="503" spans="1:16" x14ac:dyDescent="0.2">
      <c r="A503" s="10">
        <v>501</v>
      </c>
      <c r="B503" s="40">
        <v>0.14861708440032001</v>
      </c>
      <c r="C503" s="12">
        <v>3.4958101245747484</v>
      </c>
      <c r="D503" s="40">
        <v>0.54082144528774112</v>
      </c>
      <c r="E503" s="40">
        <v>1.6984452816721493E-2</v>
      </c>
      <c r="F503" s="37">
        <v>24.285105892257874</v>
      </c>
      <c r="G503" s="12">
        <v>6.0910130461425656</v>
      </c>
      <c r="H503" s="37">
        <v>130299.50751888719</v>
      </c>
      <c r="I503" s="37">
        <v>49446.699861384986</v>
      </c>
      <c r="J503" s="37">
        <v>563218.87574827671</v>
      </c>
      <c r="K503" s="37">
        <v>101798.56706291513</v>
      </c>
      <c r="L503" s="37">
        <v>68306.071247512766</v>
      </c>
      <c r="M503" s="37">
        <v>125144.62399556985</v>
      </c>
      <c r="N503" s="37">
        <v>78469.729241758672</v>
      </c>
      <c r="O503" s="37">
        <v>416984.43304225616</v>
      </c>
      <c r="P503" s="68">
        <v>1</v>
      </c>
    </row>
    <row r="504" spans="1:16" x14ac:dyDescent="0.2">
      <c r="A504" s="10">
        <v>502</v>
      </c>
      <c r="B504" s="40">
        <v>7.4630108382169991E-2</v>
      </c>
      <c r="C504" s="12">
        <v>4.4946298915948066</v>
      </c>
      <c r="D504" s="40">
        <v>0.59596162406274522</v>
      </c>
      <c r="E504" s="40">
        <v>4.1767240600469407E-2</v>
      </c>
      <c r="F504" s="37">
        <v>15.780258254180891</v>
      </c>
      <c r="G504" s="12">
        <v>13.347780841022011</v>
      </c>
      <c r="H504" s="37">
        <v>186791.84047536558</v>
      </c>
      <c r="I504" s="37">
        <v>41310.998273521211</v>
      </c>
      <c r="J504" s="37">
        <v>391000.50159626658</v>
      </c>
      <c r="K504" s="37">
        <v>151452.69015887359</v>
      </c>
      <c r="L504" s="37">
        <v>48597.634746134645</v>
      </c>
      <c r="M504" s="37">
        <v>220361.09280734634</v>
      </c>
      <c r="N504" s="37">
        <v>171957.72536337725</v>
      </c>
      <c r="O504" s="37">
        <v>1059033.229271184</v>
      </c>
      <c r="P504" s="68">
        <v>1</v>
      </c>
    </row>
    <row r="505" spans="1:16" x14ac:dyDescent="0.2">
      <c r="A505" s="10">
        <v>503</v>
      </c>
      <c r="B505" s="40">
        <v>0.18477750535005544</v>
      </c>
      <c r="C505" s="12">
        <v>3.0205570772358472</v>
      </c>
      <c r="D505" s="40">
        <v>0.6169306268571072</v>
      </c>
      <c r="E505" s="40">
        <v>2.0019655121038864E-2</v>
      </c>
      <c r="F505" s="37">
        <v>11.818123711980721</v>
      </c>
      <c r="G505" s="12">
        <v>16.531521293121287</v>
      </c>
      <c r="H505" s="37">
        <v>4676.3199864265225</v>
      </c>
      <c r="I505" s="37">
        <v>36363.499218095974</v>
      </c>
      <c r="J505" s="37">
        <v>336772.59391653549</v>
      </c>
      <c r="K505" s="37">
        <v>190756.23201524495</v>
      </c>
      <c r="L505" s="37">
        <v>83706.909250540484</v>
      </c>
      <c r="M505" s="37">
        <v>81885.722689786402</v>
      </c>
      <c r="N505" s="37">
        <v>212973.43972151345</v>
      </c>
      <c r="O505" s="37">
        <v>304381.07339022961</v>
      </c>
      <c r="P505" s="68">
        <v>1</v>
      </c>
    </row>
    <row r="506" spans="1:16" x14ac:dyDescent="0.2">
      <c r="A506" s="10">
        <v>504</v>
      </c>
      <c r="B506" s="40">
        <v>0.10749840858222989</v>
      </c>
      <c r="C506" s="12">
        <v>1.5381302336347742</v>
      </c>
      <c r="D506" s="40">
        <v>0.59953562513760983</v>
      </c>
      <c r="E506" s="40">
        <v>1.3784535053832992E-2</v>
      </c>
      <c r="F506" s="37">
        <v>15.128262519087802</v>
      </c>
      <c r="G506" s="12">
        <v>16.73628078220537</v>
      </c>
      <c r="H506" s="37">
        <v>118250.87016715657</v>
      </c>
      <c r="I506" s="37">
        <v>12059.454431456308</v>
      </c>
      <c r="J506" s="37">
        <v>351443.46950912732</v>
      </c>
      <c r="K506" s="37">
        <v>119538.92427250576</v>
      </c>
      <c r="L506" s="37">
        <v>24098.997009373539</v>
      </c>
      <c r="M506" s="37">
        <v>70139.537975772546</v>
      </c>
      <c r="N506" s="37">
        <v>215611.32960065009</v>
      </c>
      <c r="O506" s="37">
        <v>546820.92313537351</v>
      </c>
      <c r="P506" s="68">
        <v>1</v>
      </c>
    </row>
    <row r="507" spans="1:16" x14ac:dyDescent="0.2">
      <c r="A507" s="10">
        <v>505</v>
      </c>
      <c r="B507" s="40">
        <v>0.18326472706952365</v>
      </c>
      <c r="C507" s="12">
        <v>3.3627424272030426</v>
      </c>
      <c r="D507" s="40">
        <v>0.43948610026607793</v>
      </c>
      <c r="E507" s="40">
        <v>2.7444205061332341E-2</v>
      </c>
      <c r="F507" s="37">
        <v>17.91159076544443</v>
      </c>
      <c r="G507" s="12">
        <v>16.340270297599552</v>
      </c>
      <c r="H507" s="37">
        <v>55323.858560590685</v>
      </c>
      <c r="I507" s="37">
        <v>25326.75141609781</v>
      </c>
      <c r="J507" s="37">
        <v>364028.16514478676</v>
      </c>
      <c r="K507" s="37">
        <v>177120.2814389625</v>
      </c>
      <c r="L507" s="37">
        <v>65842.522586996551</v>
      </c>
      <c r="M507" s="37">
        <v>121198.3451222107</v>
      </c>
      <c r="N507" s="37">
        <v>210509.57800883637</v>
      </c>
      <c r="O507" s="37">
        <v>479490.86625229241</v>
      </c>
      <c r="P507" s="68">
        <v>1</v>
      </c>
    </row>
    <row r="508" spans="1:16" x14ac:dyDescent="0.2">
      <c r="A508" s="10">
        <v>506</v>
      </c>
      <c r="B508" s="40">
        <v>0.16924438034823261</v>
      </c>
      <c r="C508" s="12">
        <v>8.5498845953970655</v>
      </c>
      <c r="D508" s="40">
        <v>0.52354700441043533</v>
      </c>
      <c r="E508" s="40">
        <v>6.5957188879090635E-3</v>
      </c>
      <c r="F508" s="37">
        <v>21.26484155720053</v>
      </c>
      <c r="G508" s="12">
        <v>14.406282477656152</v>
      </c>
      <c r="H508" s="37">
        <v>191204.55384218475</v>
      </c>
      <c r="I508" s="37">
        <v>13375.231881027586</v>
      </c>
      <c r="J508" s="37">
        <v>337444.63519170578</v>
      </c>
      <c r="K508" s="37">
        <v>82070.086283456621</v>
      </c>
      <c r="L508" s="37">
        <v>184170.05527315868</v>
      </c>
      <c r="M508" s="37">
        <v>41195.20797186721</v>
      </c>
      <c r="N508" s="37">
        <v>185594.26434292214</v>
      </c>
      <c r="O508" s="37">
        <v>1157142.4794285297</v>
      </c>
      <c r="P508" s="68">
        <v>1</v>
      </c>
    </row>
    <row r="509" spans="1:16" x14ac:dyDescent="0.2">
      <c r="A509" s="10">
        <v>507</v>
      </c>
      <c r="B509" s="40">
        <v>0.20641193066725522</v>
      </c>
      <c r="C509" s="12">
        <v>4.9025307833519154</v>
      </c>
      <c r="D509" s="40">
        <v>0.65503889654622305</v>
      </c>
      <c r="E509" s="40">
        <v>2.4201725723687804E-2</v>
      </c>
      <c r="F509" s="37">
        <v>22.658239905855563</v>
      </c>
      <c r="G509" s="12">
        <v>18.20798353768032</v>
      </c>
      <c r="H509" s="37">
        <v>82927.092362316791</v>
      </c>
      <c r="I509" s="37">
        <v>50867.939904652099</v>
      </c>
      <c r="J509" s="37">
        <v>417995.68290123425</v>
      </c>
      <c r="K509" s="37">
        <v>103994.24946485703</v>
      </c>
      <c r="L509" s="37">
        <v>161142.85144202513</v>
      </c>
      <c r="M509" s="37">
        <v>201514.51189603674</v>
      </c>
      <c r="N509" s="37">
        <v>234571.08487807569</v>
      </c>
      <c r="O509" s="37">
        <v>1338712.598833343</v>
      </c>
      <c r="P509" s="68">
        <v>1</v>
      </c>
    </row>
    <row r="510" spans="1:16" x14ac:dyDescent="0.2">
      <c r="A510" s="10">
        <v>508</v>
      </c>
      <c r="B510" s="40">
        <v>0.10553784407698932</v>
      </c>
      <c r="C510" s="12">
        <v>6.3481296466024784</v>
      </c>
      <c r="D510" s="40">
        <v>0.70584681640825386</v>
      </c>
      <c r="E510" s="40">
        <v>3.5868886251773625E-2</v>
      </c>
      <c r="F510" s="37">
        <v>21.880304248040645</v>
      </c>
      <c r="G510" s="12">
        <v>25.440335434996712</v>
      </c>
      <c r="H510" s="37">
        <v>103936.03150553606</v>
      </c>
      <c r="I510" s="37">
        <v>26379.685080016607</v>
      </c>
      <c r="J510" s="37">
        <v>446432.61194534856</v>
      </c>
      <c r="K510" s="37">
        <v>123476.53420534566</v>
      </c>
      <c r="L510" s="37">
        <v>114961.73132545836</v>
      </c>
      <c r="M510" s="37">
        <v>310776.69272469939</v>
      </c>
      <c r="N510" s="37">
        <v>327744.53416545613</v>
      </c>
      <c r="O510" s="37">
        <v>1683714.0145553323</v>
      </c>
      <c r="P510" s="68">
        <v>1</v>
      </c>
    </row>
    <row r="511" spans="1:16" x14ac:dyDescent="0.2">
      <c r="A511" s="10">
        <v>509</v>
      </c>
      <c r="B511" s="40">
        <v>0.12384421941507182</v>
      </c>
      <c r="C511" s="12">
        <v>5.9027039869174169</v>
      </c>
      <c r="D511" s="40">
        <v>0.59672027155443852</v>
      </c>
      <c r="E511" s="40">
        <v>2.4411118469105833E-2</v>
      </c>
      <c r="F511" s="37">
        <v>12.009969972855458</v>
      </c>
      <c r="G511" s="12">
        <v>26.653324005523935</v>
      </c>
      <c r="H511" s="37">
        <v>56181.822481440111</v>
      </c>
      <c r="I511" s="37">
        <v>13492.927548255095</v>
      </c>
      <c r="J511" s="37">
        <v>350271.403311931</v>
      </c>
      <c r="K511" s="37">
        <v>113716.29629252803</v>
      </c>
      <c r="L511" s="37">
        <v>106044.06467953917</v>
      </c>
      <c r="M511" s="37">
        <v>98144.761438705274</v>
      </c>
      <c r="N511" s="37">
        <v>343371.30823104415</v>
      </c>
      <c r="O511" s="37">
        <v>1060404.8936485122</v>
      </c>
      <c r="P511" s="68">
        <v>1</v>
      </c>
    </row>
    <row r="512" spans="1:16" x14ac:dyDescent="0.2">
      <c r="A512" s="10">
        <v>510</v>
      </c>
      <c r="B512" s="40">
        <v>0.14968051599365081</v>
      </c>
      <c r="C512" s="12">
        <v>5.8161660438511147</v>
      </c>
      <c r="D512" s="40">
        <v>0.82050280277733723</v>
      </c>
      <c r="E512" s="40">
        <v>2.6844086275920959E-2</v>
      </c>
      <c r="F512" s="37">
        <v>24.423758297940111</v>
      </c>
      <c r="G512" s="12">
        <v>14.049486592828572</v>
      </c>
      <c r="H512" s="37">
        <v>87938.092167485243</v>
      </c>
      <c r="I512" s="37">
        <v>32591.288465483758</v>
      </c>
      <c r="J512" s="37">
        <v>295580.79684497288</v>
      </c>
      <c r="K512" s="37">
        <v>155589.3765045671</v>
      </c>
      <c r="L512" s="37">
        <v>173648.47220537366</v>
      </c>
      <c r="M512" s="37">
        <v>301792.13696411846</v>
      </c>
      <c r="N512" s="37">
        <v>180997.70934215342</v>
      </c>
      <c r="O512" s="37">
        <v>1445295.6910014795</v>
      </c>
      <c r="P512" s="68">
        <v>1</v>
      </c>
    </row>
    <row r="513" spans="1:16" x14ac:dyDescent="0.2">
      <c r="A513" s="10">
        <v>511</v>
      </c>
      <c r="B513" s="40">
        <v>0.13477394575562296</v>
      </c>
      <c r="C513" s="12">
        <v>8.0741257630338641</v>
      </c>
      <c r="D513" s="40">
        <v>0.60970560102906191</v>
      </c>
      <c r="E513" s="40">
        <v>1.7279734314617635E-2</v>
      </c>
      <c r="F513" s="37">
        <v>19.588710437996717</v>
      </c>
      <c r="G513" s="12">
        <v>5.989343492323064</v>
      </c>
      <c r="H513" s="37">
        <v>91706.232169854571</v>
      </c>
      <c r="I513" s="37">
        <v>35889.019600160842</v>
      </c>
      <c r="J513" s="37">
        <v>291750.79840449058</v>
      </c>
      <c r="K513" s="37">
        <v>183276.76543483522</v>
      </c>
      <c r="L513" s="37">
        <v>161291.1235677494</v>
      </c>
      <c r="M513" s="37">
        <v>115779.00789688263</v>
      </c>
      <c r="N513" s="37">
        <v>77159.933596944044</v>
      </c>
      <c r="O513" s="37">
        <v>544673.86378686177</v>
      </c>
      <c r="P513" s="68">
        <v>1</v>
      </c>
    </row>
    <row r="514" spans="1:16" x14ac:dyDescent="0.2">
      <c r="A514" s="10">
        <v>512</v>
      </c>
      <c r="B514" s="40">
        <v>0.15606456585125075</v>
      </c>
      <c r="C514" s="12">
        <v>4.344033276762187</v>
      </c>
      <c r="D514" s="40">
        <v>0.55107046630870937</v>
      </c>
      <c r="E514" s="40">
        <v>4.2401307322634071E-2</v>
      </c>
      <c r="F514" s="37">
        <v>24.861307001688637</v>
      </c>
      <c r="G514" s="12">
        <v>8.8573400965699776</v>
      </c>
      <c r="H514" s="37">
        <v>170868.6279920314</v>
      </c>
      <c r="I514" s="37">
        <v>44830.775630720702</v>
      </c>
      <c r="J514" s="37">
        <v>398725.85215325648</v>
      </c>
      <c r="K514" s="37">
        <v>124202.99343087387</v>
      </c>
      <c r="L514" s="37">
        <v>90822.492825397552</v>
      </c>
      <c r="M514" s="37">
        <v>325894.53058791655</v>
      </c>
      <c r="N514" s="37">
        <v>114107.96100989847</v>
      </c>
      <c r="O514" s="37">
        <v>1344792.78101414</v>
      </c>
      <c r="P514" s="68">
        <v>1</v>
      </c>
    </row>
    <row r="515" spans="1:16" x14ac:dyDescent="0.2">
      <c r="A515" s="10">
        <v>513</v>
      </c>
      <c r="B515" s="40">
        <v>0.18520713316874596</v>
      </c>
      <c r="C515" s="12">
        <v>5.3966696077490006</v>
      </c>
      <c r="D515" s="40">
        <v>0.50623867321743909</v>
      </c>
      <c r="E515" s="40">
        <v>2.2650485061800694E-2</v>
      </c>
      <c r="F515" s="37">
        <v>21.222850031611838</v>
      </c>
      <c r="G515" s="12">
        <v>26.705258764553555</v>
      </c>
      <c r="H515" s="37">
        <v>41687.823564446764</v>
      </c>
      <c r="I515" s="37">
        <v>71876.535654787076</v>
      </c>
      <c r="J515" s="37">
        <v>239209.72268305306</v>
      </c>
      <c r="K515" s="37">
        <v>137087.73731552766</v>
      </c>
      <c r="L515" s="37">
        <v>123006.39449138026</v>
      </c>
      <c r="M515" s="37">
        <v>136522.195335861</v>
      </c>
      <c r="N515" s="37">
        <v>344040.37698010408</v>
      </c>
      <c r="O515" s="37">
        <v>1385867.4492656596</v>
      </c>
      <c r="P515" s="68">
        <v>1</v>
      </c>
    </row>
    <row r="516" spans="1:16" x14ac:dyDescent="0.2">
      <c r="A516" s="10">
        <v>514</v>
      </c>
      <c r="B516" s="40">
        <v>0.1899987133245975</v>
      </c>
      <c r="C516" s="12">
        <v>5.7269080651240234</v>
      </c>
      <c r="D516" s="40">
        <v>0.4779383637338388</v>
      </c>
      <c r="E516" s="40">
        <v>2.166785219694891E-2</v>
      </c>
      <c r="F516" s="37">
        <v>20.998501246120359</v>
      </c>
      <c r="G516" s="12">
        <v>18.549177468857145</v>
      </c>
      <c r="H516" s="37">
        <v>122718.90021274424</v>
      </c>
      <c r="I516" s="37">
        <v>28089.148083109965</v>
      </c>
      <c r="J516" s="37">
        <v>254977.39243446107</v>
      </c>
      <c r="K516" s="37">
        <v>178689.47339781863</v>
      </c>
      <c r="L516" s="37">
        <v>126424.60145601539</v>
      </c>
      <c r="M516" s="37">
        <v>121995.21231522315</v>
      </c>
      <c r="N516" s="37">
        <v>238966.64193821565</v>
      </c>
      <c r="O516" s="37">
        <v>1032388.8942313419</v>
      </c>
      <c r="P516" s="68">
        <v>1</v>
      </c>
    </row>
    <row r="517" spans="1:16" x14ac:dyDescent="0.2">
      <c r="A517" s="10">
        <v>515</v>
      </c>
      <c r="B517" s="40">
        <v>0.10697888260809067</v>
      </c>
      <c r="C517" s="12">
        <v>4.8778613735352057</v>
      </c>
      <c r="D517" s="40">
        <v>0.72227543127303306</v>
      </c>
      <c r="E517" s="40">
        <v>3.6507920218603954E-2</v>
      </c>
      <c r="F517" s="37">
        <v>14.312940311815657</v>
      </c>
      <c r="G517" s="12">
        <v>9.7302188813837436</v>
      </c>
      <c r="H517" s="37">
        <v>84535.401102663978</v>
      </c>
      <c r="I517" s="37">
        <v>47507.348477728476</v>
      </c>
      <c r="J517" s="37">
        <v>305092.14567407174</v>
      </c>
      <c r="K517" s="37">
        <v>120318.35283115064</v>
      </c>
      <c r="L517" s="37">
        <v>91626.096073637149</v>
      </c>
      <c r="M517" s="37">
        <v>211731.52580302182</v>
      </c>
      <c r="N517" s="37">
        <v>125353.14492041219</v>
      </c>
      <c r="O517" s="37">
        <v>928847.29621203104</v>
      </c>
      <c r="P517" s="68">
        <v>1</v>
      </c>
    </row>
    <row r="518" spans="1:16" x14ac:dyDescent="0.2">
      <c r="A518" s="10">
        <v>516</v>
      </c>
      <c r="B518" s="40">
        <v>0.22813187567689475</v>
      </c>
      <c r="C518" s="12">
        <v>4.7443870100243704</v>
      </c>
      <c r="D518" s="40">
        <v>0.27118824958582821</v>
      </c>
      <c r="E518" s="40">
        <v>1.7046269777933068E-2</v>
      </c>
      <c r="F518" s="37">
        <v>21.931528653684357</v>
      </c>
      <c r="G518" s="12">
        <v>4.2650623750247671</v>
      </c>
      <c r="H518" s="37">
        <v>126630.59829864772</v>
      </c>
      <c r="I518" s="37">
        <v>53586.729836845479</v>
      </c>
      <c r="J518" s="37">
        <v>333287.77307029726</v>
      </c>
      <c r="K518" s="37">
        <v>137924.38370832044</v>
      </c>
      <c r="L518" s="37">
        <v>71355.224490966415</v>
      </c>
      <c r="M518" s="37">
        <v>56876.892549191034</v>
      </c>
      <c r="N518" s="37">
        <v>54946.244119335322</v>
      </c>
      <c r="O518" s="37">
        <v>298400.97479618783</v>
      </c>
      <c r="P518" s="68">
        <v>1</v>
      </c>
    </row>
    <row r="519" spans="1:16" x14ac:dyDescent="0.2">
      <c r="A519" s="10">
        <v>517</v>
      </c>
      <c r="B519" s="40">
        <v>0.18166203224615585</v>
      </c>
      <c r="C519" s="12">
        <v>7.8965227905437212</v>
      </c>
      <c r="D519" s="40">
        <v>0.59595279139887947</v>
      </c>
      <c r="E519" s="40">
        <v>2.0543995234530467E-2</v>
      </c>
      <c r="F519" s="37">
        <v>11.704699859252962</v>
      </c>
      <c r="G519" s="12">
        <v>1.7573616043347757</v>
      </c>
      <c r="H519" s="37">
        <v>22704.29656137036</v>
      </c>
      <c r="I519" s="37">
        <v>68752.768312075568</v>
      </c>
      <c r="J519" s="37">
        <v>195203.0117104706</v>
      </c>
      <c r="K519" s="37">
        <v>110375.79470726197</v>
      </c>
      <c r="L519" s="37">
        <v>207826.41654050999</v>
      </c>
      <c r="M519" s="37">
        <v>80394.025932411503</v>
      </c>
      <c r="N519" s="37">
        <v>22639.861091636354</v>
      </c>
      <c r="O519" s="37">
        <v>622711.29751970537</v>
      </c>
      <c r="P519" s="68">
        <v>1</v>
      </c>
    </row>
    <row r="520" spans="1:16" x14ac:dyDescent="0.2">
      <c r="A520" s="10">
        <v>518</v>
      </c>
      <c r="B520" s="40">
        <v>0.11747787223187751</v>
      </c>
      <c r="C520" s="12">
        <v>2.6611991741487158</v>
      </c>
      <c r="D520" s="40">
        <v>0.3787435401346112</v>
      </c>
      <c r="E520" s="40">
        <v>1.7405297546512901E-2</v>
      </c>
      <c r="F520" s="37">
        <v>12.629814650328857</v>
      </c>
      <c r="G520" s="12">
        <v>13.240732803953748</v>
      </c>
      <c r="H520" s="37">
        <v>14331.967778280859</v>
      </c>
      <c r="I520" s="37">
        <v>34534.232483319203</v>
      </c>
      <c r="J520" s="37">
        <v>278163.19775955821</v>
      </c>
      <c r="K520" s="37">
        <v>77335.112617373146</v>
      </c>
      <c r="L520" s="37">
        <v>28785.084966192331</v>
      </c>
      <c r="M520" s="37">
        <v>46707.905760768073</v>
      </c>
      <c r="N520" s="37">
        <v>170578.63941807163</v>
      </c>
      <c r="O520" s="37">
        <v>331480.62354614679</v>
      </c>
      <c r="P520" s="68">
        <v>1</v>
      </c>
    </row>
    <row r="521" spans="1:16" x14ac:dyDescent="0.2">
      <c r="A521" s="10">
        <v>519</v>
      </c>
      <c r="B521" s="40">
        <v>0.14142706196524965</v>
      </c>
      <c r="C521" s="12">
        <v>1.7223004166795737</v>
      </c>
      <c r="D521" s="40">
        <v>0.63578085296836562</v>
      </c>
      <c r="E521" s="40">
        <v>2.9649466661512736E-2</v>
      </c>
      <c r="F521" s="37">
        <v>19.416093847229753</v>
      </c>
      <c r="G521" s="12">
        <v>8.3227842016285045</v>
      </c>
      <c r="H521" s="37">
        <v>41382.62223411593</v>
      </c>
      <c r="I521" s="37">
        <v>24002.098914802271</v>
      </c>
      <c r="J521" s="37">
        <v>564945.88548243116</v>
      </c>
      <c r="K521" s="37">
        <v>117662.21263989779</v>
      </c>
      <c r="L521" s="37">
        <v>37647.635079009116</v>
      </c>
      <c r="M521" s="37">
        <v>205330.24470252157</v>
      </c>
      <c r="N521" s="37">
        <v>107221.34690763382</v>
      </c>
      <c r="O521" s="37">
        <v>269722.66526676831</v>
      </c>
      <c r="P521" s="68">
        <v>1</v>
      </c>
    </row>
    <row r="522" spans="1:16" x14ac:dyDescent="0.2">
      <c r="A522" s="10">
        <v>520</v>
      </c>
      <c r="B522" s="40">
        <v>0.14281565641206906</v>
      </c>
      <c r="C522" s="12">
        <v>5.9474270234672018</v>
      </c>
      <c r="D522" s="40">
        <v>0.62658897103627065</v>
      </c>
      <c r="E522" s="40">
        <v>4.4221185450035151E-2</v>
      </c>
      <c r="F522" s="37">
        <v>8.3226693156847347</v>
      </c>
      <c r="G522" s="12">
        <v>13.957137654078778</v>
      </c>
      <c r="H522" s="37">
        <v>162626.71242147108</v>
      </c>
      <c r="I522" s="37">
        <v>73462.253791165058</v>
      </c>
      <c r="J522" s="37">
        <v>351342.6976576263</v>
      </c>
      <c r="K522" s="37">
        <v>165066.6204784869</v>
      </c>
      <c r="L522" s="37">
        <v>129382.7918014626</v>
      </c>
      <c r="M522" s="37">
        <v>129372.65715661283</v>
      </c>
      <c r="N522" s="37">
        <v>179807.98996960188</v>
      </c>
      <c r="O522" s="37">
        <v>1076331.6815988482</v>
      </c>
      <c r="P522" s="68">
        <v>1</v>
      </c>
    </row>
    <row r="523" spans="1:16" x14ac:dyDescent="0.2">
      <c r="A523" s="10">
        <v>521</v>
      </c>
      <c r="B523" s="40">
        <v>0.14778242701166702</v>
      </c>
      <c r="C523" s="12">
        <v>4.0490137726611302</v>
      </c>
      <c r="D523" s="40">
        <v>0.57465044741777727</v>
      </c>
      <c r="E523" s="40">
        <v>3.3699975488020811E-2</v>
      </c>
      <c r="F523" s="37">
        <v>11.032533438500838</v>
      </c>
      <c r="G523" s="12">
        <v>18.587365972848502</v>
      </c>
      <c r="H523" s="37">
        <v>133863.15078923572</v>
      </c>
      <c r="I523" s="37">
        <v>56824.935121900475</v>
      </c>
      <c r="J523" s="37">
        <v>329423.62406495889</v>
      </c>
      <c r="K523" s="37">
        <v>118007.97351002875</v>
      </c>
      <c r="L523" s="37">
        <v>83591.982910085004</v>
      </c>
      <c r="M523" s="37">
        <v>119860.28845737035</v>
      </c>
      <c r="N523" s="37">
        <v>239458.61947063077</v>
      </c>
      <c r="O523" s="37">
        <v>1115075.1976363366</v>
      </c>
      <c r="P523" s="68">
        <v>1</v>
      </c>
    </row>
    <row r="524" spans="1:16" x14ac:dyDescent="0.2">
      <c r="A524" s="10">
        <v>522</v>
      </c>
      <c r="B524" s="40">
        <v>0.13036856953570775</v>
      </c>
      <c r="C524" s="12">
        <v>4.1008314461411972</v>
      </c>
      <c r="D524" s="40">
        <v>0.5577996917463659</v>
      </c>
      <c r="E524" s="40">
        <v>1.771222570820237E-2</v>
      </c>
      <c r="F524" s="37">
        <v>12.379788264906605</v>
      </c>
      <c r="G524" s="12">
        <v>21.91763418083243</v>
      </c>
      <c r="H524" s="37">
        <v>99709.876992699719</v>
      </c>
      <c r="I524" s="37">
        <v>32627.581353392663</v>
      </c>
      <c r="J524" s="37">
        <v>325521.48590482073</v>
      </c>
      <c r="K524" s="37">
        <v>90732.408742084779</v>
      </c>
      <c r="L524" s="37">
        <v>72495.645117224893</v>
      </c>
      <c r="M524" s="37">
        <v>68616.941575196834</v>
      </c>
      <c r="N524" s="37">
        <v>282362.0318592207</v>
      </c>
      <c r="O524" s="37">
        <v>977462.91147109796</v>
      </c>
      <c r="P524" s="68">
        <v>1</v>
      </c>
    </row>
    <row r="525" spans="1:16" x14ac:dyDescent="0.2">
      <c r="A525" s="10">
        <v>523</v>
      </c>
      <c r="B525" s="40">
        <v>0.17667952968205552</v>
      </c>
      <c r="C525" s="12">
        <v>8.0571481271173546</v>
      </c>
      <c r="D525" s="40">
        <v>0.65331645862495236</v>
      </c>
      <c r="E525" s="40">
        <v>1.6896946774584379E-2</v>
      </c>
      <c r="F525" s="37">
        <v>15.456009851793636</v>
      </c>
      <c r="G525" s="12">
        <v>9.3463095565233267</v>
      </c>
      <c r="H525" s="37">
        <v>49909.560094752676</v>
      </c>
      <c r="I525" s="37">
        <v>14528.434426667345</v>
      </c>
      <c r="J525" s="37">
        <v>251637.40809814696</v>
      </c>
      <c r="K525" s="37">
        <v>69901.202854623829</v>
      </c>
      <c r="L525" s="37">
        <v>226089.30109933254</v>
      </c>
      <c r="M525" s="37">
        <v>95718.515201209346</v>
      </c>
      <c r="N525" s="37">
        <v>120407.29099644769</v>
      </c>
      <c r="O525" s="37">
        <v>971982.86352305813</v>
      </c>
      <c r="P525" s="68">
        <v>1</v>
      </c>
    </row>
    <row r="526" spans="1:16" x14ac:dyDescent="0.2">
      <c r="A526" s="10">
        <v>524</v>
      </c>
      <c r="B526" s="40">
        <v>0.13115995121558044</v>
      </c>
      <c r="C526" s="12">
        <v>6.0682700438492052</v>
      </c>
      <c r="D526" s="40">
        <v>0.70138841450216383</v>
      </c>
      <c r="E526" s="40">
        <v>1.6877483915113879E-2</v>
      </c>
      <c r="F526" s="37">
        <v>14.113674833627133</v>
      </c>
      <c r="G526" s="12">
        <v>19.166824511457719</v>
      </c>
      <c r="H526" s="37">
        <v>112968.92909859802</v>
      </c>
      <c r="I526" s="37">
        <v>40406.485246759556</v>
      </c>
      <c r="J526" s="37">
        <v>576143.77733184467</v>
      </c>
      <c r="K526" s="37">
        <v>91187.2245440564</v>
      </c>
      <c r="L526" s="37">
        <v>135710.53513852169</v>
      </c>
      <c r="M526" s="37">
        <v>93728.815817957598</v>
      </c>
      <c r="N526" s="37">
        <v>246923.7084939233</v>
      </c>
      <c r="O526" s="37">
        <v>932681.3186889746</v>
      </c>
      <c r="P526" s="68">
        <v>1</v>
      </c>
    </row>
    <row r="527" spans="1:16" x14ac:dyDescent="0.2">
      <c r="A527" s="10">
        <v>525</v>
      </c>
      <c r="B527" s="40">
        <v>0.14551483748476082</v>
      </c>
      <c r="C527" s="12">
        <v>5.1946164827655874</v>
      </c>
      <c r="D527" s="40">
        <v>0.63290591312342359</v>
      </c>
      <c r="E527" s="40">
        <v>3.2652565290294859E-2</v>
      </c>
      <c r="F527" s="37">
        <v>18.188348355793735</v>
      </c>
      <c r="G527" s="12">
        <v>12.377078012231085</v>
      </c>
      <c r="H527" s="37">
        <v>100170.61506981013</v>
      </c>
      <c r="I527" s="37">
        <v>50432.278644074642</v>
      </c>
      <c r="J527" s="37">
        <v>301392.25526579004</v>
      </c>
      <c r="K527" s="37">
        <v>180477.24245543504</v>
      </c>
      <c r="L527" s="37">
        <v>116302.41974781972</v>
      </c>
      <c r="M527" s="37">
        <v>210870.80464195908</v>
      </c>
      <c r="N527" s="37">
        <v>159452.28701143147</v>
      </c>
      <c r="O527" s="37">
        <v>978258.69311682053</v>
      </c>
      <c r="P527" s="68">
        <v>1</v>
      </c>
    </row>
    <row r="528" spans="1:16" x14ac:dyDescent="0.2">
      <c r="A528" s="10">
        <v>526</v>
      </c>
      <c r="B528" s="40">
        <v>8.6756535097740339E-2</v>
      </c>
      <c r="C528" s="12">
        <v>2.1715342080372437</v>
      </c>
      <c r="D528" s="40">
        <v>0.46350875226762339</v>
      </c>
      <c r="E528" s="40">
        <v>1.9450978682476819E-2</v>
      </c>
      <c r="F528" s="37">
        <v>15.456987050336641</v>
      </c>
      <c r="G528" s="12">
        <v>6.7069502001721233</v>
      </c>
      <c r="H528" s="37">
        <v>64965.796475221985</v>
      </c>
      <c r="I528" s="37">
        <v>73687.94038419977</v>
      </c>
      <c r="J528" s="37">
        <v>283030.7817217884</v>
      </c>
      <c r="K528" s="37">
        <v>116444.11729338663</v>
      </c>
      <c r="L528" s="37">
        <v>21228.32082989327</v>
      </c>
      <c r="M528" s="37">
        <v>78179.155009989452</v>
      </c>
      <c r="N528" s="37">
        <v>86404.767525291449</v>
      </c>
      <c r="O528" s="37">
        <v>299770.96230483835</v>
      </c>
      <c r="P528" s="68">
        <v>1</v>
      </c>
    </row>
    <row r="529" spans="1:16" x14ac:dyDescent="0.2">
      <c r="A529" s="10">
        <v>527</v>
      </c>
      <c r="B529" s="40">
        <v>0.1501064112381636</v>
      </c>
      <c r="C529" s="12">
        <v>5.0182396248550543</v>
      </c>
      <c r="D529" s="40">
        <v>0.61095248218602149</v>
      </c>
      <c r="E529" s="40">
        <v>2.2886931488219332E-2</v>
      </c>
      <c r="F529" s="37">
        <v>16.005093331422323</v>
      </c>
      <c r="G529" s="12">
        <v>18.793176790865644</v>
      </c>
      <c r="H529" s="37">
        <v>100505.3035616352</v>
      </c>
      <c r="I529" s="37">
        <v>42296.827754914659</v>
      </c>
      <c r="J529" s="37">
        <v>442052.36943316564</v>
      </c>
      <c r="K529" s="37">
        <v>159159.15483327658</v>
      </c>
      <c r="L529" s="37">
        <v>111878.56838465788</v>
      </c>
      <c r="M529" s="37">
        <v>125550.933498276</v>
      </c>
      <c r="N529" s="37">
        <v>242110.05348373929</v>
      </c>
      <c r="O529" s="37">
        <v>855616.94071085996</v>
      </c>
      <c r="P529" s="68">
        <v>1</v>
      </c>
    </row>
    <row r="530" spans="1:16" x14ac:dyDescent="0.2">
      <c r="A530" s="10">
        <v>528</v>
      </c>
      <c r="B530" s="40">
        <v>0.15333095947336528</v>
      </c>
      <c r="C530" s="12">
        <v>5.5554114721936045</v>
      </c>
      <c r="D530" s="40">
        <v>0.37912517970631521</v>
      </c>
      <c r="E530" s="40">
        <v>1.4032215295545474E-2</v>
      </c>
      <c r="F530" s="37">
        <v>16.019115952300304</v>
      </c>
      <c r="G530" s="12">
        <v>18.90622020953014</v>
      </c>
      <c r="H530" s="37">
        <v>65663.194597343943</v>
      </c>
      <c r="I530" s="37">
        <v>40515.255317661518</v>
      </c>
      <c r="J530" s="37">
        <v>411729.60677805252</v>
      </c>
      <c r="K530" s="37">
        <v>91537.822896908372</v>
      </c>
      <c r="L530" s="37">
        <v>78508.65611858193</v>
      </c>
      <c r="M530" s="37">
        <v>47809.493807593819</v>
      </c>
      <c r="N530" s="37">
        <v>243566.37715074958</v>
      </c>
      <c r="O530" s="37">
        <v>665570.285026083</v>
      </c>
      <c r="P530" s="68">
        <v>1</v>
      </c>
    </row>
    <row r="531" spans="1:16" x14ac:dyDescent="0.2">
      <c r="A531" s="10">
        <v>529</v>
      </c>
      <c r="B531" s="40">
        <v>0.14851545817549949</v>
      </c>
      <c r="C531" s="12">
        <v>1.4369926579574843</v>
      </c>
      <c r="D531" s="40">
        <v>0.65696566909341925</v>
      </c>
      <c r="E531" s="40">
        <v>8.1187328414417913E-3</v>
      </c>
      <c r="F531" s="37">
        <v>7.9100494945290913</v>
      </c>
      <c r="G531" s="12">
        <v>9.9888681846966225</v>
      </c>
      <c r="H531" s="37">
        <v>25078.696363247607</v>
      </c>
      <c r="I531" s="37">
        <v>39161.382619724456</v>
      </c>
      <c r="J531" s="37">
        <v>258863.79068218183</v>
      </c>
      <c r="K531" s="37">
        <v>150982.5864752662</v>
      </c>
      <c r="L531" s="37">
        <v>34084.561680526356</v>
      </c>
      <c r="M531" s="37">
        <v>23668.833729262951</v>
      </c>
      <c r="N531" s="37">
        <v>128685.29027058257</v>
      </c>
      <c r="O531" s="37">
        <v>20448.708985293866</v>
      </c>
      <c r="P531" s="68">
        <v>1</v>
      </c>
    </row>
    <row r="532" spans="1:16" x14ac:dyDescent="0.2">
      <c r="A532" s="10">
        <v>530</v>
      </c>
      <c r="B532" s="40">
        <v>0.20339930271989376</v>
      </c>
      <c r="C532" s="12">
        <v>3.3332019678856639</v>
      </c>
      <c r="D532" s="40">
        <v>0.54318840945216607</v>
      </c>
      <c r="E532" s="40">
        <v>2.6351735701482953E-2</v>
      </c>
      <c r="F532" s="37">
        <v>12.800174228198429</v>
      </c>
      <c r="G532" s="12">
        <v>15.071428542399374</v>
      </c>
      <c r="H532" s="37">
        <v>81405.651272919524</v>
      </c>
      <c r="I532" s="37">
        <v>36812.214307251845</v>
      </c>
      <c r="J532" s="37">
        <v>212298.25350261957</v>
      </c>
      <c r="K532" s="37">
        <v>117570.67247183932</v>
      </c>
      <c r="L532" s="37">
        <v>89526.254072723605</v>
      </c>
      <c r="M532" s="37">
        <v>102787.98049307102</v>
      </c>
      <c r="N532" s="37">
        <v>194163.25462602064</v>
      </c>
      <c r="O532" s="37">
        <v>872284.57265392202</v>
      </c>
      <c r="P532" s="68">
        <v>1</v>
      </c>
    </row>
    <row r="533" spans="1:16" x14ac:dyDescent="0.2">
      <c r="A533" s="10">
        <v>531</v>
      </c>
      <c r="B533" s="40">
        <v>0.15380695843260128</v>
      </c>
      <c r="C533" s="12">
        <v>3.5409331298173945</v>
      </c>
      <c r="D533" s="40">
        <v>0.68638049965181125</v>
      </c>
      <c r="E533" s="40">
        <v>3.8197467203915633E-2</v>
      </c>
      <c r="F533" s="37">
        <v>21.770783905857549</v>
      </c>
      <c r="G533" s="12">
        <v>21.499760869567922</v>
      </c>
      <c r="H533" s="37">
        <v>101570.63381486092</v>
      </c>
      <c r="I533" s="37">
        <v>51917.105032499676</v>
      </c>
      <c r="J533" s="37">
        <v>422718.78404215584</v>
      </c>
      <c r="K533" s="37">
        <v>140108.59510315719</v>
      </c>
      <c r="L533" s="37">
        <v>90875.638501750771</v>
      </c>
      <c r="M533" s="37">
        <v>320213.99009065056</v>
      </c>
      <c r="N533" s="37">
        <v>276978.62431373051</v>
      </c>
      <c r="O533" s="37">
        <v>1542482.1825790303</v>
      </c>
      <c r="P533" s="68">
        <v>1</v>
      </c>
    </row>
    <row r="534" spans="1:16" x14ac:dyDescent="0.2">
      <c r="A534" s="10">
        <v>532</v>
      </c>
      <c r="B534" s="40">
        <v>9.8997051442649364E-2</v>
      </c>
      <c r="C534" s="12">
        <v>4.0345483751954703</v>
      </c>
      <c r="D534" s="40">
        <v>0.69948804260882247</v>
      </c>
      <c r="E534" s="40">
        <v>1.8142486464654745E-2</v>
      </c>
      <c r="F534" s="37">
        <v>26.156068662533862</v>
      </c>
      <c r="G534" s="12">
        <v>10.522282502963973</v>
      </c>
      <c r="H534" s="37">
        <v>178804.07627285732</v>
      </c>
      <c r="I534" s="37">
        <v>50696.922517507744</v>
      </c>
      <c r="J534" s="37">
        <v>282035.41993303393</v>
      </c>
      <c r="K534" s="37">
        <v>89248.919375071186</v>
      </c>
      <c r="L534" s="37">
        <v>67918.222463992977</v>
      </c>
      <c r="M534" s="37">
        <v>186215.70402869664</v>
      </c>
      <c r="N534" s="37">
        <v>135557.19758895948</v>
      </c>
      <c r="O534" s="37">
        <v>1202673.0567678509</v>
      </c>
      <c r="P534" s="68">
        <v>1</v>
      </c>
    </row>
    <row r="535" spans="1:16" x14ac:dyDescent="0.2">
      <c r="A535" s="10">
        <v>533</v>
      </c>
      <c r="B535" s="40">
        <v>0.19011861816032044</v>
      </c>
      <c r="C535" s="12">
        <v>3.0897414546180593</v>
      </c>
      <c r="D535" s="40">
        <v>0.57712365208639971</v>
      </c>
      <c r="E535" s="40">
        <v>1.8894300898530718E-2</v>
      </c>
      <c r="F535" s="37">
        <v>26.226312610572794</v>
      </c>
      <c r="G535" s="12">
        <v>5.3998536545305029</v>
      </c>
      <c r="H535" s="37">
        <v>68098.638188640733</v>
      </c>
      <c r="I535" s="37">
        <v>71435.229039163663</v>
      </c>
      <c r="J535" s="37">
        <v>438372.49375463702</v>
      </c>
      <c r="K535" s="37">
        <v>106630.0784557572</v>
      </c>
      <c r="L535" s="37">
        <v>82414.663853210252</v>
      </c>
      <c r="M535" s="37">
        <v>160436.67993307303</v>
      </c>
      <c r="N535" s="37">
        <v>69565.612650341383</v>
      </c>
      <c r="O535" s="37">
        <v>529090.87629863876</v>
      </c>
      <c r="P535" s="68">
        <v>1</v>
      </c>
    </row>
    <row r="536" spans="1:16" x14ac:dyDescent="0.2">
      <c r="A536" s="10">
        <v>534</v>
      </c>
      <c r="B536" s="40">
        <v>0.14769783338854725</v>
      </c>
      <c r="C536" s="12">
        <v>7.6804118807648045</v>
      </c>
      <c r="D536" s="40">
        <v>0.69638114775979831</v>
      </c>
      <c r="E536" s="40">
        <v>4.0544519089728011E-2</v>
      </c>
      <c r="F536" s="37">
        <v>18.749084816928388</v>
      </c>
      <c r="G536" s="12">
        <v>14.19444938042378</v>
      </c>
      <c r="H536" s="37">
        <v>29224.928989632899</v>
      </c>
      <c r="I536" s="37">
        <v>39194.087033739692</v>
      </c>
      <c r="J536" s="37">
        <v>349720.94729372155</v>
      </c>
      <c r="K536" s="37">
        <v>77709.665169590284</v>
      </c>
      <c r="L536" s="37">
        <v>192041.22623752384</v>
      </c>
      <c r="M536" s="37">
        <v>296979.15327537857</v>
      </c>
      <c r="N536" s="37">
        <v>182865.24608958012</v>
      </c>
      <c r="O536" s="37">
        <v>1506629.6421137606</v>
      </c>
      <c r="P536" s="68">
        <v>1</v>
      </c>
    </row>
    <row r="537" spans="1:16" x14ac:dyDescent="0.2">
      <c r="A537" s="10">
        <v>535</v>
      </c>
      <c r="B537" s="40">
        <v>0.12095795009468026</v>
      </c>
      <c r="C537" s="12">
        <v>7.176999095880058</v>
      </c>
      <c r="D537" s="40">
        <v>0.72961992293963418</v>
      </c>
      <c r="E537" s="40">
        <v>3.2294807609217109E-2</v>
      </c>
      <c r="F537" s="37">
        <v>12.265318670784907</v>
      </c>
      <c r="G537" s="12">
        <v>3.3441650444666569</v>
      </c>
      <c r="H537" s="37">
        <v>196565.78140671164</v>
      </c>
      <c r="I537" s="37">
        <v>30778.983330069692</v>
      </c>
      <c r="J537" s="37">
        <v>497592.6608899798</v>
      </c>
      <c r="K537" s="37">
        <v>85606.657951404428</v>
      </c>
      <c r="L537" s="37">
        <v>153979.47107413772</v>
      </c>
      <c r="M537" s="37">
        <v>162134.31990340608</v>
      </c>
      <c r="N537" s="37">
        <v>43082.443526408162</v>
      </c>
      <c r="O537" s="37">
        <v>905843.5146758249</v>
      </c>
      <c r="P537" s="68">
        <v>1</v>
      </c>
    </row>
    <row r="538" spans="1:16" x14ac:dyDescent="0.2">
      <c r="A538" s="10">
        <v>536</v>
      </c>
      <c r="B538" s="40">
        <v>0.18892368239097448</v>
      </c>
      <c r="C538" s="12">
        <v>4.8241457471803608</v>
      </c>
      <c r="D538" s="40">
        <v>0.69463490489877322</v>
      </c>
      <c r="E538" s="40">
        <v>4.5068144975857795E-2</v>
      </c>
      <c r="F538" s="37">
        <v>18.531552200477392</v>
      </c>
      <c r="G538" s="12">
        <v>12.405679781551441</v>
      </c>
      <c r="H538" s="37">
        <v>116411.05123944051</v>
      </c>
      <c r="I538" s="37">
        <v>67190.098000493745</v>
      </c>
      <c r="J538" s="37">
        <v>531005.72135071433</v>
      </c>
      <c r="K538" s="37">
        <v>153703.95877101371</v>
      </c>
      <c r="L538" s="37">
        <v>153904.83169135844</v>
      </c>
      <c r="M538" s="37">
        <v>325465.39148100931</v>
      </c>
      <c r="N538" s="37">
        <v>159820.75988735561</v>
      </c>
      <c r="O538" s="37">
        <v>1343536.4490991053</v>
      </c>
      <c r="P538" s="68">
        <v>1</v>
      </c>
    </row>
    <row r="539" spans="1:16" x14ac:dyDescent="0.2">
      <c r="A539" s="10">
        <v>537</v>
      </c>
      <c r="B539" s="40">
        <v>0.16683116181592433</v>
      </c>
      <c r="C539" s="12">
        <v>8.5372288807416972</v>
      </c>
      <c r="D539" s="40">
        <v>0.59070009540316182</v>
      </c>
      <c r="E539" s="40">
        <v>2.1395364438076256E-2</v>
      </c>
      <c r="F539" s="37">
        <v>14.031923517264088</v>
      </c>
      <c r="G539" s="12">
        <v>6.1945999843731432</v>
      </c>
      <c r="H539" s="37">
        <v>65969.5971575687</v>
      </c>
      <c r="I539" s="37">
        <v>21107.267072849259</v>
      </c>
      <c r="J539" s="37">
        <v>241308.01822610869</v>
      </c>
      <c r="K539" s="37">
        <v>115969.6816002553</v>
      </c>
      <c r="L539" s="37">
        <v>204526.68047036737</v>
      </c>
      <c r="M539" s="37">
        <v>99487.993101630127</v>
      </c>
      <c r="N539" s="37">
        <v>79804.226300681243</v>
      </c>
      <c r="O539" s="37">
        <v>753066.02000466187</v>
      </c>
      <c r="P539" s="68">
        <v>1</v>
      </c>
    </row>
    <row r="540" spans="1:16" x14ac:dyDescent="0.2">
      <c r="A540" s="10">
        <v>538</v>
      </c>
      <c r="B540" s="40">
        <v>0.11912125089571104</v>
      </c>
      <c r="C540" s="12">
        <v>5.901346962305535</v>
      </c>
      <c r="D540" s="40">
        <v>0.83625784488550858</v>
      </c>
      <c r="E540" s="40">
        <v>2.0601251906796667E-2</v>
      </c>
      <c r="F540" s="37">
        <v>11.901945590555778</v>
      </c>
      <c r="G540" s="12">
        <v>16.252340485810976</v>
      </c>
      <c r="H540" s="37">
        <v>187477.757541022</v>
      </c>
      <c r="I540" s="37">
        <v>43503.203762374404</v>
      </c>
      <c r="J540" s="37">
        <v>295759.81241619051</v>
      </c>
      <c r="K540" s="37">
        <v>152410.11819419387</v>
      </c>
      <c r="L540" s="37">
        <v>142912.24083479831</v>
      </c>
      <c r="M540" s="37">
        <v>115031.95743340302</v>
      </c>
      <c r="N540" s="37">
        <v>209376.78967443967</v>
      </c>
      <c r="O540" s="37">
        <v>1233630.9290373218</v>
      </c>
      <c r="P540" s="68">
        <v>1</v>
      </c>
    </row>
    <row r="541" spans="1:16" x14ac:dyDescent="0.2">
      <c r="A541" s="10">
        <v>539</v>
      </c>
      <c r="B541" s="40">
        <v>0.14447877629704547</v>
      </c>
      <c r="C541" s="12">
        <v>3.6766680361816992</v>
      </c>
      <c r="D541" s="40">
        <v>0.32602238654952348</v>
      </c>
      <c r="E541" s="40">
        <v>2.6067530327004724E-2</v>
      </c>
      <c r="F541" s="37">
        <v>10.947166671153639</v>
      </c>
      <c r="G541" s="12">
        <v>27.190220966683267</v>
      </c>
      <c r="H541" s="37">
        <v>94906.236046260834</v>
      </c>
      <c r="I541" s="37">
        <v>26486.011348490654</v>
      </c>
      <c r="J541" s="37">
        <v>329372.79883573501</v>
      </c>
      <c r="K541" s="37">
        <v>135507.59305921334</v>
      </c>
      <c r="L541" s="37">
        <v>42101.224357603169</v>
      </c>
      <c r="M541" s="37">
        <v>52193.422017236109</v>
      </c>
      <c r="N541" s="37">
        <v>350288.08198505489</v>
      </c>
      <c r="O541" s="37">
        <v>876640.53960089758</v>
      </c>
      <c r="P541" s="68">
        <v>1</v>
      </c>
    </row>
    <row r="542" spans="1:16" x14ac:dyDescent="0.2">
      <c r="A542" s="10">
        <v>540</v>
      </c>
      <c r="B542" s="40">
        <v>0.12694988606664975</v>
      </c>
      <c r="C542" s="12">
        <v>3.1174680896625078</v>
      </c>
      <c r="D542" s="40">
        <v>0.38904141974761131</v>
      </c>
      <c r="E542" s="40">
        <v>3.9578178447019143E-2</v>
      </c>
      <c r="F542" s="37">
        <v>14.358755560526699</v>
      </c>
      <c r="G542" s="12">
        <v>16.467543935613023</v>
      </c>
      <c r="H542" s="37">
        <v>134387.9920462782</v>
      </c>
      <c r="I542" s="37">
        <v>53319.375521965798</v>
      </c>
      <c r="J542" s="37">
        <v>582157.33878100663</v>
      </c>
      <c r="K542" s="37">
        <v>83334.705756714553</v>
      </c>
      <c r="L542" s="37">
        <v>37429.928989280794</v>
      </c>
      <c r="M542" s="37">
        <v>124032.40875935652</v>
      </c>
      <c r="N542" s="37">
        <v>212149.22774179094</v>
      </c>
      <c r="O542" s="37">
        <v>756980.94872159499</v>
      </c>
      <c r="P542" s="68">
        <v>1</v>
      </c>
    </row>
    <row r="543" spans="1:16" x14ac:dyDescent="0.2">
      <c r="A543" s="10">
        <v>541</v>
      </c>
      <c r="B543" s="40">
        <v>0.14761762514741439</v>
      </c>
      <c r="C543" s="12">
        <v>5.3313817589666099</v>
      </c>
      <c r="D543" s="40">
        <v>0.52297221539961103</v>
      </c>
      <c r="E543" s="40">
        <v>2.4608663044132374E-2</v>
      </c>
      <c r="F543" s="37">
        <v>16.220258944218337</v>
      </c>
      <c r="G543" s="12">
        <v>18.40523011254454</v>
      </c>
      <c r="H543" s="37">
        <v>81546.456502969639</v>
      </c>
      <c r="I543" s="37">
        <v>31335.264500259516</v>
      </c>
      <c r="J543" s="37">
        <v>410823.9733619761</v>
      </c>
      <c r="K543" s="37">
        <v>92051.86824682157</v>
      </c>
      <c r="L543" s="37">
        <v>100056.53099542143</v>
      </c>
      <c r="M543" s="37">
        <v>117109.23686879984</v>
      </c>
      <c r="N543" s="37">
        <v>237112.1868599967</v>
      </c>
      <c r="O543" s="37">
        <v>920255.62999654841</v>
      </c>
      <c r="P543" s="68">
        <v>1</v>
      </c>
    </row>
    <row r="544" spans="1:16" x14ac:dyDescent="0.2">
      <c r="A544" s="10">
        <v>542</v>
      </c>
      <c r="B544" s="40">
        <v>0.14210978147964687</v>
      </c>
      <c r="C544" s="12">
        <v>7.3500726178795137</v>
      </c>
      <c r="D544" s="40">
        <v>0.53752896916903103</v>
      </c>
      <c r="E544" s="40">
        <v>1.8919903830410749E-2</v>
      </c>
      <c r="F544" s="37">
        <v>14.157373572593906</v>
      </c>
      <c r="G544" s="12">
        <v>12.504818736587136</v>
      </c>
      <c r="H544" s="37">
        <v>60080.909515688079</v>
      </c>
      <c r="I544" s="37">
        <v>42685.016190920644</v>
      </c>
      <c r="J544" s="37">
        <v>593880.92474796448</v>
      </c>
      <c r="K544" s="37">
        <v>84756.152651883604</v>
      </c>
      <c r="L544" s="37">
        <v>136491.7197659208</v>
      </c>
      <c r="M544" s="37">
        <v>80773.745791575071</v>
      </c>
      <c r="N544" s="37">
        <v>161097.95415701633</v>
      </c>
      <c r="O544" s="37">
        <v>516612.87035714672</v>
      </c>
      <c r="P544" s="68">
        <v>1</v>
      </c>
    </row>
    <row r="545" spans="1:16" x14ac:dyDescent="0.2">
      <c r="A545" s="10">
        <v>543</v>
      </c>
      <c r="B545" s="40">
        <v>0.18643877394473934</v>
      </c>
      <c r="C545" s="12">
        <v>8.317957671308589</v>
      </c>
      <c r="D545" s="40">
        <v>0.77795932378883736</v>
      </c>
      <c r="E545" s="40">
        <v>8.466611110639179E-3</v>
      </c>
      <c r="F545" s="37">
        <v>12.032896776014113</v>
      </c>
      <c r="G545" s="12">
        <v>22.222680811270823</v>
      </c>
      <c r="H545" s="37">
        <v>55886.952593823844</v>
      </c>
      <c r="I545" s="37">
        <v>53945.766403305388</v>
      </c>
      <c r="J545" s="37">
        <v>296526.66640755103</v>
      </c>
      <c r="K545" s="37">
        <v>102375.57473448098</v>
      </c>
      <c r="L545" s="37">
        <v>293290.95113075658</v>
      </c>
      <c r="M545" s="37">
        <v>44463.47744207603</v>
      </c>
      <c r="N545" s="37">
        <v>286291.90794309659</v>
      </c>
      <c r="O545" s="37">
        <v>1472716.8389174053</v>
      </c>
      <c r="P545" s="68">
        <v>1</v>
      </c>
    </row>
    <row r="546" spans="1:16" x14ac:dyDescent="0.2">
      <c r="A546" s="10">
        <v>544</v>
      </c>
      <c r="B546" s="40">
        <v>0.11141739949308811</v>
      </c>
      <c r="C546" s="12">
        <v>2.7823224451985826</v>
      </c>
      <c r="D546" s="40">
        <v>0.51694244290988656</v>
      </c>
      <c r="E546" s="40">
        <v>3.4061607371208211E-2</v>
      </c>
      <c r="F546" s="37">
        <v>13.30035478963412</v>
      </c>
      <c r="G546" s="12">
        <v>2.1412400405457137</v>
      </c>
      <c r="H546" s="37">
        <v>6283.7016501757462</v>
      </c>
      <c r="I546" s="37">
        <v>54049.07090272964</v>
      </c>
      <c r="J546" s="37">
        <v>288211.4312539848</v>
      </c>
      <c r="K546" s="37">
        <v>125246.11653605761</v>
      </c>
      <c r="L546" s="37">
        <v>38957.537495733282</v>
      </c>
      <c r="M546" s="37">
        <v>131382.42914344082</v>
      </c>
      <c r="N546" s="37">
        <v>27585.31708114516</v>
      </c>
      <c r="O546" s="37">
        <v>84439.738016720512</v>
      </c>
      <c r="P546" s="68">
        <v>1</v>
      </c>
    </row>
    <row r="547" spans="1:16" x14ac:dyDescent="0.2">
      <c r="A547" s="10">
        <v>545</v>
      </c>
      <c r="B547" s="40">
        <v>0.111094842754295</v>
      </c>
      <c r="C547" s="12">
        <v>3.2303359330484596</v>
      </c>
      <c r="D547" s="40">
        <v>0.66950447722254414</v>
      </c>
      <c r="E547" s="40">
        <v>1.0848561168798928E-2</v>
      </c>
      <c r="F547" s="37">
        <v>23.156752093231951</v>
      </c>
      <c r="G547" s="12">
        <v>21.390227425934143</v>
      </c>
      <c r="H547" s="37">
        <v>130613.85881375324</v>
      </c>
      <c r="I547" s="37">
        <v>25750.448326284284</v>
      </c>
      <c r="J547" s="37">
        <v>229228.17091908556</v>
      </c>
      <c r="K547" s="37">
        <v>186551.77657163428</v>
      </c>
      <c r="L547" s="37">
        <v>58409.555619819846</v>
      </c>
      <c r="M547" s="37">
        <v>94356.105208944209</v>
      </c>
      <c r="N547" s="37">
        <v>275567.51919874421</v>
      </c>
      <c r="O547" s="37">
        <v>886231.57567856484</v>
      </c>
      <c r="P547" s="68">
        <v>1</v>
      </c>
    </row>
    <row r="548" spans="1:16" x14ac:dyDescent="0.2">
      <c r="A548" s="10">
        <v>546</v>
      </c>
      <c r="B548" s="40">
        <v>9.967507958482677E-2</v>
      </c>
      <c r="C548" s="12">
        <v>6.1252676456388215</v>
      </c>
      <c r="D548" s="40">
        <v>0.70935518369483597</v>
      </c>
      <c r="E548" s="40">
        <v>2.3200835635285216E-2</v>
      </c>
      <c r="F548" s="37">
        <v>23.489519508484694</v>
      </c>
      <c r="G548" s="12">
        <v>14.603812318056454</v>
      </c>
      <c r="H548" s="37">
        <v>64206.297096633702</v>
      </c>
      <c r="I548" s="37">
        <v>25679.770078685902</v>
      </c>
      <c r="J548" s="37">
        <v>385801.73658070801</v>
      </c>
      <c r="K548" s="37">
        <v>138456.18262890581</v>
      </c>
      <c r="L548" s="37">
        <v>105284.45114621671</v>
      </c>
      <c r="M548" s="37">
        <v>216874.37430987775</v>
      </c>
      <c r="N548" s="37">
        <v>188139.01559791996</v>
      </c>
      <c r="O548" s="37">
        <v>907791.73457460292</v>
      </c>
      <c r="P548" s="68">
        <v>1</v>
      </c>
    </row>
    <row r="549" spans="1:16" x14ac:dyDescent="0.2">
      <c r="A549" s="10">
        <v>547</v>
      </c>
      <c r="B549" s="40">
        <v>0.15337093025434406</v>
      </c>
      <c r="C549" s="12">
        <v>8.4136695065043501</v>
      </c>
      <c r="D549" s="40">
        <v>0.58742459675586467</v>
      </c>
      <c r="E549" s="40">
        <v>2.2398427321034128E-2</v>
      </c>
      <c r="F549" s="37">
        <v>11.664816022350742</v>
      </c>
      <c r="G549" s="12">
        <v>20.925510336014462</v>
      </c>
      <c r="H549" s="37">
        <v>202692.18849052142</v>
      </c>
      <c r="I549" s="37">
        <v>25480.728032878276</v>
      </c>
      <c r="J549" s="37">
        <v>347727.0711503023</v>
      </c>
      <c r="K549" s="37">
        <v>65839.941361680787</v>
      </c>
      <c r="L549" s="37">
        <v>184276.2888608322</v>
      </c>
      <c r="M549" s="37">
        <v>86102.206054198075</v>
      </c>
      <c r="N549" s="37">
        <v>269580.62934253062</v>
      </c>
      <c r="O549" s="37">
        <v>1619840.4459862388</v>
      </c>
      <c r="P549" s="68">
        <v>1</v>
      </c>
    </row>
    <row r="550" spans="1:16" x14ac:dyDescent="0.2">
      <c r="A550" s="10">
        <v>548</v>
      </c>
      <c r="B550" s="40">
        <v>0.16826444980989474</v>
      </c>
      <c r="C550" s="12">
        <v>4.3797238149480204</v>
      </c>
      <c r="D550" s="40">
        <v>0.49376396339304496</v>
      </c>
      <c r="E550" s="40">
        <v>3.2210386457668841E-2</v>
      </c>
      <c r="F550" s="37">
        <v>25.837011982961439</v>
      </c>
      <c r="G550" s="12">
        <v>19.201329430197575</v>
      </c>
      <c r="H550" s="37">
        <v>85414.937098315888</v>
      </c>
      <c r="I550" s="37">
        <v>14206.216640669549</v>
      </c>
      <c r="J550" s="37">
        <v>324891.46775759617</v>
      </c>
      <c r="K550" s="37">
        <v>109974.55328838198</v>
      </c>
      <c r="L550" s="37">
        <v>88460.077305191779</v>
      </c>
      <c r="M550" s="37">
        <v>230528.35141627406</v>
      </c>
      <c r="N550" s="37">
        <v>247368.23087640945</v>
      </c>
      <c r="O550" s="37">
        <v>1232827.8271027722</v>
      </c>
      <c r="P550" s="68">
        <v>1</v>
      </c>
    </row>
    <row r="551" spans="1:16" x14ac:dyDescent="0.2">
      <c r="A551" s="10">
        <v>549</v>
      </c>
      <c r="B551" s="40">
        <v>0.19271619625925995</v>
      </c>
      <c r="C551" s="12">
        <v>5.9725879869770768</v>
      </c>
      <c r="D551" s="40">
        <v>0.57643854680348183</v>
      </c>
      <c r="E551" s="40">
        <v>1.6994311453413572E-2</v>
      </c>
      <c r="F551" s="37">
        <v>11.045252067442327</v>
      </c>
      <c r="G551" s="12">
        <v>15.625674240186866</v>
      </c>
      <c r="H551" s="37">
        <v>54947.220983140112</v>
      </c>
      <c r="I551" s="37">
        <v>27253.15317517865</v>
      </c>
      <c r="J551" s="37">
        <v>542758.71644523926</v>
      </c>
      <c r="K551" s="37">
        <v>145587.6211370696</v>
      </c>
      <c r="L551" s="37">
        <v>161295.63543084293</v>
      </c>
      <c r="M551" s="37">
        <v>60701.434068629496</v>
      </c>
      <c r="N551" s="37">
        <v>201303.52989867621</v>
      </c>
      <c r="O551" s="37">
        <v>465587.84161755349</v>
      </c>
      <c r="P551" s="68">
        <v>1</v>
      </c>
    </row>
    <row r="552" spans="1:16" x14ac:dyDescent="0.2">
      <c r="A552" s="10">
        <v>550</v>
      </c>
      <c r="B552" s="40">
        <v>0.22613017651817838</v>
      </c>
      <c r="C552" s="12">
        <v>2.9810538558114974</v>
      </c>
      <c r="D552" s="40">
        <v>0.70697335835581199</v>
      </c>
      <c r="E552" s="40">
        <v>1.8805668901857378E-2</v>
      </c>
      <c r="F552" s="37">
        <v>14.352908985312128</v>
      </c>
      <c r="G552" s="12">
        <v>13.249983689872078</v>
      </c>
      <c r="H552" s="37">
        <v>164882.68507069862</v>
      </c>
      <c r="I552" s="37">
        <v>69255.555384380918</v>
      </c>
      <c r="J552" s="37">
        <v>505432.74626430823</v>
      </c>
      <c r="K552" s="37">
        <v>152652.95812971506</v>
      </c>
      <c r="L552" s="37">
        <v>115856.45119960779</v>
      </c>
      <c r="M552" s="37">
        <v>107052.914773943</v>
      </c>
      <c r="N552" s="37">
        <v>170697.8173787423</v>
      </c>
      <c r="O552" s="37">
        <v>825603.87493166712</v>
      </c>
      <c r="P552" s="68">
        <v>1</v>
      </c>
    </row>
    <row r="553" spans="1:16" x14ac:dyDescent="0.2">
      <c r="A553" s="10">
        <v>551</v>
      </c>
      <c r="B553" s="40">
        <v>0.10991700700108727</v>
      </c>
      <c r="C553" s="12">
        <v>7.4511635453721841</v>
      </c>
      <c r="D553" s="40">
        <v>0.30555863016867013</v>
      </c>
      <c r="E553" s="40">
        <v>1.7409778516074913E-2</v>
      </c>
      <c r="F553" s="37">
        <v>18.803395110927667</v>
      </c>
      <c r="G553" s="12">
        <v>25.043849140950318</v>
      </c>
      <c r="H553" s="37">
        <v>89158.529406590445</v>
      </c>
      <c r="I553" s="37">
        <v>27621.854486169297</v>
      </c>
      <c r="J553" s="37">
        <v>291469.80138667556</v>
      </c>
      <c r="K553" s="37">
        <v>92841.228023974414</v>
      </c>
      <c r="L553" s="37">
        <v>60837.64214463329</v>
      </c>
      <c r="M553" s="37">
        <v>56116.529487792344</v>
      </c>
      <c r="N553" s="37">
        <v>322636.65278247464</v>
      </c>
      <c r="O553" s="37">
        <v>1007172.933138274</v>
      </c>
      <c r="P553" s="68">
        <v>1</v>
      </c>
    </row>
    <row r="554" spans="1:16" x14ac:dyDescent="0.2">
      <c r="A554" s="10">
        <v>552</v>
      </c>
      <c r="B554" s="40">
        <v>0.11480123886779216</v>
      </c>
      <c r="C554" s="12">
        <v>3.8671969027673576</v>
      </c>
      <c r="D554" s="40">
        <v>0.67918943509820073</v>
      </c>
      <c r="E554" s="40">
        <v>2.435890538549345E-2</v>
      </c>
      <c r="F554" s="37">
        <v>18.302469208856621</v>
      </c>
      <c r="G554" s="12">
        <v>2.576386749656201</v>
      </c>
      <c r="H554" s="37">
        <v>203830.75201024866</v>
      </c>
      <c r="I554" s="37">
        <v>19022.932314056423</v>
      </c>
      <c r="J554" s="37">
        <v>511869.85924485931</v>
      </c>
      <c r="K554" s="37">
        <v>107172.76379660345</v>
      </c>
      <c r="L554" s="37">
        <v>73303.145551155685</v>
      </c>
      <c r="M554" s="37">
        <v>169873.29357483433</v>
      </c>
      <c r="N554" s="37">
        <v>33191.255565543383</v>
      </c>
      <c r="O554" s="37">
        <v>586508.03946933639</v>
      </c>
      <c r="P554" s="68">
        <v>1</v>
      </c>
    </row>
    <row r="555" spans="1:16" x14ac:dyDescent="0.2">
      <c r="A555" s="10">
        <v>553</v>
      </c>
      <c r="B555" s="40">
        <v>0.1565116108137552</v>
      </c>
      <c r="C555" s="12">
        <v>3.5300162221597313</v>
      </c>
      <c r="D555" s="40">
        <v>0.64588229632943106</v>
      </c>
      <c r="E555" s="40">
        <v>7.512053820097812E-3</v>
      </c>
      <c r="F555" s="37">
        <v>12.691997248295305</v>
      </c>
      <c r="G555" s="12">
        <v>23.465924593121958</v>
      </c>
      <c r="H555" s="37">
        <v>189835.6088711301</v>
      </c>
      <c r="I555" s="37">
        <v>31224.174410866293</v>
      </c>
      <c r="J555" s="37">
        <v>381759.4328752078</v>
      </c>
      <c r="K555" s="37">
        <v>84367.187613308692</v>
      </c>
      <c r="L555" s="37">
        <v>86749.198839942968</v>
      </c>
      <c r="M555" s="37">
        <v>34546.875324005203</v>
      </c>
      <c r="N555" s="37">
        <v>302308.45596299309</v>
      </c>
      <c r="O555" s="37">
        <v>1187989.7150534552</v>
      </c>
      <c r="P555" s="68">
        <v>1</v>
      </c>
    </row>
    <row r="556" spans="1:16" x14ac:dyDescent="0.2">
      <c r="A556" s="10">
        <v>554</v>
      </c>
      <c r="B556" s="40">
        <v>0.15713544903778193</v>
      </c>
      <c r="C556" s="12">
        <v>4.2149614236618014</v>
      </c>
      <c r="D556" s="40">
        <v>0.51118190645367645</v>
      </c>
      <c r="E556" s="40">
        <v>1.3830950871192713E-2</v>
      </c>
      <c r="F556" s="37">
        <v>8.8808228004973699</v>
      </c>
      <c r="G556" s="12">
        <v>10.544886176423175</v>
      </c>
      <c r="H556" s="37">
        <v>48621.373604738183</v>
      </c>
      <c r="I556" s="37">
        <v>40783.477037213619</v>
      </c>
      <c r="J556" s="37">
        <v>585487.22519434092</v>
      </c>
      <c r="K556" s="37">
        <v>95163.737481586664</v>
      </c>
      <c r="L556" s="37">
        <v>82306.110331535572</v>
      </c>
      <c r="M556" s="37">
        <v>35224.711809533146</v>
      </c>
      <c r="N556" s="37">
        <v>135848.39777565683</v>
      </c>
      <c r="O556" s="37">
        <v>108255.05718059244</v>
      </c>
      <c r="P556" s="68">
        <v>1</v>
      </c>
    </row>
    <row r="557" spans="1:16" x14ac:dyDescent="0.2">
      <c r="A557" s="10">
        <v>555</v>
      </c>
      <c r="B557" s="40">
        <v>0.19649004477828566</v>
      </c>
      <c r="C557" s="12">
        <v>3.1280778280190464</v>
      </c>
      <c r="D557" s="40">
        <v>0.52337335654031647</v>
      </c>
      <c r="E557" s="40">
        <v>3.4017450365028644E-2</v>
      </c>
      <c r="F557" s="37">
        <v>11.656418775238873</v>
      </c>
      <c r="G557" s="12">
        <v>21.857698972184444</v>
      </c>
      <c r="H557" s="37">
        <v>129800.49093588017</v>
      </c>
      <c r="I557" s="37">
        <v>20641.834512842197</v>
      </c>
      <c r="J557" s="37">
        <v>311765.2897670496</v>
      </c>
      <c r="K557" s="37">
        <v>107187.4310553238</v>
      </c>
      <c r="L557" s="37">
        <v>78202.122643637325</v>
      </c>
      <c r="M557" s="37">
        <v>116424.73113060965</v>
      </c>
      <c r="N557" s="37">
        <v>281589.89435778582</v>
      </c>
      <c r="O557" s="37">
        <v>1143605.6744681562</v>
      </c>
      <c r="P557" s="68">
        <v>1</v>
      </c>
    </row>
    <row r="558" spans="1:16" x14ac:dyDescent="0.2">
      <c r="A558" s="10">
        <v>556</v>
      </c>
      <c r="B558" s="40">
        <v>0.20994876371717011</v>
      </c>
      <c r="C558" s="12">
        <v>4.2528261442970496</v>
      </c>
      <c r="D558" s="40">
        <v>0.48937669428740188</v>
      </c>
      <c r="E558" s="40">
        <v>2.6386144851850282E-2</v>
      </c>
      <c r="F558" s="37">
        <v>11.777434187218494</v>
      </c>
      <c r="G558" s="12">
        <v>8.1201696824447662</v>
      </c>
      <c r="H558" s="37">
        <v>141662.4943044676</v>
      </c>
      <c r="I558" s="37">
        <v>37415.090376909917</v>
      </c>
      <c r="J558" s="37">
        <v>509977.43190575589</v>
      </c>
      <c r="K558" s="37">
        <v>111256.14537149224</v>
      </c>
      <c r="L558" s="37">
        <v>106224.10076397762</v>
      </c>
      <c r="M558" s="37">
        <v>85317.20967151408</v>
      </c>
      <c r="N558" s="37">
        <v>104611.0903968772</v>
      </c>
      <c r="O558" s="37">
        <v>509745.13872193731</v>
      </c>
      <c r="P558" s="68">
        <v>1</v>
      </c>
    </row>
    <row r="559" spans="1:16" x14ac:dyDescent="0.2">
      <c r="A559" s="10">
        <v>557</v>
      </c>
      <c r="B559" s="40">
        <v>0.13204578214608934</v>
      </c>
      <c r="C559" s="12">
        <v>6.9794051974332794</v>
      </c>
      <c r="D559" s="40">
        <v>0.73282632502635969</v>
      </c>
      <c r="E559" s="40">
        <v>1.829582088995646E-2</v>
      </c>
      <c r="F559" s="37">
        <v>12.938483840051209</v>
      </c>
      <c r="G559" s="12">
        <v>4.0404711927644783</v>
      </c>
      <c r="H559" s="37">
        <v>237431.72604891114</v>
      </c>
      <c r="I559" s="37">
        <v>36514.197782051946</v>
      </c>
      <c r="J559" s="37">
        <v>305021.5300705104</v>
      </c>
      <c r="K559" s="37">
        <v>141025.02145857661</v>
      </c>
      <c r="L559" s="37">
        <v>164184.75807551405</v>
      </c>
      <c r="M559" s="37">
        <v>97320.219914689587</v>
      </c>
      <c r="N559" s="37">
        <v>52052.865115129716</v>
      </c>
      <c r="O559" s="37">
        <v>945849.8344518037</v>
      </c>
      <c r="P559" s="68">
        <v>1</v>
      </c>
    </row>
    <row r="560" spans="1:16" x14ac:dyDescent="0.2">
      <c r="A560" s="10">
        <v>558</v>
      </c>
      <c r="B560" s="40">
        <v>0.15252766543467186</v>
      </c>
      <c r="C560" s="12">
        <v>7.404288924955714</v>
      </c>
      <c r="D560" s="40">
        <v>0.61285797567948297</v>
      </c>
      <c r="E560" s="40">
        <v>3.6614869236042159E-2</v>
      </c>
      <c r="F560" s="37">
        <v>20.078513432697946</v>
      </c>
      <c r="G560" s="12">
        <v>18.23394657028393</v>
      </c>
      <c r="H560" s="37">
        <v>165786.790040555</v>
      </c>
      <c r="I560" s="37">
        <v>59203.941242690613</v>
      </c>
      <c r="J560" s="37">
        <v>570670.21566497418</v>
      </c>
      <c r="K560" s="37">
        <v>141032.76606894893</v>
      </c>
      <c r="L560" s="37">
        <v>168259.90992787742</v>
      </c>
      <c r="M560" s="37">
        <v>252764.2315118743</v>
      </c>
      <c r="N560" s="37">
        <v>234905.56325191376</v>
      </c>
      <c r="O560" s="37">
        <v>1502226.4420656026</v>
      </c>
      <c r="P560" s="68">
        <v>1</v>
      </c>
    </row>
    <row r="561" spans="1:16" x14ac:dyDescent="0.2">
      <c r="A561" s="10">
        <v>559</v>
      </c>
      <c r="B561" s="40">
        <v>0.11541359028474897</v>
      </c>
      <c r="C561" s="12">
        <v>9.2275651431671335</v>
      </c>
      <c r="D561" s="40">
        <v>0.35021699676142304</v>
      </c>
      <c r="E561" s="40">
        <v>1.3903118275281344E-2</v>
      </c>
      <c r="F561" s="37">
        <v>17.79023119147476</v>
      </c>
      <c r="G561" s="12">
        <v>18.273521449755641</v>
      </c>
      <c r="H561" s="37">
        <v>110910.7736228733</v>
      </c>
      <c r="I561" s="37">
        <v>52790.540138393539</v>
      </c>
      <c r="J561" s="37">
        <v>463470.91878349264</v>
      </c>
      <c r="K561" s="37">
        <v>63788.388763437768</v>
      </c>
      <c r="L561" s="37">
        <v>90671.357966696669</v>
      </c>
      <c r="M561" s="37">
        <v>48595.690872359693</v>
      </c>
      <c r="N561" s="37">
        <v>235415.40127941346</v>
      </c>
      <c r="O561" s="37">
        <v>866173.03511291719</v>
      </c>
      <c r="P561" s="68">
        <v>1</v>
      </c>
    </row>
    <row r="562" spans="1:16" x14ac:dyDescent="0.2">
      <c r="A562" s="10">
        <v>560</v>
      </c>
      <c r="B562" s="40">
        <v>0.12429978371793106</v>
      </c>
      <c r="C562" s="12">
        <v>7.449216821921266</v>
      </c>
      <c r="D562" s="40">
        <v>0.69690380427501097</v>
      </c>
      <c r="E562" s="40">
        <v>3.1560193969180507E-2</v>
      </c>
      <c r="F562" s="37">
        <v>17.376707249395757</v>
      </c>
      <c r="G562" s="12">
        <v>23.143525800830613</v>
      </c>
      <c r="H562" s="37">
        <v>54830.467038862211</v>
      </c>
      <c r="I562" s="37">
        <v>34542.643038525202</v>
      </c>
      <c r="J562" s="37">
        <v>494329.61919414811</v>
      </c>
      <c r="K562" s="37">
        <v>120511.50896571457</v>
      </c>
      <c r="L562" s="37">
        <v>156870.99568760119</v>
      </c>
      <c r="M562" s="37">
        <v>214410.82872698695</v>
      </c>
      <c r="N562" s="37">
        <v>298155.0342337467</v>
      </c>
      <c r="O562" s="37">
        <v>1293950.9505297141</v>
      </c>
      <c r="P562" s="68">
        <v>1</v>
      </c>
    </row>
    <row r="563" spans="1:16" x14ac:dyDescent="0.2">
      <c r="A563" s="10">
        <v>561</v>
      </c>
      <c r="B563" s="40">
        <v>0.21073636933964429</v>
      </c>
      <c r="C563" s="12">
        <v>3.8109933505494085</v>
      </c>
      <c r="D563" s="40">
        <v>0.66045854825953132</v>
      </c>
      <c r="E563" s="40">
        <v>2.1927066425388879E-2</v>
      </c>
      <c r="F563" s="37">
        <v>12.776301681558522</v>
      </c>
      <c r="G563" s="12">
        <v>10.432495910344644</v>
      </c>
      <c r="H563" s="37">
        <v>130846.88077556605</v>
      </c>
      <c r="I563" s="37">
        <v>9123.7824746924271</v>
      </c>
      <c r="J563" s="37">
        <v>370812.04013784591</v>
      </c>
      <c r="K563" s="37">
        <v>76378.266301122596</v>
      </c>
      <c r="L563" s="37">
        <v>128947.24855547451</v>
      </c>
      <c r="M563" s="37">
        <v>103800.1516148104</v>
      </c>
      <c r="N563" s="37">
        <v>134400.4885885017</v>
      </c>
      <c r="O563" s="37">
        <v>835965.87347078219</v>
      </c>
      <c r="P563" s="68">
        <v>1</v>
      </c>
    </row>
    <row r="564" spans="1:16" x14ac:dyDescent="0.2">
      <c r="A564" s="10">
        <v>562</v>
      </c>
      <c r="B564" s="40">
        <v>0.20561060825057018</v>
      </c>
      <c r="C564" s="12">
        <v>4.8187377249949215</v>
      </c>
      <c r="D564" s="40">
        <v>0.64529782868301422</v>
      </c>
      <c r="E564" s="40">
        <v>2.7090813734625761E-2</v>
      </c>
      <c r="F564" s="37">
        <v>11.66656136381844</v>
      </c>
      <c r="G564" s="12">
        <v>9.4374500576221632</v>
      </c>
      <c r="H564" s="37">
        <v>69015.762538264709</v>
      </c>
      <c r="I564" s="37">
        <v>63690.817379387932</v>
      </c>
      <c r="J564" s="37">
        <v>315840.58404230204</v>
      </c>
      <c r="K564" s="37">
        <v>100159.45026014333</v>
      </c>
      <c r="L564" s="37">
        <v>155427.49237182751</v>
      </c>
      <c r="M564" s="37">
        <v>114417.34229600357</v>
      </c>
      <c r="N564" s="37">
        <v>121581.44222383885</v>
      </c>
      <c r="O564" s="37">
        <v>871978.99066981708</v>
      </c>
      <c r="P564" s="68">
        <v>1</v>
      </c>
    </row>
    <row r="565" spans="1:16" x14ac:dyDescent="0.2">
      <c r="A565" s="10">
        <v>563</v>
      </c>
      <c r="B565" s="40">
        <v>0.15951497035448459</v>
      </c>
      <c r="C565" s="12">
        <v>2.6406610451935721</v>
      </c>
      <c r="D565" s="40">
        <v>0.8000196220541248</v>
      </c>
      <c r="E565" s="40">
        <v>1.2807330286030309E-2</v>
      </c>
      <c r="F565" s="37">
        <v>12.410911008286167</v>
      </c>
      <c r="G565" s="12">
        <v>12.96643819969449</v>
      </c>
      <c r="H565" s="37">
        <v>18279.972242189506</v>
      </c>
      <c r="I565" s="37">
        <v>31786.731640024329</v>
      </c>
      <c r="J565" s="37">
        <v>373842.77083221468</v>
      </c>
      <c r="K565" s="37">
        <v>163139.98083570128</v>
      </c>
      <c r="L565" s="37">
        <v>81922.571278225063</v>
      </c>
      <c r="M565" s="37">
        <v>71339.431173775825</v>
      </c>
      <c r="N565" s="37">
        <v>167044.93768969816</v>
      </c>
      <c r="O565" s="37">
        <v>206750.72364608315</v>
      </c>
      <c r="P565" s="68">
        <v>1</v>
      </c>
    </row>
    <row r="566" spans="1:16" x14ac:dyDescent="0.2">
      <c r="A566" s="10">
        <v>564</v>
      </c>
      <c r="B566" s="40">
        <v>0.15663620276066251</v>
      </c>
      <c r="C566" s="12">
        <v>2.9018920452222883</v>
      </c>
      <c r="D566" s="40">
        <v>0.5587595068725546</v>
      </c>
      <c r="E566" s="40">
        <v>7.2301200382955608E-3</v>
      </c>
      <c r="F566" s="37">
        <v>26.32081187971832</v>
      </c>
      <c r="G566" s="12">
        <v>16.824082385737817</v>
      </c>
      <c r="H566" s="37">
        <v>144129.12304089553</v>
      </c>
      <c r="I566" s="37">
        <v>47188.962454036402</v>
      </c>
      <c r="J566" s="37">
        <v>438593.43264726253</v>
      </c>
      <c r="K566" s="37">
        <v>91918.568596850746</v>
      </c>
      <c r="L566" s="37">
        <v>61742.918365914411</v>
      </c>
      <c r="M566" s="37">
        <v>59653.570950700494</v>
      </c>
      <c r="N566" s="37">
        <v>216742.46624475016</v>
      </c>
      <c r="O566" s="37">
        <v>787230.53236759163</v>
      </c>
      <c r="P566" s="68">
        <v>1</v>
      </c>
    </row>
    <row r="567" spans="1:16" x14ac:dyDescent="0.2">
      <c r="A567" s="10">
        <v>565</v>
      </c>
      <c r="B567" s="40">
        <v>0.1207574552144758</v>
      </c>
      <c r="C567" s="12">
        <v>3.0243802026507471</v>
      </c>
      <c r="D567" s="40">
        <v>0.44098532201449148</v>
      </c>
      <c r="E567" s="40">
        <v>1.581091135612351E-2</v>
      </c>
      <c r="F567" s="37">
        <v>25.505609320127512</v>
      </c>
      <c r="G567" s="12">
        <v>13.840910948995248</v>
      </c>
      <c r="H567" s="37">
        <v>203968.864399768</v>
      </c>
      <c r="I567" s="37">
        <v>62629.43488047627</v>
      </c>
      <c r="J567" s="37">
        <v>305648.93282117054</v>
      </c>
      <c r="K567" s="37">
        <v>102642.39315077252</v>
      </c>
      <c r="L567" s="37">
        <v>39152.842994318227</v>
      </c>
      <c r="M567" s="37">
        <v>99766.209798129872</v>
      </c>
      <c r="N567" s="37">
        <v>178310.65643748239</v>
      </c>
      <c r="O567" s="37">
        <v>1042458.4818534229</v>
      </c>
      <c r="P567" s="68">
        <v>1</v>
      </c>
    </row>
    <row r="568" spans="1:16" x14ac:dyDescent="0.2">
      <c r="A568" s="10">
        <v>566</v>
      </c>
      <c r="B568" s="40">
        <v>0.17785693543414499</v>
      </c>
      <c r="C568" s="12">
        <v>8.3052673789720615</v>
      </c>
      <c r="D568" s="40">
        <v>0.66185366047164473</v>
      </c>
      <c r="E568" s="40">
        <v>2.012131003739201E-2</v>
      </c>
      <c r="F568" s="37">
        <v>13.731025800235727</v>
      </c>
      <c r="G568" s="12">
        <v>9.597433340205102</v>
      </c>
      <c r="H568" s="37">
        <v>55076.474937132618</v>
      </c>
      <c r="I568" s="37">
        <v>35611.192013951579</v>
      </c>
      <c r="J568" s="37">
        <v>488013.52373087034</v>
      </c>
      <c r="K568" s="37">
        <v>122613.39649424498</v>
      </c>
      <c r="L568" s="37">
        <v>237670.47177241085</v>
      </c>
      <c r="M568" s="37">
        <v>102585.96383131285</v>
      </c>
      <c r="N568" s="37">
        <v>123642.4860555281</v>
      </c>
      <c r="O568" s="37">
        <v>722218.54606488789</v>
      </c>
      <c r="P568" s="68">
        <v>1</v>
      </c>
    </row>
    <row r="569" spans="1:16" x14ac:dyDescent="0.2">
      <c r="A569" s="10">
        <v>567</v>
      </c>
      <c r="B569" s="40">
        <v>0.21477875267901236</v>
      </c>
      <c r="C569" s="12">
        <v>2.8493612247178524</v>
      </c>
      <c r="D569" s="40">
        <v>0.61171781330535646</v>
      </c>
      <c r="E569" s="40">
        <v>3.7776350636466944E-3</v>
      </c>
      <c r="F569" s="37">
        <v>22.87092057749269</v>
      </c>
      <c r="G569" s="12">
        <v>22.954471228438109</v>
      </c>
      <c r="H569" s="37">
        <v>59013.685075592795</v>
      </c>
      <c r="I569" s="37">
        <v>20973.12126057221</v>
      </c>
      <c r="J569" s="37">
        <v>534551.69140330283</v>
      </c>
      <c r="K569" s="37">
        <v>174044.52177923964</v>
      </c>
      <c r="L569" s="37">
        <v>91007.834957145518</v>
      </c>
      <c r="M569" s="37">
        <v>29649.782093542592</v>
      </c>
      <c r="N569" s="37">
        <v>295719.46875470848</v>
      </c>
      <c r="O569" s="37">
        <v>368470.176268582</v>
      </c>
      <c r="P569" s="68">
        <v>1</v>
      </c>
    </row>
    <row r="570" spans="1:16" x14ac:dyDescent="0.2">
      <c r="A570" s="10">
        <v>568</v>
      </c>
      <c r="B570" s="40">
        <v>0.1717159691812461</v>
      </c>
      <c r="C570" s="12">
        <v>4.2542239858380935</v>
      </c>
      <c r="D570" s="40">
        <v>0.65462767404883593</v>
      </c>
      <c r="E570" s="40">
        <v>3.2101294918844572E-2</v>
      </c>
      <c r="F570" s="37">
        <v>18.018958200322846</v>
      </c>
      <c r="G570" s="12">
        <v>19.800492534776474</v>
      </c>
      <c r="H570" s="37">
        <v>103941.35155809112</v>
      </c>
      <c r="I570" s="37">
        <v>12442.178674564329</v>
      </c>
      <c r="J570" s="37">
        <v>312008.04908326064</v>
      </c>
      <c r="K570" s="37">
        <v>133759.3094223793</v>
      </c>
      <c r="L570" s="37">
        <v>116255.69257824318</v>
      </c>
      <c r="M570" s="37">
        <v>212428.76403269242</v>
      </c>
      <c r="N570" s="37">
        <v>255087.17126149579</v>
      </c>
      <c r="O570" s="37">
        <v>1274827.5064221863</v>
      </c>
      <c r="P570" s="68">
        <v>1</v>
      </c>
    </row>
    <row r="571" spans="1:16" x14ac:dyDescent="0.2">
      <c r="A571" s="10">
        <v>569</v>
      </c>
      <c r="B571" s="40">
        <v>0.1471226971721061</v>
      </c>
      <c r="C571" s="12">
        <v>6.3354625028361564</v>
      </c>
      <c r="D571" s="40">
        <v>0.34106812094391908</v>
      </c>
      <c r="E571" s="40">
        <v>2.5087083208220614E-2</v>
      </c>
      <c r="F571" s="37">
        <v>10.024521651428991</v>
      </c>
      <c r="G571" s="12">
        <v>12.609138896558637</v>
      </c>
      <c r="H571" s="37">
        <v>54575.589958700577</v>
      </c>
      <c r="I571" s="37">
        <v>50770.116014521453</v>
      </c>
      <c r="J571" s="37">
        <v>330382.0228752917</v>
      </c>
      <c r="K571" s="37">
        <v>150751.77516968126</v>
      </c>
      <c r="L571" s="37">
        <v>77283.709799313481</v>
      </c>
      <c r="M571" s="37">
        <v>48119.564588695328</v>
      </c>
      <c r="N571" s="37">
        <v>162441.89721630837</v>
      </c>
      <c r="O571" s="37">
        <v>348844.33205007506</v>
      </c>
      <c r="P571" s="68">
        <v>1</v>
      </c>
    </row>
    <row r="572" spans="1:16" x14ac:dyDescent="0.2">
      <c r="A572" s="10">
        <v>570</v>
      </c>
      <c r="B572" s="40">
        <v>0.13165162039861031</v>
      </c>
      <c r="C572" s="12">
        <v>2.3080550623579894</v>
      </c>
      <c r="D572" s="40">
        <v>0.63618280749220513</v>
      </c>
      <c r="E572" s="40">
        <v>2.5971584475368365E-2</v>
      </c>
      <c r="F572" s="37">
        <v>12.375607296636637</v>
      </c>
      <c r="G572" s="12">
        <v>24.020983571912787</v>
      </c>
      <c r="H572" s="37">
        <v>148682.63712429974</v>
      </c>
      <c r="I572" s="37">
        <v>49120.578120828584</v>
      </c>
      <c r="J572" s="37">
        <v>460859.46015635697</v>
      </c>
      <c r="K572" s="37">
        <v>130175.43193811647</v>
      </c>
      <c r="L572" s="37">
        <v>46994.077867973174</v>
      </c>
      <c r="M572" s="37">
        <v>114713.26106614625</v>
      </c>
      <c r="N572" s="37">
        <v>309459.20862908813</v>
      </c>
      <c r="O572" s="37">
        <v>1048646.6623162762</v>
      </c>
      <c r="P572" s="68">
        <v>1</v>
      </c>
    </row>
    <row r="573" spans="1:16" x14ac:dyDescent="0.2">
      <c r="A573" s="10">
        <v>571</v>
      </c>
      <c r="B573" s="40">
        <v>0.10780711121616784</v>
      </c>
      <c r="C573" s="12">
        <v>5.040222819063672</v>
      </c>
      <c r="D573" s="40">
        <v>0.57670974194887792</v>
      </c>
      <c r="E573" s="40">
        <v>2.2111166718492177E-2</v>
      </c>
      <c r="F573" s="37">
        <v>19.966410822769561</v>
      </c>
      <c r="G573" s="12">
        <v>15.015067526951835</v>
      </c>
      <c r="H573" s="37">
        <v>125683.28094062406</v>
      </c>
      <c r="I573" s="37">
        <v>51400.634798587402</v>
      </c>
      <c r="J573" s="37">
        <v>405103.74421980837</v>
      </c>
      <c r="K573" s="37">
        <v>182858.61306044372</v>
      </c>
      <c r="L573" s="37">
        <v>76180.402404430686</v>
      </c>
      <c r="M573" s="37">
        <v>142835.3428656905</v>
      </c>
      <c r="N573" s="37">
        <v>193437.16299094199</v>
      </c>
      <c r="O573" s="37">
        <v>734260.97088102496</v>
      </c>
      <c r="P573" s="68">
        <v>1</v>
      </c>
    </row>
    <row r="574" spans="1:16" x14ac:dyDescent="0.2">
      <c r="A574" s="10">
        <v>572</v>
      </c>
      <c r="B574" s="40">
        <v>0.14694008689390053</v>
      </c>
      <c r="C574" s="12">
        <v>5.1180283031510836</v>
      </c>
      <c r="D574" s="40">
        <v>0.70411801881732095</v>
      </c>
      <c r="E574" s="40">
        <v>4.1952363752176328E-2</v>
      </c>
      <c r="F574" s="37">
        <v>23.789572006654947</v>
      </c>
      <c r="G574" s="12">
        <v>17.249277938606198</v>
      </c>
      <c r="H574" s="37">
        <v>145134.5325258568</v>
      </c>
      <c r="I574" s="37">
        <v>43373.830519014446</v>
      </c>
      <c r="J574" s="37">
        <v>422917.73480495356</v>
      </c>
      <c r="K574" s="37">
        <v>136654.18672018792</v>
      </c>
      <c r="L574" s="37">
        <v>128729.2572514113</v>
      </c>
      <c r="M574" s="37">
        <v>394235.06952447281</v>
      </c>
      <c r="N574" s="37">
        <v>222220.20527693164</v>
      </c>
      <c r="O574" s="37">
        <v>1810095.3858051002</v>
      </c>
      <c r="P574" s="68">
        <v>1</v>
      </c>
    </row>
    <row r="575" spans="1:16" x14ac:dyDescent="0.2">
      <c r="A575" s="10">
        <v>573</v>
      </c>
      <c r="B575" s="40">
        <v>0.16606389051120518</v>
      </c>
      <c r="C575" s="12">
        <v>8.2839263565746535</v>
      </c>
      <c r="D575" s="40">
        <v>0.42267484439424574</v>
      </c>
      <c r="E575" s="40">
        <v>4.4659651774244115E-2</v>
      </c>
      <c r="F575" s="37">
        <v>15.188324911532098</v>
      </c>
      <c r="G575" s="12">
        <v>12.185219121842515</v>
      </c>
      <c r="H575" s="37">
        <v>74642.330852210493</v>
      </c>
      <c r="I575" s="37">
        <v>36193.930943493928</v>
      </c>
      <c r="J575" s="37">
        <v>397749.4284704756</v>
      </c>
      <c r="K575" s="37">
        <v>109124.30196248455</v>
      </c>
      <c r="L575" s="37">
        <v>141353.53329562623</v>
      </c>
      <c r="M575" s="37">
        <v>160841.58526785762</v>
      </c>
      <c r="N575" s="37">
        <v>156980.59386821129</v>
      </c>
      <c r="O575" s="37">
        <v>893490.51819412189</v>
      </c>
      <c r="P575" s="68">
        <v>1</v>
      </c>
    </row>
    <row r="576" spans="1:16" x14ac:dyDescent="0.2">
      <c r="A576" s="10">
        <v>574</v>
      </c>
      <c r="B576" s="40">
        <v>0.19834861407151042</v>
      </c>
      <c r="C576" s="12">
        <v>6.8632176302497125</v>
      </c>
      <c r="D576" s="40">
        <v>0.38442426797555818</v>
      </c>
      <c r="E576" s="40">
        <v>1.0098383527870292E-2</v>
      </c>
      <c r="F576" s="37">
        <v>23.129612704536218</v>
      </c>
      <c r="G576" s="12">
        <v>2.1295367493171269</v>
      </c>
      <c r="H576" s="37">
        <v>12380.848377184979</v>
      </c>
      <c r="I576" s="37">
        <v>19878.901665956535</v>
      </c>
      <c r="J576" s="37">
        <v>459445.19217139343</v>
      </c>
      <c r="K576" s="37">
        <v>102358.46900292231</v>
      </c>
      <c r="L576" s="37">
        <v>127220.34421298605</v>
      </c>
      <c r="M576" s="37">
        <v>50372.992254018391</v>
      </c>
      <c r="N576" s="37">
        <v>27434.545101675136</v>
      </c>
      <c r="O576" s="37">
        <v>-81422.660402590991</v>
      </c>
      <c r="P576" s="68">
        <v>0</v>
      </c>
    </row>
    <row r="577" spans="1:16" x14ac:dyDescent="0.2">
      <c r="A577" s="10">
        <v>575</v>
      </c>
      <c r="B577" s="40">
        <v>0.15378016081100432</v>
      </c>
      <c r="C577" s="12">
        <v>3.0082145428552303</v>
      </c>
      <c r="D577" s="40">
        <v>0.61506339884477024</v>
      </c>
      <c r="E577" s="40">
        <v>1.2209314246365899E-2</v>
      </c>
      <c r="F577" s="37">
        <v>12.300490054289806</v>
      </c>
      <c r="G577" s="12">
        <v>6.2248127353351643</v>
      </c>
      <c r="H577" s="37">
        <v>151307.48961240187</v>
      </c>
      <c r="I577" s="37">
        <v>36238.451035184939</v>
      </c>
      <c r="J577" s="37">
        <v>490085.15829730965</v>
      </c>
      <c r="K577" s="37">
        <v>74940.962022643653</v>
      </c>
      <c r="L577" s="37">
        <v>69170.008740580117</v>
      </c>
      <c r="M577" s="37">
        <v>51820.345213036613</v>
      </c>
      <c r="N577" s="37">
        <v>80193.453243667333</v>
      </c>
      <c r="O577" s="37">
        <v>389037.10825823573</v>
      </c>
      <c r="P577" s="68">
        <v>1</v>
      </c>
    </row>
    <row r="578" spans="1:16" x14ac:dyDescent="0.2">
      <c r="A578" s="10">
        <v>576</v>
      </c>
      <c r="B578" s="40">
        <v>8.4804573167999386E-2</v>
      </c>
      <c r="C578" s="12">
        <v>7.0045748328654085</v>
      </c>
      <c r="D578" s="40">
        <v>0.78015053372567789</v>
      </c>
      <c r="E578" s="40">
        <v>3.0660202023502722E-2</v>
      </c>
      <c r="F578" s="37">
        <v>8.6758553507898384</v>
      </c>
      <c r="G578" s="12">
        <v>10.813223335245699</v>
      </c>
      <c r="H578" s="37">
        <v>95750.886067355459</v>
      </c>
      <c r="I578" s="37">
        <v>52527.544326436589</v>
      </c>
      <c r="J578" s="37">
        <v>504282.24678459507</v>
      </c>
      <c r="K578" s="37">
        <v>129591.82679319129</v>
      </c>
      <c r="L578" s="37">
        <v>112659.6224630652</v>
      </c>
      <c r="M578" s="37">
        <v>116421.30326102582</v>
      </c>
      <c r="N578" s="37">
        <v>139305.35050893677</v>
      </c>
      <c r="O578" s="37">
        <v>580155.44766604505</v>
      </c>
      <c r="P578" s="68">
        <v>1</v>
      </c>
    </row>
    <row r="579" spans="1:16" x14ac:dyDescent="0.2">
      <c r="A579" s="10">
        <v>577</v>
      </c>
      <c r="B579" s="40">
        <v>0.16065474289727999</v>
      </c>
      <c r="C579" s="12">
        <v>4.6662368365323363</v>
      </c>
      <c r="D579" s="40">
        <v>0.48248071007159005</v>
      </c>
      <c r="E579" s="40">
        <v>3.5181747547968642E-2</v>
      </c>
      <c r="F579" s="37">
        <v>23.830255749526735</v>
      </c>
      <c r="G579" s="12">
        <v>13.839794243160284</v>
      </c>
      <c r="H579" s="37">
        <v>81215.846193158388</v>
      </c>
      <c r="I579" s="37">
        <v>48637.818129627492</v>
      </c>
      <c r="J579" s="37">
        <v>395288.81596648414</v>
      </c>
      <c r="K579" s="37">
        <v>209482.89299849499</v>
      </c>
      <c r="L579" s="37">
        <v>87928.38843202994</v>
      </c>
      <c r="M579" s="37">
        <v>226930.46225668275</v>
      </c>
      <c r="N579" s="37">
        <v>178296.27006138233</v>
      </c>
      <c r="O579" s="37">
        <v>763260.61583442322</v>
      </c>
      <c r="P579" s="68">
        <v>1</v>
      </c>
    </row>
    <row r="580" spans="1:16" x14ac:dyDescent="0.2">
      <c r="A580" s="10">
        <v>578</v>
      </c>
      <c r="B580" s="40">
        <v>0.22759782657534117</v>
      </c>
      <c r="C580" s="12">
        <v>6.6014548680429446</v>
      </c>
      <c r="D580" s="40">
        <v>0.57072767673137836</v>
      </c>
      <c r="E580" s="40">
        <v>1.591766828404597E-2</v>
      </c>
      <c r="F580" s="37">
        <v>18.060469542657174</v>
      </c>
      <c r="G580" s="12">
        <v>4.7689285650353428</v>
      </c>
      <c r="H580" s="37">
        <v>155668.3777614687</v>
      </c>
      <c r="I580" s="37">
        <v>40282.963433230645</v>
      </c>
      <c r="J580" s="37">
        <v>469645.40171442111</v>
      </c>
      <c r="K580" s="37">
        <v>107796.8905820083</v>
      </c>
      <c r="L580" s="37">
        <v>208461.3433879877</v>
      </c>
      <c r="M580" s="37">
        <v>92045.837297154751</v>
      </c>
      <c r="N580" s="37">
        <v>61437.486742636873</v>
      </c>
      <c r="O580" s="37">
        <v>791368.93246438005</v>
      </c>
      <c r="P580" s="68">
        <v>1</v>
      </c>
    </row>
    <row r="581" spans="1:16" x14ac:dyDescent="0.2">
      <c r="A581" s="10">
        <v>579</v>
      </c>
      <c r="B581" s="40">
        <v>7.5503622993349701E-2</v>
      </c>
      <c r="C581" s="12">
        <v>5.1723844348716215</v>
      </c>
      <c r="D581" s="40">
        <v>0.52364002489120887</v>
      </c>
      <c r="E581" s="40">
        <v>2.317151561832171E-2</v>
      </c>
      <c r="F581" s="37">
        <v>10.519981474330899</v>
      </c>
      <c r="G581" s="12">
        <v>28.21405335833553</v>
      </c>
      <c r="H581" s="37">
        <v>106089.28359863991</v>
      </c>
      <c r="I581" s="37">
        <v>23934.98850563676</v>
      </c>
      <c r="J581" s="37">
        <v>540625.32561274082</v>
      </c>
      <c r="K581" s="37">
        <v>113637.80900018399</v>
      </c>
      <c r="L581" s="37">
        <v>49714.176742736672</v>
      </c>
      <c r="M581" s="37">
        <v>71609.226586254619</v>
      </c>
      <c r="N581" s="37">
        <v>363477.98158850009</v>
      </c>
      <c r="O581" s="37">
        <v>863521.08378906024</v>
      </c>
      <c r="P581" s="68">
        <v>1</v>
      </c>
    </row>
    <row r="582" spans="1:16" x14ac:dyDescent="0.2">
      <c r="A582" s="10">
        <v>580</v>
      </c>
      <c r="B582" s="40">
        <v>0.16773833818608297</v>
      </c>
      <c r="C582" s="12">
        <v>7.255834605890561</v>
      </c>
      <c r="D582" s="40">
        <v>0.71654481144616922</v>
      </c>
      <c r="E582" s="40">
        <v>3.5857143744399328E-2</v>
      </c>
      <c r="F582" s="37">
        <v>11.416246441815058</v>
      </c>
      <c r="G582" s="12">
        <v>7.5883785617198409</v>
      </c>
      <c r="H582" s="37">
        <v>101915.99954736663</v>
      </c>
      <c r="I582" s="37">
        <v>16633.728180263482</v>
      </c>
      <c r="J582" s="37">
        <v>299146.8869254489</v>
      </c>
      <c r="K582" s="37">
        <v>80905.119664825033</v>
      </c>
      <c r="L582" s="37">
        <v>212007.82752802831</v>
      </c>
      <c r="M582" s="37">
        <v>164554.25439800383</v>
      </c>
      <c r="N582" s="37">
        <v>97760.094521423685</v>
      </c>
      <c r="O582" s="37">
        <v>1135198.1895579488</v>
      </c>
      <c r="P582" s="68">
        <v>1</v>
      </c>
    </row>
    <row r="583" spans="1:16" x14ac:dyDescent="0.2">
      <c r="A583" s="10">
        <v>581</v>
      </c>
      <c r="B583" s="40">
        <v>7.9493511186180144E-2</v>
      </c>
      <c r="C583" s="12">
        <v>3.6201061103691456</v>
      </c>
      <c r="D583" s="40">
        <v>0.5971045383636735</v>
      </c>
      <c r="E583" s="40">
        <v>2.5958816555616049E-2</v>
      </c>
      <c r="F583" s="37">
        <v>14.326284856233784</v>
      </c>
      <c r="G583" s="12">
        <v>3.430036083359147</v>
      </c>
      <c r="H583" s="37">
        <v>67416.367835291137</v>
      </c>
      <c r="I583" s="37">
        <v>26932.226040510766</v>
      </c>
      <c r="J583" s="37">
        <v>296024.92218916269</v>
      </c>
      <c r="K583" s="37">
        <v>112598.06617392528</v>
      </c>
      <c r="L583" s="37">
        <v>41772.664900707787</v>
      </c>
      <c r="M583" s="37">
        <v>124576.34238216809</v>
      </c>
      <c r="N583" s="37">
        <v>44188.708957225055</v>
      </c>
      <c r="O583" s="37">
        <v>242696.93303362723</v>
      </c>
      <c r="P583" s="68">
        <v>1</v>
      </c>
    </row>
    <row r="584" spans="1:16" x14ac:dyDescent="0.2">
      <c r="A584" s="10">
        <v>582</v>
      </c>
      <c r="B584" s="40">
        <v>8.1009083780317653E-2</v>
      </c>
      <c r="C584" s="12">
        <v>6.0867338291665671</v>
      </c>
      <c r="D584" s="40">
        <v>0.39138828088129995</v>
      </c>
      <c r="E584" s="40">
        <v>1.918416928022857E-2</v>
      </c>
      <c r="F584" s="37">
        <v>13.774734108493142</v>
      </c>
      <c r="G584" s="12">
        <v>2.7375009720109404</v>
      </c>
      <c r="H584" s="37">
        <v>19232.770106291031</v>
      </c>
      <c r="I584" s="37">
        <v>45407.378599154872</v>
      </c>
      <c r="J584" s="37">
        <v>358022.02490964165</v>
      </c>
      <c r="K584" s="37">
        <v>91450.572970845868</v>
      </c>
      <c r="L584" s="37">
        <v>46915.319484219392</v>
      </c>
      <c r="M584" s="37">
        <v>58023.079151893835</v>
      </c>
      <c r="N584" s="37">
        <v>35266.869147290585</v>
      </c>
      <c r="O584" s="37">
        <v>-40330.837864685338</v>
      </c>
      <c r="P584" s="68">
        <v>0</v>
      </c>
    </row>
    <row r="585" spans="1:16" x14ac:dyDescent="0.2">
      <c r="A585" s="10">
        <v>583</v>
      </c>
      <c r="B585" s="40">
        <v>0.12247447293019022</v>
      </c>
      <c r="C585" s="12">
        <v>4.6049897770691075</v>
      </c>
      <c r="D585" s="40">
        <v>0.37612016346472871</v>
      </c>
      <c r="E585" s="40">
        <v>2.6430804436095551E-2</v>
      </c>
      <c r="F585" s="37">
        <v>13.995538951456989</v>
      </c>
      <c r="G585" s="12">
        <v>18.033732036434891</v>
      </c>
      <c r="H585" s="37">
        <v>94893.442270392232</v>
      </c>
      <c r="I585" s="37">
        <v>38520.658349290417</v>
      </c>
      <c r="J585" s="37">
        <v>354710.38236867817</v>
      </c>
      <c r="K585" s="37">
        <v>167911.53923816839</v>
      </c>
      <c r="L585" s="37">
        <v>51569.117010333801</v>
      </c>
      <c r="M585" s="37">
        <v>78053.675177898243</v>
      </c>
      <c r="N585" s="37">
        <v>232326.22544022597</v>
      </c>
      <c r="O585" s="37">
        <v>562690.07084422861</v>
      </c>
      <c r="P585" s="68">
        <v>1</v>
      </c>
    </row>
    <row r="586" spans="1:16" x14ac:dyDescent="0.2">
      <c r="A586" s="10">
        <v>584</v>
      </c>
      <c r="B586" s="40">
        <v>0.14652675615654329</v>
      </c>
      <c r="C586" s="12">
        <v>3.3633656923502784</v>
      </c>
      <c r="D586" s="40">
        <v>0.38043648899548005</v>
      </c>
      <c r="E586" s="40">
        <v>2.5741084955344017E-2</v>
      </c>
      <c r="F586" s="37">
        <v>17.076785878786108</v>
      </c>
      <c r="G586" s="12">
        <v>25.956815163996932</v>
      </c>
      <c r="H586" s="37">
        <v>153232.04434269067</v>
      </c>
      <c r="I586" s="37">
        <v>54726.339738105366</v>
      </c>
      <c r="J586" s="37">
        <v>374161.14409256884</v>
      </c>
      <c r="K586" s="37">
        <v>146588.94433527067</v>
      </c>
      <c r="L586" s="37">
        <v>45578.708981044707</v>
      </c>
      <c r="M586" s="37">
        <v>93817.072686847736</v>
      </c>
      <c r="N586" s="37">
        <v>334398.27537180117</v>
      </c>
      <c r="O586" s="37">
        <v>1125172.6993359653</v>
      </c>
      <c r="P586" s="68">
        <v>1</v>
      </c>
    </row>
    <row r="587" spans="1:16" x14ac:dyDescent="0.2">
      <c r="A587" s="10">
        <v>585</v>
      </c>
      <c r="B587" s="40">
        <v>0.1277294684088654</v>
      </c>
      <c r="C587" s="12">
        <v>5.5854059676917753</v>
      </c>
      <c r="D587" s="40">
        <v>0.45707597288231744</v>
      </c>
      <c r="E587" s="40">
        <v>2.6415314323746136E-2</v>
      </c>
      <c r="F587" s="37">
        <v>11.294851541483251</v>
      </c>
      <c r="G587" s="12">
        <v>4.7202250235495615</v>
      </c>
      <c r="H587" s="37">
        <v>182284.25764509349</v>
      </c>
      <c r="I587" s="37">
        <v>41080.921216505812</v>
      </c>
      <c r="J587" s="37">
        <v>296839.63949569175</v>
      </c>
      <c r="K587" s="37">
        <v>144196.59932483913</v>
      </c>
      <c r="L587" s="37">
        <v>79272.594300434022</v>
      </c>
      <c r="M587" s="37">
        <v>76505.284430213229</v>
      </c>
      <c r="N587" s="37">
        <v>60810.045349135944</v>
      </c>
      <c r="O587" s="37">
        <v>531762.71838213853</v>
      </c>
      <c r="P587" s="68">
        <v>1</v>
      </c>
    </row>
    <row r="588" spans="1:16" x14ac:dyDescent="0.2">
      <c r="A588" s="10">
        <v>586</v>
      </c>
      <c r="B588" s="40">
        <v>0.22879663431908986</v>
      </c>
      <c r="C588" s="12">
        <v>1.5764706262638652</v>
      </c>
      <c r="D588" s="40">
        <v>0.71390319740472796</v>
      </c>
      <c r="E588" s="40">
        <v>3.3309635385964757E-2</v>
      </c>
      <c r="F588" s="37">
        <v>17.407243198626844</v>
      </c>
      <c r="G588" s="12">
        <v>9.2937835023351596</v>
      </c>
      <c r="H588" s="37">
        <v>79906.343602494773</v>
      </c>
      <c r="I588" s="37">
        <v>32590.657538364154</v>
      </c>
      <c r="J588" s="37">
        <v>559281.29134488129</v>
      </c>
      <c r="K588" s="37">
        <v>97687.105587723054</v>
      </c>
      <c r="L588" s="37">
        <v>62598.463188135684</v>
      </c>
      <c r="M588" s="37">
        <v>232223.37620299804</v>
      </c>
      <c r="N588" s="37">
        <v>119730.60466872856</v>
      </c>
      <c r="O588" s="37">
        <v>643636.11752650142</v>
      </c>
      <c r="P588" s="68">
        <v>1</v>
      </c>
    </row>
    <row r="589" spans="1:16" x14ac:dyDescent="0.2">
      <c r="A589" s="10">
        <v>587</v>
      </c>
      <c r="B589" s="40">
        <v>0.16287731750976506</v>
      </c>
      <c r="C589" s="12">
        <v>1.9381988868448192</v>
      </c>
      <c r="D589" s="40">
        <v>0.74183359634616985</v>
      </c>
      <c r="E589" s="40">
        <v>2.7424803251607781E-2</v>
      </c>
      <c r="F589" s="37">
        <v>12.445305563327068</v>
      </c>
      <c r="G589" s="12">
        <v>23.919668615245655</v>
      </c>
      <c r="H589" s="37">
        <v>116621.55146031897</v>
      </c>
      <c r="I589" s="37">
        <v>58639.093929703668</v>
      </c>
      <c r="J589" s="37">
        <v>583601.76276508207</v>
      </c>
      <c r="K589" s="37">
        <v>140448.23073150392</v>
      </c>
      <c r="L589" s="37">
        <v>56931.716149054308</v>
      </c>
      <c r="M589" s="37">
        <v>142043.8105770578</v>
      </c>
      <c r="N589" s="37">
        <v>308153.98121328978</v>
      </c>
      <c r="O589" s="37">
        <v>934722.76909269649</v>
      </c>
      <c r="P589" s="68">
        <v>1</v>
      </c>
    </row>
    <row r="590" spans="1:16" x14ac:dyDescent="0.2">
      <c r="A590" s="10">
        <v>588</v>
      </c>
      <c r="B590" s="40">
        <v>6.7952600505022803E-2</v>
      </c>
      <c r="C590" s="12">
        <v>4.711764898921782</v>
      </c>
      <c r="D590" s="40">
        <v>0.63913842420012612</v>
      </c>
      <c r="E590" s="40">
        <v>2.293962758667123E-2</v>
      </c>
      <c r="F590" s="37">
        <v>18.003121584995259</v>
      </c>
      <c r="G590" s="12">
        <v>10.860304036344532</v>
      </c>
      <c r="H590" s="37">
        <v>58034.964772097352</v>
      </c>
      <c r="I590" s="37">
        <v>11725.414633693115</v>
      </c>
      <c r="J590" s="37">
        <v>447888.10534914024</v>
      </c>
      <c r="K590" s="37">
        <v>93227.220369718299</v>
      </c>
      <c r="L590" s="37">
        <v>49747.750917618854</v>
      </c>
      <c r="M590" s="37">
        <v>148079.8061193696</v>
      </c>
      <c r="N590" s="37">
        <v>139911.8850607019</v>
      </c>
      <c r="O590" s="37">
        <v>432589.63607513485</v>
      </c>
      <c r="P590" s="68">
        <v>1</v>
      </c>
    </row>
    <row r="591" spans="1:16" x14ac:dyDescent="0.2">
      <c r="A591" s="10">
        <v>589</v>
      </c>
      <c r="B591" s="40">
        <v>0.12179912341173015</v>
      </c>
      <c r="C591" s="12">
        <v>5.5219668625295153</v>
      </c>
      <c r="D591" s="40">
        <v>0.59508040489704905</v>
      </c>
      <c r="E591" s="40">
        <v>3.0336745095344834E-2</v>
      </c>
      <c r="F591" s="37">
        <v>8.0015902313004101</v>
      </c>
      <c r="G591" s="12">
        <v>8.8406422658784294</v>
      </c>
      <c r="H591" s="37">
        <v>141175.79465782299</v>
      </c>
      <c r="I591" s="37">
        <v>50353.413083202497</v>
      </c>
      <c r="J591" s="37">
        <v>230095.17009091043</v>
      </c>
      <c r="K591" s="37">
        <v>116058.76835406446</v>
      </c>
      <c r="L591" s="37">
        <v>97297.669525536461</v>
      </c>
      <c r="M591" s="37">
        <v>81037.805382545208</v>
      </c>
      <c r="N591" s="37">
        <v>113892.84502781725</v>
      </c>
      <c r="O591" s="37">
        <v>800063.27186408266</v>
      </c>
      <c r="P591" s="68">
        <v>1</v>
      </c>
    </row>
    <row r="592" spans="1:16" x14ac:dyDescent="0.2">
      <c r="A592" s="10">
        <v>590</v>
      </c>
      <c r="B592" s="40">
        <v>0.20758986584004557</v>
      </c>
      <c r="C592" s="12">
        <v>4.4014713178016773</v>
      </c>
      <c r="D592" s="40">
        <v>0.64890252680864191</v>
      </c>
      <c r="E592" s="40">
        <v>3.5587304735549573E-2</v>
      </c>
      <c r="F592" s="37">
        <v>11.150163365519195</v>
      </c>
      <c r="G592" s="12">
        <v>14.737566122834901</v>
      </c>
      <c r="H592" s="37">
        <v>80560.064286086883</v>
      </c>
      <c r="I592" s="37">
        <v>26789.31964187933</v>
      </c>
      <c r="J592" s="37">
        <v>407017.89173873223</v>
      </c>
      <c r="K592" s="37">
        <v>127865.69184994165</v>
      </c>
      <c r="L592" s="37">
        <v>144135.95142710145</v>
      </c>
      <c r="M592" s="37">
        <v>144451.65598293865</v>
      </c>
      <c r="N592" s="37">
        <v>189862.14847688607</v>
      </c>
      <c r="O592" s="37">
        <v>875945.39087717119</v>
      </c>
      <c r="P592" s="68">
        <v>1</v>
      </c>
    </row>
    <row r="593" spans="1:16" x14ac:dyDescent="0.2">
      <c r="A593" s="10">
        <v>591</v>
      </c>
      <c r="B593" s="40">
        <v>0.13106944928894004</v>
      </c>
      <c r="C593" s="12">
        <v>6.5165171782058859</v>
      </c>
      <c r="D593" s="40">
        <v>0.78269683385785238</v>
      </c>
      <c r="E593" s="40">
        <v>1.1175566644746065E-2</v>
      </c>
      <c r="F593" s="37">
        <v>9.8703490450176705</v>
      </c>
      <c r="G593" s="12">
        <v>5.1958700237599755</v>
      </c>
      <c r="H593" s="37">
        <v>141811.63254859089</v>
      </c>
      <c r="I593" s="37">
        <v>52252.548520844175</v>
      </c>
      <c r="J593" s="37">
        <v>511735.13357800827</v>
      </c>
      <c r="K593" s="37">
        <v>131406.06072798872</v>
      </c>
      <c r="L593" s="37">
        <v>162517.23532493232</v>
      </c>
      <c r="M593" s="37">
        <v>48435.342227458961</v>
      </c>
      <c r="N593" s="37">
        <v>66937.718052996686</v>
      </c>
      <c r="O593" s="37">
        <v>442357.90233020729</v>
      </c>
      <c r="P593" s="68">
        <v>1</v>
      </c>
    </row>
    <row r="594" spans="1:16" x14ac:dyDescent="0.2">
      <c r="A594" s="10">
        <v>592</v>
      </c>
      <c r="B594" s="40">
        <v>7.9126010368605185E-2</v>
      </c>
      <c r="C594" s="12">
        <v>5.1192595991451615</v>
      </c>
      <c r="D594" s="40">
        <v>0.34018046844039745</v>
      </c>
      <c r="E594" s="40">
        <v>8.6198461567761238E-3</v>
      </c>
      <c r="F594" s="37">
        <v>14.012460109789163</v>
      </c>
      <c r="G594" s="12">
        <v>8.1323876756052709</v>
      </c>
      <c r="H594" s="37">
        <v>71524.576598360669</v>
      </c>
      <c r="I594" s="37">
        <v>57789.092412504207</v>
      </c>
      <c r="J594" s="37">
        <v>394720.18914147792</v>
      </c>
      <c r="K594" s="37">
        <v>140819.84939243476</v>
      </c>
      <c r="L594" s="37">
        <v>33498.443363917737</v>
      </c>
      <c r="M594" s="37">
        <v>23051.012746210232</v>
      </c>
      <c r="N594" s="37">
        <v>104768.49321442487</v>
      </c>
      <c r="O594" s="37">
        <v>24998.002905274509</v>
      </c>
      <c r="P594" s="68">
        <v>1</v>
      </c>
    </row>
    <row r="595" spans="1:16" x14ac:dyDescent="0.2">
      <c r="A595" s="10">
        <v>593</v>
      </c>
      <c r="B595" s="40">
        <v>0.15855036683307724</v>
      </c>
      <c r="C595" s="12">
        <v>3.056032437943704</v>
      </c>
      <c r="D595" s="40">
        <v>0.45905616800767879</v>
      </c>
      <c r="E595" s="40">
        <v>3.3725246408390197E-2</v>
      </c>
      <c r="F595" s="37">
        <v>16.986166725484988</v>
      </c>
      <c r="G595" s="12">
        <v>15.227002388131146</v>
      </c>
      <c r="H595" s="37">
        <v>11193.075453973079</v>
      </c>
      <c r="I595" s="37">
        <v>42886.108549117795</v>
      </c>
      <c r="J595" s="37">
        <v>577945.84814275464</v>
      </c>
      <c r="K595" s="37">
        <v>145192.44658775948</v>
      </c>
      <c r="L595" s="37">
        <v>54072.925588161517</v>
      </c>
      <c r="M595" s="37">
        <v>147530.92759030496</v>
      </c>
      <c r="N595" s="37">
        <v>196167.49225598312</v>
      </c>
      <c r="O595" s="37">
        <v>281198.77726527466</v>
      </c>
      <c r="P595" s="68">
        <v>1</v>
      </c>
    </row>
    <row r="596" spans="1:16" x14ac:dyDescent="0.2">
      <c r="A596" s="10">
        <v>594</v>
      </c>
      <c r="B596" s="40">
        <v>0.11426726310005829</v>
      </c>
      <c r="C596" s="12">
        <v>4.1181397563980093</v>
      </c>
      <c r="D596" s="40">
        <v>0.7170695470557592</v>
      </c>
      <c r="E596" s="40">
        <v>3.3552024092802911E-2</v>
      </c>
      <c r="F596" s="37">
        <v>9.8225690842339617</v>
      </c>
      <c r="G596" s="12">
        <v>12.327272698746931</v>
      </c>
      <c r="H596" s="37">
        <v>98411.875114553928</v>
      </c>
      <c r="I596" s="37">
        <v>56811.098910470275</v>
      </c>
      <c r="J596" s="37">
        <v>539204.25197061279</v>
      </c>
      <c r="K596" s="37">
        <v>67288.919137699035</v>
      </c>
      <c r="L596" s="37">
        <v>82030.057323218716</v>
      </c>
      <c r="M596" s="37">
        <v>132578.11134080539</v>
      </c>
      <c r="N596" s="37">
        <v>158810.65163250591</v>
      </c>
      <c r="O596" s="37">
        <v>753339.02439531637</v>
      </c>
      <c r="P596" s="68">
        <v>1</v>
      </c>
    </row>
    <row r="597" spans="1:16" x14ac:dyDescent="0.2">
      <c r="A597" s="10">
        <v>595</v>
      </c>
      <c r="B597" s="40">
        <v>0.10230795426499746</v>
      </c>
      <c r="C597" s="12">
        <v>1.9830999833495091</v>
      </c>
      <c r="D597" s="40">
        <v>0.28099063386196699</v>
      </c>
      <c r="E597" s="40">
        <v>3.6647013598731765E-2</v>
      </c>
      <c r="F597" s="37">
        <v>25.302736569669555</v>
      </c>
      <c r="G597" s="12">
        <v>19.825454822375853</v>
      </c>
      <c r="H597" s="37">
        <v>82476.916256184631</v>
      </c>
      <c r="I597" s="37">
        <v>32705.251156002971</v>
      </c>
      <c r="J597" s="37">
        <v>381061.44139124156</v>
      </c>
      <c r="K597" s="37">
        <v>108913.43814996505</v>
      </c>
      <c r="L597" s="37">
        <v>13859.089043847354</v>
      </c>
      <c r="M597" s="37">
        <v>146172.15821010302</v>
      </c>
      <c r="N597" s="37">
        <v>255408.75716754122</v>
      </c>
      <c r="O597" s="37">
        <v>800413.34207131877</v>
      </c>
      <c r="P597" s="68">
        <v>1</v>
      </c>
    </row>
    <row r="598" spans="1:16" x14ac:dyDescent="0.2">
      <c r="A598" s="10">
        <v>596</v>
      </c>
      <c r="B598" s="40">
        <v>0.12434914993359597</v>
      </c>
      <c r="C598" s="12">
        <v>7.4748604828075287</v>
      </c>
      <c r="D598" s="40">
        <v>0.64200894353094928</v>
      </c>
      <c r="E598" s="40">
        <v>2.131256560439259E-2</v>
      </c>
      <c r="F598" s="37">
        <v>15.433144699801568</v>
      </c>
      <c r="G598" s="12">
        <v>8.9245517310381466</v>
      </c>
      <c r="H598" s="37">
        <v>153794.71770038077</v>
      </c>
      <c r="I598" s="37">
        <v>34887.99441892546</v>
      </c>
      <c r="J598" s="37">
        <v>581387.67221380142</v>
      </c>
      <c r="K598" s="37">
        <v>122954.74296316695</v>
      </c>
      <c r="L598" s="37">
        <v>145069.40151381213</v>
      </c>
      <c r="M598" s="37">
        <v>118467.15837235605</v>
      </c>
      <c r="N598" s="37">
        <v>114973.8397592394</v>
      </c>
      <c r="O598" s="37">
        <v>663206.97016137</v>
      </c>
      <c r="P598" s="68">
        <v>1</v>
      </c>
    </row>
    <row r="599" spans="1:16" x14ac:dyDescent="0.2">
      <c r="A599" s="10">
        <v>597</v>
      </c>
      <c r="B599" s="40">
        <v>0.16948068554981222</v>
      </c>
      <c r="C599" s="12">
        <v>2.7757458824494057</v>
      </c>
      <c r="D599" s="40">
        <v>0.59635800432836539</v>
      </c>
      <c r="E599" s="40">
        <v>2.6253384696670792E-2</v>
      </c>
      <c r="F599" s="37">
        <v>12.837006844790896</v>
      </c>
      <c r="G599" s="12">
        <v>27.453480878323589</v>
      </c>
      <c r="H599" s="37">
        <v>54947.731327647256</v>
      </c>
      <c r="I599" s="37">
        <v>9860.2089912372376</v>
      </c>
      <c r="J599" s="37">
        <v>277640.28369433945</v>
      </c>
      <c r="K599" s="37">
        <v>63718.80306259988</v>
      </c>
      <c r="L599" s="37">
        <v>68201.79399577374</v>
      </c>
      <c r="M599" s="37">
        <v>112751.63801989847</v>
      </c>
      <c r="N599" s="37">
        <v>353679.62520292861</v>
      </c>
      <c r="O599" s="37">
        <v>1223258.8278427147</v>
      </c>
      <c r="P599" s="68">
        <v>1</v>
      </c>
    </row>
    <row r="600" spans="1:16" x14ac:dyDescent="0.2">
      <c r="A600" s="10">
        <v>598</v>
      </c>
      <c r="B600" s="40">
        <v>0.17244429124023553</v>
      </c>
      <c r="C600" s="12">
        <v>4.0026382582888669</v>
      </c>
      <c r="D600" s="40">
        <v>0.70216668218227896</v>
      </c>
      <c r="E600" s="40">
        <v>5.128383825949866E-3</v>
      </c>
      <c r="F600" s="37">
        <v>9.4662457904627644</v>
      </c>
      <c r="G600" s="12">
        <v>23.977823640009539</v>
      </c>
      <c r="H600" s="37">
        <v>90320.793439655012</v>
      </c>
      <c r="I600" s="37">
        <v>26146.936634014961</v>
      </c>
      <c r="J600" s="37">
        <v>551722.57631495863</v>
      </c>
      <c r="K600" s="37">
        <v>123775.92462382732</v>
      </c>
      <c r="L600" s="37">
        <v>117821.40889801785</v>
      </c>
      <c r="M600" s="37">
        <v>19123.406149484585</v>
      </c>
      <c r="N600" s="37">
        <v>308903.18483716971</v>
      </c>
      <c r="O600" s="37">
        <v>676906.75991289201</v>
      </c>
      <c r="P600" s="68">
        <v>1</v>
      </c>
    </row>
    <row r="601" spans="1:16" x14ac:dyDescent="0.2">
      <c r="A601" s="10">
        <v>599</v>
      </c>
      <c r="B601" s="40">
        <v>0.18049821513320488</v>
      </c>
      <c r="C601" s="12">
        <v>6.2338682918230193</v>
      </c>
      <c r="D601" s="40">
        <v>0.67974573469014266</v>
      </c>
      <c r="E601" s="40">
        <v>2.8481206346876953E-2</v>
      </c>
      <c r="F601" s="37">
        <v>11.878317479046888</v>
      </c>
      <c r="G601" s="12">
        <v>18.182925684367028</v>
      </c>
      <c r="H601" s="37">
        <v>47024.222534874316</v>
      </c>
      <c r="I601" s="37">
        <v>24314.98527044446</v>
      </c>
      <c r="J601" s="37">
        <v>357301.76436621341</v>
      </c>
      <c r="K601" s="37">
        <v>93110.988420561946</v>
      </c>
      <c r="L601" s="37">
        <v>185937.01505674934</v>
      </c>
      <c r="M601" s="37">
        <v>129010.93777745897</v>
      </c>
      <c r="N601" s="37">
        <v>234248.26781136147</v>
      </c>
      <c r="O601" s="37">
        <v>1120350.0514604244</v>
      </c>
      <c r="P601" s="68">
        <v>1</v>
      </c>
    </row>
    <row r="602" spans="1:16" x14ac:dyDescent="0.2">
      <c r="A602" s="10">
        <v>600</v>
      </c>
      <c r="B602" s="40">
        <v>0.1772596052978212</v>
      </c>
      <c r="C602" s="12">
        <v>7.4792831800885065</v>
      </c>
      <c r="D602" s="40">
        <v>0.54197055667988681</v>
      </c>
      <c r="E602" s="40">
        <v>1.9092206997636106E-2</v>
      </c>
      <c r="F602" s="37">
        <v>20.152178162905763</v>
      </c>
      <c r="G602" s="12">
        <v>20.093412211387403</v>
      </c>
      <c r="H602" s="37">
        <v>51777.479386896404</v>
      </c>
      <c r="I602" s="37">
        <v>72008.398678125348</v>
      </c>
      <c r="J602" s="37">
        <v>261755.01803724526</v>
      </c>
      <c r="K602" s="37">
        <v>77663.429554447212</v>
      </c>
      <c r="L602" s="37">
        <v>174676.41810628996</v>
      </c>
      <c r="M602" s="37">
        <v>116982.40721802681</v>
      </c>
      <c r="N602" s="37">
        <v>258860.81737571643</v>
      </c>
      <c r="O602" s="37">
        <v>1409819.5290680495</v>
      </c>
      <c r="P602" s="68">
        <v>1</v>
      </c>
    </row>
    <row r="603" spans="1:16" x14ac:dyDescent="0.2">
      <c r="A603" s="10">
        <v>601</v>
      </c>
      <c r="B603" s="40">
        <v>0.22690633062904636</v>
      </c>
      <c r="C603" s="12">
        <v>3.8078882895729049</v>
      </c>
      <c r="D603" s="40">
        <v>0.61155134926549515</v>
      </c>
      <c r="E603" s="40">
        <v>1.7272679377390202E-2</v>
      </c>
      <c r="F603" s="37">
        <v>23.710448427700271</v>
      </c>
      <c r="G603" s="12">
        <v>11.521164992214</v>
      </c>
      <c r="H603" s="37">
        <v>124188.41775882994</v>
      </c>
      <c r="I603" s="37">
        <v>39862.496606936678</v>
      </c>
      <c r="J603" s="37">
        <v>581406.26761654357</v>
      </c>
      <c r="K603" s="37">
        <v>170459.06566622856</v>
      </c>
      <c r="L603" s="37">
        <v>128455.4604423534</v>
      </c>
      <c r="M603" s="37">
        <v>140507.38136488869</v>
      </c>
      <c r="N603" s="37">
        <v>148425.67084324401</v>
      </c>
      <c r="O603" s="37">
        <v>570011.51117093978</v>
      </c>
      <c r="P603" s="68">
        <v>1</v>
      </c>
    </row>
    <row r="604" spans="1:16" x14ac:dyDescent="0.2">
      <c r="A604" s="10">
        <v>602</v>
      </c>
      <c r="B604" s="40">
        <v>0.18428059657273871</v>
      </c>
      <c r="C604" s="12">
        <v>3.8309427627929673</v>
      </c>
      <c r="D604" s="40">
        <v>0.59776102421668798</v>
      </c>
      <c r="E604" s="40">
        <v>2.8466625330316471E-2</v>
      </c>
      <c r="F604" s="37">
        <v>10.360143842609888</v>
      </c>
      <c r="G604" s="12">
        <v>7.7323655849395383</v>
      </c>
      <c r="H604" s="37">
        <v>184860.91745920654</v>
      </c>
      <c r="I604" s="37">
        <v>18187.478507528805</v>
      </c>
      <c r="J604" s="37">
        <v>312061.51888428081</v>
      </c>
      <c r="K604" s="37">
        <v>142873.03212953321</v>
      </c>
      <c r="L604" s="37">
        <v>102589.21266012444</v>
      </c>
      <c r="M604" s="37">
        <v>98899.955668585942</v>
      </c>
      <c r="N604" s="37">
        <v>99615.060623250029</v>
      </c>
      <c r="O604" s="37">
        <v>700112.74872326211</v>
      </c>
      <c r="P604" s="68">
        <v>1</v>
      </c>
    </row>
    <row r="605" spans="1:16" x14ac:dyDescent="0.2">
      <c r="A605" s="10">
        <v>603</v>
      </c>
      <c r="B605" s="40">
        <v>0.13079351191521943</v>
      </c>
      <c r="C605" s="12">
        <v>1.7567113898798639</v>
      </c>
      <c r="D605" s="40">
        <v>0.41972622294115097</v>
      </c>
      <c r="E605" s="40">
        <v>2.7303928889149575E-2</v>
      </c>
      <c r="F605" s="37">
        <v>22.544574213093046</v>
      </c>
      <c r="G605" s="12">
        <v>17.222793468968142</v>
      </c>
      <c r="H605" s="37">
        <v>28586.363655707137</v>
      </c>
      <c r="I605" s="37">
        <v>30700.105999112853</v>
      </c>
      <c r="J605" s="37">
        <v>427264.11832613975</v>
      </c>
      <c r="K605" s="37">
        <v>92500.281589429389</v>
      </c>
      <c r="L605" s="37">
        <v>23444.531091021599</v>
      </c>
      <c r="M605" s="37">
        <v>144943.92472078447</v>
      </c>
      <c r="N605" s="37">
        <v>221879.00929756562</v>
      </c>
      <c r="O605" s="37">
        <v>573070.60057859169</v>
      </c>
      <c r="P605" s="68">
        <v>1</v>
      </c>
    </row>
    <row r="606" spans="1:16" x14ac:dyDescent="0.2">
      <c r="A606" s="10">
        <v>604</v>
      </c>
      <c r="B606" s="40">
        <v>0.17759314042995722</v>
      </c>
      <c r="C606" s="12">
        <v>4.9740534404274932</v>
      </c>
      <c r="D606" s="40">
        <v>0.67633366809174633</v>
      </c>
      <c r="E606" s="40">
        <v>4.340950523260835E-2</v>
      </c>
      <c r="F606" s="37">
        <v>11.36664151351701</v>
      </c>
      <c r="G606" s="12">
        <v>11.487266622563482</v>
      </c>
      <c r="H606" s="37">
        <v>20356.223477588501</v>
      </c>
      <c r="I606" s="37">
        <v>52033.488537477009</v>
      </c>
      <c r="J606" s="37">
        <v>307709.1002024496</v>
      </c>
      <c r="K606" s="37">
        <v>155441.58710554626</v>
      </c>
      <c r="L606" s="37">
        <v>145240.07711239692</v>
      </c>
      <c r="M606" s="37">
        <v>187216.76576192057</v>
      </c>
      <c r="N606" s="37">
        <v>147988.96255382441</v>
      </c>
      <c r="O606" s="37">
        <v>805644.43102216558</v>
      </c>
      <c r="P606" s="68">
        <v>1</v>
      </c>
    </row>
    <row r="607" spans="1:16" x14ac:dyDescent="0.2">
      <c r="A607" s="10">
        <v>605</v>
      </c>
      <c r="B607" s="40">
        <v>0.13529362993795635</v>
      </c>
      <c r="C607" s="12">
        <v>6.2537567854211495</v>
      </c>
      <c r="D607" s="40">
        <v>0.69737440385323268</v>
      </c>
      <c r="E607" s="40">
        <v>3.0044380944286041E-2</v>
      </c>
      <c r="F607" s="37">
        <v>14.758863996973933</v>
      </c>
      <c r="G607" s="12">
        <v>18.547338907628216</v>
      </c>
      <c r="H607" s="37">
        <v>75861.579948713334</v>
      </c>
      <c r="I607" s="37">
        <v>38999.369403466473</v>
      </c>
      <c r="J607" s="37">
        <v>303927.35507258133</v>
      </c>
      <c r="K607" s="37">
        <v>157687.09172763009</v>
      </c>
      <c r="L607" s="37">
        <v>143440.9552967677</v>
      </c>
      <c r="M607" s="37">
        <v>173479.80519147546</v>
      </c>
      <c r="N607" s="37">
        <v>238942.95599291631</v>
      </c>
      <c r="O607" s="37">
        <v>1133417.6851402018</v>
      </c>
      <c r="P607" s="68">
        <v>1</v>
      </c>
    </row>
    <row r="608" spans="1:16" x14ac:dyDescent="0.2">
      <c r="A608" s="10">
        <v>606</v>
      </c>
      <c r="B608" s="40">
        <v>0.11392194192051305</v>
      </c>
      <c r="C608" s="12">
        <v>6.0195435104457555</v>
      </c>
      <c r="D608" s="40">
        <v>0.63158327539264447</v>
      </c>
      <c r="E608" s="40">
        <v>1.9321045209393976E-2</v>
      </c>
      <c r="F608" s="37">
        <v>9.0123311142526745</v>
      </c>
      <c r="G608" s="12">
        <v>8.9996860058866446</v>
      </c>
      <c r="H608" s="37">
        <v>52899.359404883668</v>
      </c>
      <c r="I608" s="37">
        <v>28240.620294993805</v>
      </c>
      <c r="J608" s="37">
        <v>521862.66430554906</v>
      </c>
      <c r="K608" s="37">
        <v>161425.92327442506</v>
      </c>
      <c r="L608" s="37">
        <v>105290.79092858356</v>
      </c>
      <c r="M608" s="37">
        <v>61697.15089019452</v>
      </c>
      <c r="N608" s="37">
        <v>115941.78485465687</v>
      </c>
      <c r="O608" s="37">
        <v>45871.652376538841</v>
      </c>
      <c r="P608" s="68">
        <v>1</v>
      </c>
    </row>
    <row r="609" spans="1:16" x14ac:dyDescent="0.2">
      <c r="A609" s="10">
        <v>607</v>
      </c>
      <c r="B609" s="40">
        <v>0.15387922883760707</v>
      </c>
      <c r="C609" s="12">
        <v>4.7212698416373193</v>
      </c>
      <c r="D609" s="40">
        <v>0.56474747523975588</v>
      </c>
      <c r="E609" s="40">
        <v>1.0591726061268581E-2</v>
      </c>
      <c r="F609" s="37">
        <v>13.056360704426829</v>
      </c>
      <c r="G609" s="12">
        <v>20.862717988469107</v>
      </c>
      <c r="H609" s="37">
        <v>100369.52260787625</v>
      </c>
      <c r="I609" s="37">
        <v>28330.915885064169</v>
      </c>
      <c r="J609" s="37">
        <v>282024.5459426106</v>
      </c>
      <c r="K609" s="37">
        <v>78370.946313676715</v>
      </c>
      <c r="L609" s="37">
        <v>99742.890975057366</v>
      </c>
      <c r="M609" s="37">
        <v>43813.697916984609</v>
      </c>
      <c r="N609" s="37">
        <v>268771.68369210901</v>
      </c>
      <c r="O609" s="37">
        <v>1014174.5573254214</v>
      </c>
      <c r="P609" s="68">
        <v>1</v>
      </c>
    </row>
    <row r="610" spans="1:16" x14ac:dyDescent="0.2">
      <c r="A610" s="10">
        <v>608</v>
      </c>
      <c r="B610" s="40">
        <v>0.16587158917346836</v>
      </c>
      <c r="C610" s="12">
        <v>3.6341250913409606</v>
      </c>
      <c r="D610" s="40">
        <v>0.55787384074916158</v>
      </c>
      <c r="E610" s="40">
        <v>3.0246227871692982E-2</v>
      </c>
      <c r="F610" s="37">
        <v>14.803004248524532</v>
      </c>
      <c r="G610" s="12">
        <v>4.1530185458331577</v>
      </c>
      <c r="H610" s="37">
        <v>110034.64467318173</v>
      </c>
      <c r="I610" s="37">
        <v>37223.127231105034</v>
      </c>
      <c r="J610" s="37">
        <v>461227.26156492415</v>
      </c>
      <c r="K610" s="37">
        <v>185606.25149238185</v>
      </c>
      <c r="L610" s="37">
        <v>81751.683483001267</v>
      </c>
      <c r="M610" s="37">
        <v>140127.64165217907</v>
      </c>
      <c r="N610" s="37">
        <v>53502.798033557614</v>
      </c>
      <c r="O610" s="37">
        <v>202854.96001131088</v>
      </c>
      <c r="P610" s="68">
        <v>1</v>
      </c>
    </row>
    <row r="611" spans="1:16" x14ac:dyDescent="0.2">
      <c r="A611" s="10">
        <v>609</v>
      </c>
      <c r="B611" s="40">
        <v>0.19112187009327586</v>
      </c>
      <c r="C611" s="12">
        <v>6.0820735839849327</v>
      </c>
      <c r="D611" s="40">
        <v>0.49042783693606928</v>
      </c>
      <c r="E611" s="40">
        <v>2.6580813018306924E-2</v>
      </c>
      <c r="F611" s="37">
        <v>16.536283797595893</v>
      </c>
      <c r="G611" s="12">
        <v>11.503265128445801</v>
      </c>
      <c r="H611" s="37">
        <v>123117.52255268992</v>
      </c>
      <c r="I611" s="37">
        <v>75119.529539372059</v>
      </c>
      <c r="J611" s="37">
        <v>302045.58224391442</v>
      </c>
      <c r="K611" s="37">
        <v>136227.74320729269</v>
      </c>
      <c r="L611" s="37">
        <v>138588.11856452451</v>
      </c>
      <c r="M611" s="37">
        <v>120933.88991860034</v>
      </c>
      <c r="N611" s="37">
        <v>148195.06922530057</v>
      </c>
      <c r="O611" s="37">
        <v>1013957.2333465228</v>
      </c>
      <c r="P611" s="68">
        <v>1</v>
      </c>
    </row>
    <row r="612" spans="1:16" x14ac:dyDescent="0.2">
      <c r="A612" s="10">
        <v>610</v>
      </c>
      <c r="B612" s="40">
        <v>9.295814054491619E-2</v>
      </c>
      <c r="C612" s="12">
        <v>5.2936295005601055</v>
      </c>
      <c r="D612" s="40">
        <v>0.4211358352603064</v>
      </c>
      <c r="E612" s="40">
        <v>2.1029219565365485E-2</v>
      </c>
      <c r="F612" s="37">
        <v>10.713003460164108</v>
      </c>
      <c r="G612" s="12">
        <v>15.493891870165545</v>
      </c>
      <c r="H612" s="37">
        <v>162713.35928494029</v>
      </c>
      <c r="I612" s="37">
        <v>14508.595370871666</v>
      </c>
      <c r="J612" s="37">
        <v>265449.48029790819</v>
      </c>
      <c r="K612" s="37">
        <v>144152.32662254956</v>
      </c>
      <c r="L612" s="37">
        <v>50379.284734974681</v>
      </c>
      <c r="M612" s="37">
        <v>53225.938836958034</v>
      </c>
      <c r="N612" s="37">
        <v>199605.79475739959</v>
      </c>
      <c r="O612" s="37">
        <v>676686.81451708311</v>
      </c>
      <c r="P612" s="68">
        <v>1</v>
      </c>
    </row>
    <row r="613" spans="1:16" x14ac:dyDescent="0.2">
      <c r="A613" s="10">
        <v>611</v>
      </c>
      <c r="B613" s="40">
        <v>7.9447360644260057E-2</v>
      </c>
      <c r="C613" s="12">
        <v>8.6554950701671913</v>
      </c>
      <c r="D613" s="40">
        <v>0.62935499967416031</v>
      </c>
      <c r="E613" s="40">
        <v>3.1403254725171345E-2</v>
      </c>
      <c r="F613" s="37">
        <v>17.446813114278655</v>
      </c>
      <c r="G613" s="12">
        <v>20.327455536514208</v>
      </c>
      <c r="H613" s="37">
        <v>228334.48772048295</v>
      </c>
      <c r="I613" s="37">
        <v>31442.589840143301</v>
      </c>
      <c r="J613" s="37">
        <v>458598.99287108117</v>
      </c>
      <c r="K613" s="37">
        <v>113693.24997536828</v>
      </c>
      <c r="L613" s="37">
        <v>105209.72935972792</v>
      </c>
      <c r="M613" s="37">
        <v>193443.07607388753</v>
      </c>
      <c r="N613" s="37">
        <v>261875.96710769282</v>
      </c>
      <c r="O613" s="37">
        <v>1521072.9988230579</v>
      </c>
      <c r="P613" s="68">
        <v>1</v>
      </c>
    </row>
    <row r="614" spans="1:16" x14ac:dyDescent="0.2">
      <c r="A614" s="10">
        <v>612</v>
      </c>
      <c r="B614" s="40">
        <v>0.17901956487966256</v>
      </c>
      <c r="C614" s="12">
        <v>2.6113915802127963</v>
      </c>
      <c r="D614" s="40">
        <v>0.65555289165688868</v>
      </c>
      <c r="E614" s="40">
        <v>3.5262612890234815E-2</v>
      </c>
      <c r="F614" s="37">
        <v>14.464623346340323</v>
      </c>
      <c r="G614" s="12">
        <v>7.5831294159263187</v>
      </c>
      <c r="H614" s="37">
        <v>130614.36348566618</v>
      </c>
      <c r="I614" s="37">
        <v>24096.401043700476</v>
      </c>
      <c r="J614" s="37">
        <v>337916.60693099775</v>
      </c>
      <c r="K614" s="37">
        <v>86690.126785064043</v>
      </c>
      <c r="L614" s="37">
        <v>74502.194219658923</v>
      </c>
      <c r="M614" s="37">
        <v>187584.12773178006</v>
      </c>
      <c r="N614" s="37">
        <v>97692.470458554701</v>
      </c>
      <c r="O614" s="37">
        <v>860622.09700306575</v>
      </c>
      <c r="P614" s="68">
        <v>1</v>
      </c>
    </row>
    <row r="615" spans="1:16" x14ac:dyDescent="0.2">
      <c r="A615" s="10">
        <v>613</v>
      </c>
      <c r="B615" s="40">
        <v>8.4786414579211294E-2</v>
      </c>
      <c r="C615" s="12">
        <v>5.9415747388770876</v>
      </c>
      <c r="D615" s="40">
        <v>0.47108066369739393</v>
      </c>
      <c r="E615" s="40">
        <v>4.154621769116297E-2</v>
      </c>
      <c r="F615" s="37">
        <v>19.222115000217332</v>
      </c>
      <c r="G615" s="12">
        <v>9.2128322692090361</v>
      </c>
      <c r="H615" s="37">
        <v>61749.197026091308</v>
      </c>
      <c r="I615" s="37">
        <v>45577.193110213666</v>
      </c>
      <c r="J615" s="37">
        <v>422676.51964825415</v>
      </c>
      <c r="K615" s="37">
        <v>144838.52820732509</v>
      </c>
      <c r="L615" s="37">
        <v>57691.514837382238</v>
      </c>
      <c r="M615" s="37">
        <v>211054.52787028576</v>
      </c>
      <c r="N615" s="37">
        <v>118687.72045602502</v>
      </c>
      <c r="O615" s="37">
        <v>557676.84563278081</v>
      </c>
      <c r="P615" s="68">
        <v>1</v>
      </c>
    </row>
    <row r="616" spans="1:16" x14ac:dyDescent="0.2">
      <c r="A616" s="10">
        <v>614</v>
      </c>
      <c r="B616" s="40">
        <v>0.11555141803511744</v>
      </c>
      <c r="C616" s="12">
        <v>5.8393869751486562</v>
      </c>
      <c r="D616" s="40">
        <v>0.51053216482706354</v>
      </c>
      <c r="E616" s="40">
        <v>1.3919746561177389E-2</v>
      </c>
      <c r="F616" s="37">
        <v>16.601289484058071</v>
      </c>
      <c r="G616" s="12">
        <v>20.049600069754838</v>
      </c>
      <c r="H616" s="37">
        <v>151093.23761439018</v>
      </c>
      <c r="I616" s="37">
        <v>19268.975080868608</v>
      </c>
      <c r="J616" s="37">
        <v>289662.50741822249</v>
      </c>
      <c r="K616" s="37">
        <v>132783.03524365788</v>
      </c>
      <c r="L616" s="37">
        <v>83744.149213343466</v>
      </c>
      <c r="M616" s="37">
        <v>66185.52095628214</v>
      </c>
      <c r="N616" s="37">
        <v>258296.39125064251</v>
      </c>
      <c r="O616" s="37">
        <v>959321.93609025027</v>
      </c>
      <c r="P616" s="68">
        <v>1</v>
      </c>
    </row>
    <row r="617" spans="1:16" x14ac:dyDescent="0.2">
      <c r="A617" s="10">
        <v>615</v>
      </c>
      <c r="B617" s="40">
        <v>9.4983254586102697E-2</v>
      </c>
      <c r="C617" s="12">
        <v>6.4651162277159404</v>
      </c>
      <c r="D617" s="40">
        <v>0.80637325435496943</v>
      </c>
      <c r="E617" s="40">
        <v>2.0685310642129896E-2</v>
      </c>
      <c r="F617" s="37">
        <v>16.615861384800212</v>
      </c>
      <c r="G617" s="12">
        <v>10.619604488779578</v>
      </c>
      <c r="H617" s="37">
        <v>136413.64097258906</v>
      </c>
      <c r="I617" s="37">
        <v>21196.407532735189</v>
      </c>
      <c r="J617" s="37">
        <v>212854.64192500134</v>
      </c>
      <c r="K617" s="37">
        <v>100352.66669362814</v>
      </c>
      <c r="L617" s="37">
        <v>120378.33377197174</v>
      </c>
      <c r="M617" s="37">
        <v>155484.73382406525</v>
      </c>
      <c r="N617" s="37">
        <v>136810.98408036376</v>
      </c>
      <c r="O617" s="37">
        <v>1103722.6406290152</v>
      </c>
      <c r="P617" s="68">
        <v>1</v>
      </c>
    </row>
    <row r="618" spans="1:16" x14ac:dyDescent="0.2">
      <c r="A618" s="10">
        <v>616</v>
      </c>
      <c r="B618" s="40">
        <v>0.13452967631910731</v>
      </c>
      <c r="C618" s="12">
        <v>4.8502531927045531</v>
      </c>
      <c r="D618" s="40">
        <v>0.45167972299923775</v>
      </c>
      <c r="E618" s="40">
        <v>2.6857436875019455E-2</v>
      </c>
      <c r="F618" s="37">
        <v>22.002006301819694</v>
      </c>
      <c r="G618" s="12">
        <v>25.873874592899039</v>
      </c>
      <c r="H618" s="37">
        <v>61041.107071289734</v>
      </c>
      <c r="I618" s="37">
        <v>36896.183885636456</v>
      </c>
      <c r="J618" s="37">
        <v>413726.06893746729</v>
      </c>
      <c r="K618" s="37">
        <v>118507.89253884315</v>
      </c>
      <c r="L618" s="37">
        <v>71647.646886922012</v>
      </c>
      <c r="M618" s="37">
        <v>149735.29232862953</v>
      </c>
      <c r="N618" s="37">
        <v>333329.76277662127</v>
      </c>
      <c r="O618" s="37">
        <v>1082746.1926347991</v>
      </c>
      <c r="P618" s="68">
        <v>1</v>
      </c>
    </row>
    <row r="619" spans="1:16" x14ac:dyDescent="0.2">
      <c r="A619" s="10">
        <v>617</v>
      </c>
      <c r="B619" s="40">
        <v>0.12645606076641741</v>
      </c>
      <c r="C619" s="12">
        <v>4.053049705524141</v>
      </c>
      <c r="D619" s="40">
        <v>0.70855880864364185</v>
      </c>
      <c r="E619" s="40">
        <v>3.3727153148459407E-2</v>
      </c>
      <c r="F619" s="37">
        <v>14.606784956169379</v>
      </c>
      <c r="G619" s="12">
        <v>24.55625211710263</v>
      </c>
      <c r="H619" s="37">
        <v>137182.47059492866</v>
      </c>
      <c r="I619" s="37">
        <v>36132.949922073902</v>
      </c>
      <c r="J619" s="37">
        <v>353789.12073340337</v>
      </c>
      <c r="K619" s="37">
        <v>156180.16778997472</v>
      </c>
      <c r="L619" s="37">
        <v>88284.875686595653</v>
      </c>
      <c r="M619" s="37">
        <v>195828.97630088616</v>
      </c>
      <c r="N619" s="37">
        <v>316355.00371185795</v>
      </c>
      <c r="O619" s="37">
        <v>1376513.3889981133</v>
      </c>
      <c r="P619" s="68">
        <v>1</v>
      </c>
    </row>
    <row r="620" spans="1:16" x14ac:dyDescent="0.2">
      <c r="A620" s="10">
        <v>618</v>
      </c>
      <c r="B620" s="40">
        <v>0.2297993259819717</v>
      </c>
      <c r="C620" s="12">
        <v>4.4575002866382682</v>
      </c>
      <c r="D620" s="40">
        <v>0.69605556049827966</v>
      </c>
      <c r="E620" s="40">
        <v>1.3113456912210759E-2</v>
      </c>
      <c r="F620" s="37">
        <v>13.249535539556469</v>
      </c>
      <c r="G620" s="12">
        <v>8.2004818555223444</v>
      </c>
      <c r="H620" s="37">
        <v>98604.12384867642</v>
      </c>
      <c r="I620" s="37">
        <v>51673.359299712618</v>
      </c>
      <c r="J620" s="37">
        <v>175537.78918440067</v>
      </c>
      <c r="K620" s="37">
        <v>99644.978757064979</v>
      </c>
      <c r="L620" s="37">
        <v>173329.65279918441</v>
      </c>
      <c r="M620" s="37">
        <v>67846.662249008979</v>
      </c>
      <c r="N620" s="37">
        <v>105645.74168205315</v>
      </c>
      <c r="O620" s="37">
        <v>937985.60748659715</v>
      </c>
      <c r="P620" s="68">
        <v>1</v>
      </c>
    </row>
    <row r="621" spans="1:16" x14ac:dyDescent="0.2">
      <c r="A621" s="10">
        <v>619</v>
      </c>
      <c r="B621" s="40">
        <v>0.14410279813810317</v>
      </c>
      <c r="C621" s="12">
        <v>7.0093559093895301</v>
      </c>
      <c r="D621" s="40">
        <v>0.3547762193140801</v>
      </c>
      <c r="E621" s="40">
        <v>2.0798331036478081E-2</v>
      </c>
      <c r="F621" s="37">
        <v>10.357105800352452</v>
      </c>
      <c r="G621" s="12">
        <v>20.369163779186692</v>
      </c>
      <c r="H621" s="37">
        <v>164572.49486221836</v>
      </c>
      <c r="I621" s="37">
        <v>38959.73869864719</v>
      </c>
      <c r="J621" s="37">
        <v>397159.31189703516</v>
      </c>
      <c r="K621" s="37">
        <v>164393.51087367802</v>
      </c>
      <c r="L621" s="37">
        <v>87115.183783821965</v>
      </c>
      <c r="M621" s="37">
        <v>42873.420386680606</v>
      </c>
      <c r="N621" s="37">
        <v>262413.28897597088</v>
      </c>
      <c r="O621" s="37">
        <v>811860.83618880133</v>
      </c>
      <c r="P621" s="68">
        <v>1</v>
      </c>
    </row>
    <row r="622" spans="1:16" x14ac:dyDescent="0.2">
      <c r="A622" s="10">
        <v>620</v>
      </c>
      <c r="B622" s="40">
        <v>0.14988309527158894</v>
      </c>
      <c r="C622" s="12">
        <v>6.0199517641381401</v>
      </c>
      <c r="D622" s="40">
        <v>0.69730676667916325</v>
      </c>
      <c r="E622" s="40">
        <v>3.9868160463681071E-3</v>
      </c>
      <c r="F622" s="37">
        <v>20.005100794326985</v>
      </c>
      <c r="G622" s="12">
        <v>14.281370512203424</v>
      </c>
      <c r="H622" s="37">
        <v>215303.26693081149</v>
      </c>
      <c r="I622" s="37">
        <v>29287.614351291482</v>
      </c>
      <c r="J622" s="37">
        <v>416141.09047760232</v>
      </c>
      <c r="K622" s="37">
        <v>151303.64117432499</v>
      </c>
      <c r="L622" s="37">
        <v>152953.13179591371</v>
      </c>
      <c r="M622" s="37">
        <v>31200.212578311592</v>
      </c>
      <c r="N622" s="37">
        <v>183985.03973055014</v>
      </c>
      <c r="O622" s="37">
        <v>876606.00225745328</v>
      </c>
      <c r="P622" s="68">
        <v>1</v>
      </c>
    </row>
    <row r="623" spans="1:16" x14ac:dyDescent="0.2">
      <c r="A623" s="10">
        <v>621</v>
      </c>
      <c r="B623" s="40">
        <v>0.10316884908461466</v>
      </c>
      <c r="C623" s="12">
        <v>4.5526235710363903</v>
      </c>
      <c r="D623" s="40">
        <v>0.53756190114905755</v>
      </c>
      <c r="E623" s="40">
        <v>3.2959920327073726E-2</v>
      </c>
      <c r="F623" s="37">
        <v>12.158582301916024</v>
      </c>
      <c r="G623" s="12">
        <v>18.310309167902048</v>
      </c>
      <c r="H623" s="37">
        <v>57236.004944155677</v>
      </c>
      <c r="I623" s="37">
        <v>61693.116062868459</v>
      </c>
      <c r="J623" s="37">
        <v>415171.79748574842</v>
      </c>
      <c r="K623" s="37">
        <v>135854.70316576626</v>
      </c>
      <c r="L623" s="37">
        <v>61380.106703995931</v>
      </c>
      <c r="M623" s="37">
        <v>120854.91166490252</v>
      </c>
      <c r="N623" s="37">
        <v>235889.33266989025</v>
      </c>
      <c r="O623" s="37">
        <v>708841.51010561944</v>
      </c>
      <c r="P623" s="68">
        <v>1</v>
      </c>
    </row>
    <row r="624" spans="1:16" x14ac:dyDescent="0.2">
      <c r="A624" s="10">
        <v>622</v>
      </c>
      <c r="B624" s="40">
        <v>5.9788207779830529E-2</v>
      </c>
      <c r="C624" s="12">
        <v>5.1821742445453998</v>
      </c>
      <c r="D624" s="40">
        <v>0.66297920043636971</v>
      </c>
      <c r="E624" s="40">
        <v>3.969127790270368E-2</v>
      </c>
      <c r="F624" s="37">
        <v>12.868294587514974</v>
      </c>
      <c r="G624" s="12">
        <v>21.200954407492887</v>
      </c>
      <c r="H624" s="37">
        <v>128177.61401605471</v>
      </c>
      <c r="I624" s="37">
        <v>35980.131129299916</v>
      </c>
      <c r="J624" s="37">
        <v>263454.44522310002</v>
      </c>
      <c r="K624" s="37">
        <v>113389.62487869599</v>
      </c>
      <c r="L624" s="37">
        <v>49936.290727124106</v>
      </c>
      <c r="M624" s="37">
        <v>189968.9890844562</v>
      </c>
      <c r="N624" s="37">
        <v>273129.13950765791</v>
      </c>
      <c r="O624" s="37">
        <v>1316115.5996137818</v>
      </c>
      <c r="P624" s="68">
        <v>1</v>
      </c>
    </row>
    <row r="625" spans="1:16" x14ac:dyDescent="0.2">
      <c r="A625" s="10">
        <v>623</v>
      </c>
      <c r="B625" s="40">
        <v>0.21293403347510906</v>
      </c>
      <c r="C625" s="12">
        <v>7.7948880270327789</v>
      </c>
      <c r="D625" s="40">
        <v>0.78712300439896765</v>
      </c>
      <c r="E625" s="40">
        <v>2.8370090558461285E-2</v>
      </c>
      <c r="F625" s="37">
        <v>24.70103040310633</v>
      </c>
      <c r="G625" s="12">
        <v>16.949283396157384</v>
      </c>
      <c r="H625" s="37">
        <v>183977.78494894214</v>
      </c>
      <c r="I625" s="37">
        <v>26157.834333999406</v>
      </c>
      <c r="J625" s="37">
        <v>248301.98499702173</v>
      </c>
      <c r="K625" s="37">
        <v>129203.89167154623</v>
      </c>
      <c r="L625" s="37">
        <v>317604.31670237408</v>
      </c>
      <c r="M625" s="37">
        <v>309446.18260059523</v>
      </c>
      <c r="N625" s="37">
        <v>218355.4145858541</v>
      </c>
      <c r="O625" s="37">
        <v>2346959.8082423243</v>
      </c>
      <c r="P625" s="68">
        <v>1</v>
      </c>
    </row>
    <row r="626" spans="1:16" x14ac:dyDescent="0.2">
      <c r="A626" s="10">
        <v>624</v>
      </c>
      <c r="B626" s="40">
        <v>0.18585045814325435</v>
      </c>
      <c r="C626" s="12">
        <v>5.5248217215268633</v>
      </c>
      <c r="D626" s="40">
        <v>0.56852971310188138</v>
      </c>
      <c r="E626" s="40">
        <v>4.065278926266671E-2</v>
      </c>
      <c r="F626" s="37">
        <v>16.377924634986279</v>
      </c>
      <c r="G626" s="12">
        <v>7.902045969467153</v>
      </c>
      <c r="H626" s="37">
        <v>80800.66450139205</v>
      </c>
      <c r="I626" s="37">
        <v>19988.537850358469</v>
      </c>
      <c r="J626" s="37">
        <v>421550.81744666869</v>
      </c>
      <c r="K626" s="37">
        <v>176920.38493844925</v>
      </c>
      <c r="L626" s="37">
        <v>141913.56211244891</v>
      </c>
      <c r="M626" s="37">
        <v>212358.23943648415</v>
      </c>
      <c r="N626" s="37">
        <v>101801.0309586693</v>
      </c>
      <c r="O626" s="37">
        <v>642907.75956108398</v>
      </c>
      <c r="P626" s="68">
        <v>1</v>
      </c>
    </row>
    <row r="627" spans="1:16" x14ac:dyDescent="0.2">
      <c r="A627" s="10">
        <v>625</v>
      </c>
      <c r="B627" s="40">
        <v>6.5507487828648847E-2</v>
      </c>
      <c r="C627" s="12">
        <v>6.2868233519343928</v>
      </c>
      <c r="D627" s="40">
        <v>0.71713667371445122</v>
      </c>
      <c r="E627" s="40">
        <v>2.3000578230640181E-2</v>
      </c>
      <c r="F627" s="37">
        <v>10.110450746317051</v>
      </c>
      <c r="G627" s="12">
        <v>10.946769805261278</v>
      </c>
      <c r="H627" s="37">
        <v>221162.99251332713</v>
      </c>
      <c r="I627" s="37">
        <v>33328.985405999942</v>
      </c>
      <c r="J627" s="37">
        <v>190320.65536154248</v>
      </c>
      <c r="K627" s="37">
        <v>125602.53486801762</v>
      </c>
      <c r="L627" s="37">
        <v>71798.102132575004</v>
      </c>
      <c r="M627" s="37">
        <v>93557.355289025392</v>
      </c>
      <c r="N627" s="37">
        <v>141025.81232110638</v>
      </c>
      <c r="O627" s="37">
        <v>1029149.8703108188</v>
      </c>
      <c r="P627" s="68">
        <v>1</v>
      </c>
    </row>
    <row r="628" spans="1:16" x14ac:dyDescent="0.2">
      <c r="A628" s="10">
        <v>626</v>
      </c>
      <c r="B628" s="40">
        <v>0.12402196306682763</v>
      </c>
      <c r="C628" s="12">
        <v>4.1245487696338365</v>
      </c>
      <c r="D628" s="40">
        <v>0.74238791621343525</v>
      </c>
      <c r="E628" s="40">
        <v>3.7696017289881728E-2</v>
      </c>
      <c r="F628" s="37">
        <v>25.02072433691113</v>
      </c>
      <c r="G628" s="12">
        <v>21.065397437064533</v>
      </c>
      <c r="H628" s="37">
        <v>115494.78576115062</v>
      </c>
      <c r="I628" s="37">
        <v>39865.160215358075</v>
      </c>
      <c r="J628" s="37">
        <v>348316.53799058113</v>
      </c>
      <c r="K628" s="37">
        <v>114940.85418107932</v>
      </c>
      <c r="L628" s="37">
        <v>92319.781566773148</v>
      </c>
      <c r="M628" s="37">
        <v>392819.44015809702</v>
      </c>
      <c r="N628" s="37">
        <v>271382.77668003557</v>
      </c>
      <c r="O628" s="37">
        <v>1884423.0919243204</v>
      </c>
      <c r="P628" s="68">
        <v>1</v>
      </c>
    </row>
    <row r="629" spans="1:16" x14ac:dyDescent="0.2">
      <c r="A629" s="10">
        <v>627</v>
      </c>
      <c r="B629" s="40">
        <v>0.17850920882159943</v>
      </c>
      <c r="C629" s="12">
        <v>2.9908820716486435</v>
      </c>
      <c r="D629" s="40">
        <v>0.63730252556156586</v>
      </c>
      <c r="E629" s="40">
        <v>4.3976143524813029E-2</v>
      </c>
      <c r="F629" s="37">
        <v>10.578473008053653</v>
      </c>
      <c r="G629" s="12">
        <v>18.830844340707568</v>
      </c>
      <c r="H629" s="37">
        <v>14503.617878691704</v>
      </c>
      <c r="I629" s="37">
        <v>39788.433124264011</v>
      </c>
      <c r="J629" s="37">
        <v>581737.44468465657</v>
      </c>
      <c r="K629" s="37">
        <v>105563.93473970692</v>
      </c>
      <c r="L629" s="37">
        <v>82716.925478620426</v>
      </c>
      <c r="M629" s="37">
        <v>166323.07095403664</v>
      </c>
      <c r="N629" s="37">
        <v>242595.3196315713</v>
      </c>
      <c r="O629" s="37">
        <v>652001.03236606997</v>
      </c>
      <c r="P629" s="68">
        <v>1</v>
      </c>
    </row>
    <row r="630" spans="1:16" x14ac:dyDescent="0.2">
      <c r="A630" s="10">
        <v>628</v>
      </c>
      <c r="B630" s="40">
        <v>0.11718307763156192</v>
      </c>
      <c r="C630" s="12">
        <v>2.0134722089384081</v>
      </c>
      <c r="D630" s="40">
        <v>0.60969437651991809</v>
      </c>
      <c r="E630" s="40">
        <v>2.8856388971729739E-2</v>
      </c>
      <c r="F630" s="37">
        <v>12.233599019145203</v>
      </c>
      <c r="G630" s="12">
        <v>8.4154899999775505</v>
      </c>
      <c r="H630" s="37">
        <v>112573.6655625838</v>
      </c>
      <c r="I630" s="37">
        <v>27901.918118348985</v>
      </c>
      <c r="J630" s="37">
        <v>448788.9254722771</v>
      </c>
      <c r="K630" s="37">
        <v>101940.56373540344</v>
      </c>
      <c r="L630" s="37">
        <v>34971.282414400477</v>
      </c>
      <c r="M630" s="37">
        <v>120746.66550614689</v>
      </c>
      <c r="N630" s="37">
        <v>108415.66365601079</v>
      </c>
      <c r="O630" s="37">
        <v>399178.70556253078</v>
      </c>
      <c r="P630" s="68">
        <v>1</v>
      </c>
    </row>
    <row r="631" spans="1:16" x14ac:dyDescent="0.2">
      <c r="A631" s="10">
        <v>629</v>
      </c>
      <c r="B631" s="40">
        <v>0.1405309460412637</v>
      </c>
      <c r="C631" s="12">
        <v>5.886365561810516</v>
      </c>
      <c r="D631" s="40">
        <v>0.62735586907548702</v>
      </c>
      <c r="E631" s="40">
        <v>2.2707241445000394E-2</v>
      </c>
      <c r="F631" s="37">
        <v>11.569864728046978</v>
      </c>
      <c r="G631" s="12">
        <v>10.123863740172892</v>
      </c>
      <c r="H631" s="37">
        <v>143275.4207047128</v>
      </c>
      <c r="I631" s="37">
        <v>52855.131133631563</v>
      </c>
      <c r="J631" s="37">
        <v>596210.91237100819</v>
      </c>
      <c r="K631" s="37">
        <v>167076.73169551819</v>
      </c>
      <c r="L631" s="37">
        <v>126160.09123294197</v>
      </c>
      <c r="M631" s="37">
        <v>92464.144616976439</v>
      </c>
      <c r="N631" s="37">
        <v>130424.42046236114</v>
      </c>
      <c r="O631" s="37">
        <v>463094.96824064921</v>
      </c>
      <c r="P631" s="68">
        <v>1</v>
      </c>
    </row>
    <row r="632" spans="1:16" x14ac:dyDescent="0.2">
      <c r="A632" s="10">
        <v>630</v>
      </c>
      <c r="B632" s="40">
        <v>0.14452040635741867</v>
      </c>
      <c r="C632" s="12">
        <v>3.2957330401429781</v>
      </c>
      <c r="D632" s="40">
        <v>0.65521286017664837</v>
      </c>
      <c r="E632" s="40">
        <v>3.0181144013587249E-2</v>
      </c>
      <c r="F632" s="37">
        <v>12.909360882279454</v>
      </c>
      <c r="G632" s="12">
        <v>16.030015864636752</v>
      </c>
      <c r="H632" s="37">
        <v>104813.25056527124</v>
      </c>
      <c r="I632" s="37">
        <v>29057.567310542774</v>
      </c>
      <c r="J632" s="37">
        <v>316541.70454371063</v>
      </c>
      <c r="K632" s="37">
        <v>167870.94890806897</v>
      </c>
      <c r="L632" s="37">
        <v>75866.91811300379</v>
      </c>
      <c r="M632" s="37">
        <v>143215.35513220163</v>
      </c>
      <c r="N632" s="37">
        <v>206512.61048205287</v>
      </c>
      <c r="O632" s="37">
        <v>780564.63613834698</v>
      </c>
      <c r="P632" s="68">
        <v>1</v>
      </c>
    </row>
    <row r="633" spans="1:16" x14ac:dyDescent="0.2">
      <c r="A633" s="10">
        <v>631</v>
      </c>
      <c r="B633" s="40">
        <v>0.144669102893419</v>
      </c>
      <c r="C633" s="12">
        <v>7.1427010188560605</v>
      </c>
      <c r="D633" s="40">
        <v>0.60568802429061097</v>
      </c>
      <c r="E633" s="40">
        <v>2.0909928016468009E-2</v>
      </c>
      <c r="F633" s="37">
        <v>22.082188770175112</v>
      </c>
      <c r="G633" s="12">
        <v>6.595304035306107</v>
      </c>
      <c r="H633" s="37">
        <v>63196.45298021505</v>
      </c>
      <c r="I633" s="37">
        <v>21980.182806359659</v>
      </c>
      <c r="J633" s="37">
        <v>282912.54422764253</v>
      </c>
      <c r="K633" s="37">
        <v>162525.21595752705</v>
      </c>
      <c r="L633" s="37">
        <v>152151.44331380614</v>
      </c>
      <c r="M633" s="37">
        <v>156895.45922532823</v>
      </c>
      <c r="N633" s="37">
        <v>84966.444497323988</v>
      </c>
      <c r="O633" s="37">
        <v>604267.17717515933</v>
      </c>
      <c r="P633" s="68">
        <v>1</v>
      </c>
    </row>
    <row r="634" spans="1:16" x14ac:dyDescent="0.2">
      <c r="A634" s="10">
        <v>632</v>
      </c>
      <c r="B634" s="40">
        <v>0.16499390722140411</v>
      </c>
      <c r="C634" s="12">
        <v>8.5891063241046677</v>
      </c>
      <c r="D634" s="40">
        <v>0.21892095935957964</v>
      </c>
      <c r="E634" s="40">
        <v>3.7550611325820368E-2</v>
      </c>
      <c r="F634" s="37">
        <v>12.417113549968505</v>
      </c>
      <c r="G634" s="12">
        <v>5.1633872777658398</v>
      </c>
      <c r="H634" s="37">
        <v>199492.8180946387</v>
      </c>
      <c r="I634" s="37">
        <v>11878.776112635886</v>
      </c>
      <c r="J634" s="37">
        <v>286492.72931267833</v>
      </c>
      <c r="K634" s="37">
        <v>69113.21034547381</v>
      </c>
      <c r="L634" s="37">
        <v>75420.960385180166</v>
      </c>
      <c r="M634" s="37">
        <v>57265.326201437951</v>
      </c>
      <c r="N634" s="37">
        <v>66519.247059111207</v>
      </c>
      <c r="O634" s="37">
        <v>670165.20962406672</v>
      </c>
      <c r="P634" s="68">
        <v>1</v>
      </c>
    </row>
    <row r="635" spans="1:16" x14ac:dyDescent="0.2">
      <c r="A635" s="10">
        <v>633</v>
      </c>
      <c r="B635" s="40">
        <v>0.1684752999508915</v>
      </c>
      <c r="C635" s="12">
        <v>6.0115894918870598</v>
      </c>
      <c r="D635" s="40">
        <v>0.79179270046441241</v>
      </c>
      <c r="E635" s="40">
        <v>3.0420648304234459E-2</v>
      </c>
      <c r="F635" s="37">
        <v>11.735641997618384</v>
      </c>
      <c r="G635" s="12">
        <v>9.7759795359523292</v>
      </c>
      <c r="H635" s="37">
        <v>50437.697735929192</v>
      </c>
      <c r="I635" s="37">
        <v>51610.998036651821</v>
      </c>
      <c r="J635" s="37">
        <v>473703.15890375467</v>
      </c>
      <c r="K635" s="37">
        <v>74211.073551648675</v>
      </c>
      <c r="L635" s="37">
        <v>194951.18443870006</v>
      </c>
      <c r="M635" s="37">
        <v>158581.87318476112</v>
      </c>
      <c r="N635" s="37">
        <v>125942.67348433418</v>
      </c>
      <c r="O635" s="37">
        <v>947604.69269332301</v>
      </c>
      <c r="P635" s="68">
        <v>1</v>
      </c>
    </row>
    <row r="636" spans="1:16" x14ac:dyDescent="0.2">
      <c r="A636" s="10">
        <v>634</v>
      </c>
      <c r="B636" s="40">
        <v>9.1247803066681205E-2</v>
      </c>
      <c r="C636" s="12">
        <v>8.6314208071620637</v>
      </c>
      <c r="D636" s="40">
        <v>0.55587646827380588</v>
      </c>
      <c r="E636" s="40">
        <v>4.326984711220886E-2</v>
      </c>
      <c r="F636" s="37">
        <v>12.847290192816118</v>
      </c>
      <c r="G636" s="12">
        <v>18.099176099132485</v>
      </c>
      <c r="H636" s="37">
        <v>139708.36823845614</v>
      </c>
      <c r="I636" s="37">
        <v>22535.046628631411</v>
      </c>
      <c r="J636" s="37">
        <v>247890.10891563958</v>
      </c>
      <c r="K636" s="37">
        <v>104038.73064590491</v>
      </c>
      <c r="L636" s="37">
        <v>106431.90273872339</v>
      </c>
      <c r="M636" s="37">
        <v>173357.21294854317</v>
      </c>
      <c r="N636" s="37">
        <v>233169.33279223091</v>
      </c>
      <c r="O636" s="37">
        <v>1352301.6457930778</v>
      </c>
      <c r="P636" s="68">
        <v>1</v>
      </c>
    </row>
    <row r="637" spans="1:16" x14ac:dyDescent="0.2">
      <c r="A637" s="10">
        <v>635</v>
      </c>
      <c r="B637" s="40">
        <v>8.8046563231786862E-2</v>
      </c>
      <c r="C637" s="12">
        <v>5.3967701575626243</v>
      </c>
      <c r="D637" s="40">
        <v>0.55354620090316953</v>
      </c>
      <c r="E637" s="40">
        <v>3.8728600209870838E-2</v>
      </c>
      <c r="F637" s="37">
        <v>17.251866138684921</v>
      </c>
      <c r="G637" s="12">
        <v>10.12507364343657</v>
      </c>
      <c r="H637" s="37">
        <v>60438.583085301012</v>
      </c>
      <c r="I637" s="37">
        <v>9441.8898914552938</v>
      </c>
      <c r="J637" s="37">
        <v>460131.69309072819</v>
      </c>
      <c r="K637" s="37">
        <v>82688.205986904097</v>
      </c>
      <c r="L637" s="37">
        <v>63942.415014861894</v>
      </c>
      <c r="M637" s="37">
        <v>207485.85101957954</v>
      </c>
      <c r="N637" s="37">
        <v>130440.0074888197</v>
      </c>
      <c r="O637" s="37">
        <v>629874.70502506441</v>
      </c>
      <c r="P637" s="68">
        <v>1</v>
      </c>
    </row>
    <row r="638" spans="1:16" x14ac:dyDescent="0.2">
      <c r="A638" s="10">
        <v>636</v>
      </c>
      <c r="B638" s="40">
        <v>8.9975426812311549E-2</v>
      </c>
      <c r="C638" s="12">
        <v>3.9833864840352717</v>
      </c>
      <c r="D638" s="40">
        <v>0.7889010927035025</v>
      </c>
      <c r="E638" s="40">
        <v>1.0162986358167462E-2</v>
      </c>
      <c r="F638" s="37">
        <v>11.622549058485394</v>
      </c>
      <c r="G638" s="12">
        <v>9.7160333862575996</v>
      </c>
      <c r="H638" s="37">
        <v>86799.014143492444</v>
      </c>
      <c r="I638" s="37">
        <v>36892.957137956888</v>
      </c>
      <c r="J638" s="37">
        <v>575395.32773692603</v>
      </c>
      <c r="K638" s="37">
        <v>164343.72341776401</v>
      </c>
      <c r="L638" s="37">
        <v>68736.552794236079</v>
      </c>
      <c r="M638" s="37">
        <v>52277.164097793968</v>
      </c>
      <c r="N638" s="37">
        <v>125170.39503081645</v>
      </c>
      <c r="O638" s="37">
        <v>431.73221547144931</v>
      </c>
      <c r="P638" s="68">
        <v>1</v>
      </c>
    </row>
    <row r="639" spans="1:16" x14ac:dyDescent="0.2">
      <c r="A639" s="10">
        <v>637</v>
      </c>
      <c r="B639" s="40">
        <v>0.15472144577825531</v>
      </c>
      <c r="C639" s="12">
        <v>6.0118169408609301</v>
      </c>
      <c r="D639" s="40">
        <v>0.61126897178291839</v>
      </c>
      <c r="E639" s="40">
        <v>3.6699283567720925E-2</v>
      </c>
      <c r="F639" s="37">
        <v>8.6718831769241209</v>
      </c>
      <c r="G639" s="12">
        <v>5.4423142965481341</v>
      </c>
      <c r="H639" s="37">
        <v>57368.724592473227</v>
      </c>
      <c r="I639" s="37">
        <v>42482.376492812742</v>
      </c>
      <c r="J639" s="37">
        <v>228520.14716968033</v>
      </c>
      <c r="K639" s="37">
        <v>183359.17221933373</v>
      </c>
      <c r="L639" s="37">
        <v>138222.08629623131</v>
      </c>
      <c r="M639" s="37">
        <v>109136.51666379168</v>
      </c>
      <c r="N639" s="37">
        <v>70112.627581571054</v>
      </c>
      <c r="O639" s="37">
        <v>426959.69239789736</v>
      </c>
      <c r="P639" s="68">
        <v>1</v>
      </c>
    </row>
    <row r="640" spans="1:16" x14ac:dyDescent="0.2">
      <c r="A640" s="10">
        <v>638</v>
      </c>
      <c r="B640" s="40">
        <v>8.8262566537182313E-2</v>
      </c>
      <c r="C640" s="12">
        <v>5.0615937245586862</v>
      </c>
      <c r="D640" s="40">
        <v>0.37056783684782252</v>
      </c>
      <c r="E640" s="40">
        <v>2.277211545979093E-2</v>
      </c>
      <c r="F640" s="37">
        <v>9.5489703496312508</v>
      </c>
      <c r="G640" s="12">
        <v>16.86235852886761</v>
      </c>
      <c r="H640" s="37">
        <v>192362.76112542296</v>
      </c>
      <c r="I640" s="37">
        <v>37101.940382529916</v>
      </c>
      <c r="J640" s="37">
        <v>405361.2023506813</v>
      </c>
      <c r="K640" s="37">
        <v>95584.2766244042</v>
      </c>
      <c r="L640" s="37">
        <v>40245.783519185585</v>
      </c>
      <c r="M640" s="37">
        <v>45205.822584031077</v>
      </c>
      <c r="N640" s="37">
        <v>217235.5728207927</v>
      </c>
      <c r="O640" s="37">
        <v>817742.74114543293</v>
      </c>
      <c r="P640" s="68">
        <v>1</v>
      </c>
    </row>
    <row r="641" spans="1:16" x14ac:dyDescent="0.2">
      <c r="A641" s="10">
        <v>639</v>
      </c>
      <c r="B641" s="40">
        <v>0.11373983832048808</v>
      </c>
      <c r="C641" s="12">
        <v>3.8181500703740481</v>
      </c>
      <c r="D641" s="40">
        <v>0.36479948672424034</v>
      </c>
      <c r="E641" s="40">
        <v>4.0056541843648472E-2</v>
      </c>
      <c r="F641" s="37">
        <v>9.2194791832638074</v>
      </c>
      <c r="G641" s="12">
        <v>11.123003004986353</v>
      </c>
      <c r="H641" s="37">
        <v>98526.142659370846</v>
      </c>
      <c r="I641" s="37">
        <v>51477.965391730089</v>
      </c>
      <c r="J641" s="37">
        <v>482848.6139803431</v>
      </c>
      <c r="K641" s="37">
        <v>141205.11461717726</v>
      </c>
      <c r="L641" s="37">
        <v>38513.115210800686</v>
      </c>
      <c r="M641" s="37">
        <v>75578.939150960825</v>
      </c>
      <c r="N641" s="37">
        <v>143296.20172284855</v>
      </c>
      <c r="O641" s="37">
        <v>262911.42811847082</v>
      </c>
      <c r="P641" s="68">
        <v>1</v>
      </c>
    </row>
    <row r="642" spans="1:16" x14ac:dyDescent="0.2">
      <c r="A642" s="10">
        <v>640</v>
      </c>
      <c r="B642" s="40">
        <v>0.15997902439607289</v>
      </c>
      <c r="C642" s="12">
        <v>6.7954744813734447</v>
      </c>
      <c r="D642" s="40">
        <v>0.74011751923232283</v>
      </c>
      <c r="E642" s="40">
        <v>2.9126003392273912E-2</v>
      </c>
      <c r="F642" s="37">
        <v>24.316215768478841</v>
      </c>
      <c r="G642" s="12">
        <v>12.916534739434542</v>
      </c>
      <c r="H642" s="37">
        <v>77451.426460671355</v>
      </c>
      <c r="I642" s="37">
        <v>50620.934665151311</v>
      </c>
      <c r="J642" s="37">
        <v>384009.36534308613</v>
      </c>
      <c r="K642" s="37">
        <v>138874.03197237657</v>
      </c>
      <c r="L642" s="37">
        <v>195601.57341922593</v>
      </c>
      <c r="M642" s="37">
        <v>294065.6522647682</v>
      </c>
      <c r="N642" s="37">
        <v>166402.03789861911</v>
      </c>
      <c r="O642" s="37">
        <v>1423796.1850513872</v>
      </c>
      <c r="P642" s="68">
        <v>1</v>
      </c>
    </row>
    <row r="643" spans="1:16" x14ac:dyDescent="0.2">
      <c r="A643" s="10">
        <v>641</v>
      </c>
      <c r="B643" s="40">
        <v>0.13700617751225128</v>
      </c>
      <c r="C643" s="12">
        <v>5.9917818384912813</v>
      </c>
      <c r="D643" s="40">
        <v>0.6364454744328325</v>
      </c>
      <c r="E643" s="40">
        <v>1.8448892528666661E-2</v>
      </c>
      <c r="F643" s="37">
        <v>9.0467441041188916</v>
      </c>
      <c r="G643" s="12">
        <v>27.499592595802319</v>
      </c>
      <c r="H643" s="37">
        <v>74876.312489889475</v>
      </c>
      <c r="I643" s="37">
        <v>42176.69451544874</v>
      </c>
      <c r="J643" s="37">
        <v>304633.14096266427</v>
      </c>
      <c r="K643" s="37">
        <v>116350.19437065341</v>
      </c>
      <c r="L643" s="37">
        <v>127012.41511885957</v>
      </c>
      <c r="M643" s="37">
        <v>59592.354071034431</v>
      </c>
      <c r="N643" s="37">
        <v>354273.67646468384</v>
      </c>
      <c r="O643" s="37">
        <v>1212680.9404302821</v>
      </c>
      <c r="P643" s="68">
        <v>1</v>
      </c>
    </row>
    <row r="644" spans="1:16" x14ac:dyDescent="0.2">
      <c r="A644" s="10">
        <v>642</v>
      </c>
      <c r="B644" s="40">
        <v>0.14640481892441801</v>
      </c>
      <c r="C644" s="12">
        <v>5.0760390510618212</v>
      </c>
      <c r="D644" s="40">
        <v>0.65293395942962151</v>
      </c>
      <c r="E644" s="40">
        <v>3.0605510929169799E-2</v>
      </c>
      <c r="F644" s="37">
        <v>14.197882561642258</v>
      </c>
      <c r="G644" s="12">
        <v>8.8543013367633705</v>
      </c>
      <c r="H644" s="37">
        <v>75419.688160389458</v>
      </c>
      <c r="I644" s="37">
        <v>17555.559084416378</v>
      </c>
      <c r="J644" s="37">
        <v>314580.68223749218</v>
      </c>
      <c r="K644" s="37">
        <v>139521.33334997768</v>
      </c>
      <c r="L644" s="37">
        <v>117960.9911415152</v>
      </c>
      <c r="M644" s="37">
        <v>159169.26198913681</v>
      </c>
      <c r="N644" s="37">
        <v>114068.81306234874</v>
      </c>
      <c r="O644" s="37">
        <v>651011.85235866602</v>
      </c>
      <c r="P644" s="68">
        <v>1</v>
      </c>
    </row>
    <row r="645" spans="1:16" x14ac:dyDescent="0.2">
      <c r="A645" s="10">
        <v>643</v>
      </c>
      <c r="B645" s="40">
        <v>0.17024284556450259</v>
      </c>
      <c r="C645" s="12">
        <v>9.6324220592618914</v>
      </c>
      <c r="D645" s="40">
        <v>0.41318345173722554</v>
      </c>
      <c r="E645" s="40">
        <v>1.5512350917385042E-2</v>
      </c>
      <c r="F645" s="37">
        <v>11.410328353426475</v>
      </c>
      <c r="G645" s="12">
        <v>8.2208598349398976</v>
      </c>
      <c r="H645" s="37">
        <v>41963.124601953117</v>
      </c>
      <c r="I645" s="37">
        <v>20960.487586920044</v>
      </c>
      <c r="J645" s="37">
        <v>259493.89919945539</v>
      </c>
      <c r="K645" s="37">
        <v>101468.65593542163</v>
      </c>
      <c r="L645" s="37">
        <v>164716.12710629823</v>
      </c>
      <c r="M645" s="37">
        <v>41028.478729170936</v>
      </c>
      <c r="N645" s="37">
        <v>105908.26854175216</v>
      </c>
      <c r="O645" s="37">
        <v>505655.09887254005</v>
      </c>
      <c r="P645" s="68">
        <v>1</v>
      </c>
    </row>
    <row r="646" spans="1:16" x14ac:dyDescent="0.2">
      <c r="A646" s="10">
        <v>644</v>
      </c>
      <c r="B646" s="40">
        <v>0.15182415602371219</v>
      </c>
      <c r="C646" s="12">
        <v>3.4095628547715373</v>
      </c>
      <c r="D646" s="40">
        <v>0.53931705474980229</v>
      </c>
      <c r="E646" s="40">
        <v>1.6839976237031047E-2</v>
      </c>
      <c r="F646" s="37">
        <v>26.746750295282457</v>
      </c>
      <c r="G646" s="12">
        <v>12.520153358791198</v>
      </c>
      <c r="H646" s="37">
        <v>75720.200832336152</v>
      </c>
      <c r="I646" s="37">
        <v>45077.173830946565</v>
      </c>
      <c r="J646" s="37">
        <v>433461.5294723257</v>
      </c>
      <c r="K646" s="37">
        <v>158155.8144899827</v>
      </c>
      <c r="L646" s="37">
        <v>67869.173474271389</v>
      </c>
      <c r="M646" s="37">
        <v>136277.25704824959</v>
      </c>
      <c r="N646" s="37">
        <v>161295.50810137036</v>
      </c>
      <c r="O646" s="37">
        <v>485709.33358542528</v>
      </c>
      <c r="P646" s="68">
        <v>1</v>
      </c>
    </row>
    <row r="647" spans="1:16" x14ac:dyDescent="0.2">
      <c r="A647" s="10">
        <v>645</v>
      </c>
      <c r="B647" s="40">
        <v>0.17074396350862231</v>
      </c>
      <c r="C647" s="12">
        <v>6.4854554032642238</v>
      </c>
      <c r="D647" s="40">
        <v>0.56533430460180967</v>
      </c>
      <c r="E647" s="40">
        <v>2.6173002449710488E-2</v>
      </c>
      <c r="F647" s="37">
        <v>13.785415929652562</v>
      </c>
      <c r="G647" s="12">
        <v>24.969295327790764</v>
      </c>
      <c r="H647" s="37">
        <v>40324.8455623396</v>
      </c>
      <c r="I647" s="37">
        <v>24872.577618014391</v>
      </c>
      <c r="J647" s="37">
        <v>316340.58608428162</v>
      </c>
      <c r="K647" s="37">
        <v>132339.97968619911</v>
      </c>
      <c r="L647" s="37">
        <v>152187.85807410377</v>
      </c>
      <c r="M647" s="37">
        <v>114431.47373823104</v>
      </c>
      <c r="N647" s="37">
        <v>321676.18569953582</v>
      </c>
      <c r="O647" s="37">
        <v>1143740.8221828507</v>
      </c>
      <c r="P647" s="68">
        <v>1</v>
      </c>
    </row>
    <row r="648" spans="1:16" x14ac:dyDescent="0.2">
      <c r="A648" s="10">
        <v>646</v>
      </c>
      <c r="B648" s="40">
        <v>0.15227456892638686</v>
      </c>
      <c r="C648" s="12">
        <v>1.8762097645235865</v>
      </c>
      <c r="D648" s="40">
        <v>0.56484712798681225</v>
      </c>
      <c r="E648" s="40">
        <v>1.6263372606710524E-2</v>
      </c>
      <c r="F648" s="37">
        <v>22.778635659695524</v>
      </c>
      <c r="G648" s="12">
        <v>10.968449969993083</v>
      </c>
      <c r="H648" s="37">
        <v>62529.064508980577</v>
      </c>
      <c r="I648" s="37">
        <v>60042.000701400975</v>
      </c>
      <c r="J648" s="37">
        <v>549289.32951488416</v>
      </c>
      <c r="K648" s="37">
        <v>164248.13624100614</v>
      </c>
      <c r="L648" s="37">
        <v>39230.922908155248</v>
      </c>
      <c r="M648" s="37">
        <v>117391.31760276208</v>
      </c>
      <c r="N648" s="37">
        <v>141305.11506492479</v>
      </c>
      <c r="O648" s="37">
        <v>168630.94403664337</v>
      </c>
      <c r="P648" s="68">
        <v>1</v>
      </c>
    </row>
    <row r="649" spans="1:16" x14ac:dyDescent="0.2">
      <c r="A649" s="10">
        <v>647</v>
      </c>
      <c r="B649" s="40">
        <v>0.14215698409041161</v>
      </c>
      <c r="C649" s="12">
        <v>2.3913971687627167</v>
      </c>
      <c r="D649" s="40">
        <v>0.57327322525853242</v>
      </c>
      <c r="E649" s="40">
        <v>3.8915367168532243E-2</v>
      </c>
      <c r="F649" s="37">
        <v>14.721927018369206</v>
      </c>
      <c r="G649" s="12">
        <v>7.511662982805408</v>
      </c>
      <c r="H649" s="37">
        <v>100698.92682237551</v>
      </c>
      <c r="I649" s="37">
        <v>47181.158115369108</v>
      </c>
      <c r="J649" s="37">
        <v>284524.94547102775</v>
      </c>
      <c r="K649" s="37">
        <v>143385.67236646437</v>
      </c>
      <c r="L649" s="37">
        <v>47377.310149110614</v>
      </c>
      <c r="M649" s="37">
        <v>184252.83690031836</v>
      </c>
      <c r="N649" s="37">
        <v>96771.777691294323</v>
      </c>
      <c r="O649" s="37">
        <v>648129.74395298678</v>
      </c>
      <c r="P649" s="68">
        <v>1</v>
      </c>
    </row>
    <row r="650" spans="1:16" x14ac:dyDescent="0.2">
      <c r="A650" s="10">
        <v>648</v>
      </c>
      <c r="B650" s="40">
        <v>0.20694095611857319</v>
      </c>
      <c r="C650" s="12">
        <v>5.3063005038123343</v>
      </c>
      <c r="D650" s="40">
        <v>0.65072843931414448</v>
      </c>
      <c r="E650" s="40">
        <v>8.2204954824899243E-3</v>
      </c>
      <c r="F650" s="37">
        <v>8.8692426303924172</v>
      </c>
      <c r="G650" s="12">
        <v>16.302141670540045</v>
      </c>
      <c r="H650" s="37">
        <v>175312.90480019874</v>
      </c>
      <c r="I650" s="37">
        <v>46000.098162508453</v>
      </c>
      <c r="J650" s="37">
        <v>586889.74835648551</v>
      </c>
      <c r="K650" s="37">
        <v>153495.61391967419</v>
      </c>
      <c r="L650" s="37">
        <v>173710.83561566187</v>
      </c>
      <c r="M650" s="37">
        <v>26616.506369030369</v>
      </c>
      <c r="N650" s="37">
        <v>210018.37186315024</v>
      </c>
      <c r="O650" s="37">
        <v>752749.68361101113</v>
      </c>
      <c r="P650" s="68">
        <v>1</v>
      </c>
    </row>
    <row r="651" spans="1:16" x14ac:dyDescent="0.2">
      <c r="A651" s="10">
        <v>649</v>
      </c>
      <c r="B651" s="40">
        <v>0.11379664303581249</v>
      </c>
      <c r="C651" s="12">
        <v>5.5537246599155319</v>
      </c>
      <c r="D651" s="40">
        <v>0.59844480749020912</v>
      </c>
      <c r="E651" s="40">
        <v>3.3234765675473961E-2</v>
      </c>
      <c r="F651" s="37">
        <v>25.986115902084002</v>
      </c>
      <c r="G651" s="12">
        <v>16.283770770004146</v>
      </c>
      <c r="H651" s="37">
        <v>30394.346271402312</v>
      </c>
      <c r="I651" s="37">
        <v>28238.178141846089</v>
      </c>
      <c r="J651" s="37">
        <v>486257.36620361306</v>
      </c>
      <c r="K651" s="37">
        <v>122120.52166419377</v>
      </c>
      <c r="L651" s="37">
        <v>91944.705912135629</v>
      </c>
      <c r="M651" s="37">
        <v>289951.14446244191</v>
      </c>
      <c r="N651" s="37">
        <v>209781.7019397633</v>
      </c>
      <c r="O651" s="37">
        <v>993538.02419432369</v>
      </c>
      <c r="P651" s="68">
        <v>1</v>
      </c>
    </row>
    <row r="652" spans="1:16" x14ac:dyDescent="0.2">
      <c r="A652" s="10">
        <v>650</v>
      </c>
      <c r="B652" s="40">
        <v>0.1869840561836911</v>
      </c>
      <c r="C652" s="12">
        <v>3.7788586281062932</v>
      </c>
      <c r="D652" s="40">
        <v>0.55660564686590663</v>
      </c>
      <c r="E652" s="40">
        <v>1.7243261826037748E-2</v>
      </c>
      <c r="F652" s="37">
        <v>18.226204939319523</v>
      </c>
      <c r="G652" s="12">
        <v>22.734452026482959</v>
      </c>
      <c r="H652" s="37">
        <v>136768.79654625079</v>
      </c>
      <c r="I652" s="37">
        <v>12527.906206365675</v>
      </c>
      <c r="J652" s="37">
        <v>364644.08642984927</v>
      </c>
      <c r="K652" s="37">
        <v>187363.77051315151</v>
      </c>
      <c r="L652" s="37">
        <v>95609.634691267463</v>
      </c>
      <c r="M652" s="37">
        <v>98136.375027946546</v>
      </c>
      <c r="N652" s="37">
        <v>292884.98997841653</v>
      </c>
      <c r="O652" s="37">
        <v>892069.21358915197</v>
      </c>
      <c r="P652" s="68">
        <v>1</v>
      </c>
    </row>
    <row r="653" spans="1:16" x14ac:dyDescent="0.2">
      <c r="A653" s="10">
        <v>651</v>
      </c>
      <c r="B653" s="40">
        <v>0.13904694412053567</v>
      </c>
      <c r="C653" s="12">
        <v>4.3875036095383475</v>
      </c>
      <c r="D653" s="40">
        <v>0.62345295460738814</v>
      </c>
      <c r="E653" s="40">
        <v>2.9397253900170783E-2</v>
      </c>
      <c r="F653" s="37">
        <v>24.781498176438681</v>
      </c>
      <c r="G653" s="12">
        <v>22.807614294662766</v>
      </c>
      <c r="H653" s="37">
        <v>39806.537593794099</v>
      </c>
      <c r="I653" s="37">
        <v>27175.939352976086</v>
      </c>
      <c r="J653" s="37">
        <v>448065.44233825326</v>
      </c>
      <c r="K653" s="37">
        <v>85556.715839246273</v>
      </c>
      <c r="L653" s="37">
        <v>92463.739254917688</v>
      </c>
      <c r="M653" s="37">
        <v>254803.11972149057</v>
      </c>
      <c r="N653" s="37">
        <v>293827.52996828215</v>
      </c>
      <c r="O653" s="37">
        <v>1296010.0314119458</v>
      </c>
      <c r="P653" s="68">
        <v>1</v>
      </c>
    </row>
    <row r="654" spans="1:16" x14ac:dyDescent="0.2">
      <c r="A654" s="10">
        <v>652</v>
      </c>
      <c r="B654" s="40">
        <v>0.12708012939339536</v>
      </c>
      <c r="C654" s="12">
        <v>6.8390817203055967</v>
      </c>
      <c r="D654" s="40">
        <v>0.59985247068342074</v>
      </c>
      <c r="E654" s="40">
        <v>3.0806029230371731E-2</v>
      </c>
      <c r="F654" s="37">
        <v>8.8627291480446946</v>
      </c>
      <c r="G654" s="12">
        <v>24.362831177356167</v>
      </c>
      <c r="H654" s="37">
        <v>56834.852276764293</v>
      </c>
      <c r="I654" s="37">
        <v>17635.713035114979</v>
      </c>
      <c r="J654" s="37">
        <v>420191.02161773725</v>
      </c>
      <c r="K654" s="37">
        <v>184840.08615749737</v>
      </c>
      <c r="L654" s="37">
        <v>126738.54676645491</v>
      </c>
      <c r="M654" s="37">
        <v>91878.603217359938</v>
      </c>
      <c r="N654" s="37">
        <v>313863.18688982644</v>
      </c>
      <c r="O654" s="37">
        <v>762410.25061001151</v>
      </c>
      <c r="P654" s="68">
        <v>1</v>
      </c>
    </row>
    <row r="655" spans="1:16" x14ac:dyDescent="0.2">
      <c r="A655" s="10">
        <v>653</v>
      </c>
      <c r="B655" s="40">
        <v>9.3346655496447939E-2</v>
      </c>
      <c r="C655" s="12">
        <v>3.8436715310738112</v>
      </c>
      <c r="D655" s="40">
        <v>0.71283359329544882</v>
      </c>
      <c r="E655" s="40">
        <v>3.3435824753775503E-2</v>
      </c>
      <c r="F655" s="37">
        <v>19.929521381468014</v>
      </c>
      <c r="G655" s="12">
        <v>17.978924185995751</v>
      </c>
      <c r="H655" s="37">
        <v>130365.8013577121</v>
      </c>
      <c r="I655" s="37">
        <v>62032.489852741579</v>
      </c>
      <c r="J655" s="37">
        <v>401095.90464132169</v>
      </c>
      <c r="K655" s="37">
        <v>149719.44370459736</v>
      </c>
      <c r="L655" s="37">
        <v>62175.89093889598</v>
      </c>
      <c r="M655" s="37">
        <v>266479.49675654399</v>
      </c>
      <c r="N655" s="37">
        <v>231620.14302803911</v>
      </c>
      <c r="O655" s="37">
        <v>1288163.379209782</v>
      </c>
      <c r="P655" s="68">
        <v>1</v>
      </c>
    </row>
    <row r="656" spans="1:16" x14ac:dyDescent="0.2">
      <c r="A656" s="10">
        <v>654</v>
      </c>
      <c r="B656" s="40">
        <v>8.7685095273744199E-2</v>
      </c>
      <c r="C656" s="12">
        <v>7.6045697871208873</v>
      </c>
      <c r="D656" s="40">
        <v>0.66517431778544212</v>
      </c>
      <c r="E656" s="40">
        <v>1.5994671823758733E-2</v>
      </c>
      <c r="F656" s="37">
        <v>25.017112727906394</v>
      </c>
      <c r="G656" s="12">
        <v>9.6905886139508244</v>
      </c>
      <c r="H656" s="37">
        <v>90422.991205091181</v>
      </c>
      <c r="I656" s="37">
        <v>37067.120087489857</v>
      </c>
      <c r="J656" s="37">
        <v>531510.42915464123</v>
      </c>
      <c r="K656" s="37">
        <v>123039.80510072841</v>
      </c>
      <c r="L656" s="37">
        <v>107826.30682428351</v>
      </c>
      <c r="M656" s="37">
        <v>149318.88010732125</v>
      </c>
      <c r="N656" s="37">
        <v>124842.59333700866</v>
      </c>
      <c r="O656" s="37">
        <v>551148.80470650783</v>
      </c>
      <c r="P656" s="68">
        <v>1</v>
      </c>
    </row>
    <row r="657" spans="1:16" x14ac:dyDescent="0.2">
      <c r="A657" s="10">
        <v>655</v>
      </c>
      <c r="B657" s="40">
        <v>9.3700941021337067E-2</v>
      </c>
      <c r="C657" s="12">
        <v>9.497282333702131</v>
      </c>
      <c r="D657" s="40">
        <v>0.5564908877536392</v>
      </c>
      <c r="E657" s="40">
        <v>1.2140498326225425E-2</v>
      </c>
      <c r="F657" s="37">
        <v>14.967305213892004</v>
      </c>
      <c r="G657" s="12">
        <v>18.824415167713866</v>
      </c>
      <c r="H657" s="37">
        <v>113420.53069364093</v>
      </c>
      <c r="I657" s="37">
        <v>45902.078657431761</v>
      </c>
      <c r="J657" s="37">
        <v>304528.41463868209</v>
      </c>
      <c r="K657" s="37">
        <v>111176.11034338949</v>
      </c>
      <c r="L657" s="37">
        <v>120389.93728362532</v>
      </c>
      <c r="M657" s="37">
        <v>56728.972520274932</v>
      </c>
      <c r="N657" s="37">
        <v>242512.49343168593</v>
      </c>
      <c r="O657" s="37">
        <v>1006015.4551402725</v>
      </c>
      <c r="P657" s="68">
        <v>1</v>
      </c>
    </row>
    <row r="658" spans="1:16" x14ac:dyDescent="0.2">
      <c r="A658" s="10">
        <v>656</v>
      </c>
      <c r="B658" s="40">
        <v>0.11032868652987736</v>
      </c>
      <c r="C658" s="12">
        <v>4.0019677813212615</v>
      </c>
      <c r="D658" s="40">
        <v>0.59002583282968979</v>
      </c>
      <c r="E658" s="40">
        <v>2.449363099585191E-2</v>
      </c>
      <c r="F658" s="37">
        <v>10.323750789446748</v>
      </c>
      <c r="G658" s="12">
        <v>11.485547222328609</v>
      </c>
      <c r="H658" s="37">
        <v>37721.10784023031</v>
      </c>
      <c r="I658" s="37">
        <v>34394.839849789285</v>
      </c>
      <c r="J658" s="37">
        <v>330726.13477317052</v>
      </c>
      <c r="K658" s="37">
        <v>103162.22537714621</v>
      </c>
      <c r="L658" s="37">
        <v>63331.808800767671</v>
      </c>
      <c r="M658" s="37">
        <v>83700.575028657913</v>
      </c>
      <c r="N658" s="37">
        <v>147966.81174412058</v>
      </c>
      <c r="O658" s="37">
        <v>408774.12119748699</v>
      </c>
      <c r="P658" s="68">
        <v>1</v>
      </c>
    </row>
    <row r="659" spans="1:16" x14ac:dyDescent="0.2">
      <c r="A659" s="10">
        <v>657</v>
      </c>
      <c r="B659" s="40">
        <v>0.19019455893458265</v>
      </c>
      <c r="C659" s="12">
        <v>7.0254511566624238</v>
      </c>
      <c r="D659" s="40">
        <v>0.48927553627412335</v>
      </c>
      <c r="E659" s="40">
        <v>2.6201503030181306E-2</v>
      </c>
      <c r="F659" s="37">
        <v>15.358933029665168</v>
      </c>
      <c r="G659" s="12">
        <v>3.3405538982340381</v>
      </c>
      <c r="H659" s="37">
        <v>16240.589884479688</v>
      </c>
      <c r="I659" s="37">
        <v>45347.016451410644</v>
      </c>
      <c r="J659" s="37">
        <v>251051.26766081344</v>
      </c>
      <c r="K659" s="37">
        <v>154078.70312556718</v>
      </c>
      <c r="L659" s="37">
        <v>158933.20394817763</v>
      </c>
      <c r="M659" s="37">
        <v>110460.62223716079</v>
      </c>
      <c r="N659" s="37">
        <v>43035.921598942346</v>
      </c>
      <c r="O659" s="37">
        <v>365136.99049793032</v>
      </c>
      <c r="P659" s="68">
        <v>1</v>
      </c>
    </row>
    <row r="660" spans="1:16" x14ac:dyDescent="0.2">
      <c r="A660" s="10">
        <v>658</v>
      </c>
      <c r="B660" s="40">
        <v>0.15325131681263932</v>
      </c>
      <c r="C660" s="12">
        <v>6.2116478690505001</v>
      </c>
      <c r="D660" s="40">
        <v>0.67741179002249885</v>
      </c>
      <c r="E660" s="40">
        <v>2.5525695081945254E-2</v>
      </c>
      <c r="F660" s="37">
        <v>13.840439291632734</v>
      </c>
      <c r="G660" s="12">
        <v>13.507780199752975</v>
      </c>
      <c r="H660" s="37">
        <v>85943.805995360191</v>
      </c>
      <c r="I660" s="37">
        <v>34276.711390315606</v>
      </c>
      <c r="J660" s="37">
        <v>282791.7471374803</v>
      </c>
      <c r="K660" s="37">
        <v>142052.94582224483</v>
      </c>
      <c r="L660" s="37">
        <v>156766.2694481473</v>
      </c>
      <c r="M660" s="37">
        <v>134260.09025244674</v>
      </c>
      <c r="N660" s="37">
        <v>174018.97630199161</v>
      </c>
      <c r="O660" s="37">
        <v>958929.92511773598</v>
      </c>
      <c r="P660" s="68">
        <v>1</v>
      </c>
    </row>
    <row r="661" spans="1:16" x14ac:dyDescent="0.2">
      <c r="A661" s="10">
        <v>659</v>
      </c>
      <c r="B661" s="40">
        <v>0.13748416810878589</v>
      </c>
      <c r="C661" s="12">
        <v>2.8882324804241977</v>
      </c>
      <c r="D661" s="40">
        <v>0.47951112740727003</v>
      </c>
      <c r="E661" s="40">
        <v>1.4483974560923697E-2</v>
      </c>
      <c r="F661" s="37">
        <v>20.530400099360548</v>
      </c>
      <c r="G661" s="12">
        <v>6.0225287560084331</v>
      </c>
      <c r="H661" s="37">
        <v>22773.672129889786</v>
      </c>
      <c r="I661" s="37">
        <v>58249.052119461732</v>
      </c>
      <c r="J661" s="37">
        <v>216188.16723699489</v>
      </c>
      <c r="K661" s="37">
        <v>94681.916743383088</v>
      </c>
      <c r="L661" s="37">
        <v>46288.42002241782</v>
      </c>
      <c r="M661" s="37">
        <v>79992.742787956304</v>
      </c>
      <c r="N661" s="37">
        <v>77587.45503491837</v>
      </c>
      <c r="O661" s="37">
        <v>316709.59294543235</v>
      </c>
      <c r="P661" s="68">
        <v>1</v>
      </c>
    </row>
    <row r="662" spans="1:16" x14ac:dyDescent="0.2">
      <c r="A662" s="10">
        <v>660</v>
      </c>
      <c r="B662" s="40">
        <v>0.18021810155902734</v>
      </c>
      <c r="C662" s="12">
        <v>7.4581471712856278</v>
      </c>
      <c r="D662" s="40">
        <v>0.54867863039703313</v>
      </c>
      <c r="E662" s="40">
        <v>3.2920642070631889E-2</v>
      </c>
      <c r="F662" s="37">
        <v>13.335409685538782</v>
      </c>
      <c r="G662" s="12">
        <v>6.3831423595838981</v>
      </c>
      <c r="H662" s="37">
        <v>56642.181015622751</v>
      </c>
      <c r="I662" s="37">
        <v>40688.350291079529</v>
      </c>
      <c r="J662" s="37">
        <v>335475.10405428481</v>
      </c>
      <c r="K662" s="37">
        <v>172675.3254148869</v>
      </c>
      <c r="L662" s="37">
        <v>179281.81280770726</v>
      </c>
      <c r="M662" s="37">
        <v>135132.38356256511</v>
      </c>
      <c r="N662" s="37">
        <v>82233.193210012614</v>
      </c>
      <c r="O662" s="37">
        <v>564698.12948389119</v>
      </c>
      <c r="P662" s="68">
        <v>1</v>
      </c>
    </row>
    <row r="663" spans="1:16" x14ac:dyDescent="0.2">
      <c r="A663" s="10">
        <v>661</v>
      </c>
      <c r="B663" s="40">
        <v>6.6516094753340568E-2</v>
      </c>
      <c r="C663" s="12">
        <v>8.7201622203105167</v>
      </c>
      <c r="D663" s="40">
        <v>0.55846435376098125</v>
      </c>
      <c r="E663" s="40">
        <v>2.2531403276934578E-2</v>
      </c>
      <c r="F663" s="37">
        <v>11.902232637103548</v>
      </c>
      <c r="G663" s="12">
        <v>7.3244682307139994</v>
      </c>
      <c r="H663" s="37">
        <v>52877.438394878023</v>
      </c>
      <c r="I663" s="37">
        <v>25818.014067106818</v>
      </c>
      <c r="J663" s="37">
        <v>258390.42509677022</v>
      </c>
      <c r="K663" s="37">
        <v>192329.14378221487</v>
      </c>
      <c r="L663" s="37">
        <v>78747.285969076169</v>
      </c>
      <c r="M663" s="37">
        <v>84019.262505313178</v>
      </c>
      <c r="N663" s="37">
        <v>94360.172035418465</v>
      </c>
      <c r="O663" s="37">
        <v>143624.95198407315</v>
      </c>
      <c r="P663" s="68">
        <v>1</v>
      </c>
    </row>
    <row r="664" spans="1:16" x14ac:dyDescent="0.2">
      <c r="A664" s="10">
        <v>662</v>
      </c>
      <c r="B664" s="40">
        <v>0.12475103438279542</v>
      </c>
      <c r="C664" s="12">
        <v>7.5957434414758254</v>
      </c>
      <c r="D664" s="40">
        <v>0.66304445258692235</v>
      </c>
      <c r="E664" s="40">
        <v>2.774513015128276E-2</v>
      </c>
      <c r="F664" s="37">
        <v>19.245121363844419</v>
      </c>
      <c r="G664" s="12">
        <v>22.317267719316771</v>
      </c>
      <c r="H664" s="37">
        <v>155803.02960332515</v>
      </c>
      <c r="I664" s="37">
        <v>12464.255086754632</v>
      </c>
      <c r="J664" s="37">
        <v>445602.43435163406</v>
      </c>
      <c r="K664" s="37">
        <v>162082.27535470985</v>
      </c>
      <c r="L664" s="37">
        <v>152737.58447264778</v>
      </c>
      <c r="M664" s="37">
        <v>198617.1740542785</v>
      </c>
      <c r="N664" s="37">
        <v>287510.45878315443</v>
      </c>
      <c r="O664" s="37">
        <v>1361594.1351649938</v>
      </c>
      <c r="P664" s="68">
        <v>1</v>
      </c>
    </row>
    <row r="665" spans="1:16" x14ac:dyDescent="0.2">
      <c r="A665" s="10">
        <v>663</v>
      </c>
      <c r="B665" s="40">
        <v>0.15334772975953065</v>
      </c>
      <c r="C665" s="12">
        <v>5.8963608558032492</v>
      </c>
      <c r="D665" s="40">
        <v>0.37459856548117459</v>
      </c>
      <c r="E665" s="40">
        <v>2.51482182214883E-2</v>
      </c>
      <c r="F665" s="37">
        <v>15.098317269551316</v>
      </c>
      <c r="G665" s="12">
        <v>26.394569105695314</v>
      </c>
      <c r="H665" s="37">
        <v>117872.12321135265</v>
      </c>
      <c r="I665" s="37">
        <v>62880.591120331992</v>
      </c>
      <c r="J665" s="37">
        <v>225356.41493101069</v>
      </c>
      <c r="K665" s="37">
        <v>67294.807342435859</v>
      </c>
      <c r="L665" s="37">
        <v>82341.039369477352</v>
      </c>
      <c r="M665" s="37">
        <v>79793.701054767327</v>
      </c>
      <c r="N665" s="37">
        <v>340037.80249468901</v>
      </c>
      <c r="O665" s="37">
        <v>1499416.6201082629</v>
      </c>
      <c r="P665" s="68">
        <v>1</v>
      </c>
    </row>
    <row r="666" spans="1:16" x14ac:dyDescent="0.2">
      <c r="A666" s="10">
        <v>664</v>
      </c>
      <c r="B666" s="40">
        <v>0.15661023137231006</v>
      </c>
      <c r="C666" s="12">
        <v>5.1790364465490928</v>
      </c>
      <c r="D666" s="40">
        <v>0.64089174110304237</v>
      </c>
      <c r="E666" s="40">
        <v>3.9574936472948963E-2</v>
      </c>
      <c r="F666" s="37">
        <v>17.153098124658712</v>
      </c>
      <c r="G666" s="12">
        <v>22.500892902914025</v>
      </c>
      <c r="H666" s="37">
        <v>179712.78024165198</v>
      </c>
      <c r="I666" s="37">
        <v>26618.20808707345</v>
      </c>
      <c r="J666" s="37">
        <v>240922.18951315418</v>
      </c>
      <c r="K666" s="37">
        <v>126663.02418258644</v>
      </c>
      <c r="L666" s="37">
        <v>126369.59774858816</v>
      </c>
      <c r="M666" s="37">
        <v>244069.88999778559</v>
      </c>
      <c r="N666" s="37">
        <v>289876.078152164</v>
      </c>
      <c r="O666" s="37">
        <v>1832243.0335270409</v>
      </c>
      <c r="P666" s="68">
        <v>1</v>
      </c>
    </row>
    <row r="667" spans="1:16" x14ac:dyDescent="0.2">
      <c r="A667" s="10">
        <v>665</v>
      </c>
      <c r="B667" s="40">
        <v>0.15666719982277594</v>
      </c>
      <c r="C667" s="12">
        <v>4.6743251944282811</v>
      </c>
      <c r="D667" s="40">
        <v>0.40673785056204914</v>
      </c>
      <c r="E667" s="40">
        <v>1.161279214098381E-2</v>
      </c>
      <c r="F667" s="37">
        <v>9.9408927678389887</v>
      </c>
      <c r="G667" s="12">
        <v>10.98657807826662</v>
      </c>
      <c r="H667" s="37">
        <v>169688.42785531707</v>
      </c>
      <c r="I667" s="37">
        <v>1703.655681303512</v>
      </c>
      <c r="J667" s="37">
        <v>443242.47386182757</v>
      </c>
      <c r="K667" s="37">
        <v>138221.9201643102</v>
      </c>
      <c r="L667" s="37">
        <v>72410.312719098263</v>
      </c>
      <c r="M667" s="37">
        <v>26341.673527167099</v>
      </c>
      <c r="N667" s="37">
        <v>141538.65712715869</v>
      </c>
      <c r="O667" s="37">
        <v>322895.43514750351</v>
      </c>
      <c r="P667" s="68">
        <v>1</v>
      </c>
    </row>
    <row r="668" spans="1:16" x14ac:dyDescent="0.2">
      <c r="A668" s="10">
        <v>666</v>
      </c>
      <c r="B668" s="40">
        <v>0.13017290127070619</v>
      </c>
      <c r="C668" s="12">
        <v>2.0122400573017685</v>
      </c>
      <c r="D668" s="40">
        <v>0.63467946443039858</v>
      </c>
      <c r="E668" s="40">
        <v>3.0318827545402837E-2</v>
      </c>
      <c r="F668" s="37">
        <v>14.446062715619544</v>
      </c>
      <c r="G668" s="12">
        <v>13.333016221276775</v>
      </c>
      <c r="H668" s="37">
        <v>128952.83266101843</v>
      </c>
      <c r="I668" s="37">
        <v>34140.267979365228</v>
      </c>
      <c r="J668" s="37">
        <v>317538.04081994004</v>
      </c>
      <c r="K668" s="37">
        <v>173435.83169319184</v>
      </c>
      <c r="L668" s="37">
        <v>40415.09935058144</v>
      </c>
      <c r="M668" s="37">
        <v>155949.17344011136</v>
      </c>
      <c r="N668" s="37">
        <v>171767.51468659996</v>
      </c>
      <c r="O668" s="37">
        <v>684857.0110250971</v>
      </c>
      <c r="P668" s="68">
        <v>1</v>
      </c>
    </row>
    <row r="669" spans="1:16" x14ac:dyDescent="0.2">
      <c r="A669" s="10">
        <v>667</v>
      </c>
      <c r="B669" s="40">
        <v>0.17490720785775121</v>
      </c>
      <c r="C669" s="12">
        <v>6.7412426081327421</v>
      </c>
      <c r="D669" s="40">
        <v>0.67498749249960244</v>
      </c>
      <c r="E669" s="40">
        <v>3.6525493117011407E-2</v>
      </c>
      <c r="F669" s="37">
        <v>12.25661424403696</v>
      </c>
      <c r="G669" s="12">
        <v>11.417986268423734</v>
      </c>
      <c r="H669" s="37">
        <v>84144.037076793</v>
      </c>
      <c r="I669" s="37">
        <v>30520.644465984511</v>
      </c>
      <c r="J669" s="37">
        <v>306853.14688772819</v>
      </c>
      <c r="K669" s="37">
        <v>154039.89503833585</v>
      </c>
      <c r="L669" s="37">
        <v>193478.28049845726</v>
      </c>
      <c r="M669" s="37">
        <v>169523.1692406259</v>
      </c>
      <c r="N669" s="37">
        <v>147096.43275788808</v>
      </c>
      <c r="O669" s="37">
        <v>1011940.890341007</v>
      </c>
      <c r="P669" s="68">
        <v>1</v>
      </c>
    </row>
    <row r="670" spans="1:16" x14ac:dyDescent="0.2">
      <c r="A670" s="10">
        <v>668</v>
      </c>
      <c r="B670" s="40">
        <v>0.21021303906682881</v>
      </c>
      <c r="C670" s="12">
        <v>3.4166165324286348</v>
      </c>
      <c r="D670" s="40">
        <v>0.60826985473929029</v>
      </c>
      <c r="E670" s="40">
        <v>3.5564355022244136E-2</v>
      </c>
      <c r="F670" s="37">
        <v>10.845886258456556</v>
      </c>
      <c r="G670" s="12">
        <v>5.2218252974881789</v>
      </c>
      <c r="H670" s="37">
        <v>170416.14589359064</v>
      </c>
      <c r="I670" s="37">
        <v>31476.102234519305</v>
      </c>
      <c r="J670" s="37">
        <v>305135.40453410865</v>
      </c>
      <c r="K670" s="37">
        <v>70552.028394456211</v>
      </c>
      <c r="L670" s="37">
        <v>106204.03379739194</v>
      </c>
      <c r="M670" s="37">
        <v>131626.40148406243</v>
      </c>
      <c r="N670" s="37">
        <v>67272.096470251534</v>
      </c>
      <c r="O670" s="37">
        <v>917618.74807898188</v>
      </c>
      <c r="P670" s="68">
        <v>1</v>
      </c>
    </row>
    <row r="671" spans="1:16" x14ac:dyDescent="0.2">
      <c r="A671" s="10">
        <v>669</v>
      </c>
      <c r="B671" s="40">
        <v>0.12178578509476719</v>
      </c>
      <c r="C671" s="12">
        <v>7.1831744147022372</v>
      </c>
      <c r="D671" s="40">
        <v>0.76938483940776914</v>
      </c>
      <c r="E671" s="40">
        <v>2.8472001782207407E-2</v>
      </c>
      <c r="F671" s="37">
        <v>12.479107674983283</v>
      </c>
      <c r="G671" s="12">
        <v>6.2355779290106366</v>
      </c>
      <c r="H671" s="37">
        <v>159545.85752852017</v>
      </c>
      <c r="I671" s="37">
        <v>26503.731638479963</v>
      </c>
      <c r="J671" s="37">
        <v>306711.06659382035</v>
      </c>
      <c r="K671" s="37">
        <v>79416.479867908813</v>
      </c>
      <c r="L671" s="37">
        <v>163623.41993863988</v>
      </c>
      <c r="M671" s="37">
        <v>153359.92606706772</v>
      </c>
      <c r="N671" s="37">
        <v>80332.139834313261</v>
      </c>
      <c r="O671" s="37">
        <v>1105169.9540273983</v>
      </c>
      <c r="P671" s="68">
        <v>1</v>
      </c>
    </row>
    <row r="672" spans="1:16" x14ac:dyDescent="0.2">
      <c r="A672" s="10">
        <v>670</v>
      </c>
      <c r="B672" s="40">
        <v>0.18705220688479077</v>
      </c>
      <c r="C672" s="12">
        <v>1.9069723895942998</v>
      </c>
      <c r="D672" s="40">
        <v>0.66885906355181834</v>
      </c>
      <c r="E672" s="40">
        <v>3.7815609933409072E-2</v>
      </c>
      <c r="F672" s="37">
        <v>12.527470002832867</v>
      </c>
      <c r="G672" s="12">
        <v>12.185625230765012</v>
      </c>
      <c r="H672" s="37">
        <v>25953.654175531854</v>
      </c>
      <c r="I672" s="37">
        <v>45415.592712444923</v>
      </c>
      <c r="J672" s="37">
        <v>294092.2368856211</v>
      </c>
      <c r="K672" s="37">
        <v>119593.49160134949</v>
      </c>
      <c r="L672" s="37">
        <v>58000.359785631517</v>
      </c>
      <c r="M672" s="37">
        <v>177760.73180507572</v>
      </c>
      <c r="N672" s="37">
        <v>156985.82571666565</v>
      </c>
      <c r="O672" s="37">
        <v>671135.22341693635</v>
      </c>
      <c r="P672" s="68">
        <v>1</v>
      </c>
    </row>
    <row r="673" spans="1:16" x14ac:dyDescent="0.2">
      <c r="A673" s="10">
        <v>671</v>
      </c>
      <c r="B673" s="40">
        <v>0.10169473289097812</v>
      </c>
      <c r="C673" s="12">
        <v>3.9199273120620801</v>
      </c>
      <c r="D673" s="40">
        <v>0.48176818650392506</v>
      </c>
      <c r="E673" s="40">
        <v>2.985470050004136E-2</v>
      </c>
      <c r="F673" s="37">
        <v>13.277111330551037</v>
      </c>
      <c r="G673" s="12">
        <v>4.9939066786594353</v>
      </c>
      <c r="H673" s="37">
        <v>51997.048411208387</v>
      </c>
      <c r="I673" s="37">
        <v>30441.344838455389</v>
      </c>
      <c r="J673" s="37">
        <v>315601.50981831818</v>
      </c>
      <c r="K673" s="37">
        <v>179876.22180107067</v>
      </c>
      <c r="L673" s="37">
        <v>46687.801248916025</v>
      </c>
      <c r="M673" s="37">
        <v>107132.48176220286</v>
      </c>
      <c r="N673" s="37">
        <v>64335.850533301287</v>
      </c>
      <c r="O673" s="37">
        <v>22607.357723320951</v>
      </c>
      <c r="P673" s="68">
        <v>1</v>
      </c>
    </row>
    <row r="674" spans="1:16" x14ac:dyDescent="0.2">
      <c r="A674" s="10">
        <v>672</v>
      </c>
      <c r="B674" s="40">
        <v>0.12937688249265181</v>
      </c>
      <c r="C674" s="12">
        <v>7.7755536841817445</v>
      </c>
      <c r="D674" s="40">
        <v>0.5493460191320727</v>
      </c>
      <c r="E674" s="40">
        <v>1.8115663552303089E-2</v>
      </c>
      <c r="F674" s="37">
        <v>17.441587465738472</v>
      </c>
      <c r="G674" s="12">
        <v>2.8711777861683982</v>
      </c>
      <c r="H674" s="37">
        <v>168509.54565750406</v>
      </c>
      <c r="I674" s="37">
        <v>29659.917536999208</v>
      </c>
      <c r="J674" s="37">
        <v>384174.9604068654</v>
      </c>
      <c r="K674" s="37">
        <v>94661.355065435142</v>
      </c>
      <c r="L674" s="37">
        <v>134345.40517938207</v>
      </c>
      <c r="M674" s="37">
        <v>97376.233069058449</v>
      </c>
      <c r="N674" s="37">
        <v>36989.010166095271</v>
      </c>
      <c r="O674" s="37">
        <v>658646.87291539088</v>
      </c>
      <c r="P674" s="68">
        <v>1</v>
      </c>
    </row>
    <row r="675" spans="1:16" x14ac:dyDescent="0.2">
      <c r="A675" s="10">
        <v>673</v>
      </c>
      <c r="B675" s="40">
        <v>0.13684093709190212</v>
      </c>
      <c r="C675" s="12">
        <v>5.261703122783846</v>
      </c>
      <c r="D675" s="40">
        <v>0.7258944129132755</v>
      </c>
      <c r="E675" s="40">
        <v>2.5344961057929116E-2</v>
      </c>
      <c r="F675" s="37">
        <v>13.496133973964618</v>
      </c>
      <c r="G675" s="12">
        <v>6.6275160423027897</v>
      </c>
      <c r="H675" s="37">
        <v>132057.7042416886</v>
      </c>
      <c r="I675" s="37">
        <v>21579.643669134457</v>
      </c>
      <c r="J675" s="37">
        <v>418908.36400988192</v>
      </c>
      <c r="K675" s="37">
        <v>196075.00373445827</v>
      </c>
      <c r="L675" s="37">
        <v>127058.77486019276</v>
      </c>
      <c r="M675" s="37">
        <v>139296.81765193152</v>
      </c>
      <c r="N675" s="37">
        <v>85381.427595901347</v>
      </c>
      <c r="O675" s="37">
        <v>447636.17314234958</v>
      </c>
      <c r="P675" s="68">
        <v>1</v>
      </c>
    </row>
    <row r="676" spans="1:16" x14ac:dyDescent="0.2">
      <c r="A676" s="10">
        <v>674</v>
      </c>
      <c r="B676" s="40">
        <v>0.12477661963826411</v>
      </c>
      <c r="C676" s="12">
        <v>3.477155131343959</v>
      </c>
      <c r="D676" s="40">
        <v>0.62234407825294702</v>
      </c>
      <c r="E676" s="40">
        <v>1.9565058387022966E-2</v>
      </c>
      <c r="F676" s="37">
        <v>19.609145669128516</v>
      </c>
      <c r="G676" s="12">
        <v>7.1729936992348717</v>
      </c>
      <c r="H676" s="37">
        <v>184875.1782044674</v>
      </c>
      <c r="I676" s="37">
        <v>35100.229941990234</v>
      </c>
      <c r="J676" s="37">
        <v>283084.58084527083</v>
      </c>
      <c r="K676" s="37">
        <v>188904.79800490977</v>
      </c>
      <c r="L676" s="37">
        <v>65641.22447455833</v>
      </c>
      <c r="M676" s="37">
        <v>133948.27172663898</v>
      </c>
      <c r="N676" s="37">
        <v>92408.745338061955</v>
      </c>
      <c r="O676" s="37">
        <v>622037.06140498607</v>
      </c>
      <c r="P676" s="68">
        <v>1</v>
      </c>
    </row>
    <row r="677" spans="1:16" x14ac:dyDescent="0.2">
      <c r="A677" s="10">
        <v>675</v>
      </c>
      <c r="B677" s="40">
        <v>0.17953576183360329</v>
      </c>
      <c r="C677" s="12">
        <v>4.9600520882944039</v>
      </c>
      <c r="D677" s="40">
        <v>0.65225663639895382</v>
      </c>
      <c r="E677" s="40">
        <v>3.5424547854579089E-2</v>
      </c>
      <c r="F677" s="37">
        <v>16.388022789531597</v>
      </c>
      <c r="G677" s="12">
        <v>17.071684719169372</v>
      </c>
      <c r="H677" s="37">
        <v>148329.01969522907</v>
      </c>
      <c r="I677" s="37">
        <v>29853.770327314673</v>
      </c>
      <c r="J677" s="37">
        <v>283004.3820481475</v>
      </c>
      <c r="K677" s="37">
        <v>164594.97458674354</v>
      </c>
      <c r="L677" s="37">
        <v>141203.20107050455</v>
      </c>
      <c r="M677" s="37">
        <v>212430.12932294863</v>
      </c>
      <c r="N677" s="37">
        <v>219932.29491804555</v>
      </c>
      <c r="O677" s="37">
        <v>1361986.4110201783</v>
      </c>
      <c r="P677" s="68">
        <v>1</v>
      </c>
    </row>
    <row r="678" spans="1:16" x14ac:dyDescent="0.2">
      <c r="A678" s="10">
        <v>676</v>
      </c>
      <c r="B678" s="40">
        <v>0.13231254661867448</v>
      </c>
      <c r="C678" s="12">
        <v>3.0755395505259093</v>
      </c>
      <c r="D678" s="40">
        <v>0.30190674884284785</v>
      </c>
      <c r="E678" s="40">
        <v>4.0884625726827023E-2</v>
      </c>
      <c r="F678" s="37">
        <v>24.923107346355863</v>
      </c>
      <c r="G678" s="12">
        <v>21.756940145211562</v>
      </c>
      <c r="H678" s="37">
        <v>161080.48234000994</v>
      </c>
      <c r="I678" s="37">
        <v>9604.4639821742621</v>
      </c>
      <c r="J678" s="37">
        <v>337820.18426888529</v>
      </c>
      <c r="K678" s="37">
        <v>152425.22998914483</v>
      </c>
      <c r="L678" s="37">
        <v>29866.476905610103</v>
      </c>
      <c r="M678" s="37">
        <v>172584.49169800288</v>
      </c>
      <c r="N678" s="37">
        <v>280291.83148854168</v>
      </c>
      <c r="O678" s="37">
        <v>1065806.9932787376</v>
      </c>
      <c r="P678" s="68">
        <v>1</v>
      </c>
    </row>
    <row r="679" spans="1:16" x14ac:dyDescent="0.2">
      <c r="A679" s="10">
        <v>677</v>
      </c>
      <c r="B679" s="40">
        <v>0.16236899061520307</v>
      </c>
      <c r="C679" s="12">
        <v>7.8727409204133423</v>
      </c>
      <c r="D679" s="40">
        <v>0.41607805689429261</v>
      </c>
      <c r="E679" s="40">
        <v>1.4984153117519321E-2</v>
      </c>
      <c r="F679" s="37">
        <v>22.353166843075147</v>
      </c>
      <c r="G679" s="12">
        <v>5.5718834182053056</v>
      </c>
      <c r="H679" s="37">
        <v>106945.38539178568</v>
      </c>
      <c r="I679" s="37">
        <v>72248.150434898096</v>
      </c>
      <c r="J679" s="37">
        <v>469621.57791169046</v>
      </c>
      <c r="K679" s="37">
        <v>143297.40821559291</v>
      </c>
      <c r="L679" s="37">
        <v>129298.26363382193</v>
      </c>
      <c r="M679" s="37">
        <v>78183.08561310418</v>
      </c>
      <c r="N679" s="37">
        <v>71781.849731894588</v>
      </c>
      <c r="O679" s="37">
        <v>413340.44634244917</v>
      </c>
      <c r="P679" s="68">
        <v>1</v>
      </c>
    </row>
    <row r="680" spans="1:16" x14ac:dyDescent="0.2">
      <c r="A680" s="10">
        <v>678</v>
      </c>
      <c r="B680" s="40">
        <v>0.17655856942772669</v>
      </c>
      <c r="C680" s="12">
        <v>7.6594282840885599</v>
      </c>
      <c r="D680" s="40">
        <v>0.43533174151046228</v>
      </c>
      <c r="E680" s="40">
        <v>5.6768830354936338E-3</v>
      </c>
      <c r="F680" s="37">
        <v>12.085327256449624</v>
      </c>
      <c r="G680" s="12">
        <v>20.258866252932918</v>
      </c>
      <c r="H680" s="37">
        <v>54414.9165917973</v>
      </c>
      <c r="I680" s="37">
        <v>18006.045659580941</v>
      </c>
      <c r="J680" s="37">
        <v>345811.72221679427</v>
      </c>
      <c r="K680" s="37">
        <v>112146.3835974542</v>
      </c>
      <c r="L680" s="37">
        <v>143118.0199834177</v>
      </c>
      <c r="M680" s="37">
        <v>16755.42420316167</v>
      </c>
      <c r="N680" s="37">
        <v>260992.34028392192</v>
      </c>
      <c r="O680" s="37">
        <v>722005.21403145394</v>
      </c>
      <c r="P680" s="68">
        <v>1</v>
      </c>
    </row>
    <row r="681" spans="1:16" x14ac:dyDescent="0.2">
      <c r="A681" s="10">
        <v>679</v>
      </c>
      <c r="B681" s="40">
        <v>0.1431458780861638</v>
      </c>
      <c r="C681" s="12">
        <v>7.8249186616808366</v>
      </c>
      <c r="D681" s="40">
        <v>0.40466950244859928</v>
      </c>
      <c r="E681" s="40">
        <v>2.9735418143232432E-2</v>
      </c>
      <c r="F681" s="37">
        <v>13.081902881626721</v>
      </c>
      <c r="G681" s="12">
        <v>23.763555567165881</v>
      </c>
      <c r="H681" s="37">
        <v>61184.151897129079</v>
      </c>
      <c r="I681" s="37">
        <v>34147.088060097609</v>
      </c>
      <c r="J681" s="37">
        <v>327637.66744878719</v>
      </c>
      <c r="K681" s="37">
        <v>148100.5275985043</v>
      </c>
      <c r="L681" s="37">
        <v>110191.4717691179</v>
      </c>
      <c r="M681" s="37">
        <v>88310.466313200624</v>
      </c>
      <c r="N681" s="37">
        <v>306142.79710957431</v>
      </c>
      <c r="O681" s="37">
        <v>938353.29717592418</v>
      </c>
      <c r="P681" s="68">
        <v>1</v>
      </c>
    </row>
    <row r="682" spans="1:16" x14ac:dyDescent="0.2">
      <c r="A682" s="10">
        <v>680</v>
      </c>
      <c r="B682" s="40">
        <v>6.9058216029778019E-2</v>
      </c>
      <c r="C682" s="12">
        <v>3.2379815697867325</v>
      </c>
      <c r="D682" s="40">
        <v>0.82336378241349817</v>
      </c>
      <c r="E682" s="40">
        <v>2.0959032523939956E-2</v>
      </c>
      <c r="F682" s="37">
        <v>11.082841588273439</v>
      </c>
      <c r="G682" s="12">
        <v>10.611787673451044</v>
      </c>
      <c r="H682" s="37">
        <v>125879.53611138811</v>
      </c>
      <c r="I682" s="37">
        <v>30402.234773085238</v>
      </c>
      <c r="J682" s="37">
        <v>518216.91837521206</v>
      </c>
      <c r="K682" s="37">
        <v>120829.56897810228</v>
      </c>
      <c r="L682" s="37">
        <v>44757.963391462443</v>
      </c>
      <c r="M682" s="37">
        <v>107295.33718122957</v>
      </c>
      <c r="N682" s="37">
        <v>136710.28106467225</v>
      </c>
      <c r="O682" s="37">
        <v>390118.01059681259</v>
      </c>
      <c r="P682" s="68">
        <v>1</v>
      </c>
    </row>
    <row r="683" spans="1:16" x14ac:dyDescent="0.2">
      <c r="A683" s="10">
        <v>681</v>
      </c>
      <c r="B683" s="40">
        <v>0.13144251303749097</v>
      </c>
      <c r="C683" s="12">
        <v>4.8445800522541447</v>
      </c>
      <c r="D683" s="40">
        <v>0.706192783066524</v>
      </c>
      <c r="E683" s="40">
        <v>2.8182025538098378E-2</v>
      </c>
      <c r="F683" s="37">
        <v>18.634093638109508</v>
      </c>
      <c r="G683" s="12">
        <v>10.88075174201974</v>
      </c>
      <c r="H683" s="37">
        <v>113084.1358479617</v>
      </c>
      <c r="I683" s="37">
        <v>55570.889172698196</v>
      </c>
      <c r="J683" s="37">
        <v>268689.59440222819</v>
      </c>
      <c r="K683" s="37">
        <v>147315.69097804156</v>
      </c>
      <c r="L683" s="37">
        <v>109321.12565763308</v>
      </c>
      <c r="M683" s="37">
        <v>208051.32432392411</v>
      </c>
      <c r="N683" s="37">
        <v>140175.31019471385</v>
      </c>
      <c r="O683" s="37">
        <v>1072978.1984436926</v>
      </c>
      <c r="P683" s="68">
        <v>1</v>
      </c>
    </row>
    <row r="684" spans="1:16" x14ac:dyDescent="0.2">
      <c r="A684" s="10">
        <v>682</v>
      </c>
      <c r="B684" s="40">
        <v>0.10338223819195917</v>
      </c>
      <c r="C684" s="12">
        <v>6.4161796519541356</v>
      </c>
      <c r="D684" s="40">
        <v>0.54142883533825492</v>
      </c>
      <c r="E684" s="40">
        <v>2.7118477399012575E-2</v>
      </c>
      <c r="F684" s="37">
        <v>8.1501909387088904</v>
      </c>
      <c r="G684" s="12">
        <v>19.5534534548217</v>
      </c>
      <c r="H684" s="37">
        <v>130118.31250503488</v>
      </c>
      <c r="I684" s="37">
        <v>34225.553542252754</v>
      </c>
      <c r="J684" s="37">
        <v>314537.96407306893</v>
      </c>
      <c r="K684" s="37">
        <v>199304.24612507617</v>
      </c>
      <c r="L684" s="37">
        <v>87307.722030727586</v>
      </c>
      <c r="M684" s="37">
        <v>67133.795107804195</v>
      </c>
      <c r="N684" s="37">
        <v>251904.59890951883</v>
      </c>
      <c r="O684" s="37">
        <v>725950.04800505075</v>
      </c>
      <c r="P684" s="68">
        <v>1</v>
      </c>
    </row>
    <row r="685" spans="1:16" x14ac:dyDescent="0.2">
      <c r="A685" s="10">
        <v>683</v>
      </c>
      <c r="B685" s="40">
        <v>0.12958829171064962</v>
      </c>
      <c r="C685" s="12">
        <v>5.3024701308277447</v>
      </c>
      <c r="D685" s="40">
        <v>0.74531396583255061</v>
      </c>
      <c r="E685" s="40">
        <v>2.4341906854442256E-2</v>
      </c>
      <c r="F685" s="37">
        <v>7.5114136635478896</v>
      </c>
      <c r="G685" s="12">
        <v>14.397789736576629</v>
      </c>
      <c r="H685" s="37">
        <v>72894.010382902954</v>
      </c>
      <c r="I685" s="37">
        <v>13042.991106716974</v>
      </c>
      <c r="J685" s="37">
        <v>407366.1892951309</v>
      </c>
      <c r="K685" s="37">
        <v>70253.204642663317</v>
      </c>
      <c r="L685" s="37">
        <v>124500.78345892452</v>
      </c>
      <c r="M685" s="37">
        <v>76450.840993579885</v>
      </c>
      <c r="N685" s="37">
        <v>185484.85346365097</v>
      </c>
      <c r="O685" s="37">
        <v>719228.84325636236</v>
      </c>
      <c r="P685" s="68">
        <v>1</v>
      </c>
    </row>
    <row r="686" spans="1:16" x14ac:dyDescent="0.2">
      <c r="A686" s="10">
        <v>684</v>
      </c>
      <c r="B686" s="40">
        <v>0.16794371563241234</v>
      </c>
      <c r="C686" s="12">
        <v>6.1778572012255433</v>
      </c>
      <c r="D686" s="40">
        <v>0.69549201015325113</v>
      </c>
      <c r="E686" s="40">
        <v>3.9375005565947321E-2</v>
      </c>
      <c r="F686" s="37">
        <v>10.316916619592234</v>
      </c>
      <c r="G686" s="12">
        <v>18.07854754254609</v>
      </c>
      <c r="H686" s="37">
        <v>90320.267605554865</v>
      </c>
      <c r="I686" s="37">
        <v>44395.581193754435</v>
      </c>
      <c r="J686" s="37">
        <v>326168.95680746029</v>
      </c>
      <c r="K686" s="37">
        <v>127451.17041342145</v>
      </c>
      <c r="L686" s="37">
        <v>175421.41007614505</v>
      </c>
      <c r="M686" s="37">
        <v>158500.05816628961</v>
      </c>
      <c r="N686" s="37">
        <v>232903.57777944073</v>
      </c>
      <c r="O686" s="37">
        <v>1282222.0454558565</v>
      </c>
      <c r="P686" s="68">
        <v>1</v>
      </c>
    </row>
    <row r="687" spans="1:16" x14ac:dyDescent="0.2">
      <c r="A687" s="10">
        <v>685</v>
      </c>
      <c r="B687" s="40">
        <v>8.5878679461607016E-2</v>
      </c>
      <c r="C687" s="12">
        <v>3.9064079154292273</v>
      </c>
      <c r="D687" s="40">
        <v>0.4955690520480458</v>
      </c>
      <c r="E687" s="40">
        <v>2.4768418290055889E-2</v>
      </c>
      <c r="F687" s="37">
        <v>18.188253525097174</v>
      </c>
      <c r="G687" s="12">
        <v>20.8581834059814</v>
      </c>
      <c r="H687" s="37">
        <v>138799.78945414553</v>
      </c>
      <c r="I687" s="37">
        <v>63341.500682613638</v>
      </c>
      <c r="J687" s="37">
        <v>225682.9940470648</v>
      </c>
      <c r="K687" s="37">
        <v>138871.50738841773</v>
      </c>
      <c r="L687" s="37">
        <v>40416.244459420152</v>
      </c>
      <c r="M687" s="37">
        <v>125244.93789665967</v>
      </c>
      <c r="N687" s="37">
        <v>268713.26525541564</v>
      </c>
      <c r="O687" s="37">
        <v>1168535.4850673666</v>
      </c>
      <c r="P687" s="68">
        <v>1</v>
      </c>
    </row>
    <row r="688" spans="1:16" x14ac:dyDescent="0.2">
      <c r="A688" s="10">
        <v>686</v>
      </c>
      <c r="B688" s="40">
        <v>0.10433141463891754</v>
      </c>
      <c r="C688" s="12">
        <v>2.7314312903120586</v>
      </c>
      <c r="D688" s="40">
        <v>0.64089148537994989</v>
      </c>
      <c r="E688" s="40">
        <v>3.8437089456750367E-2</v>
      </c>
      <c r="F688" s="37">
        <v>24.50494297026744</v>
      </c>
      <c r="G688" s="12">
        <v>11.551941775252146</v>
      </c>
      <c r="H688" s="37">
        <v>29438.248679541644</v>
      </c>
      <c r="I688" s="37">
        <v>11795.375074644742</v>
      </c>
      <c r="J688" s="37">
        <v>288426.19730001583</v>
      </c>
      <c r="K688" s="37">
        <v>167249.18327928061</v>
      </c>
      <c r="L688" s="37">
        <v>44399.564224210037</v>
      </c>
      <c r="M688" s="37">
        <v>338653.3876425316</v>
      </c>
      <c r="N688" s="37">
        <v>148822.16413814263</v>
      </c>
      <c r="O688" s="37">
        <v>848644.94519097684</v>
      </c>
      <c r="P688" s="68">
        <v>1</v>
      </c>
    </row>
    <row r="689" spans="1:16" x14ac:dyDescent="0.2">
      <c r="A689" s="10">
        <v>687</v>
      </c>
      <c r="B689" s="40">
        <v>0.14546876273205545</v>
      </c>
      <c r="C689" s="12">
        <v>5.963346084169034</v>
      </c>
      <c r="D689" s="40">
        <v>0.55304023011141579</v>
      </c>
      <c r="E689" s="40">
        <v>1.0543521352350307E-2</v>
      </c>
      <c r="F689" s="37">
        <v>15.297516139237889</v>
      </c>
      <c r="G689" s="12">
        <v>3.9034465771323883</v>
      </c>
      <c r="H689" s="37">
        <v>128920.80136150525</v>
      </c>
      <c r="I689" s="37">
        <v>52436.572578221982</v>
      </c>
      <c r="J689" s="37">
        <v>329372.08700192836</v>
      </c>
      <c r="K689" s="37">
        <v>110939.60478734538</v>
      </c>
      <c r="L689" s="37">
        <v>116628.66744976347</v>
      </c>
      <c r="M689" s="37">
        <v>50041.469953749933</v>
      </c>
      <c r="N689" s="37">
        <v>50287.594805141533</v>
      </c>
      <c r="O689" s="37">
        <v>475749.74501975393</v>
      </c>
      <c r="P689" s="68">
        <v>1</v>
      </c>
    </row>
    <row r="690" spans="1:16" x14ac:dyDescent="0.2">
      <c r="A690" s="10">
        <v>688</v>
      </c>
      <c r="B690" s="40">
        <v>0.2137640260221115</v>
      </c>
      <c r="C690" s="12">
        <v>5.1772077876693929</v>
      </c>
      <c r="D690" s="40">
        <v>0.83081415348424148</v>
      </c>
      <c r="E690" s="40">
        <v>3.2663697395216865E-2</v>
      </c>
      <c r="F690" s="37">
        <v>18.409491200468196</v>
      </c>
      <c r="G690" s="12">
        <v>15.281380771584274</v>
      </c>
      <c r="H690" s="37">
        <v>36507.974264022399</v>
      </c>
      <c r="I690" s="37">
        <v>21348.500400213645</v>
      </c>
      <c r="J690" s="37">
        <v>319592.71907681506</v>
      </c>
      <c r="K690" s="37">
        <v>76826.738663131124</v>
      </c>
      <c r="L690" s="37">
        <v>223523.36770796319</v>
      </c>
      <c r="M690" s="37">
        <v>280270.73186563241</v>
      </c>
      <c r="N690" s="37">
        <v>196868.04190081992</v>
      </c>
      <c r="O690" s="37">
        <v>1590260.4544470618</v>
      </c>
      <c r="P690" s="68">
        <v>1</v>
      </c>
    </row>
    <row r="691" spans="1:16" x14ac:dyDescent="0.2">
      <c r="A691" s="10">
        <v>689</v>
      </c>
      <c r="B691" s="40">
        <v>0.1278709476335626</v>
      </c>
      <c r="C691" s="12">
        <v>4.2081859606430774</v>
      </c>
      <c r="D691" s="40">
        <v>0.60231893986329577</v>
      </c>
      <c r="E691" s="40">
        <v>4.191897385650576E-2</v>
      </c>
      <c r="F691" s="37">
        <v>22.424846669315365</v>
      </c>
      <c r="G691" s="12">
        <v>6.0187957197174358</v>
      </c>
      <c r="H691" s="37">
        <v>85830.423636251362</v>
      </c>
      <c r="I691" s="37">
        <v>37671.268864876518</v>
      </c>
      <c r="J691" s="37">
        <v>308076.98191037017</v>
      </c>
      <c r="K691" s="37">
        <v>111911.88879423411</v>
      </c>
      <c r="L691" s="37">
        <v>78792.005743517264</v>
      </c>
      <c r="M691" s="37">
        <v>317638.67580327619</v>
      </c>
      <c r="N691" s="37">
        <v>77539.362813676169</v>
      </c>
      <c r="O691" s="37">
        <v>1052285.4448819691</v>
      </c>
      <c r="P691" s="68">
        <v>1</v>
      </c>
    </row>
    <row r="692" spans="1:16" x14ac:dyDescent="0.2">
      <c r="A692" s="10">
        <v>690</v>
      </c>
      <c r="B692" s="40">
        <v>0.16435817664092262</v>
      </c>
      <c r="C692" s="12">
        <v>5.9916585719127129</v>
      </c>
      <c r="D692" s="40">
        <v>0.45424629441789605</v>
      </c>
      <c r="E692" s="40">
        <v>3.5767990584466842E-2</v>
      </c>
      <c r="F692" s="37">
        <v>11.227797887924229</v>
      </c>
      <c r="G692" s="12">
        <v>11.429200950765763</v>
      </c>
      <c r="H692" s="37">
        <v>73354.609410826466</v>
      </c>
      <c r="I692" s="37">
        <v>38395.981453730485</v>
      </c>
      <c r="J692" s="37">
        <v>345540.24610765168</v>
      </c>
      <c r="K692" s="37">
        <v>78396.863446174713</v>
      </c>
      <c r="L692" s="37">
        <v>108747.32803051098</v>
      </c>
      <c r="M692" s="37">
        <v>102340.43389884615</v>
      </c>
      <c r="N692" s="37">
        <v>147240.91005259173</v>
      </c>
      <c r="O692" s="37">
        <v>751811.64882530738</v>
      </c>
      <c r="P692" s="68">
        <v>1</v>
      </c>
    </row>
    <row r="693" spans="1:16" x14ac:dyDescent="0.2">
      <c r="A693" s="10">
        <v>691</v>
      </c>
      <c r="B693" s="40">
        <v>0.15206542303557835</v>
      </c>
      <c r="C693" s="12">
        <v>3.1594133098661126</v>
      </c>
      <c r="D693" s="40">
        <v>0.62371830985593579</v>
      </c>
      <c r="E693" s="40">
        <v>1.9790540482507703E-2</v>
      </c>
      <c r="F693" s="37">
        <v>21.48405981458281</v>
      </c>
      <c r="G693" s="12">
        <v>7.1534191626277082</v>
      </c>
      <c r="H693" s="37">
        <v>61151.477789137862</v>
      </c>
      <c r="I693" s="37">
        <v>32784.308489650641</v>
      </c>
      <c r="J693" s="37">
        <v>385690.5074289132</v>
      </c>
      <c r="K693" s="37">
        <v>169750.97643525901</v>
      </c>
      <c r="L693" s="37">
        <v>72847.431000592405</v>
      </c>
      <c r="M693" s="37">
        <v>148774.75138123197</v>
      </c>
      <c r="N693" s="37">
        <v>92156.569127641618</v>
      </c>
      <c r="O693" s="37">
        <v>280997.00616755383</v>
      </c>
      <c r="P693" s="68">
        <v>1</v>
      </c>
    </row>
    <row r="694" spans="1:16" x14ac:dyDescent="0.2">
      <c r="A694" s="10">
        <v>692</v>
      </c>
      <c r="B694" s="40">
        <v>0.10477789369406394</v>
      </c>
      <c r="C694" s="12">
        <v>7.4836506812152859</v>
      </c>
      <c r="D694" s="40">
        <v>0.36672054821546729</v>
      </c>
      <c r="E694" s="40">
        <v>2.9036722247209188E-2</v>
      </c>
      <c r="F694" s="37">
        <v>11.744362390624337</v>
      </c>
      <c r="G694" s="12">
        <v>17.55905520713408</v>
      </c>
      <c r="H694" s="37">
        <v>207655.33683244561</v>
      </c>
      <c r="I694" s="37">
        <v>27176.511986685942</v>
      </c>
      <c r="J694" s="37">
        <v>309418.20929440972</v>
      </c>
      <c r="K694" s="37">
        <v>89490.116450792499</v>
      </c>
      <c r="L694" s="37">
        <v>69904.839991000903</v>
      </c>
      <c r="M694" s="37">
        <v>70158.292560084607</v>
      </c>
      <c r="N694" s="37">
        <v>226211.02555633144</v>
      </c>
      <c r="O694" s="37">
        <v>1123943.789485537</v>
      </c>
      <c r="P694" s="68">
        <v>1</v>
      </c>
    </row>
    <row r="695" spans="1:16" x14ac:dyDescent="0.2">
      <c r="A695" s="10">
        <v>693</v>
      </c>
      <c r="B695" s="40">
        <v>9.9757869286131992E-2</v>
      </c>
      <c r="C695" s="12">
        <v>5.4575962136198859</v>
      </c>
      <c r="D695" s="40">
        <v>0.52052735088768975</v>
      </c>
      <c r="E695" s="40">
        <v>2.7619235827982352E-2</v>
      </c>
      <c r="F695" s="37">
        <v>21.792379252499686</v>
      </c>
      <c r="G695" s="12">
        <v>13.586709715366379</v>
      </c>
      <c r="H695" s="37">
        <v>59633.249303291122</v>
      </c>
      <c r="I695" s="37">
        <v>36416.874693028301</v>
      </c>
      <c r="J695" s="37">
        <v>423175.89878113347</v>
      </c>
      <c r="K695" s="37">
        <v>128933.32214930019</v>
      </c>
      <c r="L695" s="37">
        <v>68893.928359216952</v>
      </c>
      <c r="M695" s="37">
        <v>175762.65038737454</v>
      </c>
      <c r="N695" s="37">
        <v>175035.81499080206</v>
      </c>
      <c r="O695" s="37">
        <v>660523.04812561907</v>
      </c>
      <c r="P695" s="68">
        <v>1</v>
      </c>
    </row>
    <row r="696" spans="1:16" x14ac:dyDescent="0.2">
      <c r="A696" s="10">
        <v>694</v>
      </c>
      <c r="B696" s="40">
        <v>0.13663584374196974</v>
      </c>
      <c r="C696" s="12">
        <v>5.2491291285428927</v>
      </c>
      <c r="D696" s="40">
        <v>0.34522523297369584</v>
      </c>
      <c r="E696" s="40">
        <v>4.0374340306859643E-2</v>
      </c>
      <c r="F696" s="37">
        <v>7.6863356617166234</v>
      </c>
      <c r="G696" s="12">
        <v>12.716534100591769</v>
      </c>
      <c r="H696" s="37">
        <v>137495.3646819976</v>
      </c>
      <c r="I696" s="37">
        <v>41268.114505214573</v>
      </c>
      <c r="J696" s="37">
        <v>258051.48984498924</v>
      </c>
      <c r="K696" s="37">
        <v>151985.28981865948</v>
      </c>
      <c r="L696" s="37">
        <v>60192.621824931717</v>
      </c>
      <c r="M696" s="37">
        <v>60102.709196822638</v>
      </c>
      <c r="N696" s="37">
        <v>163825.45566849067</v>
      </c>
      <c r="O696" s="37">
        <v>612974.57880952652</v>
      </c>
      <c r="P696" s="68">
        <v>1</v>
      </c>
    </row>
    <row r="697" spans="1:16" x14ac:dyDescent="0.2">
      <c r="A697" s="10">
        <v>695</v>
      </c>
      <c r="B697" s="40">
        <v>0.12229017209709069</v>
      </c>
      <c r="C697" s="12">
        <v>6.7571118807984263</v>
      </c>
      <c r="D697" s="40">
        <v>0.69248456217893339</v>
      </c>
      <c r="E697" s="40">
        <v>3.0187145631502404E-2</v>
      </c>
      <c r="F697" s="37">
        <v>7.058133192001705</v>
      </c>
      <c r="G697" s="12">
        <v>11.985056440885399</v>
      </c>
      <c r="H697" s="37">
        <v>8519.7989186578907</v>
      </c>
      <c r="I697" s="37">
        <v>31385.889504278919</v>
      </c>
      <c r="J697" s="37">
        <v>619416.56427848409</v>
      </c>
      <c r="K697" s="37">
        <v>114538.05613972386</v>
      </c>
      <c r="L697" s="37">
        <v>139107.83498047877</v>
      </c>
      <c r="M697" s="37">
        <v>82773.005994495674</v>
      </c>
      <c r="N697" s="37">
        <v>154401.92407058927</v>
      </c>
      <c r="O697" s="37">
        <v>225698.34418511321</v>
      </c>
      <c r="P697" s="68">
        <v>1</v>
      </c>
    </row>
    <row r="698" spans="1:16" x14ac:dyDescent="0.2">
      <c r="A698" s="10">
        <v>696</v>
      </c>
      <c r="B698" s="40">
        <v>0.13210176949770489</v>
      </c>
      <c r="C698" s="12">
        <v>7.0237434152165719</v>
      </c>
      <c r="D698" s="40">
        <v>0.43854685548058675</v>
      </c>
      <c r="E698" s="40">
        <v>2.7258982375114735E-2</v>
      </c>
      <c r="F698" s="37">
        <v>12.730824850449736</v>
      </c>
      <c r="G698" s="12">
        <v>13.627669388745201</v>
      </c>
      <c r="H698" s="37">
        <v>192588.62555181186</v>
      </c>
      <c r="I698" s="37">
        <v>22538.193975000784</v>
      </c>
      <c r="J698" s="37">
        <v>231162.835485466</v>
      </c>
      <c r="K698" s="37">
        <v>170975.42666135461</v>
      </c>
      <c r="L698" s="37">
        <v>98919.543578820376</v>
      </c>
      <c r="M698" s="37">
        <v>85378.577619817792</v>
      </c>
      <c r="N698" s="37">
        <v>175563.4931381839</v>
      </c>
      <c r="O698" s="37">
        <v>900734.9462625758</v>
      </c>
      <c r="P698" s="68">
        <v>1</v>
      </c>
    </row>
    <row r="699" spans="1:16" x14ac:dyDescent="0.2">
      <c r="A699" s="10">
        <v>697</v>
      </c>
      <c r="B699" s="40">
        <v>0.20211163422783585</v>
      </c>
      <c r="C699" s="12">
        <v>9.744460056641703</v>
      </c>
      <c r="D699" s="40">
        <v>0.30546453927993611</v>
      </c>
      <c r="E699" s="40">
        <v>3.8938884695404893E-2</v>
      </c>
      <c r="F699" s="37">
        <v>15.029015149580097</v>
      </c>
      <c r="G699" s="12">
        <v>23.988910265450262</v>
      </c>
      <c r="H699" s="37">
        <v>140284.30902414769</v>
      </c>
      <c r="I699" s="37">
        <v>28673.622435724286</v>
      </c>
      <c r="J699" s="37">
        <v>392166.43301190005</v>
      </c>
      <c r="K699" s="37">
        <v>107614.35891285978</v>
      </c>
      <c r="L699" s="37">
        <v>146250.95955125045</v>
      </c>
      <c r="M699" s="37">
        <v>100286.28958632484</v>
      </c>
      <c r="N699" s="37">
        <v>309046.01239146123</v>
      </c>
      <c r="O699" s="37">
        <v>1336238.5998535387</v>
      </c>
      <c r="P699" s="68">
        <v>1</v>
      </c>
    </row>
    <row r="700" spans="1:16" x14ac:dyDescent="0.2">
      <c r="A700" s="10">
        <v>698</v>
      </c>
      <c r="B700" s="40">
        <v>0.17456475076483033</v>
      </c>
      <c r="C700" s="12">
        <v>7.2368667310180133</v>
      </c>
      <c r="D700" s="40">
        <v>0.71286450181143801</v>
      </c>
      <c r="E700" s="40">
        <v>3.3039250791164362E-2</v>
      </c>
      <c r="F700" s="37">
        <v>13.231239931469329</v>
      </c>
      <c r="G700" s="12">
        <v>23.801940012215631</v>
      </c>
      <c r="H700" s="37">
        <v>7528.4125488082</v>
      </c>
      <c r="I700" s="37">
        <v>28865.302874616573</v>
      </c>
      <c r="J700" s="37">
        <v>388363.83826440875</v>
      </c>
      <c r="K700" s="37">
        <v>93940.010509878412</v>
      </c>
      <c r="L700" s="37">
        <v>218928.82498615951</v>
      </c>
      <c r="M700" s="37">
        <v>174825.37009134234</v>
      </c>
      <c r="N700" s="37">
        <v>306637.29892517242</v>
      </c>
      <c r="O700" s="37">
        <v>1412655.0440220677</v>
      </c>
      <c r="P700" s="68">
        <v>1</v>
      </c>
    </row>
    <row r="701" spans="1:16" x14ac:dyDescent="0.2">
      <c r="A701" s="10">
        <v>699</v>
      </c>
      <c r="B701" s="40">
        <v>0.22597282095857435</v>
      </c>
      <c r="C701" s="12">
        <v>7.6778104294365193</v>
      </c>
      <c r="D701" s="40">
        <v>0.73143583594366368</v>
      </c>
      <c r="E701" s="40">
        <v>1.998663837448416E-2</v>
      </c>
      <c r="F701" s="37">
        <v>13.827605153031566</v>
      </c>
      <c r="G701" s="12">
        <v>12.022974181346999</v>
      </c>
      <c r="H701" s="37">
        <v>97631.14059882806</v>
      </c>
      <c r="I701" s="37">
        <v>59047.445139336938</v>
      </c>
      <c r="J701" s="37">
        <v>290616.34602663072</v>
      </c>
      <c r="K701" s="37">
        <v>96952.843429961329</v>
      </c>
      <c r="L701" s="37">
        <v>308502.47741420142</v>
      </c>
      <c r="M701" s="37">
        <v>113404.34401366902</v>
      </c>
      <c r="N701" s="37">
        <v>154890.41339164984</v>
      </c>
      <c r="O701" s="37">
        <v>1492689.9658956558</v>
      </c>
      <c r="P701" s="68">
        <v>1</v>
      </c>
    </row>
    <row r="702" spans="1:16" x14ac:dyDescent="0.2">
      <c r="A702" s="10">
        <v>700</v>
      </c>
      <c r="B702" s="40">
        <v>0.16961375431217407</v>
      </c>
      <c r="C702" s="12">
        <v>5.2344404121847941</v>
      </c>
      <c r="D702" s="40">
        <v>0.52933530982020605</v>
      </c>
      <c r="E702" s="40">
        <v>3.1236118175935104E-2</v>
      </c>
      <c r="F702" s="37">
        <v>17.629002670723757</v>
      </c>
      <c r="G702" s="12">
        <v>24.070213984057716</v>
      </c>
      <c r="H702" s="37">
        <v>148849.98761135666</v>
      </c>
      <c r="I702" s="37">
        <v>57838.817880717965</v>
      </c>
      <c r="J702" s="37">
        <v>296714.57594054879</v>
      </c>
      <c r="K702" s="37">
        <v>102530.24476257154</v>
      </c>
      <c r="L702" s="37">
        <v>114248.63550906195</v>
      </c>
      <c r="M702" s="37">
        <v>163524.33728266449</v>
      </c>
      <c r="N702" s="37">
        <v>310093.4376287976</v>
      </c>
      <c r="O702" s="37">
        <v>1642088.1749490704</v>
      </c>
      <c r="P702" s="68">
        <v>1</v>
      </c>
    </row>
    <row r="703" spans="1:16" x14ac:dyDescent="0.2">
      <c r="A703" s="10">
        <v>701</v>
      </c>
      <c r="B703" s="40">
        <v>0.15194102013885794</v>
      </c>
      <c r="C703" s="12">
        <v>2.1958088987405389</v>
      </c>
      <c r="D703" s="40">
        <v>0.6947954845165083</v>
      </c>
      <c r="E703" s="40">
        <v>3.9111230763324817E-2</v>
      </c>
      <c r="F703" s="37">
        <v>7.1789546722524413</v>
      </c>
      <c r="G703" s="12">
        <v>8.5551245367862503</v>
      </c>
      <c r="H703" s="37">
        <v>168868.2339975725</v>
      </c>
      <c r="I703" s="37">
        <v>8159.3920558461941</v>
      </c>
      <c r="J703" s="37">
        <v>364533.85117742728</v>
      </c>
      <c r="K703" s="37">
        <v>74184.110433364869</v>
      </c>
      <c r="L703" s="37">
        <v>56352.78648832949</v>
      </c>
      <c r="M703" s="37">
        <v>109442.60282742718</v>
      </c>
      <c r="N703" s="37">
        <v>110214.55724122748</v>
      </c>
      <c r="O703" s="37">
        <v>696876.01880493399</v>
      </c>
      <c r="P703" s="68">
        <v>1</v>
      </c>
    </row>
    <row r="704" spans="1:16" x14ac:dyDescent="0.2">
      <c r="A704" s="10">
        <v>702</v>
      </c>
      <c r="B704" s="40">
        <v>0.13435541704808004</v>
      </c>
      <c r="C704" s="12">
        <v>5.8602112241257016</v>
      </c>
      <c r="D704" s="40">
        <v>0.62504171220738391</v>
      </c>
      <c r="E704" s="40">
        <v>1.7588678355197597E-2</v>
      </c>
      <c r="F704" s="37">
        <v>15.766875547822885</v>
      </c>
      <c r="G704" s="12">
        <v>15.463658444409175</v>
      </c>
      <c r="H704" s="37">
        <v>77012.203365135996</v>
      </c>
      <c r="I704" s="37">
        <v>15152.577974854978</v>
      </c>
      <c r="J704" s="37">
        <v>262316.2593973967</v>
      </c>
      <c r="K704" s="37">
        <v>140008.26064150856</v>
      </c>
      <c r="L704" s="37">
        <v>119637.21145519128</v>
      </c>
      <c r="M704" s="37">
        <v>97242.156084340328</v>
      </c>
      <c r="N704" s="37">
        <v>199216.30146372566</v>
      </c>
      <c r="O704" s="37">
        <v>769392.69357342692</v>
      </c>
      <c r="P704" s="68">
        <v>1</v>
      </c>
    </row>
    <row r="705" spans="1:16" x14ac:dyDescent="0.2">
      <c r="A705" s="10">
        <v>703</v>
      </c>
      <c r="B705" s="40">
        <v>0.18654077141711084</v>
      </c>
      <c r="C705" s="12">
        <v>5.7824560729160233</v>
      </c>
      <c r="D705" s="40">
        <v>0.75028186703022093</v>
      </c>
      <c r="E705" s="40">
        <v>3.3619914508470398E-2</v>
      </c>
      <c r="F705" s="37">
        <v>12.072128334883164</v>
      </c>
      <c r="G705" s="12">
        <v>7.6100933818962462</v>
      </c>
      <c r="H705" s="37">
        <v>123280.23704538705</v>
      </c>
      <c r="I705" s="37">
        <v>14819.505446480431</v>
      </c>
      <c r="J705" s="37">
        <v>231647.45819774683</v>
      </c>
      <c r="K705" s="37">
        <v>141509.96727779528</v>
      </c>
      <c r="L705" s="37">
        <v>196743.04590305037</v>
      </c>
      <c r="M705" s="37">
        <v>170832.94618475859</v>
      </c>
      <c r="N705" s="37">
        <v>98039.843726829698</v>
      </c>
      <c r="O705" s="37">
        <v>1063284.8744460805</v>
      </c>
      <c r="P705" s="68">
        <v>1</v>
      </c>
    </row>
    <row r="706" spans="1:16" x14ac:dyDescent="0.2">
      <c r="A706" s="10">
        <v>704</v>
      </c>
      <c r="B706" s="40">
        <v>0.16973136563640939</v>
      </c>
      <c r="C706" s="12">
        <v>7.462407243836731</v>
      </c>
      <c r="D706" s="40">
        <v>0.45220563079349779</v>
      </c>
      <c r="E706" s="40">
        <v>3.0480125904167234E-2</v>
      </c>
      <c r="F706" s="37">
        <v>9.2763701670884622</v>
      </c>
      <c r="G706" s="12">
        <v>8.6559921897341674</v>
      </c>
      <c r="H706" s="37">
        <v>108794.77297048838</v>
      </c>
      <c r="I706" s="37">
        <v>30202.586322926138</v>
      </c>
      <c r="J706" s="37">
        <v>255636.73659610192</v>
      </c>
      <c r="K706" s="37">
        <v>70658.118104350549</v>
      </c>
      <c r="L706" s="37">
        <v>139240.58743743299</v>
      </c>
      <c r="M706" s="37">
        <v>71729.45398022783</v>
      </c>
      <c r="N706" s="37">
        <v>111514.02210136061</v>
      </c>
      <c r="O706" s="37">
        <v>839308.28687695484</v>
      </c>
      <c r="P706" s="68">
        <v>1</v>
      </c>
    </row>
    <row r="707" spans="1:16" x14ac:dyDescent="0.2">
      <c r="A707" s="10">
        <v>705</v>
      </c>
      <c r="B707" s="40">
        <v>0.17548881417933976</v>
      </c>
      <c r="C707" s="12">
        <v>4.423927213456488</v>
      </c>
      <c r="D707" s="40">
        <v>0.51558306562562017</v>
      </c>
      <c r="E707" s="40">
        <v>2.5783877001971756E-2</v>
      </c>
      <c r="F707" s="37">
        <v>17.062385036861677</v>
      </c>
      <c r="G707" s="12">
        <v>23.485675262694635</v>
      </c>
      <c r="H707" s="37">
        <v>210787.37850988543</v>
      </c>
      <c r="I707" s="37">
        <v>69018.758601856069</v>
      </c>
      <c r="J707" s="37">
        <v>252904.12214760127</v>
      </c>
      <c r="K707" s="37">
        <v>92496.694805233288</v>
      </c>
      <c r="L707" s="37">
        <v>97307.179908055783</v>
      </c>
      <c r="M707" s="37">
        <v>127248.6944965627</v>
      </c>
      <c r="N707" s="37">
        <v>302562.90127151081</v>
      </c>
      <c r="O707" s="37">
        <v>1748664.393560796</v>
      </c>
      <c r="P707" s="68">
        <v>1</v>
      </c>
    </row>
    <row r="708" spans="1:16" x14ac:dyDescent="0.2">
      <c r="A708" s="10">
        <v>706</v>
      </c>
      <c r="B708" s="40">
        <v>0.17855795765089771</v>
      </c>
      <c r="C708" s="12">
        <v>7.8488247447953174</v>
      </c>
      <c r="D708" s="40">
        <v>0.76224940543650854</v>
      </c>
      <c r="E708" s="40">
        <v>2.2811720635966974E-2</v>
      </c>
      <c r="F708" s="37">
        <v>12.303703989724941</v>
      </c>
      <c r="G708" s="12">
        <v>8.129769119745756</v>
      </c>
      <c r="H708" s="37">
        <v>67246.360505619319</v>
      </c>
      <c r="I708" s="37">
        <v>33226.321892751199</v>
      </c>
      <c r="J708" s="37">
        <v>444062.55730310048</v>
      </c>
      <c r="K708" s="37">
        <v>71672.448814161064</v>
      </c>
      <c r="L708" s="37">
        <v>259698.69395901175</v>
      </c>
      <c r="M708" s="37">
        <v>120021.13920501911</v>
      </c>
      <c r="N708" s="37">
        <v>104734.75869969901</v>
      </c>
      <c r="O708" s="37">
        <v>993891.1423042278</v>
      </c>
      <c r="P708" s="68">
        <v>1</v>
      </c>
    </row>
    <row r="709" spans="1:16" x14ac:dyDescent="0.2">
      <c r="A709" s="10">
        <v>707</v>
      </c>
      <c r="B709" s="40">
        <v>0.1134792635351706</v>
      </c>
      <c r="C709" s="12">
        <v>1.8844251649737052</v>
      </c>
      <c r="D709" s="40">
        <v>0.66283643221932453</v>
      </c>
      <c r="E709" s="40">
        <v>4.053041619501542E-2</v>
      </c>
      <c r="F709" s="37">
        <v>27.095233384301405</v>
      </c>
      <c r="G709" s="12">
        <v>19.66393253593052</v>
      </c>
      <c r="H709" s="37">
        <v>137818.6844496179</v>
      </c>
      <c r="I709" s="37">
        <v>12472.327479873455</v>
      </c>
      <c r="J709" s="37">
        <v>298846.54214053741</v>
      </c>
      <c r="K709" s="37">
        <v>73907.853595843146</v>
      </c>
      <c r="L709" s="37">
        <v>34458.042668233698</v>
      </c>
      <c r="M709" s="37">
        <v>408363.63645878941</v>
      </c>
      <c r="N709" s="37">
        <v>253327.88654916323</v>
      </c>
      <c r="O709" s="37">
        <v>1865509.7064113752</v>
      </c>
      <c r="P709" s="68">
        <v>1</v>
      </c>
    </row>
    <row r="710" spans="1:16" x14ac:dyDescent="0.2">
      <c r="A710" s="10">
        <v>708</v>
      </c>
      <c r="B710" s="40">
        <v>0.14620872292222731</v>
      </c>
      <c r="C710" s="12">
        <v>3.7838932816787803</v>
      </c>
      <c r="D710" s="40">
        <v>0.58188212157465002</v>
      </c>
      <c r="E710" s="40">
        <v>2.6626371896193667E-2</v>
      </c>
      <c r="F710" s="37">
        <v>25.796248990695403</v>
      </c>
      <c r="G710" s="12">
        <v>1.0855917159807265</v>
      </c>
      <c r="H710" s="37">
        <v>35904.699108340283</v>
      </c>
      <c r="I710" s="37">
        <v>44825.379182772012</v>
      </c>
      <c r="J710" s="37">
        <v>559372.8921005351</v>
      </c>
      <c r="K710" s="37">
        <v>135339.93578373324</v>
      </c>
      <c r="L710" s="37">
        <v>78259.308519744562</v>
      </c>
      <c r="M710" s="37">
        <v>224217.90963735621</v>
      </c>
      <c r="N710" s="37">
        <v>13985.536950056623</v>
      </c>
      <c r="O710" s="37">
        <v>174243.86941574654</v>
      </c>
      <c r="P710" s="68">
        <v>1</v>
      </c>
    </row>
    <row r="711" spans="1:16" x14ac:dyDescent="0.2">
      <c r="A711" s="10">
        <v>709</v>
      </c>
      <c r="B711" s="40">
        <v>9.2177550575549272E-2</v>
      </c>
      <c r="C711" s="12">
        <v>3.1364841968416548</v>
      </c>
      <c r="D711" s="40">
        <v>0.63542409513612075</v>
      </c>
      <c r="E711" s="40">
        <v>1.9100270037964648E-2</v>
      </c>
      <c r="F711" s="37">
        <v>18.128063998964418</v>
      </c>
      <c r="G711" s="12">
        <v>28.246081958025012</v>
      </c>
      <c r="H711" s="37">
        <v>107382.54942234248</v>
      </c>
      <c r="I711" s="37">
        <v>22254.03862655619</v>
      </c>
      <c r="J711" s="37">
        <v>290875.12516558135</v>
      </c>
      <c r="K711" s="37">
        <v>104302.03001053238</v>
      </c>
      <c r="L711" s="37">
        <v>44660.211541959856</v>
      </c>
      <c r="M711" s="37">
        <v>123430.17483656381</v>
      </c>
      <c r="N711" s="37">
        <v>363890.60187458171</v>
      </c>
      <c r="O711" s="37">
        <v>1270520.7193627001</v>
      </c>
      <c r="P711" s="68">
        <v>1</v>
      </c>
    </row>
    <row r="712" spans="1:16" x14ac:dyDescent="0.2">
      <c r="A712" s="10">
        <v>710</v>
      </c>
      <c r="B712" s="40">
        <v>0.13402389271444476</v>
      </c>
      <c r="C712" s="12">
        <v>4.0215199802511794</v>
      </c>
      <c r="D712" s="40">
        <v>0.48004834060128854</v>
      </c>
      <c r="E712" s="40">
        <v>2.7979881909532087E-2</v>
      </c>
      <c r="F712" s="37">
        <v>17.982829585000424</v>
      </c>
      <c r="G712" s="12">
        <v>18.957529437598119</v>
      </c>
      <c r="H712" s="37">
        <v>47166.405251048629</v>
      </c>
      <c r="I712" s="37">
        <v>24942.610959559468</v>
      </c>
      <c r="J712" s="37">
        <v>279945.11813348264</v>
      </c>
      <c r="K712" s="37">
        <v>81480.412128679091</v>
      </c>
      <c r="L712" s="37">
        <v>62899.364982925341</v>
      </c>
      <c r="M712" s="37">
        <v>135505.09051317725</v>
      </c>
      <c r="N712" s="37">
        <v>244227.38726574968</v>
      </c>
      <c r="O712" s="37">
        <v>933893.37211122853</v>
      </c>
      <c r="P712" s="68">
        <v>1</v>
      </c>
    </row>
    <row r="713" spans="1:16" x14ac:dyDescent="0.2">
      <c r="A713" s="10">
        <v>711</v>
      </c>
      <c r="B713" s="40">
        <v>0.10044105015468374</v>
      </c>
      <c r="C713" s="12">
        <v>6.0920135088787148</v>
      </c>
      <c r="D713" s="40">
        <v>0.68383373397847658</v>
      </c>
      <c r="E713" s="40">
        <v>1.9083686492020524E-2</v>
      </c>
      <c r="F713" s="37">
        <v>20.050422614390836</v>
      </c>
      <c r="G713" s="12">
        <v>15.330909372598217</v>
      </c>
      <c r="H713" s="37">
        <v>25665.997762178922</v>
      </c>
      <c r="I713" s="37">
        <v>40582.748485004442</v>
      </c>
      <c r="J713" s="37">
        <v>261284.99973058343</v>
      </c>
      <c r="K713" s="37">
        <v>208828.30489776211</v>
      </c>
      <c r="L713" s="37">
        <v>101721.19489166183</v>
      </c>
      <c r="M713" s="37">
        <v>146792.22631956745</v>
      </c>
      <c r="N713" s="37">
        <v>197506.11242896441</v>
      </c>
      <c r="O713" s="37">
        <v>588843.65568783565</v>
      </c>
      <c r="P713" s="68">
        <v>1</v>
      </c>
    </row>
    <row r="714" spans="1:16" x14ac:dyDescent="0.2">
      <c r="A714" s="10">
        <v>712</v>
      </c>
      <c r="B714" s="40">
        <v>0.21837495846580057</v>
      </c>
      <c r="C714" s="12">
        <v>5.0051158385305055</v>
      </c>
      <c r="D714" s="40">
        <v>0.69928262163375599</v>
      </c>
      <c r="E714" s="40">
        <v>2.6152358883329837E-2</v>
      </c>
      <c r="F714" s="37">
        <v>15.636926379291081</v>
      </c>
      <c r="G714" s="12">
        <v>2.9437364449935064</v>
      </c>
      <c r="H714" s="37">
        <v>45910.084425056702</v>
      </c>
      <c r="I714" s="37">
        <v>13910.573846636802</v>
      </c>
      <c r="J714" s="37">
        <v>216919.81480732124</v>
      </c>
      <c r="K714" s="37">
        <v>102712.52387443048</v>
      </c>
      <c r="L714" s="37">
        <v>185805.48642524108</v>
      </c>
      <c r="M714" s="37">
        <v>160428.57509449951</v>
      </c>
      <c r="N714" s="37">
        <v>37923.773935113495</v>
      </c>
      <c r="O714" s="37">
        <v>739183.54665773385</v>
      </c>
      <c r="P714" s="68">
        <v>1</v>
      </c>
    </row>
    <row r="715" spans="1:16" x14ac:dyDescent="0.2">
      <c r="A715" s="10">
        <v>713</v>
      </c>
      <c r="B715" s="40">
        <v>0.1781921010314971</v>
      </c>
      <c r="C715" s="12">
        <v>4.8214347964457431</v>
      </c>
      <c r="D715" s="40">
        <v>0.27577421608788344</v>
      </c>
      <c r="E715" s="40">
        <v>3.0744430108657423E-2</v>
      </c>
      <c r="F715" s="37">
        <v>14.814531968000029</v>
      </c>
      <c r="G715" s="12">
        <v>26.222141422684796</v>
      </c>
      <c r="H715" s="37">
        <v>158905.38669367903</v>
      </c>
      <c r="I715" s="37">
        <v>37133.00962591073</v>
      </c>
      <c r="J715" s="37">
        <v>378880.66767597088</v>
      </c>
      <c r="K715" s="37">
        <v>133974.9713309012</v>
      </c>
      <c r="L715" s="37">
        <v>57597.977616201155</v>
      </c>
      <c r="M715" s="37">
        <v>70465.213701872184</v>
      </c>
      <c r="N715" s="37">
        <v>337816.43907006329</v>
      </c>
      <c r="O715" s="37">
        <v>1100224.1200842869</v>
      </c>
      <c r="P715" s="68">
        <v>1</v>
      </c>
    </row>
    <row r="716" spans="1:16" x14ac:dyDescent="0.2">
      <c r="A716" s="10">
        <v>714</v>
      </c>
      <c r="B716" s="40">
        <v>0.17539328992190861</v>
      </c>
      <c r="C716" s="12">
        <v>5.6744397840330159</v>
      </c>
      <c r="D716" s="40">
        <v>0.57481249425789649</v>
      </c>
      <c r="E716" s="40">
        <v>3.3531738260804633E-2</v>
      </c>
      <c r="F716" s="37">
        <v>13.390577955148668</v>
      </c>
      <c r="G716" s="12">
        <v>12.582208338220191</v>
      </c>
      <c r="H716" s="37">
        <v>127900.96296084936</v>
      </c>
      <c r="I716" s="37">
        <v>56517.571192888776</v>
      </c>
      <c r="J716" s="37">
        <v>315157.13822437538</v>
      </c>
      <c r="K716" s="37">
        <v>102368.99457647216</v>
      </c>
      <c r="L716" s="37">
        <v>139075.61694581661</v>
      </c>
      <c r="M716" s="37">
        <v>144793.25160145035</v>
      </c>
      <c r="N716" s="37">
        <v>162094.95433420676</v>
      </c>
      <c r="O716" s="37">
        <v>1164144.6244565942</v>
      </c>
      <c r="P716" s="68">
        <v>1</v>
      </c>
    </row>
    <row r="717" spans="1:16" x14ac:dyDescent="0.2">
      <c r="A717" s="10">
        <v>715</v>
      </c>
      <c r="B717" s="40">
        <v>5.9847577262380075E-2</v>
      </c>
      <c r="C717" s="12">
        <v>4.5182538734508659</v>
      </c>
      <c r="D717" s="40">
        <v>0.60441822257372779</v>
      </c>
      <c r="E717" s="40">
        <v>8.0038338898775832E-3</v>
      </c>
      <c r="F717" s="37">
        <v>19.870672718948342</v>
      </c>
      <c r="G717" s="12">
        <v>14.994377479506086</v>
      </c>
      <c r="H717" s="37">
        <v>60688.601434262644</v>
      </c>
      <c r="I717" s="37">
        <v>43208.75306376681</v>
      </c>
      <c r="J717" s="37">
        <v>522439.98307965265</v>
      </c>
      <c r="K717" s="37">
        <v>207190.60706135846</v>
      </c>
      <c r="L717" s="37">
        <v>39732.288712415691</v>
      </c>
      <c r="M717" s="37">
        <v>53928.075043265351</v>
      </c>
      <c r="N717" s="37">
        <v>193170.61579940459</v>
      </c>
      <c r="O717" s="37">
        <v>-8233.8997467134614</v>
      </c>
      <c r="P717" s="68">
        <v>0</v>
      </c>
    </row>
    <row r="718" spans="1:16" x14ac:dyDescent="0.2">
      <c r="A718" s="10">
        <v>716</v>
      </c>
      <c r="B718" s="40">
        <v>8.2902240356841392E-2</v>
      </c>
      <c r="C718" s="12">
        <v>5.7038990927109499</v>
      </c>
      <c r="D718" s="40">
        <v>0.4323467444509394</v>
      </c>
      <c r="E718" s="40">
        <v>4.4805597250534089E-2</v>
      </c>
      <c r="F718" s="37">
        <v>15.698465805847437</v>
      </c>
      <c r="G718" s="12">
        <v>18.485555935031272</v>
      </c>
      <c r="H718" s="37">
        <v>91792.115412292449</v>
      </c>
      <c r="I718" s="37">
        <v>31846.209175343687</v>
      </c>
      <c r="J718" s="37">
        <v>526291.83314654545</v>
      </c>
      <c r="K718" s="37">
        <v>160218.13377448666</v>
      </c>
      <c r="L718" s="37">
        <v>49700.312975850764</v>
      </c>
      <c r="M718" s="37">
        <v>170603.68483840497</v>
      </c>
      <c r="N718" s="37">
        <v>238147.01398873632</v>
      </c>
      <c r="O718" s="37">
        <v>655638.12928535324</v>
      </c>
      <c r="P718" s="68">
        <v>1</v>
      </c>
    </row>
    <row r="719" spans="1:16" x14ac:dyDescent="0.2">
      <c r="A719" s="10">
        <v>717</v>
      </c>
      <c r="B719" s="40">
        <v>5.3099911529608218E-2</v>
      </c>
      <c r="C719" s="12">
        <v>2.9824818914618509</v>
      </c>
      <c r="D719" s="40">
        <v>0.35959973049783411</v>
      </c>
      <c r="E719" s="40">
        <v>2.9902016170168303E-2</v>
      </c>
      <c r="F719" s="37">
        <v>10.574556127022078</v>
      </c>
      <c r="G719" s="12">
        <v>10.277913182902831</v>
      </c>
      <c r="H719" s="37">
        <v>55167.352485613133</v>
      </c>
      <c r="I719" s="37">
        <v>50530.6715788777</v>
      </c>
      <c r="J719" s="37">
        <v>320389.95411697641</v>
      </c>
      <c r="K719" s="37">
        <v>160739.68774444092</v>
      </c>
      <c r="L719" s="37">
        <v>13844.580475309805</v>
      </c>
      <c r="M719" s="37">
        <v>63789.428053719996</v>
      </c>
      <c r="N719" s="37">
        <v>132409.01940662338</v>
      </c>
      <c r="O719" s="37">
        <v>113867.60007386887</v>
      </c>
      <c r="P719" s="68">
        <v>1</v>
      </c>
    </row>
    <row r="720" spans="1:16" x14ac:dyDescent="0.2">
      <c r="A720" s="10">
        <v>718</v>
      </c>
      <c r="B720" s="40">
        <v>0.13603946739083844</v>
      </c>
      <c r="C720" s="12">
        <v>5.6068782444882714</v>
      </c>
      <c r="D720" s="40">
        <v>0.72360144799367832</v>
      </c>
      <c r="E720" s="40">
        <v>1.015706331609465E-2</v>
      </c>
      <c r="F720" s="37">
        <v>25.088606242051434</v>
      </c>
      <c r="G720" s="12">
        <v>12.277339367965677</v>
      </c>
      <c r="H720" s="37">
        <v>80383.62020314415</v>
      </c>
      <c r="I720" s="37">
        <v>25299.554239919838</v>
      </c>
      <c r="J720" s="37">
        <v>401066.17533080163</v>
      </c>
      <c r="K720" s="37">
        <v>96406.528356405062</v>
      </c>
      <c r="L720" s="37">
        <v>134175.83451204214</v>
      </c>
      <c r="M720" s="37">
        <v>103445.32165975487</v>
      </c>
      <c r="N720" s="37">
        <v>158167.36702338399</v>
      </c>
      <c r="O720" s="37">
        <v>733779.38260924991</v>
      </c>
      <c r="P720" s="68">
        <v>1</v>
      </c>
    </row>
    <row r="721" spans="1:16" x14ac:dyDescent="0.2">
      <c r="A721" s="10">
        <v>719</v>
      </c>
      <c r="B721" s="40">
        <v>5.3679419486388914E-2</v>
      </c>
      <c r="C721" s="12">
        <v>4.5043304007731502</v>
      </c>
      <c r="D721" s="40">
        <v>0.57626894174766741</v>
      </c>
      <c r="E721" s="40">
        <v>4.0897001269295498E-2</v>
      </c>
      <c r="F721" s="37">
        <v>11.628236649748818</v>
      </c>
      <c r="G721" s="12">
        <v>13.302008428011568</v>
      </c>
      <c r="H721" s="37">
        <v>115140.33949936667</v>
      </c>
      <c r="I721" s="37">
        <v>38925.779971137483</v>
      </c>
      <c r="J721" s="37">
        <v>593623.66699956323</v>
      </c>
      <c r="K721" s="37">
        <v>190717.14475535671</v>
      </c>
      <c r="L721" s="37">
        <v>33872.877623590546</v>
      </c>
      <c r="M721" s="37">
        <v>153743.6800727497</v>
      </c>
      <c r="N721" s="37">
        <v>171368.0453169774</v>
      </c>
      <c r="O721" s="37">
        <v>309438.00455470989</v>
      </c>
      <c r="P721" s="68">
        <v>1</v>
      </c>
    </row>
    <row r="722" spans="1:16" x14ac:dyDescent="0.2">
      <c r="A722" s="10">
        <v>720</v>
      </c>
      <c r="B722" s="40">
        <v>8.4389153203813072E-2</v>
      </c>
      <c r="C722" s="12">
        <v>2.4327076269188685</v>
      </c>
      <c r="D722" s="40">
        <v>0.65900033315459083</v>
      </c>
      <c r="E722" s="40">
        <v>3.4879507281773844E-2</v>
      </c>
      <c r="F722" s="37">
        <v>23.154615904065935</v>
      </c>
      <c r="G722" s="12">
        <v>12.95999532247162</v>
      </c>
      <c r="H722" s="37">
        <v>119238.29592864987</v>
      </c>
      <c r="I722" s="37">
        <v>44068.745825868624</v>
      </c>
      <c r="J722" s="37">
        <v>299023.16315277119</v>
      </c>
      <c r="K722" s="37">
        <v>92944.476679087762</v>
      </c>
      <c r="L722" s="37">
        <v>32889.025793531706</v>
      </c>
      <c r="M722" s="37">
        <v>298579.70775098942</v>
      </c>
      <c r="N722" s="37">
        <v>166961.93494000996</v>
      </c>
      <c r="O722" s="37">
        <v>1294528.9944822737</v>
      </c>
      <c r="P722" s="68">
        <v>1</v>
      </c>
    </row>
    <row r="723" spans="1:16" x14ac:dyDescent="0.2">
      <c r="A723" s="10">
        <v>721</v>
      </c>
      <c r="B723" s="40">
        <v>5.5195113805523263E-2</v>
      </c>
      <c r="C723" s="12">
        <v>7.6789520718266129</v>
      </c>
      <c r="D723" s="40">
        <v>0.31029754982975</v>
      </c>
      <c r="E723" s="40">
        <v>3.1635199830442357E-2</v>
      </c>
      <c r="F723" s="37">
        <v>13.536528476456905</v>
      </c>
      <c r="G723" s="12">
        <v>11.083386357027225</v>
      </c>
      <c r="H723" s="37">
        <v>46745.773710111527</v>
      </c>
      <c r="I723" s="37">
        <v>63588.242732679857</v>
      </c>
      <c r="J723" s="37">
        <v>420166.93496554438</v>
      </c>
      <c r="K723" s="37">
        <v>175758.37859698522</v>
      </c>
      <c r="L723" s="37">
        <v>31971.997177439782</v>
      </c>
      <c r="M723" s="37">
        <v>74545.762547645558</v>
      </c>
      <c r="N723" s="37">
        <v>142785.82559735532</v>
      </c>
      <c r="O723" s="37">
        <v>94995.896684290376</v>
      </c>
      <c r="P723" s="68">
        <v>1</v>
      </c>
    </row>
    <row r="724" spans="1:16" x14ac:dyDescent="0.2">
      <c r="A724" s="10">
        <v>722</v>
      </c>
      <c r="B724" s="40">
        <v>0.16652735535469776</v>
      </c>
      <c r="C724" s="12">
        <v>8.3494327520053382</v>
      </c>
      <c r="D724" s="40">
        <v>0.34935091458728884</v>
      </c>
      <c r="E724" s="40">
        <v>3.3626099968399902E-2</v>
      </c>
      <c r="F724" s="37">
        <v>20.681914422092248</v>
      </c>
      <c r="G724" s="12">
        <v>27.974593232849088</v>
      </c>
      <c r="H724" s="37">
        <v>115550.15615453539</v>
      </c>
      <c r="I724" s="37">
        <v>43213.362581179994</v>
      </c>
      <c r="J724" s="37">
        <v>487461.10865436471</v>
      </c>
      <c r="K724" s="37">
        <v>72696.501362349081</v>
      </c>
      <c r="L724" s="37">
        <v>118084.60203319714</v>
      </c>
      <c r="M724" s="37">
        <v>136299.99912702813</v>
      </c>
      <c r="N724" s="37">
        <v>360393.04792167456</v>
      </c>
      <c r="O724" s="37">
        <v>1476051.2267628023</v>
      </c>
      <c r="P724" s="68">
        <v>1</v>
      </c>
    </row>
    <row r="725" spans="1:16" x14ac:dyDescent="0.2">
      <c r="A725" s="10">
        <v>723</v>
      </c>
      <c r="B725" s="40">
        <v>0.11859540427048516</v>
      </c>
      <c r="C725" s="12">
        <v>4.6125956224333686</v>
      </c>
      <c r="D725" s="40">
        <v>0.39493565470193936</v>
      </c>
      <c r="E725" s="40">
        <v>3.0413958760257209E-2</v>
      </c>
      <c r="F725" s="37">
        <v>13.148059757326529</v>
      </c>
      <c r="G725" s="12">
        <v>16.146880206929204</v>
      </c>
      <c r="H725" s="37">
        <v>123986.88161577196</v>
      </c>
      <c r="I725" s="37">
        <v>13222.874808890721</v>
      </c>
      <c r="J725" s="37">
        <v>187726.07349106489</v>
      </c>
      <c r="K725" s="37">
        <v>153612.29560878902</v>
      </c>
      <c r="L725" s="37">
        <v>52520.44720815149</v>
      </c>
      <c r="M725" s="37">
        <v>88598.770970945567</v>
      </c>
      <c r="N725" s="37">
        <v>208018.15861144205</v>
      </c>
      <c r="O725" s="37">
        <v>744476.1523853601</v>
      </c>
      <c r="P725" s="68">
        <v>1</v>
      </c>
    </row>
    <row r="726" spans="1:16" x14ac:dyDescent="0.2">
      <c r="A726" s="10">
        <v>724</v>
      </c>
      <c r="B726" s="40">
        <v>0.10800798988054405</v>
      </c>
      <c r="C726" s="12">
        <v>3.7124349373098648</v>
      </c>
      <c r="D726" s="40">
        <v>0.71340068261846423</v>
      </c>
      <c r="E726" s="40">
        <v>1.6917260025640181E-2</v>
      </c>
      <c r="F726" s="37">
        <v>16.858694229749055</v>
      </c>
      <c r="G726" s="12">
        <v>0.38021391680677091</v>
      </c>
      <c r="H726" s="37">
        <v>55856.785355037078</v>
      </c>
      <c r="I726" s="37">
        <v>48755.546907240008</v>
      </c>
      <c r="J726" s="37">
        <v>355072.03934951272</v>
      </c>
      <c r="K726" s="37">
        <v>148262.62273654353</v>
      </c>
      <c r="L726" s="37">
        <v>69540.384043063968</v>
      </c>
      <c r="M726" s="37">
        <v>114144.2952423949</v>
      </c>
      <c r="N726" s="37">
        <v>4898.246462412445</v>
      </c>
      <c r="O726" s="37">
        <v>50976.591374289244</v>
      </c>
      <c r="P726" s="68">
        <v>1</v>
      </c>
    </row>
    <row r="727" spans="1:16" x14ac:dyDescent="0.2">
      <c r="A727" s="10">
        <v>725</v>
      </c>
      <c r="B727" s="40">
        <v>0.21235958225423379</v>
      </c>
      <c r="C727" s="12">
        <v>5.6800365478499169</v>
      </c>
      <c r="D727" s="40">
        <v>0.55013539736476846</v>
      </c>
      <c r="E727" s="40">
        <v>3.2470688713099209E-2</v>
      </c>
      <c r="F727" s="37">
        <v>17.331201704814699</v>
      </c>
      <c r="G727" s="12">
        <v>8.8242701600164679</v>
      </c>
      <c r="H727" s="37">
        <v>178174.09937799693</v>
      </c>
      <c r="I727" s="37">
        <v>41715.069685603041</v>
      </c>
      <c r="J727" s="37">
        <v>433661.28341619601</v>
      </c>
      <c r="K727" s="37">
        <v>173968.14161871129</v>
      </c>
      <c r="L727" s="37">
        <v>161317.4735346318</v>
      </c>
      <c r="M727" s="37">
        <v>173682.67469000982</v>
      </c>
      <c r="N727" s="37">
        <v>113681.92531637136</v>
      </c>
      <c r="O727" s="37">
        <v>952037.05518047581</v>
      </c>
      <c r="P727" s="68">
        <v>1</v>
      </c>
    </row>
    <row r="728" spans="1:16" x14ac:dyDescent="0.2">
      <c r="A728" s="10">
        <v>726</v>
      </c>
      <c r="B728" s="40">
        <v>0.13084387335303199</v>
      </c>
      <c r="C728" s="12">
        <v>9.2992309551926162</v>
      </c>
      <c r="D728" s="40">
        <v>0.46406301117577659</v>
      </c>
      <c r="E728" s="40">
        <v>1.9133245936202449E-2</v>
      </c>
      <c r="F728" s="37">
        <v>12.867383232557362</v>
      </c>
      <c r="G728" s="12">
        <v>23.149848753469836</v>
      </c>
      <c r="H728" s="37">
        <v>136090.6584736954</v>
      </c>
      <c r="I728" s="37">
        <v>36340.032831393182</v>
      </c>
      <c r="J728" s="37">
        <v>171257.49967119397</v>
      </c>
      <c r="K728" s="37">
        <v>139327.29761536914</v>
      </c>
      <c r="L728" s="37">
        <v>137267.02118877802</v>
      </c>
      <c r="M728" s="37">
        <v>64094.767343188039</v>
      </c>
      <c r="N728" s="37">
        <v>298236.49201061396</v>
      </c>
      <c r="O728" s="37">
        <v>1321179.2106526331</v>
      </c>
      <c r="P728" s="68">
        <v>1</v>
      </c>
    </row>
    <row r="729" spans="1:16" x14ac:dyDescent="0.2">
      <c r="A729" s="10">
        <v>727</v>
      </c>
      <c r="B729" s="40">
        <v>6.0973605433817871E-2</v>
      </c>
      <c r="C729" s="12">
        <v>4.75819009238496</v>
      </c>
      <c r="D729" s="40">
        <v>0.63924455609016517</v>
      </c>
      <c r="E729" s="40">
        <v>9.9164871172096134E-3</v>
      </c>
      <c r="F729" s="37">
        <v>19.109095230962005</v>
      </c>
      <c r="G729" s="12">
        <v>19.323681688152128</v>
      </c>
      <c r="H729" s="37">
        <v>238164.41978501703</v>
      </c>
      <c r="I729" s="37">
        <v>34724.124368377699</v>
      </c>
      <c r="J729" s="37">
        <v>311148.75004237477</v>
      </c>
      <c r="K729" s="37">
        <v>148937.93854504044</v>
      </c>
      <c r="L729" s="37">
        <v>45085.774253109834</v>
      </c>
      <c r="M729" s="37">
        <v>67956.616394018973</v>
      </c>
      <c r="N729" s="37">
        <v>248944.4791098444</v>
      </c>
      <c r="O729" s="37">
        <v>1050271.6513529439</v>
      </c>
      <c r="P729" s="68">
        <v>1</v>
      </c>
    </row>
    <row r="730" spans="1:16" x14ac:dyDescent="0.2">
      <c r="A730" s="10">
        <v>728</v>
      </c>
      <c r="B730" s="40">
        <v>5.5173368426862483E-2</v>
      </c>
      <c r="C730" s="12">
        <v>8.3871003046419812</v>
      </c>
      <c r="D730" s="40">
        <v>0.69695910366627745</v>
      </c>
      <c r="E730" s="40">
        <v>1.8608587902694193E-2</v>
      </c>
      <c r="F730" s="37">
        <v>11.244914308192659</v>
      </c>
      <c r="G730" s="12">
        <v>17.160951125183992</v>
      </c>
      <c r="H730" s="37">
        <v>70551.825797992729</v>
      </c>
      <c r="I730" s="37">
        <v>29617.322574045153</v>
      </c>
      <c r="J730" s="37">
        <v>275034.64799125033</v>
      </c>
      <c r="K730" s="37">
        <v>99538.452824149514</v>
      </c>
      <c r="L730" s="37">
        <v>78403.862953830641</v>
      </c>
      <c r="M730" s="37">
        <v>81817.008406307083</v>
      </c>
      <c r="N730" s="37">
        <v>221082.30242209911</v>
      </c>
      <c r="O730" s="37">
        <v>795005.40458747081</v>
      </c>
      <c r="P730" s="68">
        <v>1</v>
      </c>
    </row>
    <row r="731" spans="1:16" x14ac:dyDescent="0.2">
      <c r="A731" s="10">
        <v>729</v>
      </c>
      <c r="B731" s="40">
        <v>0.11623298839735957</v>
      </c>
      <c r="C731" s="12">
        <v>4.5252335048055752</v>
      </c>
      <c r="D731" s="40">
        <v>0.55955481092094028</v>
      </c>
      <c r="E731" s="40">
        <v>2.3607863670863156E-2</v>
      </c>
      <c r="F731" s="37">
        <v>16.441816108170293</v>
      </c>
      <c r="G731" s="12">
        <v>15.394045364591843</v>
      </c>
      <c r="H731" s="37">
        <v>14904.802475175367</v>
      </c>
      <c r="I731" s="37">
        <v>17958.638051285478</v>
      </c>
      <c r="J731" s="37">
        <v>446299.89448779175</v>
      </c>
      <c r="K731" s="37">
        <v>193734.92381081497</v>
      </c>
      <c r="L731" s="37">
        <v>71548.718803026757</v>
      </c>
      <c r="M731" s="37">
        <v>121847.28064132699</v>
      </c>
      <c r="N731" s="37">
        <v>198319.48520613933</v>
      </c>
      <c r="O731" s="37">
        <v>200441.19656166458</v>
      </c>
      <c r="P731" s="68">
        <v>1</v>
      </c>
    </row>
    <row r="732" spans="1:16" x14ac:dyDescent="0.2">
      <c r="A732" s="10">
        <v>730</v>
      </c>
      <c r="B732" s="40">
        <v>0.11937312188077372</v>
      </c>
      <c r="C732" s="12">
        <v>5.68199451512998</v>
      </c>
      <c r="D732" s="40">
        <v>0.68490590737672263</v>
      </c>
      <c r="E732" s="40">
        <v>1.8784191406613547E-2</v>
      </c>
      <c r="F732" s="37">
        <v>21.542260298554922</v>
      </c>
      <c r="G732" s="12">
        <v>13.366177989761244</v>
      </c>
      <c r="H732" s="37">
        <v>136365.54668478426</v>
      </c>
      <c r="I732" s="37">
        <v>24516.940960828</v>
      </c>
      <c r="J732" s="37">
        <v>427914.85943992605</v>
      </c>
      <c r="K732" s="37">
        <v>170972.62093990992</v>
      </c>
      <c r="L732" s="37">
        <v>112934.62225607265</v>
      </c>
      <c r="M732" s="37">
        <v>155482.46533428415</v>
      </c>
      <c r="N732" s="37">
        <v>172194.73343895545</v>
      </c>
      <c r="O732" s="37">
        <v>778250.62200385053</v>
      </c>
      <c r="P732" s="68">
        <v>1</v>
      </c>
    </row>
    <row r="733" spans="1:16" x14ac:dyDescent="0.2">
      <c r="A733" s="10">
        <v>731</v>
      </c>
      <c r="B733" s="40">
        <v>0.16891366377842085</v>
      </c>
      <c r="C733" s="12">
        <v>4.4246830985161418</v>
      </c>
      <c r="D733" s="40">
        <v>0.5942700080981882</v>
      </c>
      <c r="E733" s="40">
        <v>2.7840732196289512E-2</v>
      </c>
      <c r="F733" s="37">
        <v>13.31224434262769</v>
      </c>
      <c r="G733" s="12">
        <v>18.572394069855747</v>
      </c>
      <c r="H733" s="37">
        <v>156908.95302607911</v>
      </c>
      <c r="I733" s="37">
        <v>64012.826655146433</v>
      </c>
      <c r="J733" s="37">
        <v>317892.37312424777</v>
      </c>
      <c r="K733" s="37">
        <v>161763.23498653178</v>
      </c>
      <c r="L733" s="37">
        <v>107974.10070247583</v>
      </c>
      <c r="M733" s="37">
        <v>123561.3025200603</v>
      </c>
      <c r="N733" s="37">
        <v>239265.73839072252</v>
      </c>
      <c r="O733" s="37">
        <v>1166862.2824295103</v>
      </c>
      <c r="P733" s="68">
        <v>1</v>
      </c>
    </row>
    <row r="734" spans="1:16" x14ac:dyDescent="0.2">
      <c r="A734" s="10">
        <v>732</v>
      </c>
      <c r="B734" s="40">
        <v>0.17839169730426316</v>
      </c>
      <c r="C734" s="12">
        <v>8.6518176988380482</v>
      </c>
      <c r="D734" s="40">
        <v>0.39884120833269493</v>
      </c>
      <c r="E734" s="40">
        <v>1.917184937425901E-2</v>
      </c>
      <c r="F734" s="37">
        <v>14.023004507050388</v>
      </c>
      <c r="G734" s="12">
        <v>24.509909898437716</v>
      </c>
      <c r="H734" s="37">
        <v>91018.805614578392</v>
      </c>
      <c r="I734" s="37">
        <v>39313.603660999972</v>
      </c>
      <c r="J734" s="37">
        <v>327379.09072412783</v>
      </c>
      <c r="K734" s="37">
        <v>146625.84762554138</v>
      </c>
      <c r="L734" s="37">
        <v>149647.97704487317</v>
      </c>
      <c r="M734" s="37">
        <v>60155.014685630566</v>
      </c>
      <c r="N734" s="37">
        <v>315757.98293328634</v>
      </c>
      <c r="O734" s="37">
        <v>1099403.6721914762</v>
      </c>
      <c r="P734" s="68">
        <v>1</v>
      </c>
    </row>
    <row r="735" spans="1:16" x14ac:dyDescent="0.2">
      <c r="A735" s="10">
        <v>733</v>
      </c>
      <c r="B735" s="40">
        <v>0.14558325742381242</v>
      </c>
      <c r="C735" s="12">
        <v>4.6991732555067598</v>
      </c>
      <c r="D735" s="40">
        <v>0.38667451667815295</v>
      </c>
      <c r="E735" s="40">
        <v>2.6049047078459925E-2</v>
      </c>
      <c r="F735" s="37">
        <v>12.672595444749835</v>
      </c>
      <c r="G735" s="12">
        <v>14.902354628691473</v>
      </c>
      <c r="H735" s="37">
        <v>69286.895485257119</v>
      </c>
      <c r="I735" s="37">
        <v>37775.457861160459</v>
      </c>
      <c r="J735" s="37">
        <v>416405.71565376665</v>
      </c>
      <c r="K735" s="37">
        <v>94774.677892180072</v>
      </c>
      <c r="L735" s="37">
        <v>64308.335800701665</v>
      </c>
      <c r="M735" s="37">
        <v>71609.343923937879</v>
      </c>
      <c r="N735" s="37">
        <v>191985.09737533052</v>
      </c>
      <c r="O735" s="37">
        <v>536684.43677585246</v>
      </c>
      <c r="P735" s="68">
        <v>1</v>
      </c>
    </row>
    <row r="736" spans="1:16" x14ac:dyDescent="0.2">
      <c r="A736" s="10">
        <v>734</v>
      </c>
      <c r="B736" s="40">
        <v>0.11992867876666173</v>
      </c>
      <c r="C736" s="12">
        <v>5.1685065121231126</v>
      </c>
      <c r="D736" s="40">
        <v>0.34212037953906876</v>
      </c>
      <c r="E736" s="40">
        <v>3.0867403935036668E-2</v>
      </c>
      <c r="F736" s="37">
        <v>13.610642987168475</v>
      </c>
      <c r="G736" s="12">
        <v>12.967827213775827</v>
      </c>
      <c r="H736" s="37">
        <v>154125.83416337834</v>
      </c>
      <c r="I736" s="37">
        <v>39298.439354312417</v>
      </c>
      <c r="J736" s="37">
        <v>303907.07510718505</v>
      </c>
      <c r="K736" s="37">
        <v>143480.48937752133</v>
      </c>
      <c r="L736" s="37">
        <v>51553.231310187402</v>
      </c>
      <c r="M736" s="37">
        <v>80635.154931353682</v>
      </c>
      <c r="N736" s="37">
        <v>167062.83217753621</v>
      </c>
      <c r="O736" s="37">
        <v>674410.55761303799</v>
      </c>
      <c r="P736" s="68">
        <v>1</v>
      </c>
    </row>
    <row r="737" spans="1:16" x14ac:dyDescent="0.2">
      <c r="A737" s="10">
        <v>735</v>
      </c>
      <c r="B737" s="40">
        <v>0.22419765853813794</v>
      </c>
      <c r="C737" s="12">
        <v>3.926001604428849</v>
      </c>
      <c r="D737" s="40">
        <v>0.70942322014375347</v>
      </c>
      <c r="E737" s="40">
        <v>1.5952864848208424E-2</v>
      </c>
      <c r="F737" s="37">
        <v>19.559562932102558</v>
      </c>
      <c r="G737" s="12">
        <v>3.8228048542360749</v>
      </c>
      <c r="H737" s="37">
        <v>63187.331848057307</v>
      </c>
      <c r="I737" s="37">
        <v>72418.920283991742</v>
      </c>
      <c r="J737" s="37">
        <v>371895.71785932744</v>
      </c>
      <c r="K737" s="37">
        <v>138531.30511789181</v>
      </c>
      <c r="L737" s="37">
        <v>151801.399052978</v>
      </c>
      <c r="M737" s="37">
        <v>124185.23490741791</v>
      </c>
      <c r="N737" s="37">
        <v>49248.697972492308</v>
      </c>
      <c r="O737" s="37">
        <v>531100.67896731035</v>
      </c>
      <c r="P737" s="68">
        <v>1</v>
      </c>
    </row>
    <row r="738" spans="1:16" x14ac:dyDescent="0.2">
      <c r="A738" s="10">
        <v>736</v>
      </c>
      <c r="B738" s="40">
        <v>0.10618261473373337</v>
      </c>
      <c r="C738" s="12">
        <v>2.5702033217379872</v>
      </c>
      <c r="D738" s="40">
        <v>0.61705146752170503</v>
      </c>
      <c r="E738" s="40">
        <v>8.1020070095373688E-3</v>
      </c>
      <c r="F738" s="37">
        <v>15.110886410353956</v>
      </c>
      <c r="G738" s="12">
        <v>18.593402773194434</v>
      </c>
      <c r="H738" s="37">
        <v>124008.45585393815</v>
      </c>
      <c r="I738" s="37">
        <v>35227.677926067125</v>
      </c>
      <c r="J738" s="37">
        <v>301608.36007056036</v>
      </c>
      <c r="K738" s="37">
        <v>175922.38926795986</v>
      </c>
      <c r="L738" s="37">
        <v>40938.42357641922</v>
      </c>
      <c r="M738" s="37">
        <v>42380.9489770215</v>
      </c>
      <c r="N738" s="37">
        <v>239536.3907847034</v>
      </c>
      <c r="O738" s="37">
        <v>556167.45555066364</v>
      </c>
      <c r="P738" s="68">
        <v>1</v>
      </c>
    </row>
    <row r="739" spans="1:16" x14ac:dyDescent="0.2">
      <c r="A739" s="10">
        <v>737</v>
      </c>
      <c r="B739" s="40">
        <v>0.13880964533476819</v>
      </c>
      <c r="C739" s="12">
        <v>2.5423570820233499</v>
      </c>
      <c r="D739" s="40">
        <v>0.61233737778384734</v>
      </c>
      <c r="E739" s="40">
        <v>3.3016827002705557E-2</v>
      </c>
      <c r="F739" s="37">
        <v>16.871123975039151</v>
      </c>
      <c r="G739" s="12">
        <v>6.8440398063307741</v>
      </c>
      <c r="H739" s="37">
        <v>175395.71087583899</v>
      </c>
      <c r="I739" s="37">
        <v>30457.617420012859</v>
      </c>
      <c r="J739" s="37">
        <v>562066.20867544797</v>
      </c>
      <c r="K739" s="37">
        <v>155784.61974552734</v>
      </c>
      <c r="L739" s="37">
        <v>52533.434251816849</v>
      </c>
      <c r="M739" s="37">
        <v>191353.69509937271</v>
      </c>
      <c r="N739" s="37">
        <v>88170.875099784549</v>
      </c>
      <c r="O739" s="37">
        <v>508514.1218639682</v>
      </c>
      <c r="P739" s="68">
        <v>1</v>
      </c>
    </row>
    <row r="740" spans="1:16" x14ac:dyDescent="0.2">
      <c r="A740" s="10">
        <v>738</v>
      </c>
      <c r="B740" s="40">
        <v>0.15958706463339464</v>
      </c>
      <c r="C740" s="12">
        <v>2.8831901174094359</v>
      </c>
      <c r="D740" s="40">
        <v>0.29830298816901579</v>
      </c>
      <c r="E740" s="40">
        <v>3.2563325902853879E-2</v>
      </c>
      <c r="F740" s="37">
        <v>6.5000249312590155</v>
      </c>
      <c r="G740" s="12">
        <v>20.992217355223403</v>
      </c>
      <c r="H740" s="37">
        <v>56409.206420703995</v>
      </c>
      <c r="I740" s="37">
        <v>64351.007801384891</v>
      </c>
      <c r="J740" s="37">
        <v>525922.65012500167</v>
      </c>
      <c r="K740" s="37">
        <v>113678.26306539823</v>
      </c>
      <c r="L740" s="37">
        <v>33367.018385464704</v>
      </c>
      <c r="M740" s="37">
        <v>35421.595065902751</v>
      </c>
      <c r="N740" s="37">
        <v>270440.00719908689</v>
      </c>
      <c r="O740" s="37">
        <v>444313.85473124869</v>
      </c>
      <c r="P740" s="68">
        <v>1</v>
      </c>
    </row>
    <row r="741" spans="1:16" x14ac:dyDescent="0.2">
      <c r="A741" s="10">
        <v>739</v>
      </c>
      <c r="B741" s="40">
        <v>0.11934986443334578</v>
      </c>
      <c r="C741" s="12">
        <v>6.907319902002639</v>
      </c>
      <c r="D741" s="40">
        <v>0.81248950376253126</v>
      </c>
      <c r="E741" s="40">
        <v>1.6533512327468785E-2</v>
      </c>
      <c r="F741" s="37">
        <v>17.25849137837719</v>
      </c>
      <c r="G741" s="12">
        <v>14.627412053644015</v>
      </c>
      <c r="H741" s="37">
        <v>17117.528138049398</v>
      </c>
      <c r="I741" s="37">
        <v>36616.964707126644</v>
      </c>
      <c r="J741" s="37">
        <v>527320.57970099291</v>
      </c>
      <c r="K741" s="37">
        <v>99352.270113333536</v>
      </c>
      <c r="L741" s="37">
        <v>162831.37452518326</v>
      </c>
      <c r="M741" s="37">
        <v>130062.60393775701</v>
      </c>
      <c r="N741" s="37">
        <v>188443.04792352888</v>
      </c>
      <c r="O741" s="37">
        <v>693406.58192479727</v>
      </c>
      <c r="P741" s="68">
        <v>1</v>
      </c>
    </row>
    <row r="742" spans="1:16" x14ac:dyDescent="0.2">
      <c r="A742" s="10">
        <v>740</v>
      </c>
      <c r="B742" s="40">
        <v>0.15583172723879446</v>
      </c>
      <c r="C742" s="12">
        <v>5.9899772354909393</v>
      </c>
      <c r="D742" s="40">
        <v>0.68016989689215013</v>
      </c>
      <c r="E742" s="40">
        <v>4.5380527053513739E-2</v>
      </c>
      <c r="F742" s="37">
        <v>16.468297806731918</v>
      </c>
      <c r="G742" s="12">
        <v>14.988088919517063</v>
      </c>
      <c r="H742" s="37">
        <v>141075.41024931413</v>
      </c>
      <c r="I742" s="37">
        <v>67663.659885919231</v>
      </c>
      <c r="J742" s="37">
        <v>553344.1343633685</v>
      </c>
      <c r="K742" s="37">
        <v>73809.032664332335</v>
      </c>
      <c r="L742" s="37">
        <v>154343.12626528766</v>
      </c>
      <c r="M742" s="37">
        <v>285169.0484064059</v>
      </c>
      <c r="N742" s="37">
        <v>193089.6010985788</v>
      </c>
      <c r="O742" s="37">
        <v>1597001.3776408138</v>
      </c>
      <c r="P742" s="68">
        <v>1</v>
      </c>
    </row>
    <row r="743" spans="1:16" x14ac:dyDescent="0.2">
      <c r="A743" s="10">
        <v>741</v>
      </c>
      <c r="B743" s="40">
        <v>0.13645285063557883</v>
      </c>
      <c r="C743" s="12">
        <v>4.8844115530003425</v>
      </c>
      <c r="D743" s="40">
        <v>0.63902366084488893</v>
      </c>
      <c r="E743" s="40">
        <v>5.7727001406016418E-3</v>
      </c>
      <c r="F743" s="37">
        <v>9.1210012984091318</v>
      </c>
      <c r="G743" s="12">
        <v>14.67296351685521</v>
      </c>
      <c r="H743" s="37">
        <v>248327.54139407544</v>
      </c>
      <c r="I743" s="37">
        <v>43776.019954650248</v>
      </c>
      <c r="J743" s="37">
        <v>374120.21042587631</v>
      </c>
      <c r="K743" s="37">
        <v>150183.91541108408</v>
      </c>
      <c r="L743" s="37">
        <v>103538.2049160532</v>
      </c>
      <c r="M743" s="37">
        <v>18875.792186135735</v>
      </c>
      <c r="N743" s="37">
        <v>189029.88150238848</v>
      </c>
      <c r="O743" s="37">
        <v>896039.80572895822</v>
      </c>
      <c r="P743" s="68">
        <v>1</v>
      </c>
    </row>
    <row r="744" spans="1:16" x14ac:dyDescent="0.2">
      <c r="A744" s="10">
        <v>742</v>
      </c>
      <c r="B744" s="40">
        <v>0.15401020065185811</v>
      </c>
      <c r="C744" s="12">
        <v>6.4773437221976433</v>
      </c>
      <c r="D744" s="40">
        <v>0.71470542107141843</v>
      </c>
      <c r="E744" s="40">
        <v>4.5261360437618076E-3</v>
      </c>
      <c r="F744" s="37">
        <v>13.286568918737842</v>
      </c>
      <c r="G744" s="12">
        <v>7.5706403496016144</v>
      </c>
      <c r="H744" s="37">
        <v>197595.98298575147</v>
      </c>
      <c r="I744" s="37">
        <v>43152.703828669102</v>
      </c>
      <c r="J744" s="37">
        <v>512719.45708154922</v>
      </c>
      <c r="K744" s="37">
        <v>85242.016423608671</v>
      </c>
      <c r="L744" s="37">
        <v>173325.44987821771</v>
      </c>
      <c r="M744" s="37">
        <v>24112.056708375931</v>
      </c>
      <c r="N744" s="37">
        <v>97531.575440672153</v>
      </c>
      <c r="O744" s="37">
        <v>749350.06989784015</v>
      </c>
      <c r="P744" s="68">
        <v>1</v>
      </c>
    </row>
    <row r="745" spans="1:16" x14ac:dyDescent="0.2">
      <c r="A745" s="10">
        <v>743</v>
      </c>
      <c r="B745" s="40">
        <v>0.111351738474692</v>
      </c>
      <c r="C745" s="12">
        <v>4.2768585248549673</v>
      </c>
      <c r="D745" s="40">
        <v>0.55280625987838783</v>
      </c>
      <c r="E745" s="40">
        <v>4.8742553926865587E-3</v>
      </c>
      <c r="F745" s="37">
        <v>18.936104870478474</v>
      </c>
      <c r="G745" s="12">
        <v>8.6861398851775569</v>
      </c>
      <c r="H745" s="37">
        <v>178145.08530514699</v>
      </c>
      <c r="I745" s="37">
        <v>44623.834417470149</v>
      </c>
      <c r="J745" s="37">
        <v>491550.95111954975</v>
      </c>
      <c r="K745" s="37">
        <v>170833.35696090251</v>
      </c>
      <c r="L745" s="37">
        <v>64000.544374134028</v>
      </c>
      <c r="M745" s="37">
        <v>28624.546520894371</v>
      </c>
      <c r="N745" s="37">
        <v>111902.4109425574</v>
      </c>
      <c r="O745" s="37">
        <v>226965.45490029734</v>
      </c>
      <c r="P745" s="68">
        <v>1</v>
      </c>
    </row>
    <row r="746" spans="1:16" x14ac:dyDescent="0.2">
      <c r="A746" s="10">
        <v>744</v>
      </c>
      <c r="B746" s="40">
        <v>0.14273598113032088</v>
      </c>
      <c r="C746" s="12">
        <v>3.8587852150131199</v>
      </c>
      <c r="D746" s="40">
        <v>0.53850431743217353</v>
      </c>
      <c r="E746" s="40">
        <v>7.7743615731943692E-3</v>
      </c>
      <c r="F746" s="37">
        <v>13.367561918480828</v>
      </c>
      <c r="G746" s="12">
        <v>17.485380542704974</v>
      </c>
      <c r="H746" s="37">
        <v>63417.19877544773</v>
      </c>
      <c r="I746" s="37">
        <v>36214.860218314207</v>
      </c>
      <c r="J746" s="37">
        <v>317362.17902391829</v>
      </c>
      <c r="K746" s="37">
        <v>191115.85798312415</v>
      </c>
      <c r="L746" s="37">
        <v>72104.453505284779</v>
      </c>
      <c r="M746" s="37">
        <v>31395.894502020274</v>
      </c>
      <c r="N746" s="37">
        <v>225261.88443219764</v>
      </c>
      <c r="O746" s="37">
        <v>347405.85490325443</v>
      </c>
      <c r="P746" s="68">
        <v>1</v>
      </c>
    </row>
    <row r="747" spans="1:16" x14ac:dyDescent="0.2">
      <c r="A747" s="10">
        <v>745</v>
      </c>
      <c r="B747" s="40">
        <v>0.16993753336358605</v>
      </c>
      <c r="C747" s="12">
        <v>5.5557121578298529</v>
      </c>
      <c r="D747" s="40">
        <v>0.44146317062246532</v>
      </c>
      <c r="E747" s="40">
        <v>3.5832244448110916E-2</v>
      </c>
      <c r="F747" s="37">
        <v>8.5024409519853137</v>
      </c>
      <c r="G747" s="12">
        <v>16.661192440718814</v>
      </c>
      <c r="H747" s="37">
        <v>18027.188519969714</v>
      </c>
      <c r="I747" s="37">
        <v>53330.333697196605</v>
      </c>
      <c r="J747" s="37">
        <v>265015.41423922748</v>
      </c>
      <c r="K747" s="37">
        <v>184801.79451940942</v>
      </c>
      <c r="L747" s="37">
        <v>101324.00662477824</v>
      </c>
      <c r="M747" s="37">
        <v>75453.405649353313</v>
      </c>
      <c r="N747" s="37">
        <v>214643.9762587632</v>
      </c>
      <c r="O747" s="37">
        <v>513775.55444029882</v>
      </c>
      <c r="P747" s="68">
        <v>1</v>
      </c>
    </row>
    <row r="748" spans="1:16" x14ac:dyDescent="0.2">
      <c r="A748" s="10">
        <v>746</v>
      </c>
      <c r="B748" s="40">
        <v>0.19350173772421725</v>
      </c>
      <c r="C748" s="12">
        <v>4.7047989954140741</v>
      </c>
      <c r="D748" s="40">
        <v>0.3785071702971996</v>
      </c>
      <c r="E748" s="40">
        <v>1.2500265530444058E-2</v>
      </c>
      <c r="F748" s="37">
        <v>16.835949707925593</v>
      </c>
      <c r="G748" s="12">
        <v>21.650287810687093</v>
      </c>
      <c r="H748" s="37">
        <v>134617.37278325358</v>
      </c>
      <c r="I748" s="37">
        <v>53833.204195469603</v>
      </c>
      <c r="J748" s="37">
        <v>463733.18241757469</v>
      </c>
      <c r="K748" s="37">
        <v>170844.31248706768</v>
      </c>
      <c r="L748" s="37">
        <v>83770.071040745621</v>
      </c>
      <c r="M748" s="37">
        <v>44688.697938130208</v>
      </c>
      <c r="N748" s="37">
        <v>278917.84332766646</v>
      </c>
      <c r="O748" s="37">
        <v>726914.56147532701</v>
      </c>
      <c r="P748" s="68">
        <v>1</v>
      </c>
    </row>
    <row r="749" spans="1:16" x14ac:dyDescent="0.2">
      <c r="A749" s="10">
        <v>747</v>
      </c>
      <c r="B749" s="40">
        <v>5.3716038043337702E-2</v>
      </c>
      <c r="C749" s="12">
        <v>4.4508907231607768</v>
      </c>
      <c r="D749" s="40">
        <v>0.58877494382120887</v>
      </c>
      <c r="E749" s="40">
        <v>1.887849136077277E-2</v>
      </c>
      <c r="F749" s="37">
        <v>16.100839724933351</v>
      </c>
      <c r="G749" s="12">
        <v>13.656843712626983</v>
      </c>
      <c r="H749" s="37">
        <v>225275.21934810453</v>
      </c>
      <c r="I749" s="37">
        <v>27642.481784451156</v>
      </c>
      <c r="J749" s="37">
        <v>408638.39132640924</v>
      </c>
      <c r="K749" s="37">
        <v>157039.08818319719</v>
      </c>
      <c r="L749" s="37">
        <v>34220.712980229888</v>
      </c>
      <c r="M749" s="37">
        <v>100399.57260002995</v>
      </c>
      <c r="N749" s="37">
        <v>175939.3421600908</v>
      </c>
      <c r="O749" s="37">
        <v>730054.01424736413</v>
      </c>
      <c r="P749" s="68">
        <v>1</v>
      </c>
    </row>
    <row r="750" spans="1:16" x14ac:dyDescent="0.2">
      <c r="A750" s="10">
        <v>748</v>
      </c>
      <c r="B750" s="40">
        <v>0.13187004228076504</v>
      </c>
      <c r="C750" s="12">
        <v>6.5635169067906434</v>
      </c>
      <c r="D750" s="40">
        <v>0.56311453251557153</v>
      </c>
      <c r="E750" s="40">
        <v>2.1952217373970712E-2</v>
      </c>
      <c r="F750" s="37">
        <v>14.127370940645807</v>
      </c>
      <c r="G750" s="12">
        <v>23.04497594017932</v>
      </c>
      <c r="H750" s="37">
        <v>101208.11712430624</v>
      </c>
      <c r="I750" s="37">
        <v>44478.646222497417</v>
      </c>
      <c r="J750" s="37">
        <v>250329.15879732632</v>
      </c>
      <c r="K750" s="37">
        <v>91704.665923079272</v>
      </c>
      <c r="L750" s="37">
        <v>118486.34934498982</v>
      </c>
      <c r="M750" s="37">
        <v>97972.278973909823</v>
      </c>
      <c r="N750" s="37">
        <v>296885.42919045797</v>
      </c>
      <c r="O750" s="37">
        <v>1339112.7771027447</v>
      </c>
      <c r="P750" s="68">
        <v>1</v>
      </c>
    </row>
    <row r="751" spans="1:16" x14ac:dyDescent="0.2">
      <c r="A751" s="10">
        <v>749</v>
      </c>
      <c r="B751" s="40">
        <v>7.9419966666372674E-2</v>
      </c>
      <c r="C751" s="12">
        <v>6.4497840140395182</v>
      </c>
      <c r="D751" s="40">
        <v>0.76217629906339024</v>
      </c>
      <c r="E751" s="40">
        <v>4.7049995511110984E-2</v>
      </c>
      <c r="F751" s="37">
        <v>14.285133451306359</v>
      </c>
      <c r="G751" s="12">
        <v>22.023896606739022</v>
      </c>
      <c r="H751" s="37">
        <v>69252.929673112551</v>
      </c>
      <c r="I751" s="37">
        <v>16626.341728727588</v>
      </c>
      <c r="J751" s="37">
        <v>357265.37026900111</v>
      </c>
      <c r="K751" s="37">
        <v>157661.27413932738</v>
      </c>
      <c r="L751" s="37">
        <v>94911.566445479271</v>
      </c>
      <c r="M751" s="37">
        <v>287386.29921515071</v>
      </c>
      <c r="N751" s="37">
        <v>283730.99687805993</v>
      </c>
      <c r="O751" s="37">
        <v>1307598.6079418592</v>
      </c>
      <c r="P751" s="68">
        <v>1</v>
      </c>
    </row>
    <row r="752" spans="1:16" x14ac:dyDescent="0.2">
      <c r="A752" s="10">
        <v>750</v>
      </c>
      <c r="B752" s="40">
        <v>9.0944480839803193E-2</v>
      </c>
      <c r="C752" s="12">
        <v>7.0726001254840991</v>
      </c>
      <c r="D752" s="40">
        <v>0.75763315544778342</v>
      </c>
      <c r="E752" s="40">
        <v>2.5486628822503909E-2</v>
      </c>
      <c r="F752" s="37">
        <v>26.592141364376193</v>
      </c>
      <c r="G752" s="12">
        <v>15.11203058353466</v>
      </c>
      <c r="H752" s="37">
        <v>90134.048436479032</v>
      </c>
      <c r="I752" s="37">
        <v>45677.95509939058</v>
      </c>
      <c r="J752" s="37">
        <v>270686.20618888061</v>
      </c>
      <c r="K752" s="37">
        <v>62166.366365944014</v>
      </c>
      <c r="L752" s="37">
        <v>118468.59939531008</v>
      </c>
      <c r="M752" s="37">
        <v>288065.60643799586</v>
      </c>
      <c r="N752" s="37">
        <v>194686.32544370115</v>
      </c>
      <c r="O752" s="37">
        <v>1620043.8084995481</v>
      </c>
      <c r="P752" s="68">
        <v>1</v>
      </c>
    </row>
    <row r="753" spans="1:16" x14ac:dyDescent="0.2">
      <c r="A753" s="10">
        <v>751</v>
      </c>
      <c r="B753" s="40">
        <v>8.5879042273370731E-2</v>
      </c>
      <c r="C753" s="12">
        <v>5.2866645810810464</v>
      </c>
      <c r="D753" s="40">
        <v>0.76972121714158148</v>
      </c>
      <c r="E753" s="40">
        <v>3.2007919430066624E-2</v>
      </c>
      <c r="F753" s="37">
        <v>18.265154580340791</v>
      </c>
      <c r="G753" s="12">
        <v>23.753099746912213</v>
      </c>
      <c r="H753" s="37">
        <v>73426.518495509226</v>
      </c>
      <c r="I753" s="37">
        <v>63207.46063783612</v>
      </c>
      <c r="J753" s="37">
        <v>447017.95431248634</v>
      </c>
      <c r="K753" s="37">
        <v>93912.339359806676</v>
      </c>
      <c r="L753" s="37">
        <v>84955.448490231807</v>
      </c>
      <c r="M753" s="37">
        <v>252453.26225089203</v>
      </c>
      <c r="N753" s="37">
        <v>306008.09613650298</v>
      </c>
      <c r="O753" s="37">
        <v>1475292.8918520678</v>
      </c>
      <c r="P753" s="68">
        <v>1</v>
      </c>
    </row>
    <row r="754" spans="1:16" x14ac:dyDescent="0.2">
      <c r="A754" s="10">
        <v>752</v>
      </c>
      <c r="B754" s="40">
        <v>0.15029455777065329</v>
      </c>
      <c r="C754" s="12">
        <v>4.9117589099071957</v>
      </c>
      <c r="D754" s="40">
        <v>0.44632704019291025</v>
      </c>
      <c r="E754" s="40">
        <v>2.0527642426988041E-2</v>
      </c>
      <c r="F754" s="37">
        <v>16.250556593223536</v>
      </c>
      <c r="G754" s="12">
        <v>9.4790441065957491</v>
      </c>
      <c r="H754" s="37">
        <v>73305.781618214212</v>
      </c>
      <c r="I754" s="37">
        <v>66258.32437503009</v>
      </c>
      <c r="J754" s="37">
        <v>267915.56070020556</v>
      </c>
      <c r="K754" s="37">
        <v>141309.22895997795</v>
      </c>
      <c r="L754" s="37">
        <v>80098.120391812554</v>
      </c>
      <c r="M754" s="37">
        <v>83527.069626469223</v>
      </c>
      <c r="N754" s="37">
        <v>122117.29294953917</v>
      </c>
      <c r="O754" s="37">
        <v>527741.94556068839</v>
      </c>
      <c r="P754" s="68">
        <v>1</v>
      </c>
    </row>
    <row r="755" spans="1:16" x14ac:dyDescent="0.2">
      <c r="A755" s="10">
        <v>753</v>
      </c>
      <c r="B755" s="40">
        <v>0.19689097900995806</v>
      </c>
      <c r="C755" s="12">
        <v>6.2941255795567326</v>
      </c>
      <c r="D755" s="40">
        <v>0.47067476245652179</v>
      </c>
      <c r="E755" s="40">
        <v>5.7954330634454963E-3</v>
      </c>
      <c r="F755" s="37">
        <v>13.0350944652408</v>
      </c>
      <c r="G755" s="12">
        <v>6.8350916584374</v>
      </c>
      <c r="H755" s="37">
        <v>111341.31665138324</v>
      </c>
      <c r="I755" s="37">
        <v>40300.484573814152</v>
      </c>
      <c r="J755" s="37">
        <v>270219.69331497245</v>
      </c>
      <c r="K755" s="37">
        <v>81337.549680027587</v>
      </c>
      <c r="L755" s="37">
        <v>141798.28026281716</v>
      </c>
      <c r="M755" s="37">
        <v>19947.465427756895</v>
      </c>
      <c r="N755" s="37">
        <v>88055.597273733423</v>
      </c>
      <c r="O755" s="37">
        <v>626599.97806012933</v>
      </c>
      <c r="P755" s="68">
        <v>1</v>
      </c>
    </row>
    <row r="756" spans="1:16" x14ac:dyDescent="0.2">
      <c r="A756" s="10">
        <v>754</v>
      </c>
      <c r="B756" s="40">
        <v>0.20518101980312081</v>
      </c>
      <c r="C756" s="12">
        <v>4.651891263484905</v>
      </c>
      <c r="D756" s="40">
        <v>0.45773333198026911</v>
      </c>
      <c r="E756" s="40">
        <v>2.5424546206932998E-2</v>
      </c>
      <c r="F756" s="37">
        <v>16.583755364368116</v>
      </c>
      <c r="G756" s="12">
        <v>18.982451724525134</v>
      </c>
      <c r="H756" s="37">
        <v>41160.065807080558</v>
      </c>
      <c r="I756" s="37">
        <v>53079.351791534573</v>
      </c>
      <c r="J756" s="37">
        <v>324692.26220512233</v>
      </c>
      <c r="K756" s="37">
        <v>116091.68845174191</v>
      </c>
      <c r="L756" s="37">
        <v>106210.65986059549</v>
      </c>
      <c r="M756" s="37">
        <v>108271.80162837071</v>
      </c>
      <c r="N756" s="37">
        <v>244548.45784833314</v>
      </c>
      <c r="O756" s="37">
        <v>900123.60665398533</v>
      </c>
      <c r="P756" s="68">
        <v>1</v>
      </c>
    </row>
    <row r="757" spans="1:16" x14ac:dyDescent="0.2">
      <c r="A757" s="10">
        <v>755</v>
      </c>
      <c r="B757" s="40">
        <v>0.19690587029325929</v>
      </c>
      <c r="C757" s="12">
        <v>6.8506722476095359</v>
      </c>
      <c r="D757" s="40">
        <v>0.38504835553639588</v>
      </c>
      <c r="E757" s="40">
        <v>1.0881574749355895E-2</v>
      </c>
      <c r="F757" s="37">
        <v>25.921745981772183</v>
      </c>
      <c r="G757" s="12">
        <v>15.624737898887108</v>
      </c>
      <c r="H757" s="37">
        <v>138571.90873500452</v>
      </c>
      <c r="I757" s="37">
        <v>29764.822904873199</v>
      </c>
      <c r="J757" s="37">
        <v>348349.23679631099</v>
      </c>
      <c r="K757" s="37">
        <v>172570.4732391666</v>
      </c>
      <c r="L757" s="37">
        <v>126268.77194103216</v>
      </c>
      <c r="M757" s="37">
        <v>60930.957807685256</v>
      </c>
      <c r="N757" s="37">
        <v>201291.46713543579</v>
      </c>
      <c r="O757" s="37">
        <v>728200.66012153879</v>
      </c>
      <c r="P757" s="68">
        <v>1</v>
      </c>
    </row>
    <row r="758" spans="1:16" x14ac:dyDescent="0.2">
      <c r="A758" s="10">
        <v>756</v>
      </c>
      <c r="B758" s="40">
        <v>0.20005496344135609</v>
      </c>
      <c r="C758" s="12">
        <v>3.842621285774027</v>
      </c>
      <c r="D758" s="40">
        <v>0.3813909878703553</v>
      </c>
      <c r="E758" s="40">
        <v>1.5850028305799575E-2</v>
      </c>
      <c r="F758" s="37">
        <v>26.628645422579243</v>
      </c>
      <c r="G758" s="12">
        <v>20.288816543140385</v>
      </c>
      <c r="H758" s="37">
        <v>75212.29316744738</v>
      </c>
      <c r="I758" s="37">
        <v>44843.807634768309</v>
      </c>
      <c r="J758" s="37">
        <v>436817.44351189048</v>
      </c>
      <c r="K758" s="37">
        <v>145258.78494069586</v>
      </c>
      <c r="L758" s="37">
        <v>71274.826887888979</v>
      </c>
      <c r="M758" s="37">
        <v>90305.93125017616</v>
      </c>
      <c r="N758" s="37">
        <v>261378.18597912701</v>
      </c>
      <c r="O758" s="37">
        <v>677551.2038343742</v>
      </c>
      <c r="P758" s="68">
        <v>1</v>
      </c>
    </row>
    <row r="759" spans="1:16" x14ac:dyDescent="0.2">
      <c r="A759" s="10">
        <v>757</v>
      </c>
      <c r="B759" s="40">
        <v>0.17110901962509573</v>
      </c>
      <c r="C759" s="12">
        <v>6.608267509738698</v>
      </c>
      <c r="D759" s="40">
        <v>0.38448191295724443</v>
      </c>
      <c r="E759" s="40">
        <v>3.7937127914794762E-2</v>
      </c>
      <c r="F759" s="37">
        <v>20.444942826850433</v>
      </c>
      <c r="G759" s="12">
        <v>23.057288900107832</v>
      </c>
      <c r="H759" s="37">
        <v>183179.2541541392</v>
      </c>
      <c r="I759" s="37">
        <v>65078.274682855896</v>
      </c>
      <c r="J759" s="37">
        <v>405713.28130938089</v>
      </c>
      <c r="K759" s="37">
        <v>150620.45356115419</v>
      </c>
      <c r="L759" s="37">
        <v>105687.89842843004</v>
      </c>
      <c r="M759" s="37">
        <v>167298.86535821139</v>
      </c>
      <c r="N759" s="37">
        <v>297044.05545253219</v>
      </c>
      <c r="O759" s="37">
        <v>1464849.7829326391</v>
      </c>
      <c r="P759" s="68">
        <v>1</v>
      </c>
    </row>
    <row r="760" spans="1:16" x14ac:dyDescent="0.2">
      <c r="A760" s="10">
        <v>758</v>
      </c>
      <c r="B760" s="40">
        <v>0.20049224960947012</v>
      </c>
      <c r="C760" s="12">
        <v>1.3089121228161338</v>
      </c>
      <c r="D760" s="40">
        <v>0.55691376166590889</v>
      </c>
      <c r="E760" s="40">
        <v>3.6238816512931711E-2</v>
      </c>
      <c r="F760" s="37">
        <v>21.734482415254512</v>
      </c>
      <c r="G760" s="12">
        <v>17.151301954970272</v>
      </c>
      <c r="H760" s="37">
        <v>80545.657653741917</v>
      </c>
      <c r="I760" s="37">
        <v>58894.601935076498</v>
      </c>
      <c r="J760" s="37">
        <v>324246.43171280035</v>
      </c>
      <c r="K760" s="37">
        <v>100151.09444991796</v>
      </c>
      <c r="L760" s="37">
        <v>35529.153320309859</v>
      </c>
      <c r="M760" s="37">
        <v>246080.94735893581</v>
      </c>
      <c r="N760" s="37">
        <v>220957.99341662787</v>
      </c>
      <c r="O760" s="37">
        <v>1193840.9041358582</v>
      </c>
      <c r="P760" s="68">
        <v>1</v>
      </c>
    </row>
    <row r="761" spans="1:16" x14ac:dyDescent="0.2">
      <c r="A761" s="10">
        <v>759</v>
      </c>
      <c r="B761" s="40">
        <v>0.13441995602478601</v>
      </c>
      <c r="C761" s="12">
        <v>7.0370514193122951</v>
      </c>
      <c r="D761" s="40">
        <v>0.65277750650869282</v>
      </c>
      <c r="E761" s="40">
        <v>2.6226747877799668E-2</v>
      </c>
      <c r="F761" s="37">
        <v>18.465275503428547</v>
      </c>
      <c r="G761" s="12">
        <v>13.818886706699004</v>
      </c>
      <c r="H761" s="37">
        <v>114016.60873190014</v>
      </c>
      <c r="I761" s="37">
        <v>34432.531605175463</v>
      </c>
      <c r="J761" s="37">
        <v>246221.99479397654</v>
      </c>
      <c r="K761" s="37">
        <v>126331.21998541582</v>
      </c>
      <c r="L761" s="37">
        <v>150109.60562580248</v>
      </c>
      <c r="M761" s="37">
        <v>177350.38927052595</v>
      </c>
      <c r="N761" s="37">
        <v>178026.92098713142</v>
      </c>
      <c r="O761" s="37">
        <v>1231935.2257112258</v>
      </c>
      <c r="P761" s="68">
        <v>1</v>
      </c>
    </row>
    <row r="762" spans="1:16" x14ac:dyDescent="0.2">
      <c r="A762" s="10">
        <v>760</v>
      </c>
      <c r="B762" s="40">
        <v>0.12678849547941107</v>
      </c>
      <c r="C762" s="12">
        <v>1.8397975713628179</v>
      </c>
      <c r="D762" s="40">
        <v>0.36331924199776411</v>
      </c>
      <c r="E762" s="40">
        <v>3.6123351367246072E-2</v>
      </c>
      <c r="F762" s="37">
        <v>10.418090946467174</v>
      </c>
      <c r="G762" s="12">
        <v>15.204604651890625</v>
      </c>
      <c r="H762" s="37">
        <v>19153.933361661166</v>
      </c>
      <c r="I762" s="37">
        <v>47979.366942128167</v>
      </c>
      <c r="J762" s="37">
        <v>256955.74018475658</v>
      </c>
      <c r="K762" s="37">
        <v>175325.66432276717</v>
      </c>
      <c r="L762" s="37">
        <v>20602.84136284023</v>
      </c>
      <c r="M762" s="37">
        <v>76706.348847440793</v>
      </c>
      <c r="N762" s="37">
        <v>195878.94513170217</v>
      </c>
      <c r="O762" s="37">
        <v>261335.25406642049</v>
      </c>
      <c r="P762" s="68">
        <v>1</v>
      </c>
    </row>
    <row r="763" spans="1:16" x14ac:dyDescent="0.2">
      <c r="A763" s="10">
        <v>761</v>
      </c>
      <c r="B763" s="40">
        <v>0.1594457298749577</v>
      </c>
      <c r="C763" s="12">
        <v>5.1865035865265714</v>
      </c>
      <c r="D763" s="40">
        <v>0.5297800819412799</v>
      </c>
      <c r="E763" s="40">
        <v>3.7239739501756242E-2</v>
      </c>
      <c r="F763" s="37">
        <v>11.100359601887519</v>
      </c>
      <c r="G763" s="12">
        <v>18.680063177565636</v>
      </c>
      <c r="H763" s="37">
        <v>53613.432118247598</v>
      </c>
      <c r="I763" s="37">
        <v>26142.038911507607</v>
      </c>
      <c r="J763" s="37">
        <v>321509.96820705303</v>
      </c>
      <c r="K763" s="37">
        <v>216011.7691937956</v>
      </c>
      <c r="L763" s="37">
        <v>106505.49891651291</v>
      </c>
      <c r="M763" s="37">
        <v>122858.73537970096</v>
      </c>
      <c r="N763" s="37">
        <v>240652.825508365</v>
      </c>
      <c r="O763" s="37">
        <v>613566.52438298636</v>
      </c>
      <c r="P763" s="68">
        <v>1</v>
      </c>
    </row>
    <row r="764" spans="1:16" x14ac:dyDescent="0.2">
      <c r="A764" s="10">
        <v>762</v>
      </c>
      <c r="B764" s="40">
        <v>0.16921880240357051</v>
      </c>
      <c r="C764" s="12">
        <v>6.2218341007993274</v>
      </c>
      <c r="D764" s="40">
        <v>0.66010807200257904</v>
      </c>
      <c r="E764" s="40">
        <v>9.8297452066445027E-3</v>
      </c>
      <c r="F764" s="37">
        <v>18.641477097817095</v>
      </c>
      <c r="G764" s="12">
        <v>16.68282877300306</v>
      </c>
      <c r="H764" s="37">
        <v>216982.44651860127</v>
      </c>
      <c r="I764" s="37">
        <v>32368.830712941326</v>
      </c>
      <c r="J764" s="37">
        <v>371561.53205327294</v>
      </c>
      <c r="K764" s="37">
        <v>126956.56300254553</v>
      </c>
      <c r="L764" s="37">
        <v>168954.94878672535</v>
      </c>
      <c r="M764" s="37">
        <v>67858.516006494581</v>
      </c>
      <c r="N764" s="37">
        <v>214922.71431485796</v>
      </c>
      <c r="O764" s="37">
        <v>1236944.810604868</v>
      </c>
      <c r="P764" s="68">
        <v>1</v>
      </c>
    </row>
    <row r="765" spans="1:16" x14ac:dyDescent="0.2">
      <c r="A765" s="10">
        <v>763</v>
      </c>
      <c r="B765" s="40">
        <v>0.1093148193219307</v>
      </c>
      <c r="C765" s="12">
        <v>1.2913904333539088</v>
      </c>
      <c r="D765" s="40">
        <v>0.538716772668967</v>
      </c>
      <c r="E765" s="40">
        <v>2.0848501205078938E-2</v>
      </c>
      <c r="F765" s="37">
        <v>12.272156985841743</v>
      </c>
      <c r="G765" s="12">
        <v>20.644271349171945</v>
      </c>
      <c r="H765" s="37">
        <v>233219.37205728443</v>
      </c>
      <c r="I765" s="37">
        <v>28309.560972265415</v>
      </c>
      <c r="J765" s="37">
        <v>333413.18651389406</v>
      </c>
      <c r="K765" s="37">
        <v>152950.0696501772</v>
      </c>
      <c r="L765" s="37">
        <v>18487.82974076744</v>
      </c>
      <c r="M765" s="37">
        <v>77325.541587103566</v>
      </c>
      <c r="N765" s="37">
        <v>265957.46403610677</v>
      </c>
      <c r="O765" s="37">
        <v>984335.92344707204</v>
      </c>
      <c r="P765" s="68">
        <v>1</v>
      </c>
    </row>
    <row r="766" spans="1:16" x14ac:dyDescent="0.2">
      <c r="A766" s="10">
        <v>764</v>
      </c>
      <c r="B766" s="40">
        <v>0.18884294801393275</v>
      </c>
      <c r="C766" s="12">
        <v>6.6254201157086872</v>
      </c>
      <c r="D766" s="40">
        <v>0.48302863339137531</v>
      </c>
      <c r="E766" s="40">
        <v>1.553131296562954E-2</v>
      </c>
      <c r="F766" s="37">
        <v>11.979298384937525</v>
      </c>
      <c r="G766" s="12">
        <v>10.353889190482068</v>
      </c>
      <c r="H766" s="37">
        <v>191270.93464243246</v>
      </c>
      <c r="I766" s="37">
        <v>36638.085147142192</v>
      </c>
      <c r="J766" s="37">
        <v>424710.40545089473</v>
      </c>
      <c r="K766" s="37">
        <v>109172.95508549543</v>
      </c>
      <c r="L766" s="37">
        <v>146918.30155361467</v>
      </c>
      <c r="M766" s="37">
        <v>50417.250952129099</v>
      </c>
      <c r="N766" s="37">
        <v>133387.80843538573</v>
      </c>
      <c r="O766" s="37">
        <v>834511.74285693211</v>
      </c>
      <c r="P766" s="68">
        <v>1</v>
      </c>
    </row>
    <row r="767" spans="1:16" x14ac:dyDescent="0.2">
      <c r="A767" s="10">
        <v>765</v>
      </c>
      <c r="B767" s="40">
        <v>0.1683006537796104</v>
      </c>
      <c r="C767" s="12">
        <v>6.4631902706242315</v>
      </c>
      <c r="D767" s="40">
        <v>0.79990013786184488</v>
      </c>
      <c r="E767" s="40">
        <v>3.6524997847657774E-2</v>
      </c>
      <c r="F767" s="37">
        <v>23.657787563193963</v>
      </c>
      <c r="G767" s="12">
        <v>18.33929878315557</v>
      </c>
      <c r="H767" s="37">
        <v>83272.629821429553</v>
      </c>
      <c r="I767" s="37">
        <v>14963.681921288295</v>
      </c>
      <c r="J767" s="37">
        <v>377845.1485392435</v>
      </c>
      <c r="K767" s="37">
        <v>103957.94715780437</v>
      </c>
      <c r="L767" s="37">
        <v>211522.87735672775</v>
      </c>
      <c r="M767" s="37">
        <v>387763.41390909231</v>
      </c>
      <c r="N767" s="37">
        <v>236262.80211455142</v>
      </c>
      <c r="O767" s="37">
        <v>1947030.1454738681</v>
      </c>
      <c r="P767" s="68">
        <v>1</v>
      </c>
    </row>
    <row r="768" spans="1:16" x14ac:dyDescent="0.2">
      <c r="A768" s="10">
        <v>766</v>
      </c>
      <c r="B768" s="40">
        <v>0.16592049926190203</v>
      </c>
      <c r="C768" s="12">
        <v>3.3953521544377412</v>
      </c>
      <c r="D768" s="40">
        <v>0.60979858814646326</v>
      </c>
      <c r="E768" s="40">
        <v>3.3710378325526216E-2</v>
      </c>
      <c r="F768" s="37">
        <v>16.147952242515998</v>
      </c>
      <c r="G768" s="12">
        <v>8.6742100344070234</v>
      </c>
      <c r="H768" s="37">
        <v>94042.164817493671</v>
      </c>
      <c r="I768" s="37">
        <v>30365.72928933362</v>
      </c>
      <c r="J768" s="37">
        <v>254631.95598544244</v>
      </c>
      <c r="K768" s="37">
        <v>121619.49648909488</v>
      </c>
      <c r="L768" s="37">
        <v>83514.159454601773</v>
      </c>
      <c r="M768" s="37">
        <v>186223.39046810003</v>
      </c>
      <c r="N768" s="37">
        <v>111748.72022596122</v>
      </c>
      <c r="O768" s="37">
        <v>821966.16405719868</v>
      </c>
      <c r="P768" s="68">
        <v>1</v>
      </c>
    </row>
    <row r="769" spans="1:16" x14ac:dyDescent="0.2">
      <c r="A769" s="10">
        <v>767</v>
      </c>
      <c r="B769" s="40">
        <v>0.22369607720077711</v>
      </c>
      <c r="C769" s="12">
        <v>4.2926158077588603</v>
      </c>
      <c r="D769" s="40">
        <v>0.71614811865745653</v>
      </c>
      <c r="E769" s="40">
        <v>1.08552438670334E-2</v>
      </c>
      <c r="F769" s="37">
        <v>8.0273897370478586</v>
      </c>
      <c r="G769" s="12">
        <v>24.831996362726752</v>
      </c>
      <c r="H769" s="37">
        <v>101335.72006203994</v>
      </c>
      <c r="I769" s="37">
        <v>42933.360636810481</v>
      </c>
      <c r="J769" s="37">
        <v>572568.67955242423</v>
      </c>
      <c r="K769" s="37">
        <v>183701.63342827506</v>
      </c>
      <c r="L769" s="37">
        <v>167175.28555396452</v>
      </c>
      <c r="M769" s="37">
        <v>35009.307529747028</v>
      </c>
      <c r="N769" s="37">
        <v>319907.38098148158</v>
      </c>
      <c r="O769" s="37">
        <v>779667.80444824859</v>
      </c>
      <c r="P769" s="68">
        <v>1</v>
      </c>
    </row>
    <row r="770" spans="1:16" x14ac:dyDescent="0.2">
      <c r="A770" s="10">
        <v>768</v>
      </c>
      <c r="B770" s="40">
        <v>0.14462969090006822</v>
      </c>
      <c r="C770" s="12">
        <v>5.4349863585632541</v>
      </c>
      <c r="D770" s="40">
        <v>0.51144210499927378</v>
      </c>
      <c r="E770" s="40">
        <v>4.5173018299106388E-2</v>
      </c>
      <c r="F770" s="37">
        <v>21.723769274075771</v>
      </c>
      <c r="G770" s="12">
        <v>11.52648590529404</v>
      </c>
      <c r="H770" s="37">
        <v>139081.48866445536</v>
      </c>
      <c r="I770" s="37">
        <v>34134.321859920798</v>
      </c>
      <c r="J770" s="37">
        <v>498912.09993430122</v>
      </c>
      <c r="K770" s="37">
        <v>102423.22206835024</v>
      </c>
      <c r="L770" s="37">
        <v>97732.998837695093</v>
      </c>
      <c r="M770" s="37">
        <v>281564.24352350767</v>
      </c>
      <c r="N770" s="37">
        <v>148494.21947473544</v>
      </c>
      <c r="O770" s="37">
        <v>1178103.111548743</v>
      </c>
      <c r="P770" s="68">
        <v>1</v>
      </c>
    </row>
    <row r="771" spans="1:16" x14ac:dyDescent="0.2">
      <c r="A771" s="10">
        <v>769</v>
      </c>
      <c r="B771" s="40">
        <v>0.13980102496418739</v>
      </c>
      <c r="C771" s="12">
        <v>9.1078344420679969</v>
      </c>
      <c r="D771" s="40">
        <v>0.28887141866742133</v>
      </c>
      <c r="E771" s="40">
        <v>2.4549503720752902E-2</v>
      </c>
      <c r="F771" s="37">
        <v>26.297330779512716</v>
      </c>
      <c r="G771" s="12">
        <v>10.151921215982465</v>
      </c>
      <c r="H771" s="37">
        <v>87193.12010378862</v>
      </c>
      <c r="I771" s="37">
        <v>34280.681799886435</v>
      </c>
      <c r="J771" s="37">
        <v>492789.9924872485</v>
      </c>
      <c r="K771" s="37">
        <v>154727.48400991948</v>
      </c>
      <c r="L771" s="37">
        <v>89416.751289641892</v>
      </c>
      <c r="M771" s="37">
        <v>104622.64430275021</v>
      </c>
      <c r="N771" s="37">
        <v>130785.88127574403</v>
      </c>
      <c r="O771" s="37">
        <v>324087.76998163667</v>
      </c>
      <c r="P771" s="68">
        <v>1</v>
      </c>
    </row>
    <row r="772" spans="1:16" x14ac:dyDescent="0.2">
      <c r="A772" s="10">
        <v>770</v>
      </c>
      <c r="B772" s="40">
        <v>0.11211050235942359</v>
      </c>
      <c r="C772" s="12">
        <v>3.4629594293702524</v>
      </c>
      <c r="D772" s="40">
        <v>0.61244665022160683</v>
      </c>
      <c r="E772" s="40">
        <v>3.2994575528246209E-2</v>
      </c>
      <c r="F772" s="37">
        <v>14.947855420110555</v>
      </c>
      <c r="G772" s="12">
        <v>7.6334122156848352</v>
      </c>
      <c r="H772" s="37">
        <v>124077.56444445603</v>
      </c>
      <c r="I772" s="37">
        <v>64175.038576682491</v>
      </c>
      <c r="J772" s="37">
        <v>226579.65881304897</v>
      </c>
      <c r="K772" s="37">
        <v>143734.97066587151</v>
      </c>
      <c r="L772" s="37">
        <v>57803.055402775528</v>
      </c>
      <c r="M772" s="37">
        <v>169455.79672571793</v>
      </c>
      <c r="N772" s="37">
        <v>98340.257231079697</v>
      </c>
      <c r="O772" s="37">
        <v>810353.09203051403</v>
      </c>
      <c r="P772" s="68">
        <v>1</v>
      </c>
    </row>
    <row r="773" spans="1:16" x14ac:dyDescent="0.2">
      <c r="A773" s="10">
        <v>771</v>
      </c>
      <c r="B773" s="40">
        <v>0.20554209788914105</v>
      </c>
      <c r="C773" s="12">
        <v>9.2426520709504416</v>
      </c>
      <c r="D773" s="40">
        <v>0.3962417417143459</v>
      </c>
      <c r="E773" s="40">
        <v>3.3705834465633813E-2</v>
      </c>
      <c r="F773" s="37">
        <v>14.70153038722694</v>
      </c>
      <c r="G773" s="12">
        <v>16.46169199374544</v>
      </c>
      <c r="H773" s="37">
        <v>140372.93182255598</v>
      </c>
      <c r="I773" s="37">
        <v>45526.11346661787</v>
      </c>
      <c r="J773" s="37">
        <v>363498.63844139979</v>
      </c>
      <c r="K773" s="37">
        <v>94334.950905569523</v>
      </c>
      <c r="L773" s="37">
        <v>182998.04209504602</v>
      </c>
      <c r="M773" s="37">
        <v>110152.55760901964</v>
      </c>
      <c r="N773" s="37">
        <v>212073.83793546335</v>
      </c>
      <c r="O773" s="37">
        <v>1308486.182659782</v>
      </c>
      <c r="P773" s="68">
        <v>1</v>
      </c>
    </row>
    <row r="774" spans="1:16" x14ac:dyDescent="0.2">
      <c r="A774" s="10">
        <v>772</v>
      </c>
      <c r="B774" s="40">
        <v>0.15749912852168446</v>
      </c>
      <c r="C774" s="12">
        <v>8.4117507682106556</v>
      </c>
      <c r="D774" s="40">
        <v>0.45402082209653599</v>
      </c>
      <c r="E774" s="40">
        <v>3.0768829502395872E-2</v>
      </c>
      <c r="F774" s="37">
        <v>14.543980461140404</v>
      </c>
      <c r="G774" s="12">
        <v>17.04872103384298</v>
      </c>
      <c r="H774" s="37">
        <v>87958.679761398322</v>
      </c>
      <c r="I774" s="37">
        <v>25927.432069983442</v>
      </c>
      <c r="J774" s="37">
        <v>500998.06632674823</v>
      </c>
      <c r="K774" s="37">
        <v>189795.3136224371</v>
      </c>
      <c r="L774" s="37">
        <v>146227.53258254821</v>
      </c>
      <c r="M774" s="37">
        <v>113982.12788954724</v>
      </c>
      <c r="N774" s="37">
        <v>219636.45674526473</v>
      </c>
      <c r="O774" s="37">
        <v>630686.53388777794</v>
      </c>
      <c r="P774" s="68">
        <v>1</v>
      </c>
    </row>
    <row r="775" spans="1:16" x14ac:dyDescent="0.2">
      <c r="A775" s="10">
        <v>773</v>
      </c>
      <c r="B775" s="40">
        <v>0.13083161825891754</v>
      </c>
      <c r="C775" s="12">
        <v>5.2559288576711554</v>
      </c>
      <c r="D775" s="40">
        <v>0.41646173509636314</v>
      </c>
      <c r="E775" s="40">
        <v>1.4784555441083105E-2</v>
      </c>
      <c r="F775" s="37">
        <v>13.590897109165859</v>
      </c>
      <c r="G775" s="12">
        <v>6.1831942208185184</v>
      </c>
      <c r="H775" s="37">
        <v>187177.17705118057</v>
      </c>
      <c r="I775" s="37">
        <v>52383.884848311805</v>
      </c>
      <c r="J775" s="37">
        <v>258829.23704600285</v>
      </c>
      <c r="K775" s="37">
        <v>74664.503871985187</v>
      </c>
      <c r="L775" s="37">
        <v>69618.734578802731</v>
      </c>
      <c r="M775" s="37">
        <v>46945.960710059786</v>
      </c>
      <c r="N775" s="37">
        <v>79657.287331556276</v>
      </c>
      <c r="O775" s="37">
        <v>752893.82092679664</v>
      </c>
      <c r="P775" s="68">
        <v>1</v>
      </c>
    </row>
    <row r="776" spans="1:16" x14ac:dyDescent="0.2">
      <c r="A776" s="10">
        <v>774</v>
      </c>
      <c r="B776" s="40">
        <v>0.17931890521990734</v>
      </c>
      <c r="C776" s="12">
        <v>6.2663103854079489</v>
      </c>
      <c r="D776" s="40">
        <v>0.36346202510431774</v>
      </c>
      <c r="E776" s="40">
        <v>3.6078381303393289E-2</v>
      </c>
      <c r="F776" s="37">
        <v>22.19854623621497</v>
      </c>
      <c r="G776" s="12">
        <v>18.400704978466521</v>
      </c>
      <c r="H776" s="37">
        <v>94513.538394391333</v>
      </c>
      <c r="I776" s="37">
        <v>7243.3070731460175</v>
      </c>
      <c r="J776" s="37">
        <v>349804.84569885774</v>
      </c>
      <c r="K776" s="37">
        <v>129595.40834794655</v>
      </c>
      <c r="L776" s="37">
        <v>99285.505894506714</v>
      </c>
      <c r="M776" s="37">
        <v>163304.19907591809</v>
      </c>
      <c r="N776" s="37">
        <v>237053.89014593701</v>
      </c>
      <c r="O776" s="37">
        <v>972021.58039454487</v>
      </c>
      <c r="P776" s="68">
        <v>1</v>
      </c>
    </row>
    <row r="777" spans="1:16" x14ac:dyDescent="0.2">
      <c r="A777" s="10">
        <v>775</v>
      </c>
      <c r="B777" s="40">
        <v>0.21480529226816303</v>
      </c>
      <c r="C777" s="12">
        <v>3.8428798735842453</v>
      </c>
      <c r="D777" s="40">
        <v>0.55553628447096814</v>
      </c>
      <c r="E777" s="40">
        <v>2.6872851977724582E-2</v>
      </c>
      <c r="F777" s="37">
        <v>26.733851403970643</v>
      </c>
      <c r="G777" s="12">
        <v>4.4852532514740506</v>
      </c>
      <c r="H777" s="37">
        <v>74970.294182012673</v>
      </c>
      <c r="I777" s="37">
        <v>39458.904222245859</v>
      </c>
      <c r="J777" s="37">
        <v>383141.2377990504</v>
      </c>
      <c r="K777" s="37">
        <v>131175.74381718363</v>
      </c>
      <c r="L777" s="37">
        <v>111481.56206108395</v>
      </c>
      <c r="M777" s="37">
        <v>223900.18452879734</v>
      </c>
      <c r="N777" s="37">
        <v>57782.934555817505</v>
      </c>
      <c r="O777" s="37">
        <v>671445.73155646317</v>
      </c>
      <c r="P777" s="68">
        <v>1</v>
      </c>
    </row>
    <row r="778" spans="1:16" x14ac:dyDescent="0.2">
      <c r="A778" s="10">
        <v>776</v>
      </c>
      <c r="B778" s="40">
        <v>0.15711670572645564</v>
      </c>
      <c r="C778" s="12">
        <v>5.055815996250022</v>
      </c>
      <c r="D778" s="40">
        <v>0.56603927720103142</v>
      </c>
      <c r="E778" s="40">
        <v>2.2328339323294734E-2</v>
      </c>
      <c r="F778" s="37">
        <v>23.416377280450572</v>
      </c>
      <c r="G778" s="12">
        <v>21.388521048968386</v>
      </c>
      <c r="H778" s="37">
        <v>128016.16494193814</v>
      </c>
      <c r="I778" s="37">
        <v>43400.722213110857</v>
      </c>
      <c r="J778" s="37">
        <v>420853.11711596581</v>
      </c>
      <c r="K778" s="37">
        <v>165851.3483391453</v>
      </c>
      <c r="L778" s="37">
        <v>109307.26341744036</v>
      </c>
      <c r="M778" s="37">
        <v>166031.09415223807</v>
      </c>
      <c r="N778" s="37">
        <v>275545.53616612335</v>
      </c>
      <c r="O778" s="37">
        <v>1138116.1911293096</v>
      </c>
      <c r="P778" s="68">
        <v>1</v>
      </c>
    </row>
    <row r="779" spans="1:16" x14ac:dyDescent="0.2">
      <c r="A779" s="10">
        <v>777</v>
      </c>
      <c r="B779" s="40">
        <v>0.18572365362577636</v>
      </c>
      <c r="C779" s="12">
        <v>7.9124983555582791</v>
      </c>
      <c r="D779" s="40">
        <v>0.53500546125132109</v>
      </c>
      <c r="E779" s="40">
        <v>3.3363953909761143E-2</v>
      </c>
      <c r="F779" s="37">
        <v>9.0493615853287785</v>
      </c>
      <c r="G779" s="12">
        <v>19.2616216665865</v>
      </c>
      <c r="H779" s="37">
        <v>60988.641780159873</v>
      </c>
      <c r="I779" s="37">
        <v>23721.450912133099</v>
      </c>
      <c r="J779" s="37">
        <v>440340.37291940115</v>
      </c>
      <c r="K779" s="37">
        <v>141465.51123495874</v>
      </c>
      <c r="L779" s="37">
        <v>191129.57594650349</v>
      </c>
      <c r="M779" s="37">
        <v>90619.237058399085</v>
      </c>
      <c r="N779" s="37">
        <v>248144.96791981725</v>
      </c>
      <c r="O779" s="37">
        <v>885221.56021908624</v>
      </c>
      <c r="P779" s="68">
        <v>1</v>
      </c>
    </row>
    <row r="780" spans="1:16" x14ac:dyDescent="0.2">
      <c r="A780" s="10">
        <v>778</v>
      </c>
      <c r="B780" s="40">
        <v>0.15770403943609385</v>
      </c>
      <c r="C780" s="12">
        <v>6.0123424833722323</v>
      </c>
      <c r="D780" s="40">
        <v>0.58281921497279132</v>
      </c>
      <c r="E780" s="40">
        <v>3.5855371971074232E-2</v>
      </c>
      <c r="F780" s="37">
        <v>17.2159756802332</v>
      </c>
      <c r="G780" s="12">
        <v>16.968924594920562</v>
      </c>
      <c r="H780" s="37">
        <v>77911.799311635463</v>
      </c>
      <c r="I780" s="37">
        <v>42080.374158522936</v>
      </c>
      <c r="J780" s="37">
        <v>369394.46819798189</v>
      </c>
      <c r="K780" s="37">
        <v>112596.00993488047</v>
      </c>
      <c r="L780" s="37">
        <v>134341.19902141468</v>
      </c>
      <c r="M780" s="37">
        <v>201830.34676162762</v>
      </c>
      <c r="N780" s="37">
        <v>218608.44959616425</v>
      </c>
      <c r="O780" s="37">
        <v>1205619.0484048282</v>
      </c>
      <c r="P780" s="68">
        <v>1</v>
      </c>
    </row>
    <row r="781" spans="1:16" x14ac:dyDescent="0.2">
      <c r="A781" s="10">
        <v>779</v>
      </c>
      <c r="B781" s="40">
        <v>0.19688047412711263</v>
      </c>
      <c r="C781" s="12">
        <v>6.2885699938086503</v>
      </c>
      <c r="D781" s="40">
        <v>0.41628262679757361</v>
      </c>
      <c r="E781" s="40">
        <v>2.7919173354194825E-2</v>
      </c>
      <c r="F781" s="37">
        <v>14.986263436613889</v>
      </c>
      <c r="G781" s="12">
        <v>7.0421111045644418</v>
      </c>
      <c r="H781" s="37">
        <v>72060.545425370045</v>
      </c>
      <c r="I781" s="37">
        <v>17796.15776211067</v>
      </c>
      <c r="J781" s="37">
        <v>355203.16207079805</v>
      </c>
      <c r="K781" s="37">
        <v>109855.20516719684</v>
      </c>
      <c r="L781" s="37">
        <v>125294.40023810776</v>
      </c>
      <c r="M781" s="37">
        <v>97712.682525315991</v>
      </c>
      <c r="N781" s="37">
        <v>90722.601885660115</v>
      </c>
      <c r="O781" s="37">
        <v>467724.9817432058</v>
      </c>
      <c r="P781" s="68">
        <v>1</v>
      </c>
    </row>
    <row r="782" spans="1:16" x14ac:dyDescent="0.2">
      <c r="A782" s="10">
        <v>780</v>
      </c>
      <c r="B782" s="40">
        <v>0.1176844275604321</v>
      </c>
      <c r="C782" s="12">
        <v>3.0356850831164763</v>
      </c>
      <c r="D782" s="40">
        <v>0.57776665822152129</v>
      </c>
      <c r="E782" s="40">
        <v>1.8438790769368794E-2</v>
      </c>
      <c r="F782" s="37">
        <v>13.214244324551984</v>
      </c>
      <c r="G782" s="12">
        <v>11.27885245031726</v>
      </c>
      <c r="H782" s="37">
        <v>143622.07961701654</v>
      </c>
      <c r="I782" s="37">
        <v>58278.679746215901</v>
      </c>
      <c r="J782" s="37">
        <v>563757.55418096913</v>
      </c>
      <c r="K782" s="37">
        <v>89346.870891131126</v>
      </c>
      <c r="L782" s="37">
        <v>50178.424503305658</v>
      </c>
      <c r="M782" s="37">
        <v>78975.78958736315</v>
      </c>
      <c r="N782" s="37">
        <v>145303.98986661871</v>
      </c>
      <c r="O782" s="37">
        <v>520509.83602997893</v>
      </c>
      <c r="P782" s="68">
        <v>1</v>
      </c>
    </row>
    <row r="783" spans="1:16" x14ac:dyDescent="0.2">
      <c r="A783" s="10">
        <v>781</v>
      </c>
      <c r="B783" s="40">
        <v>9.2615797253186402E-2</v>
      </c>
      <c r="C783" s="12">
        <v>3.0314355579866969</v>
      </c>
      <c r="D783" s="40">
        <v>0.50834998152441613</v>
      </c>
      <c r="E783" s="40">
        <v>3.2077671789937312E-2</v>
      </c>
      <c r="F783" s="37">
        <v>21.569448520068665</v>
      </c>
      <c r="G783" s="12">
        <v>11.056976670538029</v>
      </c>
      <c r="H783" s="37">
        <v>152378.92919681285</v>
      </c>
      <c r="I783" s="37">
        <v>73356.546895586318</v>
      </c>
      <c r="J783" s="37">
        <v>339818.4125951411</v>
      </c>
      <c r="K783" s="37">
        <v>125671.46613237289</v>
      </c>
      <c r="L783" s="37">
        <v>34696.450788724134</v>
      </c>
      <c r="M783" s="37">
        <v>197320.14453898021</v>
      </c>
      <c r="N783" s="37">
        <v>142445.59303957428</v>
      </c>
      <c r="O783" s="37">
        <v>989631.73305100226</v>
      </c>
      <c r="P783" s="68">
        <v>1</v>
      </c>
    </row>
    <row r="784" spans="1:16" x14ac:dyDescent="0.2">
      <c r="A784" s="10">
        <v>782</v>
      </c>
      <c r="B784" s="40">
        <v>0.10611954960222281</v>
      </c>
      <c r="C784" s="12">
        <v>8.3305643765393729</v>
      </c>
      <c r="D784" s="40">
        <v>0.71582921772153696</v>
      </c>
      <c r="E784" s="40">
        <v>2.4709542694231798E-2</v>
      </c>
      <c r="F784" s="37">
        <v>19.885786282692262</v>
      </c>
      <c r="G784" s="12">
        <v>13.039151347974656</v>
      </c>
      <c r="H784" s="37">
        <v>96865.09365012421</v>
      </c>
      <c r="I784" s="37">
        <v>20943.629606326875</v>
      </c>
      <c r="J784" s="37">
        <v>225981.2210773968</v>
      </c>
      <c r="K784" s="37">
        <v>94627.896288118238</v>
      </c>
      <c r="L784" s="37">
        <v>153839.57565860872</v>
      </c>
      <c r="M784" s="37">
        <v>197325.68918816882</v>
      </c>
      <c r="N784" s="37">
        <v>167981.69172628227</v>
      </c>
      <c r="O784" s="37">
        <v>1293424.3530691036</v>
      </c>
      <c r="P784" s="68">
        <v>1</v>
      </c>
    </row>
    <row r="785" spans="1:16" x14ac:dyDescent="0.2">
      <c r="A785" s="10">
        <v>783</v>
      </c>
      <c r="B785" s="40">
        <v>0.22068692755344824</v>
      </c>
      <c r="C785" s="12">
        <v>8.4239203958341662</v>
      </c>
      <c r="D785" s="40">
        <v>0.64747044470968418</v>
      </c>
      <c r="E785" s="40">
        <v>1.9766510221448624E-2</v>
      </c>
      <c r="F785" s="37">
        <v>11.320280688342045</v>
      </c>
      <c r="G785" s="12">
        <v>20.724530783735744</v>
      </c>
      <c r="H785" s="37">
        <v>86520.367315073323</v>
      </c>
      <c r="I785" s="37">
        <v>17878.437690855972</v>
      </c>
      <c r="J785" s="37">
        <v>390454.20256833028</v>
      </c>
      <c r="K785" s="37">
        <v>105974.75087935138</v>
      </c>
      <c r="L785" s="37">
        <v>292617.05894416675</v>
      </c>
      <c r="M785" s="37">
        <v>81278.162654208165</v>
      </c>
      <c r="N785" s="37">
        <v>266991.43589786574</v>
      </c>
      <c r="O785" s="37">
        <v>1400662.3294083816</v>
      </c>
      <c r="P785" s="68">
        <v>1</v>
      </c>
    </row>
    <row r="786" spans="1:16" x14ac:dyDescent="0.2">
      <c r="A786" s="10">
        <v>784</v>
      </c>
      <c r="B786" s="40">
        <v>0.17405029495646096</v>
      </c>
      <c r="C786" s="12">
        <v>4.9134293584680702</v>
      </c>
      <c r="D786" s="40">
        <v>0.62342604465370943</v>
      </c>
      <c r="E786" s="40">
        <v>1.5444427188527477E-2</v>
      </c>
      <c r="F786" s="37">
        <v>19.37701878041851</v>
      </c>
      <c r="G786" s="12">
        <v>17.242292647962881</v>
      </c>
      <c r="H786" s="37">
        <v>45766.083198077366</v>
      </c>
      <c r="I786" s="37">
        <v>67475.031036183034</v>
      </c>
      <c r="J786" s="37">
        <v>303576.84303419205</v>
      </c>
      <c r="K786" s="37">
        <v>80893.969705587646</v>
      </c>
      <c r="L786" s="37">
        <v>129608.43043332052</v>
      </c>
      <c r="M786" s="37">
        <v>104667.1597763404</v>
      </c>
      <c r="N786" s="37">
        <v>222130.21468566154</v>
      </c>
      <c r="O786" s="37">
        <v>1065731.4946026928</v>
      </c>
      <c r="P786" s="68">
        <v>1</v>
      </c>
    </row>
    <row r="787" spans="1:16" x14ac:dyDescent="0.2">
      <c r="A787" s="10">
        <v>785</v>
      </c>
      <c r="B787" s="40">
        <v>6.6697894558511869E-2</v>
      </c>
      <c r="C787" s="12">
        <v>3.5925673092002559</v>
      </c>
      <c r="D787" s="40">
        <v>0.27988451436979778</v>
      </c>
      <c r="E787" s="40">
        <v>1.0728941623814525E-2</v>
      </c>
      <c r="F787" s="37">
        <v>8.9601654501096135</v>
      </c>
      <c r="G787" s="12">
        <v>7.6861344503540687</v>
      </c>
      <c r="H787" s="37">
        <v>53468.852753008243</v>
      </c>
      <c r="I787" s="37">
        <v>28054.499222198243</v>
      </c>
      <c r="J787" s="37">
        <v>337182.35583406728</v>
      </c>
      <c r="K787" s="37">
        <v>136805.86272620154</v>
      </c>
      <c r="L787" s="37">
        <v>16303.646049158346</v>
      </c>
      <c r="M787" s="37">
        <v>15094.492413859298</v>
      </c>
      <c r="N787" s="37">
        <v>99019.470926432929</v>
      </c>
      <c r="O787" s="37">
        <v>-126681.08492397529</v>
      </c>
      <c r="P787" s="68">
        <v>0</v>
      </c>
    </row>
    <row r="788" spans="1:16" x14ac:dyDescent="0.2">
      <c r="A788" s="10">
        <v>786</v>
      </c>
      <c r="B788" s="40">
        <v>0.1517736428466942</v>
      </c>
      <c r="C788" s="12">
        <v>5.3264846205683876</v>
      </c>
      <c r="D788" s="40">
        <v>0.67032263383186064</v>
      </c>
      <c r="E788" s="40">
        <v>2.3628788184189162E-2</v>
      </c>
      <c r="F788" s="37">
        <v>25.152990432935567</v>
      </c>
      <c r="G788" s="12">
        <v>10.639030307123194</v>
      </c>
      <c r="H788" s="37">
        <v>42256.458204433635</v>
      </c>
      <c r="I788" s="37">
        <v>30673.465202549316</v>
      </c>
      <c r="J788" s="37">
        <v>166048.54359199753</v>
      </c>
      <c r="K788" s="37">
        <v>97662.449681839731</v>
      </c>
      <c r="L788" s="37">
        <v>131737.60052222357</v>
      </c>
      <c r="M788" s="37">
        <v>223502.14247048504</v>
      </c>
      <c r="N788" s="37">
        <v>137061.24437272819</v>
      </c>
      <c r="O788" s="37">
        <v>1143908.5481082578</v>
      </c>
      <c r="P788" s="68">
        <v>1</v>
      </c>
    </row>
    <row r="789" spans="1:16" x14ac:dyDescent="0.2">
      <c r="A789" s="10">
        <v>787</v>
      </c>
      <c r="B789" s="40">
        <v>0.14972862258830821</v>
      </c>
      <c r="C789" s="12">
        <v>6.7404678475785502</v>
      </c>
      <c r="D789" s="40">
        <v>0.44245682063525793</v>
      </c>
      <c r="E789" s="40">
        <v>2.3145085750382724E-2</v>
      </c>
      <c r="F789" s="37">
        <v>14.493441245443801</v>
      </c>
      <c r="G789" s="12">
        <v>27.567239797627916</v>
      </c>
      <c r="H789" s="37">
        <v>17470.264786781245</v>
      </c>
      <c r="I789" s="37">
        <v>24119.624470666789</v>
      </c>
      <c r="J789" s="37">
        <v>218853.426143872</v>
      </c>
      <c r="K789" s="37">
        <v>142393.5002619653</v>
      </c>
      <c r="L789" s="37">
        <v>108556.19053960695</v>
      </c>
      <c r="M789" s="37">
        <v>83266.044579099645</v>
      </c>
      <c r="N789" s="37">
        <v>355145.16657166678</v>
      </c>
      <c r="O789" s="37">
        <v>1031135.5493862408</v>
      </c>
      <c r="P789" s="68">
        <v>1</v>
      </c>
    </row>
    <row r="790" spans="1:16" x14ac:dyDescent="0.2">
      <c r="A790" s="10">
        <v>788</v>
      </c>
      <c r="B790" s="40">
        <v>0.17676540912425626</v>
      </c>
      <c r="C790" s="12">
        <v>5.2094575054426908</v>
      </c>
      <c r="D790" s="40">
        <v>0.56002278742065537</v>
      </c>
      <c r="E790" s="40">
        <v>3.4159426022220121E-2</v>
      </c>
      <c r="F790" s="37">
        <v>13.715811354179653</v>
      </c>
      <c r="G790" s="12">
        <v>1.0165968477308243</v>
      </c>
      <c r="H790" s="37">
        <v>63968.388295048819</v>
      </c>
      <c r="I790" s="37">
        <v>46875.545335573283</v>
      </c>
      <c r="J790" s="37">
        <v>286301.87769802276</v>
      </c>
      <c r="K790" s="37">
        <v>94338.231618615566</v>
      </c>
      <c r="L790" s="37">
        <v>125367.31104180135</v>
      </c>
      <c r="M790" s="37">
        <v>147198.87768607683</v>
      </c>
      <c r="N790" s="37">
        <v>13096.685031726005</v>
      </c>
      <c r="O790" s="37">
        <v>560264.77865373087</v>
      </c>
      <c r="P790" s="68">
        <v>1</v>
      </c>
    </row>
    <row r="791" spans="1:16" x14ac:dyDescent="0.2">
      <c r="A791" s="10">
        <v>789</v>
      </c>
      <c r="B791" s="40">
        <v>6.6500199972649721E-2</v>
      </c>
      <c r="C791" s="12">
        <v>4.0994982559105395</v>
      </c>
      <c r="D791" s="40">
        <v>0.74749225915127271</v>
      </c>
      <c r="E791" s="40">
        <v>2.552840614377103E-2</v>
      </c>
      <c r="F791" s="37">
        <v>14.830945248076475</v>
      </c>
      <c r="G791" s="12">
        <v>8.9333327454178715</v>
      </c>
      <c r="H791" s="37">
        <v>27307.241219913532</v>
      </c>
      <c r="I791" s="37">
        <v>13879.970807058384</v>
      </c>
      <c r="J791" s="37">
        <v>400664.66775813745</v>
      </c>
      <c r="K791" s="37">
        <v>71200.294998693964</v>
      </c>
      <c r="L791" s="37">
        <v>49539.222518050898</v>
      </c>
      <c r="M791" s="37">
        <v>158769.09299148977</v>
      </c>
      <c r="N791" s="37">
        <v>115086.96442596153</v>
      </c>
      <c r="O791" s="37">
        <v>421285.74479728204</v>
      </c>
      <c r="P791" s="68">
        <v>1</v>
      </c>
    </row>
    <row r="792" spans="1:16" x14ac:dyDescent="0.2">
      <c r="A792" s="10">
        <v>790</v>
      </c>
      <c r="B792" s="40">
        <v>0.20684743862410154</v>
      </c>
      <c r="C792" s="12">
        <v>4.5954909143898037</v>
      </c>
      <c r="D792" s="40">
        <v>0.36052521292957906</v>
      </c>
      <c r="E792" s="40">
        <v>2.117865243710839E-2</v>
      </c>
      <c r="F792" s="37">
        <v>16.732837694777054</v>
      </c>
      <c r="G792" s="12">
        <v>21.142293541201951</v>
      </c>
      <c r="H792" s="37">
        <v>65344.460919330799</v>
      </c>
      <c r="I792" s="37">
        <v>21597.126359187761</v>
      </c>
      <c r="J792" s="37">
        <v>565377.67583232</v>
      </c>
      <c r="K792" s="37">
        <v>127581.48449284617</v>
      </c>
      <c r="L792" s="37">
        <v>83311.802502446153</v>
      </c>
      <c r="M792" s="37">
        <v>71675.428120259516</v>
      </c>
      <c r="N792" s="37">
        <v>272373.41919314442</v>
      </c>
      <c r="O792" s="37">
        <v>518073.48594286502</v>
      </c>
      <c r="P792" s="68">
        <v>1</v>
      </c>
    </row>
    <row r="793" spans="1:16" x14ac:dyDescent="0.2">
      <c r="A793" s="10">
        <v>791</v>
      </c>
      <c r="B793" s="40">
        <v>0.21402629670041246</v>
      </c>
      <c r="C793" s="12">
        <v>6.7913754634581132</v>
      </c>
      <c r="D793" s="40">
        <v>0.6023534781273141</v>
      </c>
      <c r="E793" s="40">
        <v>3.0884701491228562E-2</v>
      </c>
      <c r="F793" s="37">
        <v>6.719600718323588</v>
      </c>
      <c r="G793" s="12">
        <v>17.536373681557215</v>
      </c>
      <c r="H793" s="37">
        <v>151012.47754621762</v>
      </c>
      <c r="I793" s="37">
        <v>70499.351689928881</v>
      </c>
      <c r="J793" s="37">
        <v>394633.1998790357</v>
      </c>
      <c r="K793" s="37">
        <v>95051.632761406407</v>
      </c>
      <c r="L793" s="37">
        <v>212845.82220050364</v>
      </c>
      <c r="M793" s="37">
        <v>70130.192392801735</v>
      </c>
      <c r="N793" s="37">
        <v>225918.82241092299</v>
      </c>
      <c r="O793" s="37">
        <v>1385400.957925274</v>
      </c>
      <c r="P793" s="68">
        <v>1</v>
      </c>
    </row>
    <row r="794" spans="1:16" x14ac:dyDescent="0.2">
      <c r="A794" s="10">
        <v>792</v>
      </c>
      <c r="B794" s="40">
        <v>0.20573228884936537</v>
      </c>
      <c r="C794" s="12">
        <v>8.0956464905898127</v>
      </c>
      <c r="D794" s="40">
        <v>0.63388536485878832</v>
      </c>
      <c r="E794" s="40">
        <v>2.8614326814437142E-2</v>
      </c>
      <c r="F794" s="37">
        <v>14.80043974989383</v>
      </c>
      <c r="G794" s="12">
        <v>14.550432681369703</v>
      </c>
      <c r="H794" s="37">
        <v>62346.367686594196</v>
      </c>
      <c r="I794" s="37">
        <v>57576.412029098705</v>
      </c>
      <c r="J794" s="37">
        <v>348299.83766764734</v>
      </c>
      <c r="K794" s="37">
        <v>108556.26124818134</v>
      </c>
      <c r="L794" s="37">
        <v>256657.25671405907</v>
      </c>
      <c r="M794" s="37">
        <v>150603.68876589881</v>
      </c>
      <c r="N794" s="37">
        <v>187451.33267783729</v>
      </c>
      <c r="O794" s="37">
        <v>1349712.9323054561</v>
      </c>
      <c r="P794" s="68">
        <v>1</v>
      </c>
    </row>
    <row r="795" spans="1:16" x14ac:dyDescent="0.2">
      <c r="A795" s="10">
        <v>793</v>
      </c>
      <c r="B795" s="40">
        <v>0.15311794011712787</v>
      </c>
      <c r="C795" s="12">
        <v>6.0456387686052286</v>
      </c>
      <c r="D795" s="40">
        <v>0.34834284808310856</v>
      </c>
      <c r="E795" s="40">
        <v>1.0355302509531811E-2</v>
      </c>
      <c r="F795" s="37">
        <v>25.247119726873422</v>
      </c>
      <c r="G795" s="12">
        <v>15.842055324869197</v>
      </c>
      <c r="H795" s="37">
        <v>110999.31840114889</v>
      </c>
      <c r="I795" s="37">
        <v>42572.689914317642</v>
      </c>
      <c r="J795" s="37">
        <v>434219.36614532449</v>
      </c>
      <c r="K795" s="37">
        <v>156154.80020485216</v>
      </c>
      <c r="L795" s="37">
        <v>78390.602075326839</v>
      </c>
      <c r="M795" s="37">
        <v>51091.453762866964</v>
      </c>
      <c r="N795" s="37">
        <v>204091.13928309764</v>
      </c>
      <c r="O795" s="37">
        <v>493095.58787670429</v>
      </c>
      <c r="P795" s="68">
        <v>1</v>
      </c>
    </row>
    <row r="796" spans="1:16" x14ac:dyDescent="0.2">
      <c r="A796" s="10">
        <v>794</v>
      </c>
      <c r="B796" s="40">
        <v>0.16119857643481433</v>
      </c>
      <c r="C796" s="12">
        <v>7.4962984991442756</v>
      </c>
      <c r="D796" s="40">
        <v>0.71303622674783107</v>
      </c>
      <c r="E796" s="40">
        <v>2.5317656990550524E-2</v>
      </c>
      <c r="F796" s="37">
        <v>11.784046827143129</v>
      </c>
      <c r="G796" s="12">
        <v>7.5372081285090795</v>
      </c>
      <c r="H796" s="37">
        <v>140038.22326867835</v>
      </c>
      <c r="I796" s="37">
        <v>36015.776325271625</v>
      </c>
      <c r="J796" s="37">
        <v>372986.82841916633</v>
      </c>
      <c r="K796" s="37">
        <v>81736.215842004734</v>
      </c>
      <c r="L796" s="37">
        <v>209463.56879034519</v>
      </c>
      <c r="M796" s="37">
        <v>119342.82076860292</v>
      </c>
      <c r="N796" s="37">
        <v>97100.872482525781</v>
      </c>
      <c r="O796" s="37">
        <v>1084494.8982731747</v>
      </c>
      <c r="P796" s="68">
        <v>1</v>
      </c>
    </row>
    <row r="797" spans="1:16" x14ac:dyDescent="0.2">
      <c r="A797" s="10">
        <v>795</v>
      </c>
      <c r="B797" s="40">
        <v>0.1133451440178279</v>
      </c>
      <c r="C797" s="12">
        <v>4.9872799984841407</v>
      </c>
      <c r="D797" s="40">
        <v>0.50742007005314937</v>
      </c>
      <c r="E797" s="40">
        <v>1.8996440123337399E-2</v>
      </c>
      <c r="F797" s="37">
        <v>14.139271624433585</v>
      </c>
      <c r="G797" s="12">
        <v>7.6933148889477536</v>
      </c>
      <c r="H797" s="37">
        <v>67955.526925676852</v>
      </c>
      <c r="I797" s="37">
        <v>61492.735864903407</v>
      </c>
      <c r="J797" s="37">
        <v>315447.98049631336</v>
      </c>
      <c r="K797" s="37">
        <v>184237.87249539598</v>
      </c>
      <c r="L797" s="37">
        <v>69730.557976025026</v>
      </c>
      <c r="M797" s="37">
        <v>76459.883788616367</v>
      </c>
      <c r="N797" s="37">
        <v>99111.975583378342</v>
      </c>
      <c r="O797" s="37">
        <v>218299.74673457607</v>
      </c>
      <c r="P797" s="68">
        <v>1</v>
      </c>
    </row>
    <row r="798" spans="1:16" x14ac:dyDescent="0.2">
      <c r="A798" s="10">
        <v>796</v>
      </c>
      <c r="B798" s="40">
        <v>0.11532010742264717</v>
      </c>
      <c r="C798" s="12">
        <v>4.6004787976376829</v>
      </c>
      <c r="D798" s="40">
        <v>0.62396573850856873</v>
      </c>
      <c r="E798" s="40">
        <v>2.1086448450367168E-2</v>
      </c>
      <c r="F798" s="37">
        <v>12.956715657362253</v>
      </c>
      <c r="G798" s="12">
        <v>2.6726877925487469</v>
      </c>
      <c r="H798" s="37">
        <v>187782.59341645875</v>
      </c>
      <c r="I798" s="37">
        <v>49964.787027991239</v>
      </c>
      <c r="J798" s="37">
        <v>449026.76360516384</v>
      </c>
      <c r="K798" s="37">
        <v>190558.21620055859</v>
      </c>
      <c r="L798" s="37">
        <v>80474.381006710348</v>
      </c>
      <c r="M798" s="37">
        <v>95636.977453609128</v>
      </c>
      <c r="N798" s="37">
        <v>34431.889381992478</v>
      </c>
      <c r="O798" s="37">
        <v>273045.89327562018</v>
      </c>
      <c r="P798" s="68">
        <v>1</v>
      </c>
    </row>
    <row r="799" spans="1:16" x14ac:dyDescent="0.2">
      <c r="A799" s="10">
        <v>797</v>
      </c>
      <c r="B799" s="40">
        <v>0.19529317828417875</v>
      </c>
      <c r="C799" s="12">
        <v>5.2411349615175</v>
      </c>
      <c r="D799" s="40">
        <v>0.57028216601010406</v>
      </c>
      <c r="E799" s="40">
        <v>1.7792379161113016E-2</v>
      </c>
      <c r="F799" s="37">
        <v>9.7655227702087046</v>
      </c>
      <c r="G799" s="12">
        <v>23.403486149791576</v>
      </c>
      <c r="H799" s="37">
        <v>69487.875911591458</v>
      </c>
      <c r="I799" s="37">
        <v>47004.343986240361</v>
      </c>
      <c r="J799" s="37">
        <v>345897.70901475626</v>
      </c>
      <c r="K799" s="37">
        <v>71280.108647892164</v>
      </c>
      <c r="L799" s="37">
        <v>141902.82336692404</v>
      </c>
      <c r="M799" s="37">
        <v>55588.639408942137</v>
      </c>
      <c r="N799" s="37">
        <v>301504.06961456541</v>
      </c>
      <c r="O799" s="37">
        <v>1178774.5507039863</v>
      </c>
      <c r="P799" s="68">
        <v>1</v>
      </c>
    </row>
    <row r="800" spans="1:16" x14ac:dyDescent="0.2">
      <c r="A800" s="10">
        <v>798</v>
      </c>
      <c r="B800" s="40">
        <v>0.19367868540332309</v>
      </c>
      <c r="C800" s="12">
        <v>5.2264272977164623</v>
      </c>
      <c r="D800" s="40">
        <v>0.67053883939990389</v>
      </c>
      <c r="E800" s="40">
        <v>6.9164821186694595E-3</v>
      </c>
      <c r="F800" s="37">
        <v>15.029357114660931</v>
      </c>
      <c r="G800" s="12">
        <v>13.56473073111194</v>
      </c>
      <c r="H800" s="37">
        <v>29072.564676827991</v>
      </c>
      <c r="I800" s="37">
        <v>60691.028758151631</v>
      </c>
      <c r="J800" s="37">
        <v>254803.71720516871</v>
      </c>
      <c r="K800" s="37">
        <v>158539.33292190955</v>
      </c>
      <c r="L800" s="37">
        <v>165005.91401235899</v>
      </c>
      <c r="M800" s="37">
        <v>39103.563174930729</v>
      </c>
      <c r="N800" s="37">
        <v>174752.6625939201</v>
      </c>
      <c r="O800" s="37">
        <v>613945.80913767999</v>
      </c>
      <c r="P800" s="68">
        <v>1</v>
      </c>
    </row>
    <row r="801" spans="1:16" x14ac:dyDescent="0.2">
      <c r="A801" s="10">
        <v>799</v>
      </c>
      <c r="B801" s="40">
        <v>0.18682886637893933</v>
      </c>
      <c r="C801" s="12">
        <v>5.5025879192873193</v>
      </c>
      <c r="D801" s="40">
        <v>0.56328714934951085</v>
      </c>
      <c r="E801" s="40">
        <v>3.3189932579417034E-2</v>
      </c>
      <c r="F801" s="37">
        <v>14.365543650258315</v>
      </c>
      <c r="G801" s="12">
        <v>4.8807310609218142</v>
      </c>
      <c r="H801" s="37">
        <v>51001.083069524706</v>
      </c>
      <c r="I801" s="37">
        <v>41132.685430145495</v>
      </c>
      <c r="J801" s="37">
        <v>233657.12898882566</v>
      </c>
      <c r="K801" s="37">
        <v>171932.34915352211</v>
      </c>
      <c r="L801" s="37">
        <v>140776.33095845333</v>
      </c>
      <c r="M801" s="37">
        <v>150669.38367278391</v>
      </c>
      <c r="N801" s="37">
        <v>62877.823762817818</v>
      </c>
      <c r="O801" s="37">
        <v>535462.14479988511</v>
      </c>
      <c r="P801" s="68">
        <v>1</v>
      </c>
    </row>
    <row r="802" spans="1:16" x14ac:dyDescent="0.2">
      <c r="A802" s="10">
        <v>800</v>
      </c>
      <c r="B802" s="40">
        <v>0.16192844325321962</v>
      </c>
      <c r="C802" s="12">
        <v>8.3382926624681737</v>
      </c>
      <c r="D802" s="40">
        <v>0.47347982791525556</v>
      </c>
      <c r="E802" s="40">
        <v>3.3651234957309345E-2</v>
      </c>
      <c r="F802" s="37">
        <v>14.357215432848268</v>
      </c>
      <c r="G802" s="12">
        <v>13.639315449294557</v>
      </c>
      <c r="H802" s="37">
        <v>66621.430730538064</v>
      </c>
      <c r="I802" s="37">
        <v>50680.555392718648</v>
      </c>
      <c r="J802" s="37">
        <v>580779.04092113709</v>
      </c>
      <c r="K802" s="37">
        <v>96553.774318668875</v>
      </c>
      <c r="L802" s="37">
        <v>155414.16002477685</v>
      </c>
      <c r="M802" s="37">
        <v>128333.32218567918</v>
      </c>
      <c r="N802" s="37">
        <v>175713.52782225338</v>
      </c>
      <c r="O802" s="37">
        <v>764592.87355400284</v>
      </c>
      <c r="P802" s="68">
        <v>1</v>
      </c>
    </row>
    <row r="803" spans="1:16" x14ac:dyDescent="0.2">
      <c r="A803" s="10">
        <v>801</v>
      </c>
      <c r="B803" s="40">
        <v>0.1890181751851075</v>
      </c>
      <c r="C803" s="12">
        <v>4.6217700405991895</v>
      </c>
      <c r="D803" s="40">
        <v>0.37795107335658107</v>
      </c>
      <c r="E803" s="40">
        <v>2.0339366686383371E-2</v>
      </c>
      <c r="F803" s="37">
        <v>8.5387087494401435</v>
      </c>
      <c r="G803" s="12">
        <v>13.328888913314174</v>
      </c>
      <c r="H803" s="37">
        <v>94656.591585087765</v>
      </c>
      <c r="I803" s="37">
        <v>72793.994626646687</v>
      </c>
      <c r="J803" s="37">
        <v>383306.08179028588</v>
      </c>
      <c r="K803" s="37">
        <v>150699.37987544114</v>
      </c>
      <c r="L803" s="37">
        <v>80266.866989416303</v>
      </c>
      <c r="M803" s="37">
        <v>36824.083044806262</v>
      </c>
      <c r="N803" s="37">
        <v>171714.34311466778</v>
      </c>
      <c r="O803" s="37">
        <v>472752.3069259281</v>
      </c>
      <c r="P803" s="68">
        <v>1</v>
      </c>
    </row>
    <row r="804" spans="1:16" x14ac:dyDescent="0.2">
      <c r="A804" s="10">
        <v>802</v>
      </c>
      <c r="B804" s="40">
        <v>0.15568849577518062</v>
      </c>
      <c r="C804" s="12">
        <v>5.021933500627056</v>
      </c>
      <c r="D804" s="40">
        <v>0.72731868791511578</v>
      </c>
      <c r="E804" s="40">
        <v>3.5951070451148051E-2</v>
      </c>
      <c r="F804" s="37">
        <v>11.988849480637702</v>
      </c>
      <c r="G804" s="12">
        <v>12.193073869383081</v>
      </c>
      <c r="H804" s="37">
        <v>37715.317877127178</v>
      </c>
      <c r="I804" s="37">
        <v>66496.945246043208</v>
      </c>
      <c r="J804" s="37">
        <v>311062.857308732</v>
      </c>
      <c r="K804" s="37">
        <v>201119.02242809013</v>
      </c>
      <c r="L804" s="37">
        <v>138242.33360673822</v>
      </c>
      <c r="M804" s="37">
        <v>175865.56529478685</v>
      </c>
      <c r="N804" s="37">
        <v>157081.78555965924</v>
      </c>
      <c r="O804" s="37">
        <v>737542.02713359566</v>
      </c>
      <c r="P804" s="68">
        <v>1</v>
      </c>
    </row>
    <row r="805" spans="1:16" x14ac:dyDescent="0.2">
      <c r="A805" s="10">
        <v>803</v>
      </c>
      <c r="B805" s="40">
        <v>9.3192366736721155E-2</v>
      </c>
      <c r="C805" s="12">
        <v>8.4994041391719133</v>
      </c>
      <c r="D805" s="40">
        <v>0.43714965219133872</v>
      </c>
      <c r="E805" s="40">
        <v>2.9916557693942535E-2</v>
      </c>
      <c r="F805" s="37">
        <v>14.394701616570515</v>
      </c>
      <c r="G805" s="12">
        <v>17.390165284397689</v>
      </c>
      <c r="H805" s="37">
        <v>95619.782419635798</v>
      </c>
      <c r="I805" s="37">
        <v>61802.83189656755</v>
      </c>
      <c r="J805" s="37">
        <v>564192.0689148613</v>
      </c>
      <c r="K805" s="37">
        <v>116403.61883513446</v>
      </c>
      <c r="L805" s="37">
        <v>84175.903797031511</v>
      </c>
      <c r="M805" s="37">
        <v>105611.4868035683</v>
      </c>
      <c r="N805" s="37">
        <v>224035.23863740847</v>
      </c>
      <c r="O805" s="37">
        <v>710109.04735695454</v>
      </c>
      <c r="P805" s="68">
        <v>1</v>
      </c>
    </row>
    <row r="806" spans="1:16" x14ac:dyDescent="0.2">
      <c r="A806" s="10">
        <v>804</v>
      </c>
      <c r="B806" s="40">
        <v>0.14808226275333569</v>
      </c>
      <c r="C806" s="12">
        <v>6.1244180988328303</v>
      </c>
      <c r="D806" s="40">
        <v>0.62832797408539454</v>
      </c>
      <c r="E806" s="40">
        <v>1.8926744482076048E-2</v>
      </c>
      <c r="F806" s="37">
        <v>9.6651786828733979</v>
      </c>
      <c r="G806" s="12">
        <v>12.062941262851172</v>
      </c>
      <c r="H806" s="37">
        <v>34000.139599321155</v>
      </c>
      <c r="I806" s="37">
        <v>18598.894720146738</v>
      </c>
      <c r="J806" s="37">
        <v>345007.52046055283</v>
      </c>
      <c r="K806" s="37">
        <v>118373.61454468431</v>
      </c>
      <c r="L806" s="37">
        <v>138529.76527258873</v>
      </c>
      <c r="M806" s="37">
        <v>64482.064537165599</v>
      </c>
      <c r="N806" s="37">
        <v>155405.30410694747</v>
      </c>
      <c r="O806" s="37">
        <v>474870.68015052169</v>
      </c>
      <c r="P806" s="68">
        <v>1</v>
      </c>
    </row>
    <row r="807" spans="1:16" x14ac:dyDescent="0.2">
      <c r="A807" s="10">
        <v>805</v>
      </c>
      <c r="B807" s="40">
        <v>0.22086805576840948</v>
      </c>
      <c r="C807" s="12">
        <v>6.5155156795075921</v>
      </c>
      <c r="D807" s="40">
        <v>0.54766097664837765</v>
      </c>
      <c r="E807" s="40">
        <v>4.1578104164384691E-2</v>
      </c>
      <c r="F807" s="37">
        <v>10.314776285388646</v>
      </c>
      <c r="G807" s="12">
        <v>2.9964834556648192</v>
      </c>
      <c r="H807" s="37">
        <v>49333.912661509479</v>
      </c>
      <c r="I807" s="37">
        <v>54511.501089213161</v>
      </c>
      <c r="J807" s="37">
        <v>423856.05113389046</v>
      </c>
      <c r="K807" s="37">
        <v>125570.38393113426</v>
      </c>
      <c r="L807" s="37">
        <v>191594.18709394749</v>
      </c>
      <c r="M807" s="37">
        <v>131765.89752007066</v>
      </c>
      <c r="N807" s="37">
        <v>38603.306816480632</v>
      </c>
      <c r="O807" s="37">
        <v>529368.49216803128</v>
      </c>
      <c r="P807" s="68">
        <v>1</v>
      </c>
    </row>
    <row r="808" spans="1:16" x14ac:dyDescent="0.2">
      <c r="A808" s="10">
        <v>806</v>
      </c>
      <c r="B808" s="40">
        <v>0.17590927685378355</v>
      </c>
      <c r="C808" s="12">
        <v>5.684487237273002</v>
      </c>
      <c r="D808" s="40">
        <v>0.47543653353307946</v>
      </c>
      <c r="E808" s="40">
        <v>3.082171813853728E-2</v>
      </c>
      <c r="F808" s="37">
        <v>27.102348867651841</v>
      </c>
      <c r="G808" s="12">
        <v>24.103821343446253</v>
      </c>
      <c r="H808" s="37">
        <v>100584.23756388278</v>
      </c>
      <c r="I808" s="37">
        <v>41572.978991809396</v>
      </c>
      <c r="J808" s="37">
        <v>370939.18723022175</v>
      </c>
      <c r="K808" s="37">
        <v>179349.06915465399</v>
      </c>
      <c r="L808" s="37">
        <v>115574.3392803587</v>
      </c>
      <c r="M808" s="37">
        <v>222804.03854328231</v>
      </c>
      <c r="N808" s="37">
        <v>310526.39687084343</v>
      </c>
      <c r="O808" s="37">
        <v>1342858.3570153464</v>
      </c>
      <c r="P808" s="68">
        <v>1</v>
      </c>
    </row>
    <row r="809" spans="1:16" x14ac:dyDescent="0.2">
      <c r="A809" s="10">
        <v>807</v>
      </c>
      <c r="B809" s="40">
        <v>0.15281156996229855</v>
      </c>
      <c r="C809" s="12">
        <v>3.1649504788200362</v>
      </c>
      <c r="D809" s="40">
        <v>0.56505862561566478</v>
      </c>
      <c r="E809" s="40">
        <v>9.4338792331433961E-3</v>
      </c>
      <c r="F809" s="37">
        <v>12.488189780658711</v>
      </c>
      <c r="G809" s="12">
        <v>16.43158734335525</v>
      </c>
      <c r="H809" s="37">
        <v>65832.640471326798</v>
      </c>
      <c r="I809" s="37">
        <v>33301.120263267148</v>
      </c>
      <c r="J809" s="37">
        <v>216069.81653365042</v>
      </c>
      <c r="K809" s="37">
        <v>98687.27366142605</v>
      </c>
      <c r="L809" s="37">
        <v>66436.308804427274</v>
      </c>
      <c r="M809" s="37">
        <v>37346.511680191579</v>
      </c>
      <c r="N809" s="37">
        <v>211686.00363809106</v>
      </c>
      <c r="O809" s="37">
        <v>669010.20214956568</v>
      </c>
      <c r="P809" s="68">
        <v>1</v>
      </c>
    </row>
    <row r="810" spans="1:16" x14ac:dyDescent="0.2">
      <c r="A810" s="10">
        <v>808</v>
      </c>
      <c r="B810" s="40">
        <v>5.097290988717447E-2</v>
      </c>
      <c r="C810" s="12">
        <v>5.771723375043238</v>
      </c>
      <c r="D810" s="40">
        <v>0.58939309106112137</v>
      </c>
      <c r="E810" s="40">
        <v>1.5148973688390707E-2</v>
      </c>
      <c r="F810" s="37">
        <v>13.985354844953918</v>
      </c>
      <c r="G810" s="12">
        <v>10.373094355864053</v>
      </c>
      <c r="H810" s="37">
        <v>108073.24110104391</v>
      </c>
      <c r="I810" s="37">
        <v>24860.131793585846</v>
      </c>
      <c r="J810" s="37">
        <v>388847.00957550516</v>
      </c>
      <c r="K810" s="37">
        <v>153286.03362861875</v>
      </c>
      <c r="L810" s="37">
        <v>42154.001368534555</v>
      </c>
      <c r="M810" s="37">
        <v>70053.279926077521</v>
      </c>
      <c r="N810" s="37">
        <v>133635.22608433032</v>
      </c>
      <c r="O810" s="37">
        <v>242893.6836055445</v>
      </c>
      <c r="P810" s="68">
        <v>1</v>
      </c>
    </row>
    <row r="811" spans="1:16" x14ac:dyDescent="0.2">
      <c r="A811" s="10">
        <v>809</v>
      </c>
      <c r="B811" s="40">
        <v>0.1951438868972567</v>
      </c>
      <c r="C811" s="12">
        <v>3.4384554535255352</v>
      </c>
      <c r="D811" s="40">
        <v>0.61269155585489798</v>
      </c>
      <c r="E811" s="40">
        <v>1.4113245421943863E-2</v>
      </c>
      <c r="F811" s="37">
        <v>11.215107955636361</v>
      </c>
      <c r="G811" s="12">
        <v>11.306522137480483</v>
      </c>
      <c r="H811" s="37">
        <v>17295.513326038603</v>
      </c>
      <c r="I811" s="37">
        <v>44972.579749387638</v>
      </c>
      <c r="J811" s="37">
        <v>374997.05517327681</v>
      </c>
      <c r="K811" s="37">
        <v>132244.78381060634</v>
      </c>
      <c r="L811" s="37">
        <v>99942.239711590461</v>
      </c>
      <c r="M811" s="37">
        <v>54405.020594381487</v>
      </c>
      <c r="N811" s="37">
        <v>145660.45484928318</v>
      </c>
      <c r="O811" s="37">
        <v>269466.3695994569</v>
      </c>
      <c r="P811" s="68">
        <v>1</v>
      </c>
    </row>
    <row r="812" spans="1:16" x14ac:dyDescent="0.2">
      <c r="A812" s="10">
        <v>810</v>
      </c>
      <c r="B812" s="40">
        <v>0.20078062387447937</v>
      </c>
      <c r="C812" s="12">
        <v>3.2108197876643971</v>
      </c>
      <c r="D812" s="40">
        <v>0.80762770903754644</v>
      </c>
      <c r="E812" s="40">
        <v>2.4397128307932586E-2</v>
      </c>
      <c r="F812" s="37">
        <v>12.462765890926274</v>
      </c>
      <c r="G812" s="12">
        <v>11.105017311989288</v>
      </c>
      <c r="H812" s="37">
        <v>97736.515862412169</v>
      </c>
      <c r="I812" s="37">
        <v>16634.230020530049</v>
      </c>
      <c r="J812" s="37">
        <v>421853.87497027451</v>
      </c>
      <c r="K812" s="37">
        <v>102906.28191866187</v>
      </c>
      <c r="L812" s="37">
        <v>126572.03728495057</v>
      </c>
      <c r="M812" s="37">
        <v>137762.52366361365</v>
      </c>
      <c r="N812" s="37">
        <v>143064.49437810745</v>
      </c>
      <c r="O812" s="37">
        <v>751649.65063089575</v>
      </c>
      <c r="P812" s="68">
        <v>1</v>
      </c>
    </row>
    <row r="813" spans="1:16" x14ac:dyDescent="0.2">
      <c r="A813" s="10">
        <v>811</v>
      </c>
      <c r="B813" s="40">
        <v>0.11562683934718948</v>
      </c>
      <c r="C813" s="12">
        <v>4.8299204927931072</v>
      </c>
      <c r="D813" s="40">
        <v>0.56456531947005195</v>
      </c>
      <c r="E813" s="40">
        <v>1.9212801556684853E-2</v>
      </c>
      <c r="F813" s="37">
        <v>18.54754271867882</v>
      </c>
      <c r="G813" s="12">
        <v>17.624460147282562</v>
      </c>
      <c r="H813" s="37">
        <v>97480.93962663869</v>
      </c>
      <c r="I813" s="37">
        <v>52980.956768242002</v>
      </c>
      <c r="J813" s="37">
        <v>258470.91226066189</v>
      </c>
      <c r="K813" s="37">
        <v>158739.99936507476</v>
      </c>
      <c r="L813" s="37">
        <v>76648.147362502408</v>
      </c>
      <c r="M813" s="37">
        <v>112864.66725184697</v>
      </c>
      <c r="N813" s="37">
        <v>227053.62889762211</v>
      </c>
      <c r="O813" s="37">
        <v>885404.80147704878</v>
      </c>
      <c r="P813" s="68">
        <v>1</v>
      </c>
    </row>
    <row r="814" spans="1:16" x14ac:dyDescent="0.2">
      <c r="A814" s="10">
        <v>812</v>
      </c>
      <c r="B814" s="40">
        <v>0.14560063517747726</v>
      </c>
      <c r="C814" s="12">
        <v>8.7290671462587177</v>
      </c>
      <c r="D814" s="40">
        <v>0.60713775074366017</v>
      </c>
      <c r="E814" s="40">
        <v>2.8661900460643146E-2</v>
      </c>
      <c r="F814" s="37">
        <v>16.624058006976632</v>
      </c>
      <c r="G814" s="12">
        <v>20.478505620825121</v>
      </c>
      <c r="H814" s="37">
        <v>112286.81188548871</v>
      </c>
      <c r="I814" s="37">
        <v>26018.695467732388</v>
      </c>
      <c r="J814" s="37">
        <v>311109.74407313252</v>
      </c>
      <c r="K814" s="37">
        <v>85563.364886973548</v>
      </c>
      <c r="L814" s="37">
        <v>187588.91466250329</v>
      </c>
      <c r="M814" s="37">
        <v>162291.58373064332</v>
      </c>
      <c r="N814" s="37">
        <v>263821.92570735933</v>
      </c>
      <c r="O814" s="37">
        <v>1556025.9993492542</v>
      </c>
      <c r="P814" s="68">
        <v>1</v>
      </c>
    </row>
    <row r="815" spans="1:16" x14ac:dyDescent="0.2">
      <c r="A815" s="10">
        <v>813</v>
      </c>
      <c r="B815" s="40">
        <v>0.20625799547597101</v>
      </c>
      <c r="C815" s="12">
        <v>3.8159228211128435</v>
      </c>
      <c r="D815" s="40">
        <v>0.68366822825530038</v>
      </c>
      <c r="E815" s="40">
        <v>2.0516064958963326E-2</v>
      </c>
      <c r="F815" s="37">
        <v>15.848912163722874</v>
      </c>
      <c r="G815" s="12">
        <v>13.528108247818505</v>
      </c>
      <c r="H815" s="37">
        <v>129670.13941411371</v>
      </c>
      <c r="I815" s="37">
        <v>53367.569638241141</v>
      </c>
      <c r="J815" s="37">
        <v>289374.57589844317</v>
      </c>
      <c r="K815" s="37">
        <v>127017.0017480025</v>
      </c>
      <c r="L815" s="37">
        <v>130811.10136293748</v>
      </c>
      <c r="M815" s="37">
        <v>124711.2561261201</v>
      </c>
      <c r="N815" s="37">
        <v>174280.8599025736</v>
      </c>
      <c r="O815" s="37">
        <v>1071727.697742434</v>
      </c>
      <c r="P815" s="68">
        <v>1</v>
      </c>
    </row>
    <row r="816" spans="1:16" x14ac:dyDescent="0.2">
      <c r="A816" s="10">
        <v>814</v>
      </c>
      <c r="B816" s="40">
        <v>0.15635517962698231</v>
      </c>
      <c r="C816" s="12">
        <v>6.5252130948319653</v>
      </c>
      <c r="D816" s="40">
        <v>0.30608438270136873</v>
      </c>
      <c r="E816" s="40">
        <v>3.1354996593940754E-2</v>
      </c>
      <c r="F816" s="37">
        <v>9.1596569913453791</v>
      </c>
      <c r="G816" s="12">
        <v>25.69635591076154</v>
      </c>
      <c r="H816" s="37">
        <v>84261.803941237362</v>
      </c>
      <c r="I816" s="37">
        <v>20994.343954001521</v>
      </c>
      <c r="J816" s="37">
        <v>192276.85315785857</v>
      </c>
      <c r="K816" s="37">
        <v>165749.86013331567</v>
      </c>
      <c r="L816" s="37">
        <v>75916.63899918017</v>
      </c>
      <c r="M816" s="37">
        <v>49316.684489087726</v>
      </c>
      <c r="N816" s="37">
        <v>331042.81267207256</v>
      </c>
      <c r="O816" s="37">
        <v>916561.82209839951</v>
      </c>
      <c r="P816" s="68">
        <v>1</v>
      </c>
    </row>
    <row r="817" spans="1:16" x14ac:dyDescent="0.2">
      <c r="A817" s="10">
        <v>815</v>
      </c>
      <c r="B817" s="40">
        <v>0.15760823007435812</v>
      </c>
      <c r="C817" s="12">
        <v>8.8773493928820759</v>
      </c>
      <c r="D817" s="40">
        <v>0.46709240007800179</v>
      </c>
      <c r="E817" s="40">
        <v>1.0395452640218716E-2</v>
      </c>
      <c r="F817" s="37">
        <v>15.165367379472009</v>
      </c>
      <c r="G817" s="12">
        <v>9.1152155402113806</v>
      </c>
      <c r="H817" s="37">
        <v>50776.283399543812</v>
      </c>
      <c r="I817" s="37">
        <v>28273.829765771032</v>
      </c>
      <c r="J817" s="37">
        <v>276108.74455770338</v>
      </c>
      <c r="K817" s="37">
        <v>155275.21644681637</v>
      </c>
      <c r="L817" s="37">
        <v>158874.36790110826</v>
      </c>
      <c r="M817" s="37">
        <v>41311.015677866089</v>
      </c>
      <c r="N817" s="37">
        <v>117430.136826523</v>
      </c>
      <c r="O817" s="37">
        <v>400179.5748950555</v>
      </c>
      <c r="P817" s="68">
        <v>1</v>
      </c>
    </row>
    <row r="818" spans="1:16" x14ac:dyDescent="0.2">
      <c r="A818" s="10">
        <v>816</v>
      </c>
      <c r="B818" s="40">
        <v>0.10440453797652037</v>
      </c>
      <c r="C818" s="12">
        <v>1.9791204706997285</v>
      </c>
      <c r="D818" s="40">
        <v>0.63931554745263652</v>
      </c>
      <c r="E818" s="40">
        <v>2.0321859218171014E-2</v>
      </c>
      <c r="F818" s="37">
        <v>8.7313304900526028</v>
      </c>
      <c r="G818" s="12">
        <v>17.574426063611096</v>
      </c>
      <c r="H818" s="37">
        <v>73579.108922979474</v>
      </c>
      <c r="I818" s="37">
        <v>41259.959530645589</v>
      </c>
      <c r="J818" s="37">
        <v>334842.00351844874</v>
      </c>
      <c r="K818" s="37">
        <v>88231.980662716873</v>
      </c>
      <c r="L818" s="37">
        <v>32114.096079764116</v>
      </c>
      <c r="M818" s="37">
        <v>63639.368806091654</v>
      </c>
      <c r="N818" s="37">
        <v>226409.04630211348</v>
      </c>
      <c r="O818" s="37">
        <v>642283.80279919843</v>
      </c>
      <c r="P818" s="68">
        <v>1</v>
      </c>
    </row>
    <row r="819" spans="1:16" x14ac:dyDescent="0.2">
      <c r="A819" s="10">
        <v>817</v>
      </c>
      <c r="B819" s="40">
        <v>8.7205479404113731E-2</v>
      </c>
      <c r="C819" s="12">
        <v>2.2908814168861444</v>
      </c>
      <c r="D819" s="40">
        <v>0.75883815758110873</v>
      </c>
      <c r="E819" s="40">
        <v>3.7689558328523109E-2</v>
      </c>
      <c r="F819" s="37">
        <v>12.778126285110801</v>
      </c>
      <c r="G819" s="12">
        <v>14.395406588059693</v>
      </c>
      <c r="H819" s="37">
        <v>28172.982038070044</v>
      </c>
      <c r="I819" s="37">
        <v>31039.64325127281</v>
      </c>
      <c r="J819" s="37">
        <v>321841.49607947742</v>
      </c>
      <c r="K819" s="37">
        <v>118230.13123638113</v>
      </c>
      <c r="L819" s="37">
        <v>36853.978125716094</v>
      </c>
      <c r="M819" s="37">
        <v>205023.72364393319</v>
      </c>
      <c r="N819" s="37">
        <v>185454.15167111659</v>
      </c>
      <c r="O819" s="37">
        <v>710041.6004600313</v>
      </c>
      <c r="P819" s="68">
        <v>1</v>
      </c>
    </row>
    <row r="820" spans="1:16" x14ac:dyDescent="0.2">
      <c r="A820" s="10">
        <v>818</v>
      </c>
      <c r="B820" s="40">
        <v>0.2161374742344418</v>
      </c>
      <c r="C820" s="12">
        <v>7.3358281667674623</v>
      </c>
      <c r="D820" s="40">
        <v>0.56833378947655255</v>
      </c>
      <c r="E820" s="40">
        <v>2.5473343836717455E-2</v>
      </c>
      <c r="F820" s="37">
        <v>10.213542966314073</v>
      </c>
      <c r="G820" s="12">
        <v>14.908813856383656</v>
      </c>
      <c r="H820" s="37">
        <v>22359.282636373991</v>
      </c>
      <c r="I820" s="37">
        <v>41677.069618638896</v>
      </c>
      <c r="J820" s="37">
        <v>262660.73440484877</v>
      </c>
      <c r="K820" s="37">
        <v>106269.03769663344</v>
      </c>
      <c r="L820" s="37">
        <v>219064.25991294248</v>
      </c>
      <c r="M820" s="37">
        <v>82953.093618266706</v>
      </c>
      <c r="N820" s="37">
        <v>192068.3107659893</v>
      </c>
      <c r="O820" s="37">
        <v>1003267.2810929329</v>
      </c>
      <c r="P820" s="68">
        <v>1</v>
      </c>
    </row>
    <row r="821" spans="1:16" x14ac:dyDescent="0.2">
      <c r="A821" s="10">
        <v>819</v>
      </c>
      <c r="B821" s="40">
        <v>0.1684348184416386</v>
      </c>
      <c r="C821" s="12">
        <v>5.1729592357410263</v>
      </c>
      <c r="D821" s="40">
        <v>0.71711457542774282</v>
      </c>
      <c r="E821" s="40">
        <v>2.7174073008202751E-2</v>
      </c>
      <c r="F821" s="37">
        <v>20.450789144713987</v>
      </c>
      <c r="G821" s="12">
        <v>9.9131381577936359</v>
      </c>
      <c r="H821" s="37">
        <v>47417.299993099456</v>
      </c>
      <c r="I821" s="37">
        <v>30151.314427762547</v>
      </c>
      <c r="J821" s="37">
        <v>276347.12095390639</v>
      </c>
      <c r="K821" s="37">
        <v>172859.52655153419</v>
      </c>
      <c r="L821" s="37">
        <v>151896.6892453231</v>
      </c>
      <c r="M821" s="37">
        <v>223573.37894411405</v>
      </c>
      <c r="N821" s="37">
        <v>127709.6701788949</v>
      </c>
      <c r="O821" s="37">
        <v>866409.29873498413</v>
      </c>
      <c r="P821" s="68">
        <v>1</v>
      </c>
    </row>
    <row r="822" spans="1:16" x14ac:dyDescent="0.2">
      <c r="A822" s="10">
        <v>820</v>
      </c>
      <c r="B822" s="40">
        <v>0.15113001275419186</v>
      </c>
      <c r="C822" s="12">
        <v>5.598588629346934</v>
      </c>
      <c r="D822" s="40">
        <v>0.5537518672893369</v>
      </c>
      <c r="E822" s="40">
        <v>3.0441821976403674E-2</v>
      </c>
      <c r="F822" s="37">
        <v>8.9512579918781814</v>
      </c>
      <c r="G822" s="12">
        <v>10.491515712716749</v>
      </c>
      <c r="H822" s="37">
        <v>19834.343811480863</v>
      </c>
      <c r="I822" s="37">
        <v>11627.999096404214</v>
      </c>
      <c r="J822" s="37">
        <v>313506.72872740764</v>
      </c>
      <c r="K822" s="37">
        <v>131993.17761783017</v>
      </c>
      <c r="L822" s="37">
        <v>113902.51407765824</v>
      </c>
      <c r="M822" s="37">
        <v>84651.888653220594</v>
      </c>
      <c r="N822" s="37">
        <v>135160.83302988723</v>
      </c>
      <c r="O822" s="37">
        <v>339791.31262877281</v>
      </c>
      <c r="P822" s="68">
        <v>1</v>
      </c>
    </row>
    <row r="823" spans="1:16" x14ac:dyDescent="0.2">
      <c r="A823" s="10">
        <v>821</v>
      </c>
      <c r="B823" s="40">
        <v>0.20517161053162997</v>
      </c>
      <c r="C823" s="12">
        <v>5.1120385857729751</v>
      </c>
      <c r="D823" s="40">
        <v>0.56215389764374812</v>
      </c>
      <c r="E823" s="40">
        <v>9.4101065744855994E-3</v>
      </c>
      <c r="F823" s="37">
        <v>19.203884998331866</v>
      </c>
      <c r="G823" s="12">
        <v>17.589967561019787</v>
      </c>
      <c r="H823" s="37">
        <v>54032.709971188255</v>
      </c>
      <c r="I823" s="37">
        <v>71339.780334499228</v>
      </c>
      <c r="J823" s="37">
        <v>333201.37606334436</v>
      </c>
      <c r="K823" s="37">
        <v>94848.108480690047</v>
      </c>
      <c r="L823" s="37">
        <v>143336.05471434377</v>
      </c>
      <c r="M823" s="37">
        <v>56990.910672258397</v>
      </c>
      <c r="N823" s="37">
        <v>226609.26539283499</v>
      </c>
      <c r="O823" s="37">
        <v>948437.19352065353</v>
      </c>
      <c r="P823" s="68">
        <v>1</v>
      </c>
    </row>
    <row r="824" spans="1:16" x14ac:dyDescent="0.2">
      <c r="A824" s="10">
        <v>822</v>
      </c>
      <c r="B824" s="40">
        <v>7.9106388245204912E-2</v>
      </c>
      <c r="C824" s="12">
        <v>6.9952720652267715</v>
      </c>
      <c r="D824" s="40">
        <v>0.66512762172696727</v>
      </c>
      <c r="E824" s="40">
        <v>1.6254614319481834E-2</v>
      </c>
      <c r="F824" s="37">
        <v>26.276326932019924</v>
      </c>
      <c r="G824" s="12">
        <v>15.8741452704793</v>
      </c>
      <c r="H824" s="37">
        <v>182095.79153805255</v>
      </c>
      <c r="I824" s="37">
        <v>31136.516744371063</v>
      </c>
      <c r="J824" s="37">
        <v>263982.84290102118</v>
      </c>
      <c r="K824" s="37">
        <v>81523.43949268978</v>
      </c>
      <c r="L824" s="37">
        <v>89476.704397415815</v>
      </c>
      <c r="M824" s="37">
        <v>159372.3739436371</v>
      </c>
      <c r="N824" s="37">
        <v>204504.54988069969</v>
      </c>
      <c r="O824" s="37">
        <v>1375149.8848720421</v>
      </c>
      <c r="P824" s="68">
        <v>1</v>
      </c>
    </row>
    <row r="825" spans="1:16" x14ac:dyDescent="0.2">
      <c r="A825" s="10">
        <v>823</v>
      </c>
      <c r="B825" s="40">
        <v>0.1044594157776427</v>
      </c>
      <c r="C825" s="12">
        <v>4.3179355832796116</v>
      </c>
      <c r="D825" s="40">
        <v>0.53230175597094243</v>
      </c>
      <c r="E825" s="40">
        <v>2.0320672490977722E-2</v>
      </c>
      <c r="F825" s="37">
        <v>19.710152359539983</v>
      </c>
      <c r="G825" s="12">
        <v>7.0433474412561754</v>
      </c>
      <c r="H825" s="37">
        <v>75315.10271464102</v>
      </c>
      <c r="I825" s="37">
        <v>26872.964071323844</v>
      </c>
      <c r="J825" s="37">
        <v>347572.84973734594</v>
      </c>
      <c r="K825" s="37">
        <v>90864.872003860393</v>
      </c>
      <c r="L825" s="37">
        <v>58367.417755053204</v>
      </c>
      <c r="M825" s="37">
        <v>119605.92346311998</v>
      </c>
      <c r="N825" s="37">
        <v>90738.529450535949</v>
      </c>
      <c r="O825" s="37">
        <v>436983.74558222864</v>
      </c>
      <c r="P825" s="68">
        <v>1</v>
      </c>
    </row>
    <row r="826" spans="1:16" x14ac:dyDescent="0.2">
      <c r="A826" s="10">
        <v>824</v>
      </c>
      <c r="B826" s="40">
        <v>0.10867735343012414</v>
      </c>
      <c r="C826" s="12">
        <v>6.1587029101021606</v>
      </c>
      <c r="D826" s="40">
        <v>0.77850179407334219</v>
      </c>
      <c r="E826" s="40">
        <v>2.865931894007635E-2</v>
      </c>
      <c r="F826" s="37">
        <v>19.491719692720295</v>
      </c>
      <c r="G826" s="12">
        <v>20.025979507620043</v>
      </c>
      <c r="H826" s="37">
        <v>147305.1414462027</v>
      </c>
      <c r="I826" s="37">
        <v>66445.386914701026</v>
      </c>
      <c r="J826" s="37">
        <v>546373.60901340295</v>
      </c>
      <c r="K826" s="37">
        <v>149245.85132039557</v>
      </c>
      <c r="L826" s="37">
        <v>126670.87065899494</v>
      </c>
      <c r="M826" s="37">
        <v>243973.34045772304</v>
      </c>
      <c r="N826" s="37">
        <v>257992.09061933303</v>
      </c>
      <c r="O826" s="37">
        <v>1395555.7901136903</v>
      </c>
      <c r="P826" s="68">
        <v>1</v>
      </c>
    </row>
    <row r="827" spans="1:16" x14ac:dyDescent="0.2">
      <c r="A827" s="10">
        <v>825</v>
      </c>
      <c r="B827" s="40">
        <v>0.18851039031088485</v>
      </c>
      <c r="C827" s="12">
        <v>4.8973449805584082</v>
      </c>
      <c r="D827" s="40">
        <v>0.72472246999286749</v>
      </c>
      <c r="E827" s="40">
        <v>2.8795279851331679E-2</v>
      </c>
      <c r="F827" s="37">
        <v>17.432078333825924</v>
      </c>
      <c r="G827" s="12">
        <v>0.77535085318280594</v>
      </c>
      <c r="H827" s="37">
        <v>165950.45320785043</v>
      </c>
      <c r="I827" s="37">
        <v>52515.479241083551</v>
      </c>
      <c r="J827" s="37">
        <v>460265.4669036257</v>
      </c>
      <c r="K827" s="37">
        <v>176631.82595040335</v>
      </c>
      <c r="L827" s="37">
        <v>162650.92849993592</v>
      </c>
      <c r="M827" s="37">
        <v>204083.98753157628</v>
      </c>
      <c r="N827" s="37">
        <v>9988.744245943175</v>
      </c>
      <c r="O827" s="37">
        <v>712381.45114460867</v>
      </c>
      <c r="P827" s="68">
        <v>1</v>
      </c>
    </row>
    <row r="828" spans="1:16" x14ac:dyDescent="0.2">
      <c r="A828" s="10">
        <v>826</v>
      </c>
      <c r="B828" s="40">
        <v>0.13924315166899659</v>
      </c>
      <c r="C828" s="12">
        <v>3.6153879402105895</v>
      </c>
      <c r="D828" s="40">
        <v>0.7276921874395712</v>
      </c>
      <c r="E828" s="40">
        <v>3.6409252938532088E-2</v>
      </c>
      <c r="F828" s="37">
        <v>21.229608277678359</v>
      </c>
      <c r="G828" s="12">
        <v>21.425927996759341</v>
      </c>
      <c r="H828" s="37">
        <v>83361.821967346012</v>
      </c>
      <c r="I828" s="37">
        <v>24861.225402284152</v>
      </c>
      <c r="J828" s="37">
        <v>409339.08578305814</v>
      </c>
      <c r="K828" s="37">
        <v>137012.27103867539</v>
      </c>
      <c r="L828" s="37">
        <v>89056.432040796586</v>
      </c>
      <c r="M828" s="37">
        <v>315550.00618823135</v>
      </c>
      <c r="N828" s="37">
        <v>276027.44501161104</v>
      </c>
      <c r="O828" s="37">
        <v>1416893.0182837895</v>
      </c>
      <c r="P828" s="68">
        <v>1</v>
      </c>
    </row>
    <row r="829" spans="1:16" x14ac:dyDescent="0.2">
      <c r="A829" s="10">
        <v>827</v>
      </c>
      <c r="B829" s="40">
        <v>0.19484620642546346</v>
      </c>
      <c r="C829" s="12">
        <v>6.9386268089902465</v>
      </c>
      <c r="D829" s="40">
        <v>0.77024889191853096</v>
      </c>
      <c r="E829" s="40">
        <v>2.3196189185436027E-2</v>
      </c>
      <c r="F829" s="37">
        <v>9.5433368447948475</v>
      </c>
      <c r="G829" s="12">
        <v>11.323975577101402</v>
      </c>
      <c r="H829" s="37">
        <v>50467.171641136541</v>
      </c>
      <c r="I829" s="37">
        <v>65199.003626252306</v>
      </c>
      <c r="J829" s="37">
        <v>421926.19885630498</v>
      </c>
      <c r="K829" s="37">
        <v>199701.66308052375</v>
      </c>
      <c r="L829" s="37">
        <v>253154.35108478655</v>
      </c>
      <c r="M829" s="37">
        <v>95656.54913934879</v>
      </c>
      <c r="N829" s="37">
        <v>145885.30524297236</v>
      </c>
      <c r="O829" s="37">
        <v>728596.05433160497</v>
      </c>
      <c r="P829" s="68">
        <v>1</v>
      </c>
    </row>
    <row r="830" spans="1:16" x14ac:dyDescent="0.2">
      <c r="A830" s="10">
        <v>828</v>
      </c>
      <c r="B830" s="40">
        <v>0.15556539382149706</v>
      </c>
      <c r="C830" s="12">
        <v>3.6332390627696993</v>
      </c>
      <c r="D830" s="40">
        <v>0.41181394520702219</v>
      </c>
      <c r="E830" s="40">
        <v>2.5664988424565573E-2</v>
      </c>
      <c r="F830" s="37">
        <v>23.139834933483428</v>
      </c>
      <c r="G830" s="12">
        <v>6.4415835677578279</v>
      </c>
      <c r="H830" s="37">
        <v>131264.40039559279</v>
      </c>
      <c r="I830" s="37">
        <v>30483.811617682961</v>
      </c>
      <c r="J830" s="37">
        <v>430426.05502644205</v>
      </c>
      <c r="K830" s="37">
        <v>139779.03100926662</v>
      </c>
      <c r="L830" s="37">
        <v>56584.417068372743</v>
      </c>
      <c r="M830" s="37">
        <v>137204.73845936617</v>
      </c>
      <c r="N830" s="37">
        <v>82986.083697560302</v>
      </c>
      <c r="O830" s="37">
        <v>406547.36052959692</v>
      </c>
      <c r="P830" s="68">
        <v>1</v>
      </c>
    </row>
    <row r="831" spans="1:16" x14ac:dyDescent="0.2">
      <c r="A831" s="10">
        <v>829</v>
      </c>
      <c r="B831" s="40">
        <v>0.22460718437720534</v>
      </c>
      <c r="C831" s="12">
        <v>5.3339170457287208</v>
      </c>
      <c r="D831" s="40">
        <v>0.49267658798923003</v>
      </c>
      <c r="E831" s="40">
        <v>3.303287941112143E-2</v>
      </c>
      <c r="F831" s="37">
        <v>8.4284382053825713</v>
      </c>
      <c r="G831" s="12">
        <v>7.9610198170584043</v>
      </c>
      <c r="H831" s="37">
        <v>213791.38126294274</v>
      </c>
      <c r="I831" s="37">
        <v>35294.571515727905</v>
      </c>
      <c r="J831" s="37">
        <v>261006.72268407233</v>
      </c>
      <c r="K831" s="37">
        <v>202277.40363300152</v>
      </c>
      <c r="L831" s="37">
        <v>143489.67616283384</v>
      </c>
      <c r="M831" s="37">
        <v>76952.404751930706</v>
      </c>
      <c r="N831" s="37">
        <v>102560.7833705872</v>
      </c>
      <c r="O831" s="37">
        <v>775070.60914822342</v>
      </c>
      <c r="P831" s="68">
        <v>1</v>
      </c>
    </row>
    <row r="832" spans="1:16" x14ac:dyDescent="0.2">
      <c r="A832" s="10">
        <v>830</v>
      </c>
      <c r="B832" s="40">
        <v>0.1601233901309341</v>
      </c>
      <c r="C832" s="12">
        <v>6.0644714257106394</v>
      </c>
      <c r="D832" s="40">
        <v>0.67632116089356209</v>
      </c>
      <c r="E832" s="40">
        <v>3.2173740282298573E-2</v>
      </c>
      <c r="F832" s="37">
        <v>9.2049636302842508</v>
      </c>
      <c r="G832" s="12">
        <v>15.322836669665332</v>
      </c>
      <c r="H832" s="37">
        <v>68738.995092992496</v>
      </c>
      <c r="I832" s="37">
        <v>36706.314276600926</v>
      </c>
      <c r="J832" s="37">
        <v>251079.12718936923</v>
      </c>
      <c r="K832" s="37">
        <v>163002.98388081192</v>
      </c>
      <c r="L832" s="37">
        <v>159657.577724476</v>
      </c>
      <c r="M832" s="37">
        <v>112368.17735118986</v>
      </c>
      <c r="N832" s="37">
        <v>197402.11284653144</v>
      </c>
      <c r="O832" s="37">
        <v>902831.6380068874</v>
      </c>
      <c r="P832" s="68">
        <v>1</v>
      </c>
    </row>
    <row r="833" spans="1:16" x14ac:dyDescent="0.2">
      <c r="A833" s="10">
        <v>831</v>
      </c>
      <c r="B833" s="40">
        <v>0.11206615117019496</v>
      </c>
      <c r="C833" s="12">
        <v>3.8827787181671294</v>
      </c>
      <c r="D833" s="40">
        <v>0.34732251050449697</v>
      </c>
      <c r="E833" s="40">
        <v>4.3540513319414699E-2</v>
      </c>
      <c r="F833" s="37">
        <v>7.152584291933513</v>
      </c>
      <c r="G833" s="12">
        <v>12.378895441409284</v>
      </c>
      <c r="H833" s="37">
        <v>40539.709781071426</v>
      </c>
      <c r="I833" s="37">
        <v>55295.687870941067</v>
      </c>
      <c r="J833" s="37">
        <v>329196.56597095687</v>
      </c>
      <c r="K833" s="37">
        <v>113180.06908055294</v>
      </c>
      <c r="L833" s="37">
        <v>36739.975154418906</v>
      </c>
      <c r="M833" s="37">
        <v>60681.48396296009</v>
      </c>
      <c r="N833" s="37">
        <v>159475.70071526844</v>
      </c>
      <c r="O833" s="37">
        <v>341942.54441187799</v>
      </c>
      <c r="P833" s="68">
        <v>1</v>
      </c>
    </row>
    <row r="834" spans="1:16" x14ac:dyDescent="0.2">
      <c r="A834" s="10">
        <v>832</v>
      </c>
      <c r="B834" s="40">
        <v>6.5254476399646405E-2</v>
      </c>
      <c r="C834" s="12">
        <v>2.8441812325174607</v>
      </c>
      <c r="D834" s="40">
        <v>0.63852651540034444</v>
      </c>
      <c r="E834" s="40">
        <v>3.2395171644388432E-2</v>
      </c>
      <c r="F834" s="37">
        <v>20.63725720972046</v>
      </c>
      <c r="G834" s="12">
        <v>23.058787180993146</v>
      </c>
      <c r="H834" s="37">
        <v>59429.380902353725</v>
      </c>
      <c r="I834" s="37">
        <v>39432.884593655988</v>
      </c>
      <c r="J834" s="37">
        <v>576508.15633729915</v>
      </c>
      <c r="K834" s="37">
        <v>94427.869487538235</v>
      </c>
      <c r="L834" s="37">
        <v>28809.474833969944</v>
      </c>
      <c r="M834" s="37">
        <v>239484.78710943472</v>
      </c>
      <c r="N834" s="37">
        <v>297063.35761040117</v>
      </c>
      <c r="O834" s="37">
        <v>1019842.2258913039</v>
      </c>
      <c r="P834" s="68">
        <v>1</v>
      </c>
    </row>
    <row r="835" spans="1:16" x14ac:dyDescent="0.2">
      <c r="A835" s="10">
        <v>833</v>
      </c>
      <c r="B835" s="40">
        <v>0.14605250121760097</v>
      </c>
      <c r="C835" s="12">
        <v>4.4864675868384705</v>
      </c>
      <c r="D835" s="40">
        <v>0.55534560150815315</v>
      </c>
      <c r="E835" s="40">
        <v>2.6891080477451125E-2</v>
      </c>
      <c r="F835" s="37">
        <v>21.848784570693205</v>
      </c>
      <c r="G835" s="12">
        <v>20.185998985936333</v>
      </c>
      <c r="H835" s="37">
        <v>146859.54923105583</v>
      </c>
      <c r="I835" s="37">
        <v>55201.777278443478</v>
      </c>
      <c r="J835" s="37">
        <v>179293.05451351358</v>
      </c>
      <c r="K835" s="37">
        <v>118428.30383927797</v>
      </c>
      <c r="L835" s="37">
        <v>88463.82212784866</v>
      </c>
      <c r="M835" s="37">
        <v>183048.25934416597</v>
      </c>
      <c r="N835" s="37">
        <v>260053.60075594962</v>
      </c>
      <c r="O835" s="37">
        <v>1544270.3877394283</v>
      </c>
      <c r="P835" s="68">
        <v>1</v>
      </c>
    </row>
    <row r="836" spans="1:16" x14ac:dyDescent="0.2">
      <c r="A836" s="10">
        <v>834</v>
      </c>
      <c r="B836" s="40">
        <v>0.12920320082128417</v>
      </c>
      <c r="C836" s="12">
        <v>3.3636669143717683</v>
      </c>
      <c r="D836" s="40">
        <v>0.58320574259689895</v>
      </c>
      <c r="E836" s="40">
        <v>2.5560252220779199E-2</v>
      </c>
      <c r="F836" s="37">
        <v>13.750727920705035</v>
      </c>
      <c r="G836" s="12">
        <v>18.527512785980129</v>
      </c>
      <c r="H836" s="37">
        <v>66077.05616861899</v>
      </c>
      <c r="I836" s="37">
        <v>60887.875799443427</v>
      </c>
      <c r="J836" s="37">
        <v>475993.86806387908</v>
      </c>
      <c r="K836" s="37">
        <v>85069.523607660522</v>
      </c>
      <c r="L836" s="37">
        <v>61616.478998842991</v>
      </c>
      <c r="M836" s="37">
        <v>114995.10326764914</v>
      </c>
      <c r="N836" s="37">
        <v>238687.53864511984</v>
      </c>
      <c r="O836" s="37">
        <v>804899.2326160043</v>
      </c>
      <c r="P836" s="68">
        <v>1</v>
      </c>
    </row>
    <row r="837" spans="1:16" x14ac:dyDescent="0.2">
      <c r="A837" s="10">
        <v>835</v>
      </c>
      <c r="B837" s="40">
        <v>0.20207205399063999</v>
      </c>
      <c r="C837" s="12">
        <v>3.688707360801768</v>
      </c>
      <c r="D837" s="40">
        <v>0.44280480815676515</v>
      </c>
      <c r="E837" s="40">
        <v>2.2946738480206327E-2</v>
      </c>
      <c r="F837" s="37">
        <v>17.26507056034534</v>
      </c>
      <c r="G837" s="12">
        <v>9.6880114768363921</v>
      </c>
      <c r="H837" s="37">
        <v>83062.789600519027</v>
      </c>
      <c r="I837" s="37">
        <v>38432.629191748922</v>
      </c>
      <c r="J837" s="37">
        <v>428182.0182892491</v>
      </c>
      <c r="K837" s="37">
        <v>156291.54812082578</v>
      </c>
      <c r="L837" s="37">
        <v>80238.280980820637</v>
      </c>
      <c r="M837" s="37">
        <v>98416.605949492659</v>
      </c>
      <c r="N837" s="37">
        <v>124809.39241459126</v>
      </c>
      <c r="O837" s="37">
        <v>324528.60639020475</v>
      </c>
      <c r="P837" s="68">
        <v>1</v>
      </c>
    </row>
    <row r="838" spans="1:16" x14ac:dyDescent="0.2">
      <c r="A838" s="10">
        <v>836</v>
      </c>
      <c r="B838" s="40">
        <v>0.15544747283440855</v>
      </c>
      <c r="C838" s="12">
        <v>7.9010935393268031</v>
      </c>
      <c r="D838" s="40">
        <v>0.60376890303260256</v>
      </c>
      <c r="E838" s="40">
        <v>2.1432456573996436E-2</v>
      </c>
      <c r="F838" s="37">
        <v>11.822365893396713</v>
      </c>
      <c r="G838" s="12">
        <v>25.154581184935687</v>
      </c>
      <c r="H838" s="37">
        <v>43476.420936266739</v>
      </c>
      <c r="I838" s="37">
        <v>27571.197015334663</v>
      </c>
      <c r="J838" s="37">
        <v>307712.30420489155</v>
      </c>
      <c r="K838" s="37">
        <v>183584.92938006777</v>
      </c>
      <c r="L838" s="37">
        <v>180272.8978053254</v>
      </c>
      <c r="M838" s="37">
        <v>85825.001905840327</v>
      </c>
      <c r="N838" s="37">
        <v>324063.19930997241</v>
      </c>
      <c r="O838" s="37">
        <v>1030416.162078785</v>
      </c>
      <c r="P838" s="68">
        <v>1</v>
      </c>
    </row>
    <row r="839" spans="1:16" x14ac:dyDescent="0.2">
      <c r="A839" s="10">
        <v>837</v>
      </c>
      <c r="B839" s="40">
        <v>0.14043814119310982</v>
      </c>
      <c r="C839" s="12">
        <v>5.2309303645049514</v>
      </c>
      <c r="D839" s="40">
        <v>0.54647693518897356</v>
      </c>
      <c r="E839" s="40">
        <v>2.9501521829315511E-2</v>
      </c>
      <c r="F839" s="37">
        <v>11.789726091260992</v>
      </c>
      <c r="G839" s="12">
        <v>4.641774081596961</v>
      </c>
      <c r="H839" s="37">
        <v>25349.945620702885</v>
      </c>
      <c r="I839" s="37">
        <v>34136.579916695067</v>
      </c>
      <c r="J839" s="37">
        <v>390763.67198709375</v>
      </c>
      <c r="K839" s="37">
        <v>81638.815036612999</v>
      </c>
      <c r="L839" s="37">
        <v>97594.350345804341</v>
      </c>
      <c r="M839" s="37">
        <v>106631.79094175018</v>
      </c>
      <c r="N839" s="37">
        <v>59799.372062583046</v>
      </c>
      <c r="O839" s="37">
        <v>286877.29664645682</v>
      </c>
      <c r="P839" s="68">
        <v>1</v>
      </c>
    </row>
    <row r="840" spans="1:16" x14ac:dyDescent="0.2">
      <c r="A840" s="10">
        <v>838</v>
      </c>
      <c r="B840" s="40">
        <v>6.8870660380476928E-2</v>
      </c>
      <c r="C840" s="12">
        <v>5.3743508341009729</v>
      </c>
      <c r="D840" s="40">
        <v>0.62472364505732747</v>
      </c>
      <c r="E840" s="40">
        <v>2.247722646914721E-2</v>
      </c>
      <c r="F840" s="37">
        <v>14.388012412928981</v>
      </c>
      <c r="G840" s="12">
        <v>18.714364470966164</v>
      </c>
      <c r="H840" s="37">
        <v>48788.171967273556</v>
      </c>
      <c r="I840" s="37">
        <v>38611.279804418169</v>
      </c>
      <c r="J840" s="37">
        <v>583335.85869026778</v>
      </c>
      <c r="K840" s="37">
        <v>145418.91229335524</v>
      </c>
      <c r="L840" s="37">
        <v>56213.035027341786</v>
      </c>
      <c r="M840" s="37">
        <v>113343.91276200628</v>
      </c>
      <c r="N840" s="37">
        <v>241094.72461207589</v>
      </c>
      <c r="O840" s="37">
        <v>404611.58677344769</v>
      </c>
      <c r="P840" s="68">
        <v>1</v>
      </c>
    </row>
    <row r="841" spans="1:16" x14ac:dyDescent="0.2">
      <c r="A841" s="10">
        <v>839</v>
      </c>
      <c r="B841" s="40">
        <v>0.17667950789198736</v>
      </c>
      <c r="C841" s="12">
        <v>8.2956145612910692</v>
      </c>
      <c r="D841" s="40">
        <v>0.34153399321579003</v>
      </c>
      <c r="E841" s="40">
        <v>5.6375221044010415E-3</v>
      </c>
      <c r="F841" s="37">
        <v>21.321217073753616</v>
      </c>
      <c r="G841" s="12">
        <v>21.242383452997622</v>
      </c>
      <c r="H841" s="37">
        <v>188587.01650035442</v>
      </c>
      <c r="I841" s="37">
        <v>41661.836152853641</v>
      </c>
      <c r="J841" s="37">
        <v>325734.24972553796</v>
      </c>
      <c r="K841" s="37">
        <v>124015.85564131961</v>
      </c>
      <c r="L841" s="37">
        <v>121690.73428622803</v>
      </c>
      <c r="M841" s="37">
        <v>23030.370112413639</v>
      </c>
      <c r="N841" s="37">
        <v>273662.86451511947</v>
      </c>
      <c r="O841" s="37">
        <v>1144052.0428264798</v>
      </c>
      <c r="P841" s="68">
        <v>1</v>
      </c>
    </row>
    <row r="842" spans="1:16" x14ac:dyDescent="0.2">
      <c r="A842" s="10">
        <v>840</v>
      </c>
      <c r="B842" s="40">
        <v>0.19829042626737003</v>
      </c>
      <c r="C842" s="12">
        <v>8.0010115977128393</v>
      </c>
      <c r="D842" s="40">
        <v>0.63062150535413997</v>
      </c>
      <c r="E842" s="40">
        <v>1.3793772997196984E-2</v>
      </c>
      <c r="F842" s="37">
        <v>20.187572491733413</v>
      </c>
      <c r="G842" s="12">
        <v>25.40661830760115</v>
      </c>
      <c r="H842" s="37">
        <v>64635.962847932853</v>
      </c>
      <c r="I842" s="37">
        <v>27758.834201966642</v>
      </c>
      <c r="J842" s="37">
        <v>371161.23895576602</v>
      </c>
      <c r="K842" s="37">
        <v>75281.016884730838</v>
      </c>
      <c r="L842" s="37">
        <v>243222.78261800105</v>
      </c>
      <c r="M842" s="37">
        <v>98515.072802442373</v>
      </c>
      <c r="N842" s="37">
        <v>327310.16079644562</v>
      </c>
      <c r="O842" s="37">
        <v>1551215.0246783504</v>
      </c>
      <c r="P842" s="68">
        <v>1</v>
      </c>
    </row>
    <row r="843" spans="1:16" x14ac:dyDescent="0.2">
      <c r="A843" s="10">
        <v>841</v>
      </c>
      <c r="B843" s="40">
        <v>0.15950471902912025</v>
      </c>
      <c r="C843" s="12">
        <v>6.3936778949263608</v>
      </c>
      <c r="D843" s="40">
        <v>0.47998119080849161</v>
      </c>
      <c r="E843" s="40">
        <v>1.6765797433204638E-2</v>
      </c>
      <c r="F843" s="37">
        <v>20.301407334548799</v>
      </c>
      <c r="G843" s="12">
        <v>14.494976361555025</v>
      </c>
      <c r="H843" s="37">
        <v>123448.23659296821</v>
      </c>
      <c r="I843" s="37">
        <v>24400.849300612299</v>
      </c>
      <c r="J843" s="37">
        <v>364503.17312307103</v>
      </c>
      <c r="K843" s="37">
        <v>94470.816950392851</v>
      </c>
      <c r="L843" s="37">
        <v>118997.36317736185</v>
      </c>
      <c r="M843" s="37">
        <v>91651.865813282377</v>
      </c>
      <c r="N843" s="37">
        <v>186736.89611898639</v>
      </c>
      <c r="O843" s="37">
        <v>898375.02293443901</v>
      </c>
      <c r="P843" s="68">
        <v>1</v>
      </c>
    </row>
    <row r="844" spans="1:16" x14ac:dyDescent="0.2">
      <c r="A844" s="10">
        <v>842</v>
      </c>
      <c r="B844" s="40">
        <v>0.10362020174769569</v>
      </c>
      <c r="C844" s="12">
        <v>6.2487941618120555</v>
      </c>
      <c r="D844" s="40">
        <v>0.63189160600258631</v>
      </c>
      <c r="E844" s="40">
        <v>2.0106565520539056E-2</v>
      </c>
      <c r="F844" s="37">
        <v>9.6020364186154605</v>
      </c>
      <c r="G844" s="12">
        <v>13.708146601457727</v>
      </c>
      <c r="H844" s="37">
        <v>115186.40331793294</v>
      </c>
      <c r="I844" s="37">
        <v>65363.635334349558</v>
      </c>
      <c r="J844" s="37">
        <v>571963.97882508882</v>
      </c>
      <c r="K844" s="37">
        <v>76803.538689869296</v>
      </c>
      <c r="L844" s="37">
        <v>99465.407990101667</v>
      </c>
      <c r="M844" s="37">
        <v>68440.088188929381</v>
      </c>
      <c r="N844" s="37">
        <v>176600.27060752173</v>
      </c>
      <c r="O844" s="37">
        <v>683876.1484771854</v>
      </c>
      <c r="P844" s="68">
        <v>1</v>
      </c>
    </row>
    <row r="845" spans="1:16" x14ac:dyDescent="0.2">
      <c r="A845" s="10">
        <v>843</v>
      </c>
      <c r="B845" s="40">
        <v>7.4020440149447309E-2</v>
      </c>
      <c r="C845" s="12">
        <v>4.8100678508851349</v>
      </c>
      <c r="D845" s="40">
        <v>0.44509434124956992</v>
      </c>
      <c r="E845" s="40">
        <v>1.5268673593403231E-2</v>
      </c>
      <c r="F845" s="37">
        <v>11.325402362343162</v>
      </c>
      <c r="G845" s="12">
        <v>6.3691491403971172</v>
      </c>
      <c r="H845" s="37">
        <v>54964.427331776838</v>
      </c>
      <c r="I845" s="37">
        <v>39748.277816380396</v>
      </c>
      <c r="J845" s="37">
        <v>191543.06396202699</v>
      </c>
      <c r="K845" s="37">
        <v>172311.81087894842</v>
      </c>
      <c r="L845" s="37">
        <v>38525.099425553686</v>
      </c>
      <c r="M845" s="37">
        <v>43179.116930959535</v>
      </c>
      <c r="N845" s="37">
        <v>82052.920386347818</v>
      </c>
      <c r="O845" s="37">
        <v>49840.461924093193</v>
      </c>
      <c r="P845" s="68">
        <v>1</v>
      </c>
    </row>
    <row r="846" spans="1:16" x14ac:dyDescent="0.2">
      <c r="A846" s="10">
        <v>844</v>
      </c>
      <c r="B846" s="40">
        <v>0.18107992073916732</v>
      </c>
      <c r="C846" s="12">
        <v>8.8981250716916556</v>
      </c>
      <c r="D846" s="40">
        <v>0.52619193385373664</v>
      </c>
      <c r="E846" s="40">
        <v>2.9553945659902246E-2</v>
      </c>
      <c r="F846" s="37">
        <v>10.486859071492571</v>
      </c>
      <c r="G846" s="12">
        <v>16.344790176374758</v>
      </c>
      <c r="H846" s="37">
        <v>144650.2387490226</v>
      </c>
      <c r="I846" s="37">
        <v>23165.650735321509</v>
      </c>
      <c r="J846" s="37">
        <v>552429.59883566247</v>
      </c>
      <c r="K846" s="37">
        <v>97620.72292583443</v>
      </c>
      <c r="L846" s="37">
        <v>206111.3071240946</v>
      </c>
      <c r="M846" s="37">
        <v>91489.619319248217</v>
      </c>
      <c r="N846" s="37">
        <v>210567.80701951307</v>
      </c>
      <c r="O846" s="37">
        <v>1067936.0918896415</v>
      </c>
      <c r="P846" s="68">
        <v>1</v>
      </c>
    </row>
    <row r="847" spans="1:16" x14ac:dyDescent="0.2">
      <c r="A847" s="10">
        <v>845</v>
      </c>
      <c r="B847" s="40">
        <v>0.17159942212442475</v>
      </c>
      <c r="C847" s="12">
        <v>4.3937617594660958</v>
      </c>
      <c r="D847" s="40">
        <v>0.327972115031125</v>
      </c>
      <c r="E847" s="40">
        <v>1.639152724370932E-2</v>
      </c>
      <c r="F847" s="37">
        <v>24.770563379347635</v>
      </c>
      <c r="G847" s="12">
        <v>9.4575269537004942</v>
      </c>
      <c r="H847" s="37">
        <v>128664.91046423312</v>
      </c>
      <c r="I847" s="37">
        <v>71517.367572514559</v>
      </c>
      <c r="J847" s="37">
        <v>474458.40993040107</v>
      </c>
      <c r="K847" s="37">
        <v>105842.21996390306</v>
      </c>
      <c r="L847" s="37">
        <v>60114.338956499676</v>
      </c>
      <c r="M847" s="37">
        <v>74706.597434614523</v>
      </c>
      <c r="N847" s="37">
        <v>121840.0902660195</v>
      </c>
      <c r="O847" s="37">
        <v>508919.20938991255</v>
      </c>
      <c r="P847" s="68">
        <v>1</v>
      </c>
    </row>
    <row r="848" spans="1:16" x14ac:dyDescent="0.2">
      <c r="A848" s="10">
        <v>846</v>
      </c>
      <c r="B848" s="40">
        <v>6.5803953419947228E-2</v>
      </c>
      <c r="C848" s="12">
        <v>5.3256093633313091</v>
      </c>
      <c r="D848" s="40">
        <v>0.6470796581836793</v>
      </c>
      <c r="E848" s="40">
        <v>1.9346341511442926E-2</v>
      </c>
      <c r="F848" s="37">
        <v>11.895437314055023</v>
      </c>
      <c r="G848" s="12">
        <v>15.585806617397727</v>
      </c>
      <c r="H848" s="37">
        <v>75320.660669068602</v>
      </c>
      <c r="I848" s="37">
        <v>15979.317000146029</v>
      </c>
      <c r="J848" s="37">
        <v>394769.85987824714</v>
      </c>
      <c r="K848" s="37">
        <v>153353.13342887681</v>
      </c>
      <c r="L848" s="37">
        <v>55127.445773956533</v>
      </c>
      <c r="M848" s="37">
        <v>83541.783376925101</v>
      </c>
      <c r="N848" s="37">
        <v>200789.92049707467</v>
      </c>
      <c r="O848" s="37">
        <v>382421.03132630442</v>
      </c>
      <c r="P848" s="68">
        <v>1</v>
      </c>
    </row>
    <row r="849" spans="1:16" x14ac:dyDescent="0.2">
      <c r="A849" s="10">
        <v>847</v>
      </c>
      <c r="B849" s="40">
        <v>7.7741289072923561E-2</v>
      </c>
      <c r="C849" s="12">
        <v>4.9112315202768499</v>
      </c>
      <c r="D849" s="40">
        <v>0.59486977156059262</v>
      </c>
      <c r="E849" s="40">
        <v>3.9559397878409223E-2</v>
      </c>
      <c r="F849" s="37">
        <v>16.053713794183857</v>
      </c>
      <c r="G849" s="12">
        <v>11.878012776382919</v>
      </c>
      <c r="H849" s="37">
        <v>90571.027947458206</v>
      </c>
      <c r="I849" s="37">
        <v>41844.009458875858</v>
      </c>
      <c r="J849" s="37">
        <v>476575.21877615119</v>
      </c>
      <c r="K849" s="37">
        <v>113766.96592718146</v>
      </c>
      <c r="L849" s="37">
        <v>55214.465909197599</v>
      </c>
      <c r="M849" s="37">
        <v>211940.4350539835</v>
      </c>
      <c r="N849" s="37">
        <v>153022.89445648022</v>
      </c>
      <c r="O849" s="37">
        <v>752855.55810905807</v>
      </c>
      <c r="P849" s="68">
        <v>1</v>
      </c>
    </row>
    <row r="850" spans="1:16" x14ac:dyDescent="0.2">
      <c r="A850" s="10">
        <v>848</v>
      </c>
      <c r="B850" s="40">
        <v>0.1257611423819899</v>
      </c>
      <c r="C850" s="12">
        <v>4.1215887512966098</v>
      </c>
      <c r="D850" s="40">
        <v>0.60647904166011646</v>
      </c>
      <c r="E850" s="40">
        <v>3.8423153444841547E-2</v>
      </c>
      <c r="F850" s="37">
        <v>8.6541448798078804</v>
      </c>
      <c r="G850" s="12">
        <v>13.093881588890802</v>
      </c>
      <c r="H850" s="37">
        <v>207902.97130209167</v>
      </c>
      <c r="I850" s="37">
        <v>4473.7932610926773</v>
      </c>
      <c r="J850" s="37">
        <v>489125.05059629667</v>
      </c>
      <c r="K850" s="37">
        <v>86255.402372579847</v>
      </c>
      <c r="L850" s="37">
        <v>76421.53500869374</v>
      </c>
      <c r="M850" s="37">
        <v>113135.70721644933</v>
      </c>
      <c r="N850" s="37">
        <v>168686.77430507366</v>
      </c>
      <c r="O850" s="37">
        <v>867890.90670220274</v>
      </c>
      <c r="P850" s="68">
        <v>1</v>
      </c>
    </row>
    <row r="851" spans="1:16" x14ac:dyDescent="0.2">
      <c r="A851" s="10">
        <v>849</v>
      </c>
      <c r="B851" s="40">
        <v>9.1850678259712257E-2</v>
      </c>
      <c r="C851" s="12">
        <v>7.5453629779924114</v>
      </c>
      <c r="D851" s="40">
        <v>0.65662952667990537</v>
      </c>
      <c r="E851" s="40">
        <v>2.0059071708927192E-2</v>
      </c>
      <c r="F851" s="37">
        <v>22.481354951928349</v>
      </c>
      <c r="G851" s="12">
        <v>20.509620751604551</v>
      </c>
      <c r="H851" s="37">
        <v>50385.828011409045</v>
      </c>
      <c r="I851" s="37">
        <v>45351.629238053458</v>
      </c>
      <c r="J851" s="37">
        <v>298479.50389644329</v>
      </c>
      <c r="K851" s="37">
        <v>95486.996799968387</v>
      </c>
      <c r="L851" s="37">
        <v>110629.70180563178</v>
      </c>
      <c r="M851" s="37">
        <v>166119.43803843047</v>
      </c>
      <c r="N851" s="37">
        <v>264222.77789222373</v>
      </c>
      <c r="O851" s="37">
        <v>1217829.1257268728</v>
      </c>
      <c r="P851" s="68">
        <v>1</v>
      </c>
    </row>
    <row r="852" spans="1:16" x14ac:dyDescent="0.2">
      <c r="A852" s="10">
        <v>850</v>
      </c>
      <c r="B852" s="40">
        <v>0.2011776010616117</v>
      </c>
      <c r="C852" s="12">
        <v>4.2045511749666922</v>
      </c>
      <c r="D852" s="40">
        <v>0.49816292868734396</v>
      </c>
      <c r="E852" s="40">
        <v>2.1911873521694956E-2</v>
      </c>
      <c r="F852" s="37">
        <v>26.246100461256674</v>
      </c>
      <c r="G852" s="12">
        <v>10.313752513632348</v>
      </c>
      <c r="H852" s="37">
        <v>46142.456983927768</v>
      </c>
      <c r="I852" s="37">
        <v>32309.851303096311</v>
      </c>
      <c r="J852" s="37">
        <v>438294.16817209637</v>
      </c>
      <c r="K852" s="37">
        <v>111881.08060932935</v>
      </c>
      <c r="L852" s="37">
        <v>102437.62558997577</v>
      </c>
      <c r="M852" s="37">
        <v>160724.63092610418</v>
      </c>
      <c r="N852" s="37">
        <v>132870.73284529877</v>
      </c>
      <c r="O852" s="37">
        <v>577591.2157198122</v>
      </c>
      <c r="P852" s="68">
        <v>1</v>
      </c>
    </row>
    <row r="853" spans="1:16" x14ac:dyDescent="0.2">
      <c r="A853" s="10">
        <v>851</v>
      </c>
      <c r="B853" s="40">
        <v>0.12961613097130298</v>
      </c>
      <c r="C853" s="12">
        <v>5.3747479691469184</v>
      </c>
      <c r="D853" s="40">
        <v>0.56638968768210041</v>
      </c>
      <c r="E853" s="40">
        <v>2.5391306943527366E-2</v>
      </c>
      <c r="F853" s="37">
        <v>23.248377233696054</v>
      </c>
      <c r="G853" s="12">
        <v>10.282084252878816</v>
      </c>
      <c r="H853" s="37">
        <v>134019.10060914571</v>
      </c>
      <c r="I853" s="37">
        <v>37172.39298895769</v>
      </c>
      <c r="J853" s="37">
        <v>255927.4412286455</v>
      </c>
      <c r="K853" s="37">
        <v>109525.27083509394</v>
      </c>
      <c r="L853" s="37">
        <v>95922.684616780476</v>
      </c>
      <c r="M853" s="37">
        <v>187568.44108680845</v>
      </c>
      <c r="N853" s="37">
        <v>132462.75475888493</v>
      </c>
      <c r="O853" s="37">
        <v>1082190.7027956645</v>
      </c>
      <c r="P853" s="68">
        <v>1</v>
      </c>
    </row>
    <row r="854" spans="1:16" x14ac:dyDescent="0.2">
      <c r="A854" s="10">
        <v>852</v>
      </c>
      <c r="B854" s="40">
        <v>0.22922370317081517</v>
      </c>
      <c r="C854" s="12">
        <v>4.0735234209823137</v>
      </c>
      <c r="D854" s="40">
        <v>0.80726754268998246</v>
      </c>
      <c r="E854" s="40">
        <v>2.0068153827311343E-2</v>
      </c>
      <c r="F854" s="37">
        <v>21.980359172596923</v>
      </c>
      <c r="G854" s="12">
        <v>9.32432059926645</v>
      </c>
      <c r="H854" s="37">
        <v>145423.94927103704</v>
      </c>
      <c r="I854" s="37">
        <v>4675.0454078680978</v>
      </c>
      <c r="J854" s="37">
        <v>247825.8384752603</v>
      </c>
      <c r="K854" s="37">
        <v>134713.76219627442</v>
      </c>
      <c r="L854" s="37">
        <v>183246.65807252517</v>
      </c>
      <c r="M854" s="37">
        <v>199768.233607184</v>
      </c>
      <c r="N854" s="37">
        <v>120124.01011867178</v>
      </c>
      <c r="O854" s="37">
        <v>1204890.5516226585</v>
      </c>
      <c r="P854" s="68">
        <v>1</v>
      </c>
    </row>
    <row r="855" spans="1:16" x14ac:dyDescent="0.2">
      <c r="A855" s="10">
        <v>853</v>
      </c>
      <c r="B855" s="40">
        <v>0.16314440692538418</v>
      </c>
      <c r="C855" s="12">
        <v>2.0498662755870143</v>
      </c>
      <c r="D855" s="40">
        <v>0.59848638448172164</v>
      </c>
      <c r="E855" s="40">
        <v>7.84027018345149E-3</v>
      </c>
      <c r="F855" s="37">
        <v>24.048911531949592</v>
      </c>
      <c r="G855" s="12">
        <v>11.768257204091739</v>
      </c>
      <c r="H855" s="37">
        <v>202448.38551668538</v>
      </c>
      <c r="I855" s="37">
        <v>21361.192782953105</v>
      </c>
      <c r="J855" s="37">
        <v>531675.72137973097</v>
      </c>
      <c r="K855" s="37">
        <v>129495.76279508711</v>
      </c>
      <c r="L855" s="37">
        <v>48656.495351457896</v>
      </c>
      <c r="M855" s="37">
        <v>63306.377117888071</v>
      </c>
      <c r="N855" s="37">
        <v>151608.92768687734</v>
      </c>
      <c r="O855" s="37">
        <v>470989.85439254553</v>
      </c>
      <c r="P855" s="68">
        <v>1</v>
      </c>
    </row>
    <row r="856" spans="1:16" x14ac:dyDescent="0.2">
      <c r="A856" s="10">
        <v>854</v>
      </c>
      <c r="B856" s="40">
        <v>5.3906031503248741E-2</v>
      </c>
      <c r="C856" s="12">
        <v>4.5777534579899362</v>
      </c>
      <c r="D856" s="40">
        <v>0.71153598551486263</v>
      </c>
      <c r="E856" s="40">
        <v>3.3936373589203581E-2</v>
      </c>
      <c r="F856" s="37">
        <v>18.540087540237778</v>
      </c>
      <c r="G856" s="12">
        <v>21.820568833172864</v>
      </c>
      <c r="H856" s="37">
        <v>171922.50086700812</v>
      </c>
      <c r="I856" s="37">
        <v>20659.830916752559</v>
      </c>
      <c r="J856" s="37">
        <v>316561.89671405882</v>
      </c>
      <c r="K856" s="37">
        <v>88522.082806116319</v>
      </c>
      <c r="L856" s="37">
        <v>42685.017012037802</v>
      </c>
      <c r="M856" s="37">
        <v>251154.41310201451</v>
      </c>
      <c r="N856" s="37">
        <v>281111.55160381773</v>
      </c>
      <c r="O856" s="37">
        <v>1585781.0776581857</v>
      </c>
      <c r="P856" s="68">
        <v>1</v>
      </c>
    </row>
    <row r="857" spans="1:16" x14ac:dyDescent="0.2">
      <c r="A857" s="10">
        <v>855</v>
      </c>
      <c r="B857" s="40">
        <v>0.17507446689844175</v>
      </c>
      <c r="C857" s="12">
        <v>3.7024499515947102</v>
      </c>
      <c r="D857" s="40">
        <v>0.3377940628836516</v>
      </c>
      <c r="E857" s="40">
        <v>3.3494587266600803E-2</v>
      </c>
      <c r="F857" s="37">
        <v>19.818580071784126</v>
      </c>
      <c r="G857" s="12">
        <v>17.373120972732117</v>
      </c>
      <c r="H857" s="37">
        <v>89609.705385397538</v>
      </c>
      <c r="I857" s="37">
        <v>71327.193393475172</v>
      </c>
      <c r="J857" s="37">
        <v>245785.0590039895</v>
      </c>
      <c r="K857" s="37">
        <v>172158.69865682867</v>
      </c>
      <c r="L857" s="37">
        <v>53229.556879603042</v>
      </c>
      <c r="M857" s="37">
        <v>125795.73307398445</v>
      </c>
      <c r="N857" s="37">
        <v>223815.65898598143</v>
      </c>
      <c r="O857" s="37">
        <v>851389.63144096138</v>
      </c>
      <c r="P857" s="68">
        <v>1</v>
      </c>
    </row>
    <row r="858" spans="1:16" x14ac:dyDescent="0.2">
      <c r="A858" s="10">
        <v>856</v>
      </c>
      <c r="B858" s="40">
        <v>9.9507434551205087E-2</v>
      </c>
      <c r="C858" s="12">
        <v>4.368863443384603</v>
      </c>
      <c r="D858" s="40">
        <v>0.64496733151981078</v>
      </c>
      <c r="E858" s="40">
        <v>1.597688224490549E-2</v>
      </c>
      <c r="F858" s="37">
        <v>23.931132307108314</v>
      </c>
      <c r="G858" s="12">
        <v>13.03604538508932</v>
      </c>
      <c r="H858" s="37">
        <v>103282.15547837334</v>
      </c>
      <c r="I858" s="37">
        <v>61263.417942444677</v>
      </c>
      <c r="J858" s="37">
        <v>445879.66224213259</v>
      </c>
      <c r="K858" s="37">
        <v>66746.759151709717</v>
      </c>
      <c r="L858" s="37">
        <v>68163.290456762144</v>
      </c>
      <c r="M858" s="37">
        <v>138343.80989620357</v>
      </c>
      <c r="N858" s="37">
        <v>167941.67801020565</v>
      </c>
      <c r="O858" s="37">
        <v>877186.65742390812</v>
      </c>
      <c r="P858" s="68">
        <v>1</v>
      </c>
    </row>
    <row r="859" spans="1:16" x14ac:dyDescent="0.2">
      <c r="A859" s="10">
        <v>857</v>
      </c>
      <c r="B859" s="40">
        <v>0.14808409655815025</v>
      </c>
      <c r="C859" s="12">
        <v>6.5276542702430618</v>
      </c>
      <c r="D859" s="40">
        <v>0.30985309788727111</v>
      </c>
      <c r="E859" s="40">
        <v>4.3746945172429184E-2</v>
      </c>
      <c r="F859" s="37">
        <v>18.658424610497292</v>
      </c>
      <c r="G859" s="12">
        <v>14.380864784879343</v>
      </c>
      <c r="H859" s="37">
        <v>88589.29013799224</v>
      </c>
      <c r="I859" s="37">
        <v>62028.654137803242</v>
      </c>
      <c r="J859" s="37">
        <v>334705.58328336885</v>
      </c>
      <c r="K859" s="37">
        <v>90213.016786954293</v>
      </c>
      <c r="L859" s="37">
        <v>72813.219913583875</v>
      </c>
      <c r="M859" s="37">
        <v>141887.87302928144</v>
      </c>
      <c r="N859" s="37">
        <v>185266.81151117853</v>
      </c>
      <c r="O859" s="37">
        <v>955091.96769576392</v>
      </c>
      <c r="P859" s="68">
        <v>1</v>
      </c>
    </row>
    <row r="860" spans="1:16" x14ac:dyDescent="0.2">
      <c r="A860" s="10">
        <v>858</v>
      </c>
      <c r="B860" s="40">
        <v>0.17835871946353662</v>
      </c>
      <c r="C860" s="12">
        <v>2.4191657548351593</v>
      </c>
      <c r="D860" s="40">
        <v>0.56033594455221092</v>
      </c>
      <c r="E860" s="40">
        <v>4.481756719201125E-2</v>
      </c>
      <c r="F860" s="37">
        <v>18.758800468290016</v>
      </c>
      <c r="G860" s="12">
        <v>20.613772199197175</v>
      </c>
      <c r="H860" s="37">
        <v>63507.739618526888</v>
      </c>
      <c r="I860" s="37">
        <v>46989.86742379846</v>
      </c>
      <c r="J860" s="37">
        <v>272733.22025019437</v>
      </c>
      <c r="K860" s="37">
        <v>71756.695505634649</v>
      </c>
      <c r="L860" s="37">
        <v>58775.628775498866</v>
      </c>
      <c r="M860" s="37">
        <v>264282.59150339128</v>
      </c>
      <c r="N860" s="37">
        <v>265564.54745187133</v>
      </c>
      <c r="O860" s="37">
        <v>1484912.0640675514</v>
      </c>
      <c r="P860" s="68">
        <v>1</v>
      </c>
    </row>
    <row r="861" spans="1:16" x14ac:dyDescent="0.2">
      <c r="A861" s="10">
        <v>859</v>
      </c>
      <c r="B861" s="40">
        <v>0.15213812614342323</v>
      </c>
      <c r="C861" s="12">
        <v>2.598138207981127</v>
      </c>
      <c r="D861" s="40">
        <v>0.7243393861235754</v>
      </c>
      <c r="E861" s="40">
        <v>2.1158413202916573E-2</v>
      </c>
      <c r="F861" s="37">
        <v>16.801485818711356</v>
      </c>
      <c r="G861" s="12">
        <v>19.493586877384772</v>
      </c>
      <c r="H861" s="37">
        <v>83914.091862920264</v>
      </c>
      <c r="I861" s="37">
        <v>35113.989775877722</v>
      </c>
      <c r="J861" s="37">
        <v>332823.99683700013</v>
      </c>
      <c r="K861" s="37">
        <v>133064.22723823495</v>
      </c>
      <c r="L861" s="37">
        <v>69603.526307331689</v>
      </c>
      <c r="M861" s="37">
        <v>144457.34099574509</v>
      </c>
      <c r="N861" s="37">
        <v>251133.34557505397</v>
      </c>
      <c r="O861" s="37">
        <v>931157.12868851796</v>
      </c>
      <c r="P861" s="68">
        <v>1</v>
      </c>
    </row>
    <row r="862" spans="1:16" x14ac:dyDescent="0.2">
      <c r="A862" s="10">
        <v>860</v>
      </c>
      <c r="B862" s="40">
        <v>0.13121683116080962</v>
      </c>
      <c r="C862" s="12">
        <v>6.3518039218503608</v>
      </c>
      <c r="D862" s="40">
        <v>0.66818880496836419</v>
      </c>
      <c r="E862" s="40">
        <v>2.5323871141064727E-2</v>
      </c>
      <c r="F862" s="37">
        <v>15.867804085723675</v>
      </c>
      <c r="G862" s="12">
        <v>25.442668571408479</v>
      </c>
      <c r="H862" s="37">
        <v>91687.596758991625</v>
      </c>
      <c r="I862" s="37">
        <v>13856.562674086334</v>
      </c>
      <c r="J862" s="37">
        <v>163966.76892395041</v>
      </c>
      <c r="K862" s="37">
        <v>102567.48868497823</v>
      </c>
      <c r="L862" s="37">
        <v>135386.27933718197</v>
      </c>
      <c r="M862" s="37">
        <v>150630.47713051955</v>
      </c>
      <c r="N862" s="37">
        <v>327774.59165854118</v>
      </c>
      <c r="O862" s="37">
        <v>1563993.3213992566</v>
      </c>
      <c r="P862" s="68">
        <v>1</v>
      </c>
    </row>
    <row r="863" spans="1:16" x14ac:dyDescent="0.2">
      <c r="A863" s="10">
        <v>861</v>
      </c>
      <c r="B863" s="40">
        <v>6.6915340503887658E-2</v>
      </c>
      <c r="C863" s="12">
        <v>6.3205925772981555</v>
      </c>
      <c r="D863" s="40">
        <v>0.74541646418685248</v>
      </c>
      <c r="E863" s="40">
        <v>2.4217233217051229E-2</v>
      </c>
      <c r="F863" s="37">
        <v>11.761338049371989</v>
      </c>
      <c r="G863" s="12">
        <v>13.282953200706455</v>
      </c>
      <c r="H863" s="37">
        <v>84413.147333801317</v>
      </c>
      <c r="I863" s="37">
        <v>32064.899125599219</v>
      </c>
      <c r="J863" s="37">
        <v>245693.12347121781</v>
      </c>
      <c r="K863" s="37">
        <v>171091.78667921404</v>
      </c>
      <c r="L863" s="37">
        <v>76642.788878096937</v>
      </c>
      <c r="M863" s="37">
        <v>119109.65584945696</v>
      </c>
      <c r="N863" s="37">
        <v>171122.55930078519</v>
      </c>
      <c r="O863" s="37">
        <v>629149.58092158125</v>
      </c>
      <c r="P863" s="68">
        <v>1</v>
      </c>
    </row>
    <row r="864" spans="1:16" x14ac:dyDescent="0.2">
      <c r="A864" s="10">
        <v>862</v>
      </c>
      <c r="B864" s="40">
        <v>0.15856903090292856</v>
      </c>
      <c r="C864" s="12">
        <v>4.049887383280077</v>
      </c>
      <c r="D864" s="40">
        <v>0.46479011051180508</v>
      </c>
      <c r="E864" s="40">
        <v>3.53135970258193E-2</v>
      </c>
      <c r="F864" s="37">
        <v>23.219693324891157</v>
      </c>
      <c r="G864" s="12">
        <v>24.994279178207954</v>
      </c>
      <c r="H864" s="37">
        <v>42444.290738547606</v>
      </c>
      <c r="I864" s="37">
        <v>55137.369232153746</v>
      </c>
      <c r="J864" s="37">
        <v>359456.83572475705</v>
      </c>
      <c r="K864" s="37">
        <v>108861.75200831759</v>
      </c>
      <c r="L864" s="37">
        <v>72561.629530849736</v>
      </c>
      <c r="M864" s="37">
        <v>213807.06267525151</v>
      </c>
      <c r="N864" s="37">
        <v>321998.04939655989</v>
      </c>
      <c r="O864" s="37">
        <v>1313363.2025065029</v>
      </c>
      <c r="P864" s="68">
        <v>1</v>
      </c>
    </row>
    <row r="865" spans="1:16" x14ac:dyDescent="0.2">
      <c r="A865" s="10">
        <v>863</v>
      </c>
      <c r="B865" s="40">
        <v>0.13305818256574681</v>
      </c>
      <c r="C865" s="12">
        <v>2.4285826620989175</v>
      </c>
      <c r="D865" s="40">
        <v>0.69453147908673007</v>
      </c>
      <c r="E865" s="40">
        <v>3.3797176356489739E-2</v>
      </c>
      <c r="F865" s="37">
        <v>12.187124052131292</v>
      </c>
      <c r="G865" s="12">
        <v>13.746341080283774</v>
      </c>
      <c r="H865" s="37">
        <v>42449.923347146185</v>
      </c>
      <c r="I865" s="37">
        <v>30938.216170505635</v>
      </c>
      <c r="J865" s="37">
        <v>394716.04077782296</v>
      </c>
      <c r="K865" s="37">
        <v>163108.2689034614</v>
      </c>
      <c r="L865" s="37">
        <v>54560.110532577164</v>
      </c>
      <c r="M865" s="37">
        <v>160487.16903941488</v>
      </c>
      <c r="N865" s="37">
        <v>177092.32511295544</v>
      </c>
      <c r="O865" s="37">
        <v>452553.54496874474</v>
      </c>
      <c r="P865" s="68">
        <v>1</v>
      </c>
    </row>
    <row r="866" spans="1:16" x14ac:dyDescent="0.2">
      <c r="A866" s="10">
        <v>864</v>
      </c>
      <c r="B866" s="40">
        <v>0.14074101891711113</v>
      </c>
      <c r="C866" s="12">
        <v>4.4263580590865947</v>
      </c>
      <c r="D866" s="40">
        <v>0.33190925049945402</v>
      </c>
      <c r="E866" s="40">
        <v>1.0708761060432526E-2</v>
      </c>
      <c r="F866" s="37">
        <v>21.72983123714657</v>
      </c>
      <c r="G866" s="12">
        <v>19.116551629135323</v>
      </c>
      <c r="H866" s="37">
        <v>87426.388186078286</v>
      </c>
      <c r="I866" s="37">
        <v>13895.479763153151</v>
      </c>
      <c r="J866" s="37">
        <v>277332.84588261181</v>
      </c>
      <c r="K866" s="37">
        <v>105056.17861812976</v>
      </c>
      <c r="L866" s="37">
        <v>50266.126421414192</v>
      </c>
      <c r="M866" s="37">
        <v>43329.299755024353</v>
      </c>
      <c r="N866" s="37">
        <v>246276.0494864386</v>
      </c>
      <c r="O866" s="37">
        <v>664401.46622399311</v>
      </c>
      <c r="P866" s="68">
        <v>1</v>
      </c>
    </row>
    <row r="867" spans="1:16" x14ac:dyDescent="0.2">
      <c r="A867" s="10">
        <v>865</v>
      </c>
      <c r="B867" s="40">
        <v>7.2733558035771709E-2</v>
      </c>
      <c r="C867" s="12">
        <v>5.7409193503946394</v>
      </c>
      <c r="D867" s="40">
        <v>0.34918116361583595</v>
      </c>
      <c r="E867" s="40">
        <v>1.6277884905821965E-2</v>
      </c>
      <c r="F867" s="37">
        <v>11.171246272391585</v>
      </c>
      <c r="G867" s="12">
        <v>5.4976576406103126</v>
      </c>
      <c r="H867" s="37">
        <v>182597.10783850949</v>
      </c>
      <c r="I867" s="37">
        <v>39387.64396815822</v>
      </c>
      <c r="J867" s="37">
        <v>544176.09360606037</v>
      </c>
      <c r="K867" s="37">
        <v>112496.79692435452</v>
      </c>
      <c r="L867" s="37">
        <v>35445.076378730053</v>
      </c>
      <c r="M867" s="37">
        <v>35621.9048541995</v>
      </c>
      <c r="N867" s="37">
        <v>70825.608688489374</v>
      </c>
      <c r="O867" s="37">
        <v>160100.93699829676</v>
      </c>
      <c r="P867" s="68">
        <v>1</v>
      </c>
    </row>
    <row r="868" spans="1:16" x14ac:dyDescent="0.2">
      <c r="A868" s="10">
        <v>866</v>
      </c>
      <c r="B868" s="40">
        <v>0.1454391317745882</v>
      </c>
      <c r="C868" s="12">
        <v>4.8274658350541966</v>
      </c>
      <c r="D868" s="40">
        <v>0.55136584948873479</v>
      </c>
      <c r="E868" s="40">
        <v>2.5681951582647387E-2</v>
      </c>
      <c r="F868" s="37">
        <v>15.017093724334618</v>
      </c>
      <c r="G868" s="12">
        <v>12.066331387595898</v>
      </c>
      <c r="H868" s="37">
        <v>42992.677909589387</v>
      </c>
      <c r="I868" s="37">
        <v>65812.217028463725</v>
      </c>
      <c r="J868" s="37">
        <v>317387.14832866634</v>
      </c>
      <c r="K868" s="37">
        <v>142479.15361511614</v>
      </c>
      <c r="L868" s="37">
        <v>94108.5701502343</v>
      </c>
      <c r="M868" s="37">
        <v>119294.52420699318</v>
      </c>
      <c r="N868" s="37">
        <v>155448.97864331759</v>
      </c>
      <c r="O868" s="37">
        <v>621659.4114618107</v>
      </c>
      <c r="P868" s="68">
        <v>1</v>
      </c>
    </row>
    <row r="869" spans="1:16" x14ac:dyDescent="0.2">
      <c r="A869" s="10">
        <v>867</v>
      </c>
      <c r="B869" s="40">
        <v>0.1026818620513142</v>
      </c>
      <c r="C869" s="12">
        <v>4.693120890258351</v>
      </c>
      <c r="D869" s="40">
        <v>0.64176051661569811</v>
      </c>
      <c r="E869" s="40">
        <v>1.1686259190826366E-2</v>
      </c>
      <c r="F869" s="37">
        <v>25.912215698971817</v>
      </c>
      <c r="G869" s="12">
        <v>10.78707854978127</v>
      </c>
      <c r="H869" s="37">
        <v>56580.067520412173</v>
      </c>
      <c r="I869" s="37">
        <v>61007.028114617628</v>
      </c>
      <c r="J869" s="37">
        <v>339280.31103149842</v>
      </c>
      <c r="K869" s="37">
        <v>114040.08237188472</v>
      </c>
      <c r="L869" s="37">
        <v>75182.593106828455</v>
      </c>
      <c r="M869" s="37">
        <v>109023.41730393659</v>
      </c>
      <c r="N869" s="37">
        <v>138968.53063662065</v>
      </c>
      <c r="O869" s="37">
        <v>576074.8779864728</v>
      </c>
      <c r="P869" s="68">
        <v>1</v>
      </c>
    </row>
    <row r="870" spans="1:16" x14ac:dyDescent="0.2">
      <c r="A870" s="10">
        <v>868</v>
      </c>
      <c r="B870" s="40">
        <v>0.20988297255895974</v>
      </c>
      <c r="C870" s="12">
        <v>6.3620622515133824</v>
      </c>
      <c r="D870" s="40">
        <v>0.40580179952472872</v>
      </c>
      <c r="E870" s="40">
        <v>1.4830060195865667E-2</v>
      </c>
      <c r="F870" s="37">
        <v>11.510724668960711</v>
      </c>
      <c r="G870" s="12">
        <v>18.917569440683728</v>
      </c>
      <c r="H870" s="37">
        <v>28963.187199154592</v>
      </c>
      <c r="I870" s="37">
        <v>61754.308899843803</v>
      </c>
      <c r="J870" s="37">
        <v>466894.36402764963</v>
      </c>
      <c r="K870" s="37">
        <v>148366.84531053068</v>
      </c>
      <c r="L870" s="37">
        <v>131727.94564129907</v>
      </c>
      <c r="M870" s="37">
        <v>38862.101373115882</v>
      </c>
      <c r="N870" s="37">
        <v>243712.58782030118</v>
      </c>
      <c r="O870" s="37">
        <v>532318.67033862136</v>
      </c>
      <c r="P870" s="68">
        <v>1</v>
      </c>
    </row>
    <row r="871" spans="1:16" x14ac:dyDescent="0.2">
      <c r="A871" s="10">
        <v>869</v>
      </c>
      <c r="B871" s="40">
        <v>0.11023507329355267</v>
      </c>
      <c r="C871" s="12">
        <v>8.2367331534050052</v>
      </c>
      <c r="D871" s="40">
        <v>0.6219387016292377</v>
      </c>
      <c r="E871" s="40">
        <v>3.8426925797341999E-2</v>
      </c>
      <c r="F871" s="37">
        <v>13.993258679601784</v>
      </c>
      <c r="G871" s="12">
        <v>7.3611406058154314</v>
      </c>
      <c r="H871" s="37">
        <v>46058.2012572534</v>
      </c>
      <c r="I871" s="37">
        <v>31148.109645842887</v>
      </c>
      <c r="J871" s="37">
        <v>277794.84757721151</v>
      </c>
      <c r="K871" s="37">
        <v>156843.99841185694</v>
      </c>
      <c r="L871" s="37">
        <v>137281.24329009335</v>
      </c>
      <c r="M871" s="37">
        <v>187615.54486528446</v>
      </c>
      <c r="N871" s="37">
        <v>94832.617476441461</v>
      </c>
      <c r="O871" s="37">
        <v>675018.68681881123</v>
      </c>
      <c r="P871" s="68">
        <v>1</v>
      </c>
    </row>
    <row r="872" spans="1:16" x14ac:dyDescent="0.2">
      <c r="A872" s="10">
        <v>870</v>
      </c>
      <c r="B872" s="40">
        <v>0.19188718790444342</v>
      </c>
      <c r="C872" s="12">
        <v>4.8063962234557609</v>
      </c>
      <c r="D872" s="40">
        <v>0.52196098191402762</v>
      </c>
      <c r="E872" s="40">
        <v>3.8285551946824183E-2</v>
      </c>
      <c r="F872" s="37">
        <v>23.937911557656065</v>
      </c>
      <c r="G872" s="12">
        <v>13.980140177283648</v>
      </c>
      <c r="H872" s="37">
        <v>107661.11891692365</v>
      </c>
      <c r="I872" s="37">
        <v>21766.349082379755</v>
      </c>
      <c r="J872" s="37">
        <v>287462.2050165385</v>
      </c>
      <c r="K872" s="37">
        <v>109473.32961709332</v>
      </c>
      <c r="L872" s="37">
        <v>117028.70979201657</v>
      </c>
      <c r="M872" s="37">
        <v>268365.04154731351</v>
      </c>
      <c r="N872" s="37">
        <v>180104.32848572219</v>
      </c>
      <c r="O872" s="37">
        <v>1352762.3800708568</v>
      </c>
      <c r="P872" s="68">
        <v>1</v>
      </c>
    </row>
    <row r="873" spans="1:16" x14ac:dyDescent="0.2">
      <c r="A873" s="10">
        <v>871</v>
      </c>
      <c r="B873" s="40">
        <v>9.8183955574845966E-2</v>
      </c>
      <c r="C873" s="12">
        <v>5.3637105131472165</v>
      </c>
      <c r="D873" s="40">
        <v>0.65581581186162818</v>
      </c>
      <c r="E873" s="40">
        <v>3.817698717063725E-2</v>
      </c>
      <c r="F873" s="37">
        <v>10.695882724548332</v>
      </c>
      <c r="G873" s="12">
        <v>12.039861378106171</v>
      </c>
      <c r="H873" s="37">
        <v>42499.971052450004</v>
      </c>
      <c r="I873" s="37">
        <v>55752.428962888684</v>
      </c>
      <c r="J873" s="37">
        <v>271650.22423067247</v>
      </c>
      <c r="K873" s="37">
        <v>180216.76963341568</v>
      </c>
      <c r="L873" s="37">
        <v>83960.799996820977</v>
      </c>
      <c r="M873" s="37">
        <v>150233.5396599099</v>
      </c>
      <c r="N873" s="37">
        <v>155107.96895216266</v>
      </c>
      <c r="O873" s="37">
        <v>589399.1112837831</v>
      </c>
      <c r="P873" s="68">
        <v>1</v>
      </c>
    </row>
    <row r="874" spans="1:16" x14ac:dyDescent="0.2">
      <c r="A874" s="10">
        <v>872</v>
      </c>
      <c r="B874" s="40">
        <v>0.17900333387091899</v>
      </c>
      <c r="C874" s="12">
        <v>6.7237208901713306</v>
      </c>
      <c r="D874" s="40">
        <v>0.29915711743283702</v>
      </c>
      <c r="E874" s="40">
        <v>1.4799114357223543E-2</v>
      </c>
      <c r="F874" s="37">
        <v>26.984173243261498</v>
      </c>
      <c r="G874" s="12">
        <v>13.818352405804173</v>
      </c>
      <c r="H874" s="37">
        <v>156144.87240050762</v>
      </c>
      <c r="I874" s="37">
        <v>24356.730311131312</v>
      </c>
      <c r="J874" s="37">
        <v>385428.39764080319</v>
      </c>
      <c r="K874" s="37">
        <v>91945.12490448574</v>
      </c>
      <c r="L874" s="37">
        <v>87530.41067480552</v>
      </c>
      <c r="M874" s="37">
        <v>67021.00167618462</v>
      </c>
      <c r="N874" s="37">
        <v>178020.03765816242</v>
      </c>
      <c r="O874" s="37">
        <v>794419.17862489424</v>
      </c>
      <c r="P874" s="68">
        <v>1</v>
      </c>
    </row>
    <row r="875" spans="1:16" x14ac:dyDescent="0.2">
      <c r="A875" s="10">
        <v>873</v>
      </c>
      <c r="B875" s="40">
        <v>0.15899069038124505</v>
      </c>
      <c r="C875" s="12">
        <v>6.8806042387900197</v>
      </c>
      <c r="D875" s="40">
        <v>0.70618253025935096</v>
      </c>
      <c r="E875" s="40">
        <v>8.8287260737176347E-3</v>
      </c>
      <c r="F875" s="37">
        <v>11.123513679427223</v>
      </c>
      <c r="G875" s="12">
        <v>16.766280384646336</v>
      </c>
      <c r="H875" s="37">
        <v>58764.252178842449</v>
      </c>
      <c r="I875" s="37">
        <v>25916.357077219473</v>
      </c>
      <c r="J875" s="37">
        <v>253416.13763392414</v>
      </c>
      <c r="K875" s="37">
        <v>196893.64734788862</v>
      </c>
      <c r="L875" s="37">
        <v>187803.66920838234</v>
      </c>
      <c r="M875" s="37">
        <v>38906.640954124101</v>
      </c>
      <c r="N875" s="37">
        <v>215997.81057894876</v>
      </c>
      <c r="O875" s="37">
        <v>672511.10792738921</v>
      </c>
      <c r="P875" s="68">
        <v>1</v>
      </c>
    </row>
    <row r="876" spans="1:16" x14ac:dyDescent="0.2">
      <c r="A876" s="10">
        <v>874</v>
      </c>
      <c r="B876" s="40">
        <v>0.12452158456781499</v>
      </c>
      <c r="C876" s="12">
        <v>5.9103931796267073</v>
      </c>
      <c r="D876" s="40">
        <v>0.30944147122624788</v>
      </c>
      <c r="E876" s="40">
        <v>3.206267750883704E-2</v>
      </c>
      <c r="F876" s="37">
        <v>13.649744191169638</v>
      </c>
      <c r="G876" s="12">
        <v>8.2384727501318125</v>
      </c>
      <c r="H876" s="37">
        <v>16039.349358387151</v>
      </c>
      <c r="I876" s="37">
        <v>14983.708866291276</v>
      </c>
      <c r="J876" s="37">
        <v>240468.15375821193</v>
      </c>
      <c r="K876" s="37">
        <v>98835.628719958258</v>
      </c>
      <c r="L876" s="37">
        <v>55364.114472627174</v>
      </c>
      <c r="M876" s="37">
        <v>75974.797013356496</v>
      </c>
      <c r="N876" s="37">
        <v>106135.17343849062</v>
      </c>
      <c r="O876" s="37">
        <v>234861.81930443458</v>
      </c>
      <c r="P876" s="68">
        <v>1</v>
      </c>
    </row>
    <row r="877" spans="1:16" x14ac:dyDescent="0.2">
      <c r="A877" s="10">
        <v>875</v>
      </c>
      <c r="B877" s="40">
        <v>0.11034617961035419</v>
      </c>
      <c r="C877" s="12">
        <v>5.9518587857975191</v>
      </c>
      <c r="D877" s="40">
        <v>0.77614108589973363</v>
      </c>
      <c r="E877" s="40">
        <v>3.4798048017555115E-2</v>
      </c>
      <c r="F877" s="37">
        <v>13.243468599496911</v>
      </c>
      <c r="G877" s="12">
        <v>17.827040509383316</v>
      </c>
      <c r="H877" s="37">
        <v>65479.069783922343</v>
      </c>
      <c r="I877" s="37">
        <v>14800.549569610717</v>
      </c>
      <c r="J877" s="37">
        <v>410479.46794726106</v>
      </c>
      <c r="K877" s="37">
        <v>72544.407807590746</v>
      </c>
      <c r="L877" s="37">
        <v>123919.43473269689</v>
      </c>
      <c r="M877" s="37">
        <v>200661.49107612655</v>
      </c>
      <c r="N877" s="37">
        <v>229663.44536711907</v>
      </c>
      <c r="O877" s="37">
        <v>1163983.3135247943</v>
      </c>
      <c r="P877" s="68">
        <v>1</v>
      </c>
    </row>
    <row r="878" spans="1:16" x14ac:dyDescent="0.2">
      <c r="A878" s="10">
        <v>876</v>
      </c>
      <c r="B878" s="40">
        <v>0.18196125332244223</v>
      </c>
      <c r="C878" s="12">
        <v>5.3373884298302565</v>
      </c>
      <c r="D878" s="40">
        <v>0.58017467077692952</v>
      </c>
      <c r="E878" s="40">
        <v>2.3425344148071785E-2</v>
      </c>
      <c r="F878" s="37">
        <v>21.541807003690149</v>
      </c>
      <c r="G878" s="12">
        <v>25.142103261116191</v>
      </c>
      <c r="H878" s="37">
        <v>127744.45899625732</v>
      </c>
      <c r="I878" s="37">
        <v>55187.921609873942</v>
      </c>
      <c r="J878" s="37">
        <v>271859.06634626701</v>
      </c>
      <c r="K878" s="37">
        <v>112573.88710931629</v>
      </c>
      <c r="L878" s="37">
        <v>136979.42013161691</v>
      </c>
      <c r="M878" s="37">
        <v>164245.54820275336</v>
      </c>
      <c r="N878" s="37">
        <v>323902.44783953595</v>
      </c>
      <c r="O878" s="37">
        <v>1676639.9778915972</v>
      </c>
      <c r="P878" s="68">
        <v>1</v>
      </c>
    </row>
    <row r="879" spans="1:16" x14ac:dyDescent="0.2">
      <c r="A879" s="10">
        <v>877</v>
      </c>
      <c r="B879" s="40">
        <v>0.16386392152563792</v>
      </c>
      <c r="C879" s="12">
        <v>4.604994555873545</v>
      </c>
      <c r="D879" s="40">
        <v>0.69528714322190543</v>
      </c>
      <c r="E879" s="40">
        <v>2.7339294908444219E-2</v>
      </c>
      <c r="F879" s="37">
        <v>8.7538063629856691</v>
      </c>
      <c r="G879" s="12">
        <v>6.3612122539362836</v>
      </c>
      <c r="H879" s="37">
        <v>107566.63568547263</v>
      </c>
      <c r="I879" s="37">
        <v>52386.212836445353</v>
      </c>
      <c r="J879" s="37">
        <v>193475.74733575562</v>
      </c>
      <c r="K879" s="37">
        <v>121956.45748308067</v>
      </c>
      <c r="L879" s="37">
        <v>127545.60360908121</v>
      </c>
      <c r="M879" s="37">
        <v>93350.183531299554</v>
      </c>
      <c r="N879" s="37">
        <v>81950.670509868127</v>
      </c>
      <c r="O879" s="37">
        <v>761442.18223154463</v>
      </c>
      <c r="P879" s="68">
        <v>1</v>
      </c>
    </row>
    <row r="880" spans="1:16" x14ac:dyDescent="0.2">
      <c r="A880" s="10">
        <v>878</v>
      </c>
      <c r="B880" s="40">
        <v>0.17519925180196477</v>
      </c>
      <c r="C880" s="12">
        <v>5.0620560141690243</v>
      </c>
      <c r="D880" s="40">
        <v>0.63325471690393353</v>
      </c>
      <c r="E880" s="40">
        <v>2.1495639019790347E-2</v>
      </c>
      <c r="F880" s="37">
        <v>13.861438071530504</v>
      </c>
      <c r="G880" s="12">
        <v>14.317207549336143</v>
      </c>
      <c r="H880" s="37">
        <v>62788.868898514687</v>
      </c>
      <c r="I880" s="37">
        <v>14123.734357279278</v>
      </c>
      <c r="J880" s="37">
        <v>255913.12872653716</v>
      </c>
      <c r="K880" s="37">
        <v>135927.84642544817</v>
      </c>
      <c r="L880" s="37">
        <v>136529.48644239525</v>
      </c>
      <c r="M880" s="37">
        <v>105853.15689480043</v>
      </c>
      <c r="N880" s="37">
        <v>184446.72362111614</v>
      </c>
      <c r="O880" s="37">
        <v>774568.52258211793</v>
      </c>
      <c r="P880" s="68">
        <v>1</v>
      </c>
    </row>
    <row r="881" spans="1:16" x14ac:dyDescent="0.2">
      <c r="A881" s="10">
        <v>879</v>
      </c>
      <c r="B881" s="40">
        <v>0.2239380412009481</v>
      </c>
      <c r="C881" s="12">
        <v>4.1460997937806745</v>
      </c>
      <c r="D881" s="40">
        <v>0.7079315752859775</v>
      </c>
      <c r="E881" s="40">
        <v>2.5717221151891456E-2</v>
      </c>
      <c r="F881" s="37">
        <v>16.492651206612358</v>
      </c>
      <c r="G881" s="12">
        <v>27.272960054946068</v>
      </c>
      <c r="H881" s="37">
        <v>107168.64167060537</v>
      </c>
      <c r="I881" s="37">
        <v>39766.915666209992</v>
      </c>
      <c r="J881" s="37">
        <v>207662.0746197179</v>
      </c>
      <c r="K881" s="37">
        <v>88651.171955796744</v>
      </c>
      <c r="L881" s="37">
        <v>159789.31645178722</v>
      </c>
      <c r="M881" s="37">
        <v>168450.58717947372</v>
      </c>
      <c r="N881" s="37">
        <v>351353.99890306313</v>
      </c>
      <c r="O881" s="37">
        <v>1859605.0242171576</v>
      </c>
      <c r="P881" s="68">
        <v>1</v>
      </c>
    </row>
    <row r="882" spans="1:16" x14ac:dyDescent="0.2">
      <c r="A882" s="10">
        <v>880</v>
      </c>
      <c r="B882" s="40">
        <v>0.15438237309119346</v>
      </c>
      <c r="C882" s="12">
        <v>5.4629911155555053</v>
      </c>
      <c r="D882" s="40">
        <v>0.47528992729488789</v>
      </c>
      <c r="E882" s="40">
        <v>1.2043112400740869E-2</v>
      </c>
      <c r="F882" s="37">
        <v>7.6063337835290552</v>
      </c>
      <c r="G882" s="12">
        <v>2.2853654109359041</v>
      </c>
      <c r="H882" s="37">
        <v>78115.516336689878</v>
      </c>
      <c r="I882" s="37">
        <v>30142.28472613011</v>
      </c>
      <c r="J882" s="37">
        <v>266348.30210680707</v>
      </c>
      <c r="K882" s="37">
        <v>178219.03953010487</v>
      </c>
      <c r="L882" s="37">
        <v>97448.609532907329</v>
      </c>
      <c r="M882" s="37">
        <v>24425.274969232196</v>
      </c>
      <c r="N882" s="37">
        <v>29442.065491583831</v>
      </c>
      <c r="O882" s="37">
        <v>-38421.933722774847</v>
      </c>
      <c r="P882" s="68">
        <v>0</v>
      </c>
    </row>
    <row r="883" spans="1:16" x14ac:dyDescent="0.2">
      <c r="A883" s="10">
        <v>881</v>
      </c>
      <c r="B883" s="40">
        <v>0.15939024145623754</v>
      </c>
      <c r="C883" s="12">
        <v>6.3651269298246174</v>
      </c>
      <c r="D883" s="40">
        <v>0.59234510176755251</v>
      </c>
      <c r="E883" s="40">
        <v>7.1474326431929447E-3</v>
      </c>
      <c r="F883" s="37">
        <v>10.923457654431187</v>
      </c>
      <c r="G883" s="12">
        <v>13.478683644907438</v>
      </c>
      <c r="H883" s="37">
        <v>38235.039699576046</v>
      </c>
      <c r="I883" s="37">
        <v>48124.060514896111</v>
      </c>
      <c r="J883" s="37">
        <v>293298.21072832</v>
      </c>
      <c r="K883" s="37">
        <v>101074.33206605093</v>
      </c>
      <c r="L883" s="37">
        <v>146094.01617202227</v>
      </c>
      <c r="M883" s="37">
        <v>25944.8840554575</v>
      </c>
      <c r="N883" s="37">
        <v>173644.12916846867</v>
      </c>
      <c r="O883" s="37">
        <v>633953.41036352864</v>
      </c>
      <c r="P883" s="68">
        <v>1</v>
      </c>
    </row>
    <row r="884" spans="1:16" x14ac:dyDescent="0.2">
      <c r="A884" s="10">
        <v>882</v>
      </c>
      <c r="B884" s="40">
        <v>0.11525975801717206</v>
      </c>
      <c r="C884" s="12">
        <v>6.9679965114455982</v>
      </c>
      <c r="D884" s="40">
        <v>0.5745401837878793</v>
      </c>
      <c r="E884" s="40">
        <v>2.4547820699539001E-2</v>
      </c>
      <c r="F884" s="37">
        <v>11.891106249237808</v>
      </c>
      <c r="G884" s="12">
        <v>23.735003201456976</v>
      </c>
      <c r="H884" s="37">
        <v>98478.779482700455</v>
      </c>
      <c r="I884" s="37">
        <v>64420.104080141959</v>
      </c>
      <c r="J884" s="37">
        <v>490668.16993504728</v>
      </c>
      <c r="K884" s="37">
        <v>120382.74752954389</v>
      </c>
      <c r="L884" s="37">
        <v>112174.68704075716</v>
      </c>
      <c r="M884" s="37">
        <v>94085.423270202606</v>
      </c>
      <c r="N884" s="37">
        <v>305774.96069395408</v>
      </c>
      <c r="O884" s="37">
        <v>1062982.9995135118</v>
      </c>
      <c r="P884" s="68">
        <v>1</v>
      </c>
    </row>
    <row r="885" spans="1:16" x14ac:dyDescent="0.2">
      <c r="A885" s="10">
        <v>883</v>
      </c>
      <c r="B885" s="40">
        <v>0.21321413319251636</v>
      </c>
      <c r="C885" s="12">
        <v>6.4357512291167609</v>
      </c>
      <c r="D885" s="40">
        <v>0.67272351569064437</v>
      </c>
      <c r="E885" s="40">
        <v>3.1646579134503104E-2</v>
      </c>
      <c r="F885" s="37">
        <v>18.77659298734946</v>
      </c>
      <c r="G885" s="12">
        <v>19.166792057309998</v>
      </c>
      <c r="H885" s="37">
        <v>118948.90886241812</v>
      </c>
      <c r="I885" s="37">
        <v>41501.426995345144</v>
      </c>
      <c r="J885" s="37">
        <v>205583.84706006426</v>
      </c>
      <c r="K885" s="37">
        <v>88537.565888554993</v>
      </c>
      <c r="L885" s="37">
        <v>224409.20959677824</v>
      </c>
      <c r="M885" s="37">
        <v>224257.46307642278</v>
      </c>
      <c r="N885" s="37">
        <v>246923.29039135724</v>
      </c>
      <c r="O885" s="37">
        <v>1944680.1927596342</v>
      </c>
      <c r="P885" s="68">
        <v>1</v>
      </c>
    </row>
    <row r="886" spans="1:16" x14ac:dyDescent="0.2">
      <c r="A886" s="10">
        <v>884</v>
      </c>
      <c r="B886" s="40">
        <v>9.4590954784957562E-2</v>
      </c>
      <c r="C886" s="12">
        <v>7.5971784091364141</v>
      </c>
      <c r="D886" s="40">
        <v>0.40692094956428393</v>
      </c>
      <c r="E886" s="40">
        <v>2.6656319169279571E-2</v>
      </c>
      <c r="F886" s="37">
        <v>22.330943368852353</v>
      </c>
      <c r="G886" s="12">
        <v>24.474264450887944</v>
      </c>
      <c r="H886" s="37">
        <v>111396.32622114537</v>
      </c>
      <c r="I886" s="37">
        <v>25522.438463485119</v>
      </c>
      <c r="J886" s="37">
        <v>265172.39863392571</v>
      </c>
      <c r="K886" s="37">
        <v>187009.37666204639</v>
      </c>
      <c r="L886" s="37">
        <v>71088.73944351729</v>
      </c>
      <c r="M886" s="37">
        <v>135888.9150473323</v>
      </c>
      <c r="N886" s="37">
        <v>315298.76726641075</v>
      </c>
      <c r="O886" s="37">
        <v>1057720.8279079457</v>
      </c>
      <c r="P886" s="68">
        <v>1</v>
      </c>
    </row>
    <row r="887" spans="1:16" x14ac:dyDescent="0.2">
      <c r="A887" s="10">
        <v>885</v>
      </c>
      <c r="B887" s="40">
        <v>0.10123661423381099</v>
      </c>
      <c r="C887" s="12">
        <v>4.2717031439633999</v>
      </c>
      <c r="D887" s="40">
        <v>0.71002704965795171</v>
      </c>
      <c r="E887" s="40">
        <v>2.0840759437211254E-2</v>
      </c>
      <c r="F887" s="37">
        <v>22.20344274876409</v>
      </c>
      <c r="G887" s="12">
        <v>7.2840326798024444</v>
      </c>
      <c r="H887" s="37">
        <v>70374.140597700723</v>
      </c>
      <c r="I887" s="37">
        <v>45046.755045928214</v>
      </c>
      <c r="J887" s="37">
        <v>484146.56985263631</v>
      </c>
      <c r="K887" s="37">
        <v>162888.86929878686</v>
      </c>
      <c r="L887" s="37">
        <v>74645.288392066053</v>
      </c>
      <c r="M887" s="37">
        <v>184321.28347266643</v>
      </c>
      <c r="N887" s="37">
        <v>93839.246089646535</v>
      </c>
      <c r="O887" s="37">
        <v>371299.22640851652</v>
      </c>
      <c r="P887" s="68">
        <v>1</v>
      </c>
    </row>
    <row r="888" spans="1:16" x14ac:dyDescent="0.2">
      <c r="A888" s="10">
        <v>886</v>
      </c>
      <c r="B888" s="40">
        <v>9.9013631322297582E-2</v>
      </c>
      <c r="C888" s="12">
        <v>5.9074277024547213</v>
      </c>
      <c r="D888" s="40">
        <v>0.34443426147293255</v>
      </c>
      <c r="E888" s="40">
        <v>3.3357991794337884E-2</v>
      </c>
      <c r="F888" s="37">
        <v>8.9828188623872141</v>
      </c>
      <c r="G888" s="12">
        <v>9.6039646052990051</v>
      </c>
      <c r="H888" s="37">
        <v>186456.1616364739</v>
      </c>
      <c r="I888" s="37">
        <v>44893.639965545146</v>
      </c>
      <c r="J888" s="37">
        <v>325793.26502399612</v>
      </c>
      <c r="K888" s="37">
        <v>75924.065424678614</v>
      </c>
      <c r="L888" s="37">
        <v>48976.593863344373</v>
      </c>
      <c r="M888" s="37">
        <v>57900.940306590397</v>
      </c>
      <c r="N888" s="37">
        <v>123726.6274946684</v>
      </c>
      <c r="O888" s="37">
        <v>755722.37250831246</v>
      </c>
      <c r="P888" s="68">
        <v>1</v>
      </c>
    </row>
    <row r="889" spans="1:16" x14ac:dyDescent="0.2">
      <c r="A889" s="10">
        <v>887</v>
      </c>
      <c r="B889" s="40">
        <v>0.2317739983398667</v>
      </c>
      <c r="C889" s="12">
        <v>7.4275497974163311</v>
      </c>
      <c r="D889" s="40">
        <v>0.56640570154921832</v>
      </c>
      <c r="E889" s="40">
        <v>2.7345133397097123E-2</v>
      </c>
      <c r="F889" s="37">
        <v>21.830029435446775</v>
      </c>
      <c r="G889" s="12">
        <v>8.3386044059837605</v>
      </c>
      <c r="H889" s="37">
        <v>220802.53165528053</v>
      </c>
      <c r="I889" s="37">
        <v>2888.5131941280979</v>
      </c>
      <c r="J889" s="37">
        <v>426530.33864920074</v>
      </c>
      <c r="K889" s="37">
        <v>70823.596546783549</v>
      </c>
      <c r="L889" s="37">
        <v>237042.77952871606</v>
      </c>
      <c r="M889" s="37">
        <v>189683.13374478472</v>
      </c>
      <c r="N889" s="37">
        <v>107425.156543716</v>
      </c>
      <c r="O889" s="37">
        <v>1498246.1482878439</v>
      </c>
      <c r="P889" s="68">
        <v>1</v>
      </c>
    </row>
    <row r="890" spans="1:16" x14ac:dyDescent="0.2">
      <c r="A890" s="10">
        <v>888</v>
      </c>
      <c r="B890" s="40">
        <v>9.7641471183923398E-2</v>
      </c>
      <c r="C890" s="12">
        <v>5.5165212544660909</v>
      </c>
      <c r="D890" s="40">
        <v>0.49405368963519464</v>
      </c>
      <c r="E890" s="40">
        <v>1.5310274047034687E-2</v>
      </c>
      <c r="F890" s="37">
        <v>15.651612740864321</v>
      </c>
      <c r="G890" s="12">
        <v>10.36570025976094</v>
      </c>
      <c r="H890" s="37">
        <v>25136.381171365811</v>
      </c>
      <c r="I890" s="37">
        <v>46191.577794554345</v>
      </c>
      <c r="J890" s="37">
        <v>296965.23325577867</v>
      </c>
      <c r="K890" s="37">
        <v>88975.106322619336</v>
      </c>
      <c r="L890" s="37">
        <v>64693.788849957091</v>
      </c>
      <c r="M890" s="37">
        <v>66417.563132945113</v>
      </c>
      <c r="N890" s="37">
        <v>133539.96890546643</v>
      </c>
      <c r="O890" s="37">
        <v>395050.79375055968</v>
      </c>
      <c r="P890" s="68">
        <v>1</v>
      </c>
    </row>
    <row r="891" spans="1:16" x14ac:dyDescent="0.2">
      <c r="A891" s="10">
        <v>889</v>
      </c>
      <c r="B891" s="40">
        <v>0.11002198203606851</v>
      </c>
      <c r="C891" s="12">
        <v>4.6105220131663183</v>
      </c>
      <c r="D891" s="40">
        <v>0.63758567333906169</v>
      </c>
      <c r="E891" s="40">
        <v>2.3194881141884026E-2</v>
      </c>
      <c r="F891" s="37">
        <v>9.6169675076808137</v>
      </c>
      <c r="G891" s="12">
        <v>18.516537560194234</v>
      </c>
      <c r="H891" s="37">
        <v>162398.77660307748</v>
      </c>
      <c r="I891" s="37">
        <v>33844.716511911</v>
      </c>
      <c r="J891" s="37">
        <v>204518.12488939462</v>
      </c>
      <c r="K891" s="37">
        <v>147942.61881853981</v>
      </c>
      <c r="L891" s="37">
        <v>78624.327490654134</v>
      </c>
      <c r="M891" s="37">
        <v>79787.633096008271</v>
      </c>
      <c r="N891" s="37">
        <v>238546.14623809949</v>
      </c>
      <c r="O891" s="37">
        <v>1042935.9027037228</v>
      </c>
      <c r="P891" s="68">
        <v>1</v>
      </c>
    </row>
    <row r="892" spans="1:16" x14ac:dyDescent="0.2">
      <c r="A892" s="10">
        <v>890</v>
      </c>
      <c r="B892" s="40">
        <v>0.19021597601587215</v>
      </c>
      <c r="C892" s="12">
        <v>4.62220313078645</v>
      </c>
      <c r="D892" s="40">
        <v>0.51483152708388991</v>
      </c>
      <c r="E892" s="40">
        <v>3.7407673424016574E-2</v>
      </c>
      <c r="F892" s="37">
        <v>12.54236847072309</v>
      </c>
      <c r="G892" s="12">
        <v>10.49584939399074</v>
      </c>
      <c r="H892" s="37">
        <v>161863.073537099</v>
      </c>
      <c r="I892" s="37">
        <v>58434.189709984945</v>
      </c>
      <c r="J892" s="37">
        <v>352019.49544871494</v>
      </c>
      <c r="K892" s="37">
        <v>103316.52592098339</v>
      </c>
      <c r="L892" s="37">
        <v>110039.84783801749</v>
      </c>
      <c r="M892" s="37">
        <v>135510.2415987179</v>
      </c>
      <c r="N892" s="37">
        <v>135216.66328236149</v>
      </c>
      <c r="O892" s="37">
        <v>1042488.2798188599</v>
      </c>
      <c r="P892" s="68">
        <v>1</v>
      </c>
    </row>
    <row r="893" spans="1:16" x14ac:dyDescent="0.2">
      <c r="A893" s="10">
        <v>891</v>
      </c>
      <c r="B893" s="40">
        <v>0.11804036191257269</v>
      </c>
      <c r="C893" s="12">
        <v>2.5703917554968116</v>
      </c>
      <c r="D893" s="40">
        <v>0.61989393227655021</v>
      </c>
      <c r="E893" s="40">
        <v>2.2347716832135857E-2</v>
      </c>
      <c r="F893" s="37">
        <v>15.829103388951857</v>
      </c>
      <c r="G893" s="12">
        <v>11.127616821102089</v>
      </c>
      <c r="H893" s="37">
        <v>54865.984191988588</v>
      </c>
      <c r="I893" s="37">
        <v>58478.158469656497</v>
      </c>
      <c r="J893" s="37">
        <v>293227.00153505185</v>
      </c>
      <c r="K893" s="37">
        <v>106698.59038155622</v>
      </c>
      <c r="L893" s="37">
        <v>45723.142027510417</v>
      </c>
      <c r="M893" s="37">
        <v>123019.39668716896</v>
      </c>
      <c r="N893" s="37">
        <v>143355.64091607148</v>
      </c>
      <c r="O893" s="37">
        <v>599777.22522078373</v>
      </c>
      <c r="P893" s="68">
        <v>1</v>
      </c>
    </row>
    <row r="894" spans="1:16" x14ac:dyDescent="0.2">
      <c r="A894" s="10">
        <v>892</v>
      </c>
      <c r="B894" s="40">
        <v>0.11674430328929924</v>
      </c>
      <c r="C894" s="12">
        <v>3.7986969174845218</v>
      </c>
      <c r="D894" s="40">
        <v>0.58609532508327922</v>
      </c>
      <c r="E894" s="40">
        <v>3.8229892218922611E-2</v>
      </c>
      <c r="F894" s="37">
        <v>14.360916649147631</v>
      </c>
      <c r="G894" s="12">
        <v>5.5364474748011778</v>
      </c>
      <c r="H894" s="37">
        <v>80413.885836282134</v>
      </c>
      <c r="I894" s="37">
        <v>59264.729407606275</v>
      </c>
      <c r="J894" s="37">
        <v>456403.64207883633</v>
      </c>
      <c r="K894" s="37">
        <v>118767.22291555582</v>
      </c>
      <c r="L894" s="37">
        <v>63186.95526706236</v>
      </c>
      <c r="M894" s="37">
        <v>180517.8799615936</v>
      </c>
      <c r="N894" s="37">
        <v>71325.333079691845</v>
      </c>
      <c r="O894" s="37">
        <v>484782.65762673388</v>
      </c>
      <c r="P894" s="68">
        <v>1</v>
      </c>
    </row>
    <row r="895" spans="1:16" x14ac:dyDescent="0.2">
      <c r="A895" s="10">
        <v>893</v>
      </c>
      <c r="B895" s="40">
        <v>0.20793515597067835</v>
      </c>
      <c r="C895" s="12">
        <v>6.4800063789875582</v>
      </c>
      <c r="D895" s="40">
        <v>0.61541083181774603</v>
      </c>
      <c r="E895" s="40">
        <v>3.0762584546918104E-2</v>
      </c>
      <c r="F895" s="37">
        <v>26.146402882921468</v>
      </c>
      <c r="G895" s="12">
        <v>14.164549192986749</v>
      </c>
      <c r="H895" s="37">
        <v>166156.80168358557</v>
      </c>
      <c r="I895" s="37">
        <v>17881.505908119696</v>
      </c>
      <c r="J895" s="37">
        <v>434657.86548181204</v>
      </c>
      <c r="K895" s="37">
        <v>106438.53521644698</v>
      </c>
      <c r="L895" s="37">
        <v>201584.58615353526</v>
      </c>
      <c r="M895" s="37">
        <v>277694.09003450751</v>
      </c>
      <c r="N895" s="37">
        <v>182480.04586185323</v>
      </c>
      <c r="O895" s="37">
        <v>1636756.2346523406</v>
      </c>
      <c r="P895" s="68">
        <v>1</v>
      </c>
    </row>
    <row r="896" spans="1:16" x14ac:dyDescent="0.2">
      <c r="A896" s="10">
        <v>894</v>
      </c>
      <c r="B896" s="40">
        <v>0.16746327693120031</v>
      </c>
      <c r="C896" s="12">
        <v>7.0679707290662961</v>
      </c>
      <c r="D896" s="40">
        <v>0.63464814818290738</v>
      </c>
      <c r="E896" s="40">
        <v>3.5956397360132255E-3</v>
      </c>
      <c r="F896" s="37">
        <v>12.452911581767697</v>
      </c>
      <c r="G896" s="12">
        <v>16.765601483666835</v>
      </c>
      <c r="H896" s="37">
        <v>22328.223799116073</v>
      </c>
      <c r="I896" s="37">
        <v>42075.196249209286</v>
      </c>
      <c r="J896" s="37">
        <v>233092.2689061315</v>
      </c>
      <c r="K896" s="37">
        <v>94063.852363858881</v>
      </c>
      <c r="L896" s="37">
        <v>182614.88505040834</v>
      </c>
      <c r="M896" s="37">
        <v>15942.147570141167</v>
      </c>
      <c r="N896" s="37">
        <v>215989.06438588697</v>
      </c>
      <c r="O896" s="37">
        <v>845217.64271543408</v>
      </c>
      <c r="P896" s="68">
        <v>1</v>
      </c>
    </row>
    <row r="897" spans="1:16" x14ac:dyDescent="0.2">
      <c r="A897" s="10">
        <v>895</v>
      </c>
      <c r="B897" s="40">
        <v>0.18534403465106408</v>
      </c>
      <c r="C897" s="12">
        <v>9.0308931958474119</v>
      </c>
      <c r="D897" s="40">
        <v>0.77511360699727661</v>
      </c>
      <c r="E897" s="40">
        <v>2.6765166453598336E-2</v>
      </c>
      <c r="F897" s="37">
        <v>6.8564920082847882</v>
      </c>
      <c r="G897" s="12">
        <v>14.892709853269427</v>
      </c>
      <c r="H897" s="37">
        <v>59351.644147772771</v>
      </c>
      <c r="I897" s="37">
        <v>37933.309457678355</v>
      </c>
      <c r="J897" s="37">
        <v>433977.46058880066</v>
      </c>
      <c r="K897" s="37">
        <v>86779.266917282483</v>
      </c>
      <c r="L897" s="37">
        <v>315401.32196203846</v>
      </c>
      <c r="M897" s="37">
        <v>79800.206586140179</v>
      </c>
      <c r="N897" s="37">
        <v>191860.84498738911</v>
      </c>
      <c r="O897" s="37">
        <v>1240191.3155468556</v>
      </c>
      <c r="P897" s="68">
        <v>1</v>
      </c>
    </row>
    <row r="898" spans="1:16" x14ac:dyDescent="0.2">
      <c r="A898" s="10">
        <v>896</v>
      </c>
      <c r="B898" s="40">
        <v>0.13737014997104086</v>
      </c>
      <c r="C898" s="12">
        <v>4.8395954780752994</v>
      </c>
      <c r="D898" s="40">
        <v>0.49900100366062566</v>
      </c>
      <c r="E898" s="40">
        <v>3.0266973533195012E-2</v>
      </c>
      <c r="F898" s="37">
        <v>18.563906297538644</v>
      </c>
      <c r="G898" s="12">
        <v>11.115667023383788</v>
      </c>
      <c r="H898" s="37">
        <v>55654.788182835015</v>
      </c>
      <c r="I898" s="37">
        <v>34670.871521840287</v>
      </c>
      <c r="J898" s="37">
        <v>508118.40893905307</v>
      </c>
      <c r="K898" s="37">
        <v>120682.41768790087</v>
      </c>
      <c r="L898" s="37">
        <v>80647.643755069774</v>
      </c>
      <c r="M898" s="37">
        <v>157291.95693496571</v>
      </c>
      <c r="N898" s="37">
        <v>143201.69322554031</v>
      </c>
      <c r="O898" s="37">
        <v>474652.51926165342</v>
      </c>
      <c r="P898" s="68">
        <v>1</v>
      </c>
    </row>
    <row r="899" spans="1:16" x14ac:dyDescent="0.2">
      <c r="A899" s="10">
        <v>897</v>
      </c>
      <c r="B899" s="40">
        <v>0.13657378113498062</v>
      </c>
      <c r="C899" s="12">
        <v>7.4706458238767688</v>
      </c>
      <c r="D899" s="40">
        <v>0.66378592314773255</v>
      </c>
      <c r="E899" s="40">
        <v>3.8306376069670217E-2</v>
      </c>
      <c r="F899" s="37">
        <v>17.571191061297114</v>
      </c>
      <c r="G899" s="12">
        <v>10.595483863792481</v>
      </c>
      <c r="H899" s="37">
        <v>19134.429497867852</v>
      </c>
      <c r="I899" s="37">
        <v>23665.915690358037</v>
      </c>
      <c r="J899" s="37">
        <v>501016.32574796892</v>
      </c>
      <c r="K899" s="37">
        <v>95983.847549550133</v>
      </c>
      <c r="L899" s="37">
        <v>164642.65028000902</v>
      </c>
      <c r="M899" s="37">
        <v>250649.61344653994</v>
      </c>
      <c r="N899" s="37">
        <v>136500.24120433623</v>
      </c>
      <c r="O899" s="37">
        <v>895905.0948673836</v>
      </c>
      <c r="P899" s="68">
        <v>1</v>
      </c>
    </row>
    <row r="900" spans="1:16" x14ac:dyDescent="0.2">
      <c r="A900" s="10">
        <v>898</v>
      </c>
      <c r="B900" s="40">
        <v>5.9304267885337755E-2</v>
      </c>
      <c r="C900" s="12">
        <v>6.1188509980104087</v>
      </c>
      <c r="D900" s="40">
        <v>0.41959115932255986</v>
      </c>
      <c r="E900" s="40">
        <v>1.7954760524840505E-2</v>
      </c>
      <c r="F900" s="37">
        <v>25.911772396669136</v>
      </c>
      <c r="G900" s="12">
        <v>5.8947651076283014</v>
      </c>
      <c r="H900" s="37">
        <v>116157.77364251926</v>
      </c>
      <c r="I900" s="37">
        <v>35724.995162201143</v>
      </c>
      <c r="J900" s="37">
        <v>508128.30956584704</v>
      </c>
      <c r="K900" s="37">
        <v>174842.06242366967</v>
      </c>
      <c r="L900" s="37">
        <v>37014.423127746421</v>
      </c>
      <c r="M900" s="37">
        <v>109514.03946974408</v>
      </c>
      <c r="N900" s="37">
        <v>75941.492562111423</v>
      </c>
      <c r="O900" s="37">
        <v>50828.137892992585</v>
      </c>
      <c r="P900" s="68">
        <v>1</v>
      </c>
    </row>
    <row r="901" spans="1:16" x14ac:dyDescent="0.2">
      <c r="A901" s="10">
        <v>899</v>
      </c>
      <c r="B901" s="40">
        <v>6.0902731232662974E-2</v>
      </c>
      <c r="C901" s="12">
        <v>7.9683616698359074</v>
      </c>
      <c r="D901" s="40">
        <v>0.39509381087533979</v>
      </c>
      <c r="E901" s="40">
        <v>2.717350079934823E-2</v>
      </c>
      <c r="F901" s="37">
        <v>11.731396803375187</v>
      </c>
      <c r="G901" s="12">
        <v>16.997655011474404</v>
      </c>
      <c r="H901" s="37">
        <v>82977.685991142469</v>
      </c>
      <c r="I901" s="37">
        <v>25396.081258924143</v>
      </c>
      <c r="J901" s="37">
        <v>243413.28346330894</v>
      </c>
      <c r="K901" s="37">
        <v>88814.500635306962</v>
      </c>
      <c r="L901" s="37">
        <v>46611.691473091087</v>
      </c>
      <c r="M901" s="37">
        <v>70658.152200849407</v>
      </c>
      <c r="N901" s="37">
        <v>218978.57981767325</v>
      </c>
      <c r="O901" s="37">
        <v>753430.69923217129</v>
      </c>
      <c r="P901" s="68">
        <v>1</v>
      </c>
    </row>
    <row r="902" spans="1:16" x14ac:dyDescent="0.2">
      <c r="A902" s="10">
        <v>900</v>
      </c>
      <c r="B902" s="40">
        <v>0.13706346711635398</v>
      </c>
      <c r="C902" s="12">
        <v>1.7768263686491621</v>
      </c>
      <c r="D902" s="40">
        <v>0.74223685890844848</v>
      </c>
      <c r="E902" s="40">
        <v>4.4071415816815881E-2</v>
      </c>
      <c r="F902" s="37">
        <v>15.788647857327986</v>
      </c>
      <c r="G902" s="12">
        <v>17.15681887555569</v>
      </c>
      <c r="H902" s="37">
        <v>98660.290054835117</v>
      </c>
      <c r="I902" s="37">
        <v>54915.834479778205</v>
      </c>
      <c r="J902" s="37">
        <v>228963.09472767296</v>
      </c>
      <c r="K902" s="37">
        <v>155023.47024498033</v>
      </c>
      <c r="L902" s="37">
        <v>43943.844667598722</v>
      </c>
      <c r="M902" s="37">
        <v>289741.82443550491</v>
      </c>
      <c r="N902" s="37">
        <v>221029.06718733013</v>
      </c>
      <c r="O902" s="37">
        <v>1321091.2870550398</v>
      </c>
      <c r="P902" s="68">
        <v>1</v>
      </c>
    </row>
    <row r="903" spans="1:16" x14ac:dyDescent="0.2">
      <c r="A903" s="10">
        <v>901</v>
      </c>
      <c r="B903" s="40">
        <v>7.5346087649259638E-2</v>
      </c>
      <c r="C903" s="12">
        <v>7.0199446494622482</v>
      </c>
      <c r="D903" s="40">
        <v>0.63666975212496668</v>
      </c>
      <c r="E903" s="40">
        <v>2.7460222148635499E-2</v>
      </c>
      <c r="F903" s="37">
        <v>17.288570042155477</v>
      </c>
      <c r="G903" s="12">
        <v>14.042045103217049</v>
      </c>
      <c r="H903" s="37">
        <v>31095.318264583209</v>
      </c>
      <c r="I903" s="37">
        <v>28002.257993652336</v>
      </c>
      <c r="J903" s="37">
        <v>248376.46053348575</v>
      </c>
      <c r="K903" s="37">
        <v>110003.03723172461</v>
      </c>
      <c r="L903" s="37">
        <v>81864.844471384306</v>
      </c>
      <c r="M903" s="37">
        <v>169568.06691958167</v>
      </c>
      <c r="N903" s="37">
        <v>180901.84159888185</v>
      </c>
      <c r="O903" s="37">
        <v>820249.94958325732</v>
      </c>
      <c r="P903" s="68">
        <v>1</v>
      </c>
    </row>
    <row r="904" spans="1:16" x14ac:dyDescent="0.2">
      <c r="A904" s="10">
        <v>902</v>
      </c>
      <c r="B904" s="40">
        <v>0.18633777669948948</v>
      </c>
      <c r="C904" s="12">
        <v>5.1877455685776841</v>
      </c>
      <c r="D904" s="40">
        <v>0.51116455429257202</v>
      </c>
      <c r="E904" s="40">
        <v>1.9090107944801885E-2</v>
      </c>
      <c r="F904" s="37">
        <v>15.144294001266577</v>
      </c>
      <c r="G904" s="12">
        <v>28.886772091372709</v>
      </c>
      <c r="H904" s="37">
        <v>86532.162935625558</v>
      </c>
      <c r="I904" s="37">
        <v>32730.700276556618</v>
      </c>
      <c r="J904" s="37">
        <v>348534.41934162506</v>
      </c>
      <c r="K904" s="37">
        <v>144412.09637977305</v>
      </c>
      <c r="L904" s="37">
        <v>120123.82093021917</v>
      </c>
      <c r="M904" s="37">
        <v>82905.793265047527</v>
      </c>
      <c r="N904" s="37">
        <v>372144.52957278281</v>
      </c>
      <c r="O904" s="37">
        <v>1192435.7106203455</v>
      </c>
      <c r="P904" s="68">
        <v>1</v>
      </c>
    </row>
    <row r="905" spans="1:16" x14ac:dyDescent="0.2">
      <c r="A905" s="10">
        <v>903</v>
      </c>
      <c r="B905" s="40">
        <v>0.19688847401943091</v>
      </c>
      <c r="C905" s="12">
        <v>7.5845954730332572</v>
      </c>
      <c r="D905" s="40">
        <v>0.31980470498427754</v>
      </c>
      <c r="E905" s="40">
        <v>2.9292176503357532E-2</v>
      </c>
      <c r="F905" s="37">
        <v>17.835063626221157</v>
      </c>
      <c r="G905" s="12">
        <v>6.049192652297509</v>
      </c>
      <c r="H905" s="37">
        <v>24669.384692034473</v>
      </c>
      <c r="I905" s="37">
        <v>57842.869443304422</v>
      </c>
      <c r="J905" s="37">
        <v>390512.03455028054</v>
      </c>
      <c r="K905" s="37">
        <v>182349.746228512</v>
      </c>
      <c r="L905" s="37">
        <v>116098.44257758949</v>
      </c>
      <c r="M905" s="37">
        <v>93729.842262552047</v>
      </c>
      <c r="N905" s="37">
        <v>77930.962544504015</v>
      </c>
      <c r="O905" s="37">
        <v>135976.50459251448</v>
      </c>
      <c r="P905" s="68">
        <v>1</v>
      </c>
    </row>
    <row r="906" spans="1:16" x14ac:dyDescent="0.2">
      <c r="A906" s="10">
        <v>904</v>
      </c>
      <c r="B906" s="40">
        <v>0.14947352496595884</v>
      </c>
      <c r="C906" s="12">
        <v>9.3799137294178472</v>
      </c>
      <c r="D906" s="40">
        <v>0.75011656747208788</v>
      </c>
      <c r="E906" s="40">
        <v>4.7771696594434462E-2</v>
      </c>
      <c r="F906" s="37">
        <v>11.369951520822767</v>
      </c>
      <c r="G906" s="12">
        <v>10.948943311907264</v>
      </c>
      <c r="H906" s="37">
        <v>58026.557592971207</v>
      </c>
      <c r="I906" s="37">
        <v>47438.250592527969</v>
      </c>
      <c r="J906" s="37">
        <v>179988.13049601592</v>
      </c>
      <c r="K906" s="37">
        <v>170891.48950095242</v>
      </c>
      <c r="L906" s="37">
        <v>255670.55112414152</v>
      </c>
      <c r="M906" s="37">
        <v>228572.91552347428</v>
      </c>
      <c r="N906" s="37">
        <v>141053.81332467074</v>
      </c>
      <c r="O906" s="37">
        <v>1388566.0432272339</v>
      </c>
      <c r="P906" s="68">
        <v>1</v>
      </c>
    </row>
    <row r="907" spans="1:16" x14ac:dyDescent="0.2">
      <c r="A907" s="10">
        <v>905</v>
      </c>
      <c r="B907" s="40">
        <v>0.12819139988418182</v>
      </c>
      <c r="C907" s="12">
        <v>4.902815233692241</v>
      </c>
      <c r="D907" s="40">
        <v>0.54235216285466326</v>
      </c>
      <c r="E907" s="40">
        <v>2.3004960990424331E-2</v>
      </c>
      <c r="F907" s="37">
        <v>16.071334048308046</v>
      </c>
      <c r="G907" s="12">
        <v>22.112339559000041</v>
      </c>
      <c r="H907" s="37">
        <v>111446.80565760075</v>
      </c>
      <c r="I907" s="37">
        <v>57327.76472769781</v>
      </c>
      <c r="J907" s="37">
        <v>353632.27666880755</v>
      </c>
      <c r="K907" s="37">
        <v>67277.132137287641</v>
      </c>
      <c r="L907" s="37">
        <v>82865.665580925168</v>
      </c>
      <c r="M907" s="37">
        <v>112491.97397149168</v>
      </c>
      <c r="N907" s="37">
        <v>284870.39593445486</v>
      </c>
      <c r="O907" s="37">
        <v>1276151.3232863531</v>
      </c>
      <c r="P907" s="68">
        <v>1</v>
      </c>
    </row>
    <row r="908" spans="1:16" x14ac:dyDescent="0.2">
      <c r="A908" s="10">
        <v>906</v>
      </c>
      <c r="B908" s="40">
        <v>0.19697507782482054</v>
      </c>
      <c r="C908" s="12">
        <v>7.1717940421876865</v>
      </c>
      <c r="D908" s="40">
        <v>0.78877892000654393</v>
      </c>
      <c r="E908" s="40">
        <v>1.7674475254899819E-2</v>
      </c>
      <c r="F908" s="37">
        <v>15.184067142903187</v>
      </c>
      <c r="G908" s="12">
        <v>14.64360709804666</v>
      </c>
      <c r="H908" s="37">
        <v>97869.386803241097</v>
      </c>
      <c r="I908" s="37">
        <v>16138.660310877329</v>
      </c>
      <c r="J908" s="37">
        <v>352679.53573836794</v>
      </c>
      <c r="K908" s="37">
        <v>102418.2009289078</v>
      </c>
      <c r="L908" s="37">
        <v>270883.91343826079</v>
      </c>
      <c r="M908" s="37">
        <v>118756.30373359601</v>
      </c>
      <c r="N908" s="37">
        <v>188651.68657521237</v>
      </c>
      <c r="O908" s="37">
        <v>1299954.9892379665</v>
      </c>
      <c r="P908" s="68">
        <v>1</v>
      </c>
    </row>
    <row r="909" spans="1:16" x14ac:dyDescent="0.2">
      <c r="A909" s="10">
        <v>907</v>
      </c>
      <c r="B909" s="40">
        <v>0.20195664856283149</v>
      </c>
      <c r="C909" s="12">
        <v>5.5349859648750588</v>
      </c>
      <c r="D909" s="40">
        <v>0.40031067196100939</v>
      </c>
      <c r="E909" s="40">
        <v>2.8614992448481241E-2</v>
      </c>
      <c r="F909" s="37">
        <v>12.163900196483873</v>
      </c>
      <c r="G909" s="12">
        <v>22.42336364502512</v>
      </c>
      <c r="H909" s="37">
        <v>50681.370228108804</v>
      </c>
      <c r="I909" s="37">
        <v>42081.751640410155</v>
      </c>
      <c r="J909" s="37">
        <v>164474.00823628635</v>
      </c>
      <c r="K909" s="37">
        <v>129840.88900796208</v>
      </c>
      <c r="L909" s="37">
        <v>108782.911130626</v>
      </c>
      <c r="M909" s="37">
        <v>78168.249043498246</v>
      </c>
      <c r="N909" s="37">
        <v>288877.27880158479</v>
      </c>
      <c r="O909" s="37">
        <v>1064746.0993809062</v>
      </c>
      <c r="P909" s="68">
        <v>1</v>
      </c>
    </row>
    <row r="910" spans="1:16" x14ac:dyDescent="0.2">
      <c r="A910" s="10">
        <v>908</v>
      </c>
      <c r="B910" s="40">
        <v>0.21941052462618407</v>
      </c>
      <c r="C910" s="12">
        <v>4.7306702961157185</v>
      </c>
      <c r="D910" s="40">
        <v>0.63380166539805272</v>
      </c>
      <c r="E910" s="40">
        <v>2.8536582718478424E-2</v>
      </c>
      <c r="F910" s="37">
        <v>16.024402538140748</v>
      </c>
      <c r="G910" s="12">
        <v>10.917303281593584</v>
      </c>
      <c r="H910" s="37">
        <v>136515.14259581157</v>
      </c>
      <c r="I910" s="37">
        <v>18402.413391987189</v>
      </c>
      <c r="J910" s="37">
        <v>508251.43954110116</v>
      </c>
      <c r="K910" s="37">
        <v>116752.35617175522</v>
      </c>
      <c r="L910" s="37">
        <v>159927.20320193408</v>
      </c>
      <c r="M910" s="37">
        <v>162593.77664810399</v>
      </c>
      <c r="N910" s="37">
        <v>140646.19892734356</v>
      </c>
      <c r="O910" s="37">
        <v>896299.89205564302</v>
      </c>
      <c r="P910" s="68">
        <v>1</v>
      </c>
    </row>
    <row r="911" spans="1:16" x14ac:dyDescent="0.2">
      <c r="A911" s="10">
        <v>909</v>
      </c>
      <c r="B911" s="40">
        <v>0.14799312209945925</v>
      </c>
      <c r="C911" s="12">
        <v>3.5062009281376789</v>
      </c>
      <c r="D911" s="40">
        <v>0.53911777700938934</v>
      </c>
      <c r="E911" s="40">
        <v>1.982356320402047E-2</v>
      </c>
      <c r="F911" s="37">
        <v>14.339189945062712</v>
      </c>
      <c r="G911" s="12">
        <v>18.322643571381896</v>
      </c>
      <c r="H911" s="37">
        <v>78154.90793821626</v>
      </c>
      <c r="I911" s="37">
        <v>47499.906557272698</v>
      </c>
      <c r="J911" s="37">
        <v>246435.38467593904</v>
      </c>
      <c r="K911" s="37">
        <v>87431.901021538768</v>
      </c>
      <c r="L911" s="37">
        <v>68006.561166821804</v>
      </c>
      <c r="M911" s="37">
        <v>85971.939039684308</v>
      </c>
      <c r="N911" s="37">
        <v>236048.2351864487</v>
      </c>
      <c r="O911" s="37">
        <v>953364.66865286825</v>
      </c>
      <c r="P911" s="68">
        <v>1</v>
      </c>
    </row>
    <row r="912" spans="1:16" x14ac:dyDescent="0.2">
      <c r="A912" s="10">
        <v>910</v>
      </c>
      <c r="B912" s="40">
        <v>0.17540125835792869</v>
      </c>
      <c r="C912" s="12">
        <v>8.2825295590418229</v>
      </c>
      <c r="D912" s="40">
        <v>0.68005096868392112</v>
      </c>
      <c r="E912" s="40">
        <v>1.6154187900438866E-2</v>
      </c>
      <c r="F912" s="37">
        <v>13.087141808899815</v>
      </c>
      <c r="G912" s="12">
        <v>8.1958158810483042</v>
      </c>
      <c r="H912" s="37">
        <v>32338.486044115762</v>
      </c>
      <c r="I912" s="37">
        <v>32316.83897480186</v>
      </c>
      <c r="J912" s="37">
        <v>349508.73906152369</v>
      </c>
      <c r="K912" s="37">
        <v>150636.52243835133</v>
      </c>
      <c r="L912" s="37">
        <v>240174.00067182607</v>
      </c>
      <c r="M912" s="37">
        <v>80656.270019869276</v>
      </c>
      <c r="N912" s="37">
        <v>105585.63053948077</v>
      </c>
      <c r="O912" s="37">
        <v>604265.71672383975</v>
      </c>
      <c r="P912" s="68">
        <v>1</v>
      </c>
    </row>
    <row r="913" spans="1:16" x14ac:dyDescent="0.2">
      <c r="A913" s="10">
        <v>911</v>
      </c>
      <c r="B913" s="40">
        <v>0.15758296865383212</v>
      </c>
      <c r="C913" s="12">
        <v>3.1208701113668309</v>
      </c>
      <c r="D913" s="40">
        <v>0.29486143123614172</v>
      </c>
      <c r="E913" s="40">
        <v>8.8647331367514258E-3</v>
      </c>
      <c r="F913" s="37">
        <v>21.907644638977761</v>
      </c>
      <c r="G913" s="12">
        <v>24.19920478032336</v>
      </c>
      <c r="H913" s="37">
        <v>51881.031390899705</v>
      </c>
      <c r="I913" s="37">
        <v>44631.938438611942</v>
      </c>
      <c r="J913" s="37">
        <v>261768.98785217074</v>
      </c>
      <c r="K913" s="37">
        <v>133088.07244993653</v>
      </c>
      <c r="L913" s="37">
        <v>35252.650107666137</v>
      </c>
      <c r="M913" s="37">
        <v>32125.215898747458</v>
      </c>
      <c r="N913" s="37">
        <v>311755.20928828442</v>
      </c>
      <c r="O913" s="37">
        <v>697954.09649888112</v>
      </c>
      <c r="P913" s="68">
        <v>1</v>
      </c>
    </row>
    <row r="914" spans="1:16" x14ac:dyDescent="0.2">
      <c r="A914" s="10">
        <v>912</v>
      </c>
      <c r="B914" s="40">
        <v>0.1063429517389865</v>
      </c>
      <c r="C914" s="12">
        <v>3.9347101080183844</v>
      </c>
      <c r="D914" s="40">
        <v>0.60713110093477318</v>
      </c>
      <c r="E914" s="40">
        <v>1.9170168139247559E-2</v>
      </c>
      <c r="F914" s="37">
        <v>19.628086898013979</v>
      </c>
      <c r="G914" s="12">
        <v>11.282418049455487</v>
      </c>
      <c r="H914" s="37">
        <v>162348.76011701446</v>
      </c>
      <c r="I914" s="37">
        <v>39527.188264509212</v>
      </c>
      <c r="J914" s="37">
        <v>294913.88215780578</v>
      </c>
      <c r="K914" s="37">
        <v>63499.053849090596</v>
      </c>
      <c r="L914" s="37">
        <v>61757.934411987735</v>
      </c>
      <c r="M914" s="37">
        <v>128160.17939921089</v>
      </c>
      <c r="N914" s="37">
        <v>145349.92501678859</v>
      </c>
      <c r="O914" s="37">
        <v>1032067.27896713</v>
      </c>
      <c r="P914" s="68">
        <v>1</v>
      </c>
    </row>
    <row r="915" spans="1:16" x14ac:dyDescent="0.2">
      <c r="A915" s="10">
        <v>913</v>
      </c>
      <c r="B915" s="40">
        <v>0.12311564590147597</v>
      </c>
      <c r="C915" s="12">
        <v>6.3301762699975948</v>
      </c>
      <c r="D915" s="40">
        <v>0.76069032066181441</v>
      </c>
      <c r="E915" s="40">
        <v>4.4855870675922629E-2</v>
      </c>
      <c r="F915" s="37">
        <v>12.775990883254241</v>
      </c>
      <c r="G915" s="12">
        <v>7.9379847135631234</v>
      </c>
      <c r="H915" s="37">
        <v>239763.80825122306</v>
      </c>
      <c r="I915" s="37">
        <v>23836.298462306895</v>
      </c>
      <c r="J915" s="37">
        <v>434449.86558133014</v>
      </c>
      <c r="K915" s="37">
        <v>199746.53632880124</v>
      </c>
      <c r="L915" s="37">
        <v>144120.50363207178</v>
      </c>
      <c r="M915" s="37">
        <v>244561.7347471368</v>
      </c>
      <c r="N915" s="37">
        <v>102264.02512682095</v>
      </c>
      <c r="O915" s="37">
        <v>1119897.8660517693</v>
      </c>
      <c r="P915" s="68">
        <v>1</v>
      </c>
    </row>
    <row r="916" spans="1:16" x14ac:dyDescent="0.2">
      <c r="A916" s="10">
        <v>914</v>
      </c>
      <c r="B916" s="40">
        <v>0.14394915408229975</v>
      </c>
      <c r="C916" s="12">
        <v>7.5730055675431078</v>
      </c>
      <c r="D916" s="40">
        <v>0.63796458984947191</v>
      </c>
      <c r="E916" s="40">
        <v>2.0186630296567164E-2</v>
      </c>
      <c r="F916" s="37">
        <v>14.37575848423416</v>
      </c>
      <c r="G916" s="12">
        <v>19.407184303416443</v>
      </c>
      <c r="H916" s="37">
        <v>116791.02565580513</v>
      </c>
      <c r="I916" s="37">
        <v>76319.049188630408</v>
      </c>
      <c r="J916" s="37">
        <v>296640.87037131388</v>
      </c>
      <c r="K916" s="37">
        <v>100964.23369299463</v>
      </c>
      <c r="L916" s="37">
        <v>169068.53780663779</v>
      </c>
      <c r="M916" s="37">
        <v>103862.29220947062</v>
      </c>
      <c r="N916" s="37">
        <v>250020.23244695461</v>
      </c>
      <c r="O916" s="37">
        <v>1426637.3616405609</v>
      </c>
      <c r="P916" s="68">
        <v>1</v>
      </c>
    </row>
    <row r="917" spans="1:16" x14ac:dyDescent="0.2">
      <c r="A917" s="10">
        <v>915</v>
      </c>
      <c r="B917" s="40">
        <v>0.2118578616322894</v>
      </c>
      <c r="C917" s="12">
        <v>5.2168788878443042</v>
      </c>
      <c r="D917" s="40">
        <v>0.71286907703161606</v>
      </c>
      <c r="E917" s="40">
        <v>4.1273744003313205E-2</v>
      </c>
      <c r="F917" s="37">
        <v>10.562302087399299</v>
      </c>
      <c r="G917" s="12">
        <v>22.206543286530476</v>
      </c>
      <c r="H917" s="37">
        <v>31731.935696972832</v>
      </c>
      <c r="I917" s="37">
        <v>60505.433673020758</v>
      </c>
      <c r="J917" s="37">
        <v>325214.88539088966</v>
      </c>
      <c r="K917" s="37">
        <v>218304.80590209441</v>
      </c>
      <c r="L917" s="37">
        <v>191537.55738946382</v>
      </c>
      <c r="M917" s="37">
        <v>174344.7839673438</v>
      </c>
      <c r="N917" s="37">
        <v>286084.01030974486</v>
      </c>
      <c r="O917" s="37">
        <v>1148162.9634721607</v>
      </c>
      <c r="P917" s="68">
        <v>1</v>
      </c>
    </row>
    <row r="918" spans="1:16" x14ac:dyDescent="0.2">
      <c r="A918" s="10">
        <v>916</v>
      </c>
      <c r="B918" s="40">
        <v>0.19410589220581909</v>
      </c>
      <c r="C918" s="12">
        <v>5.6564920241609906</v>
      </c>
      <c r="D918" s="40">
        <v>0.62851982002694529</v>
      </c>
      <c r="E918" s="40">
        <v>1.7548581346384286E-2</v>
      </c>
      <c r="F918" s="37">
        <v>12.214662298278604</v>
      </c>
      <c r="G918" s="12">
        <v>14.465416607409496</v>
      </c>
      <c r="H918" s="37">
        <v>152517.27572103022</v>
      </c>
      <c r="I918" s="37">
        <v>49075.59752673193</v>
      </c>
      <c r="J918" s="37">
        <v>523343.34301684052</v>
      </c>
      <c r="K918" s="37">
        <v>108128.8629998824</v>
      </c>
      <c r="L918" s="37">
        <v>167762.04248576425</v>
      </c>
      <c r="M918" s="37">
        <v>75580.400179160628</v>
      </c>
      <c r="N918" s="37">
        <v>186356.08164909758</v>
      </c>
      <c r="O918" s="37">
        <v>942368.16084030143</v>
      </c>
      <c r="P918" s="68">
        <v>1</v>
      </c>
    </row>
    <row r="919" spans="1:16" x14ac:dyDescent="0.2">
      <c r="A919" s="10">
        <v>917</v>
      </c>
      <c r="B919" s="40">
        <v>0.11918184687307924</v>
      </c>
      <c r="C919" s="12">
        <v>6.4460420642746525</v>
      </c>
      <c r="D919" s="40">
        <v>0.53476294011986791</v>
      </c>
      <c r="E919" s="40">
        <v>6.2943659797920302E-3</v>
      </c>
      <c r="F919" s="37">
        <v>9.081269373764842</v>
      </c>
      <c r="G919" s="12">
        <v>15.278898775644869</v>
      </c>
      <c r="H919" s="37">
        <v>65060.276070872496</v>
      </c>
      <c r="I919" s="37">
        <v>40147.273258939829</v>
      </c>
      <c r="J919" s="37">
        <v>256676.52553578874</v>
      </c>
      <c r="K919" s="37">
        <v>122621.16356709601</v>
      </c>
      <c r="L919" s="37">
        <v>99874.214857479747</v>
      </c>
      <c r="M919" s="37">
        <v>17148.517596733393</v>
      </c>
      <c r="N919" s="37">
        <v>196836.06666979205</v>
      </c>
      <c r="O919" s="37">
        <v>573855.26725663512</v>
      </c>
      <c r="P919" s="68">
        <v>1</v>
      </c>
    </row>
    <row r="920" spans="1:16" x14ac:dyDescent="0.2">
      <c r="A920" s="10">
        <v>918</v>
      </c>
      <c r="B920" s="40">
        <v>0.13767467927236662</v>
      </c>
      <c r="C920" s="12">
        <v>4.4207388791317674</v>
      </c>
      <c r="D920" s="40">
        <v>0.53208134434286447</v>
      </c>
      <c r="E920" s="40">
        <v>2.089377967034018E-2</v>
      </c>
      <c r="F920" s="37">
        <v>29.237686189037078</v>
      </c>
      <c r="G920" s="12">
        <v>18.741568932166537</v>
      </c>
      <c r="H920" s="37">
        <v>156777.61720164871</v>
      </c>
      <c r="I920" s="37">
        <v>44726.627284863433</v>
      </c>
      <c r="J920" s="37">
        <v>342425.17023340572</v>
      </c>
      <c r="K920" s="37">
        <v>152446.25456779706</v>
      </c>
      <c r="L920" s="37">
        <v>78725.567170759648</v>
      </c>
      <c r="M920" s="37">
        <v>182349.58328793591</v>
      </c>
      <c r="N920" s="37">
        <v>241445.19614914033</v>
      </c>
      <c r="O920" s="37">
        <v>1202897.0952502149</v>
      </c>
      <c r="P920" s="68">
        <v>1</v>
      </c>
    </row>
    <row r="921" spans="1:16" x14ac:dyDescent="0.2">
      <c r="A921" s="10">
        <v>919</v>
      </c>
      <c r="B921" s="40">
        <v>0.17372431693639412</v>
      </c>
      <c r="C921" s="12">
        <v>7.4989924433771993</v>
      </c>
      <c r="D921" s="40">
        <v>0.44654808253116929</v>
      </c>
      <c r="E921" s="40">
        <v>2.2670456514300663E-2</v>
      </c>
      <c r="F921" s="37">
        <v>12.886448365814562</v>
      </c>
      <c r="G921" s="12">
        <v>21.577276760311847</v>
      </c>
      <c r="H921" s="37">
        <v>78151.416869705863</v>
      </c>
      <c r="I921" s="37">
        <v>73791.462846811395</v>
      </c>
      <c r="J921" s="37">
        <v>322405.36846661469</v>
      </c>
      <c r="K921" s="37">
        <v>84434.896140124256</v>
      </c>
      <c r="L921" s="37">
        <v>141423.17631708834</v>
      </c>
      <c r="M921" s="37">
        <v>73186.076339865875</v>
      </c>
      <c r="N921" s="37">
        <v>277977.25145711866</v>
      </c>
      <c r="O921" s="37">
        <v>1246776.0610528812</v>
      </c>
      <c r="P921" s="68">
        <v>1</v>
      </c>
    </row>
    <row r="922" spans="1:16" x14ac:dyDescent="0.2">
      <c r="A922" s="10">
        <v>920</v>
      </c>
      <c r="B922" s="40">
        <v>0.1680654869025402</v>
      </c>
      <c r="C922" s="12">
        <v>8.1700817146288465</v>
      </c>
      <c r="D922" s="40">
        <v>0.82715960615557627</v>
      </c>
      <c r="E922" s="40">
        <v>1.2126647534793158E-2</v>
      </c>
      <c r="F922" s="37">
        <v>24.925535965166979</v>
      </c>
      <c r="G922" s="12">
        <v>13.562685099442909</v>
      </c>
      <c r="H922" s="37">
        <v>140769.70421425265</v>
      </c>
      <c r="I922" s="37">
        <v>45772.281588776466</v>
      </c>
      <c r="J922" s="37">
        <v>421978.01601881906</v>
      </c>
      <c r="K922" s="37">
        <v>105934.99877544217</v>
      </c>
      <c r="L922" s="37">
        <v>276110.60372372752</v>
      </c>
      <c r="M922" s="37">
        <v>140262.41432942072</v>
      </c>
      <c r="N922" s="37">
        <v>174726.3089870601</v>
      </c>
      <c r="O922" s="37">
        <v>1459899.2337867166</v>
      </c>
      <c r="P922" s="68">
        <v>1</v>
      </c>
    </row>
    <row r="923" spans="1:16" x14ac:dyDescent="0.2">
      <c r="A923" s="10">
        <v>921</v>
      </c>
      <c r="B923" s="40">
        <v>0.11873266018695952</v>
      </c>
      <c r="C923" s="12">
        <v>5.9840074004236543</v>
      </c>
      <c r="D923" s="40">
        <v>0.76536923954125002</v>
      </c>
      <c r="E923" s="40">
        <v>3.20511169676055E-2</v>
      </c>
      <c r="F923" s="37">
        <v>19.310262979767664</v>
      </c>
      <c r="G923" s="12">
        <v>10.867790621524694</v>
      </c>
      <c r="H923" s="37">
        <v>33308.026157642991</v>
      </c>
      <c r="I923" s="37">
        <v>19730.040970541002</v>
      </c>
      <c r="J923" s="37">
        <v>247789.4351945628</v>
      </c>
      <c r="K923" s="37">
        <v>78774.892905465909</v>
      </c>
      <c r="L923" s="37">
        <v>132197.16859082395</v>
      </c>
      <c r="M923" s="37">
        <v>265747.44220285962</v>
      </c>
      <c r="N923" s="37">
        <v>140008.33376432184</v>
      </c>
      <c r="O923" s="37">
        <v>1187254.1854015719</v>
      </c>
      <c r="P923" s="68">
        <v>1</v>
      </c>
    </row>
    <row r="924" spans="1:16" x14ac:dyDescent="0.2">
      <c r="A924" s="10">
        <v>922</v>
      </c>
      <c r="B924" s="40">
        <v>0.17173249409998503</v>
      </c>
      <c r="C924" s="12">
        <v>5.5240345820578503</v>
      </c>
      <c r="D924" s="40">
        <v>0.66530512459721369</v>
      </c>
      <c r="E924" s="40">
        <v>3.6476729035978199E-2</v>
      </c>
      <c r="F924" s="37">
        <v>13.404627623688231</v>
      </c>
      <c r="G924" s="12">
        <v>17.110307875047152</v>
      </c>
      <c r="H924" s="37">
        <v>40638.707920421548</v>
      </c>
      <c r="I924" s="37">
        <v>44651.966542078728</v>
      </c>
      <c r="J924" s="37">
        <v>282390.45045000571</v>
      </c>
      <c r="K924" s="37">
        <v>153465.50696139139</v>
      </c>
      <c r="L924" s="37">
        <v>153432.92494803775</v>
      </c>
      <c r="M924" s="37">
        <v>182498.05557306437</v>
      </c>
      <c r="N924" s="37">
        <v>220429.8720142087</v>
      </c>
      <c r="O924" s="37">
        <v>1085329.5568490806</v>
      </c>
      <c r="P924" s="68">
        <v>1</v>
      </c>
    </row>
    <row r="925" spans="1:16" x14ac:dyDescent="0.2">
      <c r="A925" s="10">
        <v>923</v>
      </c>
      <c r="B925" s="40">
        <v>0.1647894821379875</v>
      </c>
      <c r="C925" s="12">
        <v>4.6700423452045428</v>
      </c>
      <c r="D925" s="40">
        <v>0.51962050136740734</v>
      </c>
      <c r="E925" s="40">
        <v>4.2053631918668136E-2</v>
      </c>
      <c r="F925" s="37">
        <v>19.098113342442979</v>
      </c>
      <c r="G925" s="12">
        <v>14.246361690786873</v>
      </c>
      <c r="H925" s="37">
        <v>210938.17056916267</v>
      </c>
      <c r="I925" s="37">
        <v>65758.863870876346</v>
      </c>
      <c r="J925" s="37">
        <v>298980.23261271906</v>
      </c>
      <c r="K925" s="37">
        <v>100639.37046379689</v>
      </c>
      <c r="L925" s="37">
        <v>97213.239267339348</v>
      </c>
      <c r="M925" s="37">
        <v>234124.56590855081</v>
      </c>
      <c r="N925" s="37">
        <v>183534.02563538752</v>
      </c>
      <c r="O925" s="37">
        <v>1636753.3911879826</v>
      </c>
      <c r="P925" s="68">
        <v>1</v>
      </c>
    </row>
    <row r="926" spans="1:16" x14ac:dyDescent="0.2">
      <c r="A926" s="10">
        <v>924</v>
      </c>
      <c r="B926" s="40">
        <v>0.12070935215950372</v>
      </c>
      <c r="C926" s="12">
        <v>3.7622693803539353</v>
      </c>
      <c r="D926" s="40">
        <v>0.56779199832270777</v>
      </c>
      <c r="E926" s="40">
        <v>1.2173802867471224E-2</v>
      </c>
      <c r="F926" s="37">
        <v>15.769912139940258</v>
      </c>
      <c r="G926" s="12">
        <v>17.147887768381018</v>
      </c>
      <c r="H926" s="37">
        <v>51472.138956984803</v>
      </c>
      <c r="I926" s="37">
        <v>39232.622389744873</v>
      </c>
      <c r="J926" s="37">
        <v>409397.71430834511</v>
      </c>
      <c r="K926" s="37">
        <v>191021.02887039809</v>
      </c>
      <c r="L926" s="37">
        <v>62685.761291626957</v>
      </c>
      <c r="M926" s="37">
        <v>61152.122932707345</v>
      </c>
      <c r="N926" s="37">
        <v>220914.00889464279</v>
      </c>
      <c r="O926" s="37">
        <v>275422.17381223536</v>
      </c>
      <c r="P926" s="68">
        <v>1</v>
      </c>
    </row>
    <row r="927" spans="1:16" x14ac:dyDescent="0.2">
      <c r="A927" s="10">
        <v>925</v>
      </c>
      <c r="B927" s="40">
        <v>0.15449648875517774</v>
      </c>
      <c r="C927" s="12">
        <v>2.7153055647361164</v>
      </c>
      <c r="D927" s="40">
        <v>0.5705451805806534</v>
      </c>
      <c r="E927" s="40">
        <v>8.7565589902939625E-3</v>
      </c>
      <c r="F927" s="37">
        <v>11.082220225576544</v>
      </c>
      <c r="G927" s="12">
        <v>12.891665643570491</v>
      </c>
      <c r="H927" s="37">
        <v>64438.603100466338</v>
      </c>
      <c r="I927" s="37">
        <v>34272.63099533756</v>
      </c>
      <c r="J927" s="37">
        <v>505374.83678658062</v>
      </c>
      <c r="K927" s="37">
        <v>116532.94551893292</v>
      </c>
      <c r="L927" s="37">
        <v>58185.690705486726</v>
      </c>
      <c r="M927" s="37">
        <v>31061.113968072175</v>
      </c>
      <c r="N927" s="37">
        <v>166081.65256958499</v>
      </c>
      <c r="O927" s="37">
        <v>160032.8455192321</v>
      </c>
      <c r="P927" s="68">
        <v>1</v>
      </c>
    </row>
    <row r="928" spans="1:16" x14ac:dyDescent="0.2">
      <c r="A928" s="10">
        <v>926</v>
      </c>
      <c r="B928" s="40">
        <v>0.12358006734410211</v>
      </c>
      <c r="C928" s="12">
        <v>5.6506907259428356</v>
      </c>
      <c r="D928" s="40">
        <v>0.55306105028972197</v>
      </c>
      <c r="E928" s="40">
        <v>3.9293445077462547E-2</v>
      </c>
      <c r="F928" s="37">
        <v>16.15852660488942</v>
      </c>
      <c r="G928" s="12">
        <v>6.5026422940875115</v>
      </c>
      <c r="H928" s="37">
        <v>162055.91176680371</v>
      </c>
      <c r="I928" s="37">
        <v>11833.495971728991</v>
      </c>
      <c r="J928" s="37">
        <v>304018.04498177941</v>
      </c>
      <c r="K928" s="37">
        <v>163119.89719830669</v>
      </c>
      <c r="L928" s="37">
        <v>93888.385117893835</v>
      </c>
      <c r="M928" s="37">
        <v>196997.93382706845</v>
      </c>
      <c r="N928" s="37">
        <v>83772.695331231182</v>
      </c>
      <c r="O928" s="37">
        <v>775812.7636428969</v>
      </c>
      <c r="P928" s="68">
        <v>1</v>
      </c>
    </row>
    <row r="929" spans="1:16" x14ac:dyDescent="0.2">
      <c r="A929" s="10">
        <v>927</v>
      </c>
      <c r="B929" s="40">
        <v>0.11824813316886262</v>
      </c>
      <c r="C929" s="12">
        <v>7.2531058143586264</v>
      </c>
      <c r="D929" s="40">
        <v>0.65282131752058192</v>
      </c>
      <c r="E929" s="40">
        <v>1.1409794153845619E-2</v>
      </c>
      <c r="F929" s="37">
        <v>16.661688788457223</v>
      </c>
      <c r="G929" s="12">
        <v>22.408600432630969</v>
      </c>
      <c r="H929" s="37">
        <v>69132.331640341115</v>
      </c>
      <c r="I929" s="37">
        <v>21420.932652576073</v>
      </c>
      <c r="J929" s="37">
        <v>178688.37046912644</v>
      </c>
      <c r="K929" s="37">
        <v>120870.84132458373</v>
      </c>
      <c r="L929" s="37">
        <v>136113.5821460546</v>
      </c>
      <c r="M929" s="37">
        <v>69623.826332340715</v>
      </c>
      <c r="N929" s="37">
        <v>288687.08625552856</v>
      </c>
      <c r="O929" s="37">
        <v>1121570.7332633669</v>
      </c>
      <c r="P929" s="68">
        <v>1</v>
      </c>
    </row>
    <row r="930" spans="1:16" x14ac:dyDescent="0.2">
      <c r="A930" s="10">
        <v>928</v>
      </c>
      <c r="B930" s="40">
        <v>0.16211252600164081</v>
      </c>
      <c r="C930" s="12">
        <v>2.5318409313679719</v>
      </c>
      <c r="D930" s="40">
        <v>0.30350206438766103</v>
      </c>
      <c r="E930" s="40">
        <v>9.819950421247196E-3</v>
      </c>
      <c r="F930" s="37">
        <v>11.898460398945613</v>
      </c>
      <c r="G930" s="12">
        <v>1.7112279755259845</v>
      </c>
      <c r="H930" s="37">
        <v>119600.34006562929</v>
      </c>
      <c r="I930" s="37">
        <v>38079.474827337392</v>
      </c>
      <c r="J930" s="37">
        <v>389710.202000683</v>
      </c>
      <c r="K930" s="37">
        <v>107691.81747854226</v>
      </c>
      <c r="L930" s="37">
        <v>30283.318805246265</v>
      </c>
      <c r="M930" s="37">
        <v>19894.290075842149</v>
      </c>
      <c r="N930" s="37">
        <v>22045.527549064438</v>
      </c>
      <c r="O930" s="37">
        <v>-47318.96994232724</v>
      </c>
      <c r="P930" s="68">
        <v>0</v>
      </c>
    </row>
    <row r="931" spans="1:16" x14ac:dyDescent="0.2">
      <c r="A931" s="10">
        <v>929</v>
      </c>
      <c r="B931" s="40">
        <v>0.14449302826946869</v>
      </c>
      <c r="C931" s="12">
        <v>6.8401022100763349</v>
      </c>
      <c r="D931" s="40">
        <v>0.52746439254103716</v>
      </c>
      <c r="E931" s="40">
        <v>1.9525408139585712E-2</v>
      </c>
      <c r="F931" s="37">
        <v>17.713300591176662</v>
      </c>
      <c r="G931" s="12">
        <v>6.2981700120801047</v>
      </c>
      <c r="H931" s="37">
        <v>29599.704616404146</v>
      </c>
      <c r="I931" s="37">
        <v>11375.53083436618</v>
      </c>
      <c r="J931" s="37">
        <v>452404.03953570256</v>
      </c>
      <c r="K931" s="37">
        <v>112888.83905325367</v>
      </c>
      <c r="L931" s="37">
        <v>126733.50936639421</v>
      </c>
      <c r="M931" s="37">
        <v>102343.31788954172</v>
      </c>
      <c r="N931" s="37">
        <v>81138.505503526423</v>
      </c>
      <c r="O931" s="37">
        <v>215230.89748615888</v>
      </c>
      <c r="P931" s="68">
        <v>1</v>
      </c>
    </row>
    <row r="932" spans="1:16" x14ac:dyDescent="0.2">
      <c r="A932" s="10">
        <v>930</v>
      </c>
      <c r="B932" s="40">
        <v>0.16271426917401144</v>
      </c>
      <c r="C932" s="12">
        <v>5.7517066532173011</v>
      </c>
      <c r="D932" s="40">
        <v>0.54538968285512901</v>
      </c>
      <c r="E932" s="40">
        <v>2.5744052144985187E-2</v>
      </c>
      <c r="F932" s="37">
        <v>8.5578463573068859</v>
      </c>
      <c r="G932" s="12">
        <v>10.158099419097971</v>
      </c>
      <c r="H932" s="37">
        <v>155868.05751107947</v>
      </c>
      <c r="I932" s="37">
        <v>31131.856799248068</v>
      </c>
      <c r="J932" s="37">
        <v>347680.73840357119</v>
      </c>
      <c r="K932" s="37">
        <v>84760.315278535854</v>
      </c>
      <c r="L932" s="37">
        <v>124084.66592330328</v>
      </c>
      <c r="M932" s="37">
        <v>67408.55874771961</v>
      </c>
      <c r="N932" s="37">
        <v>130865.47426331468</v>
      </c>
      <c r="O932" s="37">
        <v>841889.55521133065</v>
      </c>
      <c r="P932" s="68">
        <v>1</v>
      </c>
    </row>
    <row r="933" spans="1:16" x14ac:dyDescent="0.2">
      <c r="A933" s="10">
        <v>931</v>
      </c>
      <c r="B933" s="40">
        <v>0.18247155718372904</v>
      </c>
      <c r="C933" s="12">
        <v>3.457142047205195</v>
      </c>
      <c r="D933" s="40">
        <v>0.33639706543494136</v>
      </c>
      <c r="E933" s="40">
        <v>4.114814300904085E-2</v>
      </c>
      <c r="F933" s="37">
        <v>15.858608415587993</v>
      </c>
      <c r="G933" s="12">
        <v>16.208354715648333</v>
      </c>
      <c r="H933" s="37">
        <v>224224.3747123518</v>
      </c>
      <c r="I933" s="37">
        <v>42994.874206701112</v>
      </c>
      <c r="J933" s="37">
        <v>409380.58830054046</v>
      </c>
      <c r="K933" s="37">
        <v>101403.50825450108</v>
      </c>
      <c r="L933" s="37">
        <v>51588.562980304734</v>
      </c>
      <c r="M933" s="37">
        <v>123149.95191766825</v>
      </c>
      <c r="N933" s="37">
        <v>208810.12671558448</v>
      </c>
      <c r="O933" s="37">
        <v>1129738.9810865952</v>
      </c>
      <c r="P933" s="68">
        <v>1</v>
      </c>
    </row>
    <row r="934" spans="1:16" x14ac:dyDescent="0.2">
      <c r="A934" s="10">
        <v>932</v>
      </c>
      <c r="B934" s="40">
        <v>0.19089607686200138</v>
      </c>
      <c r="C934" s="12">
        <v>6.5608413680370798</v>
      </c>
      <c r="D934" s="40">
        <v>0.67365578554565175</v>
      </c>
      <c r="E934" s="40">
        <v>3.9122122037128698E-2</v>
      </c>
      <c r="F934" s="37">
        <v>20.137496483514553</v>
      </c>
      <c r="G934" s="12">
        <v>22.75109626392134</v>
      </c>
      <c r="H934" s="37">
        <v>131694.22468476172</v>
      </c>
      <c r="I934" s="37">
        <v>6093.264871509019</v>
      </c>
      <c r="J934" s="37">
        <v>425209.82989675424</v>
      </c>
      <c r="K934" s="37">
        <v>112425.11033518992</v>
      </c>
      <c r="L934" s="37">
        <v>205108.38450392275</v>
      </c>
      <c r="M934" s="37">
        <v>297736.89641129627</v>
      </c>
      <c r="N934" s="37">
        <v>293099.41552558431</v>
      </c>
      <c r="O934" s="37">
        <v>1875794.4459636274</v>
      </c>
      <c r="P934" s="68">
        <v>1</v>
      </c>
    </row>
    <row r="935" spans="1:16" x14ac:dyDescent="0.2">
      <c r="A935" s="10">
        <v>933</v>
      </c>
      <c r="B935" s="40">
        <v>8.500731130064075E-2</v>
      </c>
      <c r="C935" s="12">
        <v>9.3482673832125247</v>
      </c>
      <c r="D935" s="40">
        <v>0.6168941820047229</v>
      </c>
      <c r="E935" s="40">
        <v>4.7221984146610933E-2</v>
      </c>
      <c r="F935" s="37">
        <v>13.988131219034049</v>
      </c>
      <c r="G935" s="12">
        <v>10.921824429647495</v>
      </c>
      <c r="H935" s="37">
        <v>202786.59446519264</v>
      </c>
      <c r="I935" s="37">
        <v>50093.109042829092</v>
      </c>
      <c r="J935" s="37">
        <v>493790.21854224405</v>
      </c>
      <c r="K935" s="37">
        <v>142499.60489147337</v>
      </c>
      <c r="L935" s="37">
        <v>119175.4799961117</v>
      </c>
      <c r="M935" s="37">
        <v>228602.68924951626</v>
      </c>
      <c r="N935" s="37">
        <v>140704.44428997283</v>
      </c>
      <c r="O935" s="37">
        <v>1184005.7023134646</v>
      </c>
      <c r="P935" s="68">
        <v>1</v>
      </c>
    </row>
    <row r="936" spans="1:16" x14ac:dyDescent="0.2">
      <c r="A936" s="10">
        <v>934</v>
      </c>
      <c r="B936" s="40">
        <v>0.1647342554077264</v>
      </c>
      <c r="C936" s="12">
        <v>5.7511754615167412</v>
      </c>
      <c r="D936" s="40">
        <v>0.38694589651120342</v>
      </c>
      <c r="E936" s="40">
        <v>2.7888853152554047E-2</v>
      </c>
      <c r="F936" s="37">
        <v>20.015998451083483</v>
      </c>
      <c r="G936" s="12">
        <v>12.347773623352396</v>
      </c>
      <c r="H936" s="37">
        <v>81379.406812372094</v>
      </c>
      <c r="I936" s="37">
        <v>41702.976053837534</v>
      </c>
      <c r="J936" s="37">
        <v>600405.72967200598</v>
      </c>
      <c r="K936" s="37">
        <v>175397.47930858724</v>
      </c>
      <c r="L936" s="37">
        <v>89120.909474970307</v>
      </c>
      <c r="M936" s="37">
        <v>121178.3100804109</v>
      </c>
      <c r="N936" s="37">
        <v>159074.7623790779</v>
      </c>
      <c r="O936" s="37">
        <v>287878.16904987651</v>
      </c>
      <c r="P936" s="68">
        <v>1</v>
      </c>
    </row>
    <row r="937" spans="1:16" x14ac:dyDescent="0.2">
      <c r="A937" s="10">
        <v>935</v>
      </c>
      <c r="B937" s="40">
        <v>7.7915193088686663E-2</v>
      </c>
      <c r="C937" s="12">
        <v>5.594200944695686</v>
      </c>
      <c r="D937" s="40">
        <v>0.30619773998777383</v>
      </c>
      <c r="E937" s="40">
        <v>2.181637356304221E-2</v>
      </c>
      <c r="F937" s="37">
        <v>21.999660001419397</v>
      </c>
      <c r="G937" s="12">
        <v>17.686606038905929</v>
      </c>
      <c r="H937" s="37">
        <v>37416.090886429825</v>
      </c>
      <c r="I937" s="37">
        <v>25593.521914767225</v>
      </c>
      <c r="J937" s="37">
        <v>418015.4394691831</v>
      </c>
      <c r="K937" s="37">
        <v>82241.170920781209</v>
      </c>
      <c r="L937" s="37">
        <v>32445.242460925536</v>
      </c>
      <c r="M937" s="37">
        <v>82445.554501187769</v>
      </c>
      <c r="N937" s="37">
        <v>227854.24634044</v>
      </c>
      <c r="O937" s="37">
        <v>488351.90444368403</v>
      </c>
      <c r="P937" s="68">
        <v>1</v>
      </c>
    </row>
    <row r="938" spans="1:16" x14ac:dyDescent="0.2">
      <c r="A938" s="10">
        <v>936</v>
      </c>
      <c r="B938" s="40">
        <v>0.11923418567640995</v>
      </c>
      <c r="C938" s="12">
        <v>7.371649308436659</v>
      </c>
      <c r="D938" s="40">
        <v>0.49889415815614385</v>
      </c>
      <c r="E938" s="40">
        <v>1.5446387265937419E-2</v>
      </c>
      <c r="F938" s="37">
        <v>11.607830923884887</v>
      </c>
      <c r="G938" s="12">
        <v>14.598092941228934</v>
      </c>
      <c r="H938" s="37">
        <v>156793.42853085522</v>
      </c>
      <c r="I938" s="37">
        <v>58801.549235058723</v>
      </c>
      <c r="J938" s="37">
        <v>264124.21950756025</v>
      </c>
      <c r="K938" s="37">
        <v>113838.47917931962</v>
      </c>
      <c r="L938" s="37">
        <v>106601.34995049491</v>
      </c>
      <c r="M938" s="37">
        <v>50182.598220090571</v>
      </c>
      <c r="N938" s="37">
        <v>188065.33360977002</v>
      </c>
      <c r="O938" s="37">
        <v>987103.05065828678</v>
      </c>
      <c r="P938" s="68">
        <v>1</v>
      </c>
    </row>
    <row r="939" spans="1:16" x14ac:dyDescent="0.2">
      <c r="A939" s="10">
        <v>937</v>
      </c>
      <c r="B939" s="40">
        <v>0.11980552548348665</v>
      </c>
      <c r="C939" s="12">
        <v>5.8197195015036787</v>
      </c>
      <c r="D939" s="40">
        <v>0.62228073180487986</v>
      </c>
      <c r="E939" s="40">
        <v>4.7631215526165942E-2</v>
      </c>
      <c r="F939" s="37">
        <v>25.369387648222375</v>
      </c>
      <c r="G939" s="12">
        <v>14.749132715655037</v>
      </c>
      <c r="H939" s="37">
        <v>105310.77751917165</v>
      </c>
      <c r="I939" s="37">
        <v>72486.030821039079</v>
      </c>
      <c r="J939" s="37">
        <v>234284.53797010981</v>
      </c>
      <c r="K939" s="37">
        <v>121167.46036488671</v>
      </c>
      <c r="L939" s="37">
        <v>105476.10520828499</v>
      </c>
      <c r="M939" s="37">
        <v>421846.77662614989</v>
      </c>
      <c r="N939" s="37">
        <v>190011.15938853082</v>
      </c>
      <c r="O939" s="37">
        <v>1934079.9150810849</v>
      </c>
      <c r="P939" s="68">
        <v>1</v>
      </c>
    </row>
    <row r="940" spans="1:16" x14ac:dyDescent="0.2">
      <c r="A940" s="10">
        <v>938</v>
      </c>
      <c r="B940" s="40">
        <v>0.21560087588373217</v>
      </c>
      <c r="C940" s="12">
        <v>3.8551454940909768</v>
      </c>
      <c r="D940" s="40">
        <v>0.7575953245584699</v>
      </c>
      <c r="E940" s="40">
        <v>2.6380577396822456E-2</v>
      </c>
      <c r="F940" s="37">
        <v>26.099811935394413</v>
      </c>
      <c r="G940" s="12">
        <v>11.906769061325774</v>
      </c>
      <c r="H940" s="37">
        <v>90024.397976310487</v>
      </c>
      <c r="I940" s="37">
        <v>44878.82344909454</v>
      </c>
      <c r="J940" s="37">
        <v>330433.9185074243</v>
      </c>
      <c r="K940" s="37">
        <v>169869.85935750103</v>
      </c>
      <c r="L940" s="37">
        <v>153079.63190612273</v>
      </c>
      <c r="M940" s="37">
        <v>292634.61239643267</v>
      </c>
      <c r="N940" s="37">
        <v>153393.35793708198</v>
      </c>
      <c r="O940" s="37">
        <v>1250084.2695448725</v>
      </c>
      <c r="P940" s="68">
        <v>1</v>
      </c>
    </row>
    <row r="941" spans="1:16" x14ac:dyDescent="0.2">
      <c r="A941" s="10">
        <v>939</v>
      </c>
      <c r="B941" s="40">
        <v>0.11351192903129691</v>
      </c>
      <c r="C941" s="12">
        <v>5.7466333401776355</v>
      </c>
      <c r="D941" s="40">
        <v>0.78377934486755629</v>
      </c>
      <c r="E941" s="40">
        <v>1.7568538525623983E-2</v>
      </c>
      <c r="F941" s="37">
        <v>21.754378091295102</v>
      </c>
      <c r="G941" s="12">
        <v>11.000340408709368</v>
      </c>
      <c r="H941" s="37">
        <v>95202.482226986933</v>
      </c>
      <c r="I941" s="37">
        <v>39753.470463994563</v>
      </c>
      <c r="J941" s="37">
        <v>425681.55824140733</v>
      </c>
      <c r="K941" s="37">
        <v>81539.214738719238</v>
      </c>
      <c r="L941" s="37">
        <v>124290.41442751652</v>
      </c>
      <c r="M941" s="37">
        <v>168051.67821237969</v>
      </c>
      <c r="N941" s="37">
        <v>141715.95544114965</v>
      </c>
      <c r="O941" s="37">
        <v>940045.82957247854</v>
      </c>
      <c r="P941" s="68">
        <v>1</v>
      </c>
    </row>
    <row r="942" spans="1:16" x14ac:dyDescent="0.2">
      <c r="A942" s="10">
        <v>940</v>
      </c>
      <c r="B942" s="40">
        <v>0.1336843244089076</v>
      </c>
      <c r="C942" s="12">
        <v>5.5881367701630893</v>
      </c>
      <c r="D942" s="40">
        <v>0.70864488070301046</v>
      </c>
      <c r="E942" s="40">
        <v>1.2779480953729419E-2</v>
      </c>
      <c r="F942" s="37">
        <v>14.920616655259881</v>
      </c>
      <c r="G942" s="12">
        <v>17.442446295517364</v>
      </c>
      <c r="H942" s="37">
        <v>140504.79885715328</v>
      </c>
      <c r="I942" s="37">
        <v>21652.079761842255</v>
      </c>
      <c r="J942" s="37">
        <v>521063.53184967424</v>
      </c>
      <c r="K942" s="37">
        <v>107371.74408239179</v>
      </c>
      <c r="L942" s="37">
        <v>128695.98442386813</v>
      </c>
      <c r="M942" s="37">
        <v>75804.567389160875</v>
      </c>
      <c r="N942" s="37">
        <v>224708.76810713179</v>
      </c>
      <c r="O942" s="37">
        <v>834913.23031352577</v>
      </c>
      <c r="P942" s="68">
        <v>1</v>
      </c>
    </row>
    <row r="943" spans="1:16" x14ac:dyDescent="0.2">
      <c r="A943" s="10">
        <v>941</v>
      </c>
      <c r="B943" s="40">
        <v>8.2257412251784762E-2</v>
      </c>
      <c r="C943" s="12">
        <v>2.7582686264703691</v>
      </c>
      <c r="D943" s="40">
        <v>0.46968417468530915</v>
      </c>
      <c r="E943" s="40">
        <v>1.8071804161629082E-2</v>
      </c>
      <c r="F943" s="37">
        <v>22.007922212810289</v>
      </c>
      <c r="G943" s="12">
        <v>12.214707134614994</v>
      </c>
      <c r="H943" s="37">
        <v>71041.971048074716</v>
      </c>
      <c r="I943" s="37">
        <v>39778.273627214694</v>
      </c>
      <c r="J943" s="37">
        <v>238708.20651960239</v>
      </c>
      <c r="K943" s="37">
        <v>123595.31508262132</v>
      </c>
      <c r="L943" s="37">
        <v>25906.357809133893</v>
      </c>
      <c r="M943" s="37">
        <v>104798.05283709418</v>
      </c>
      <c r="N943" s="37">
        <v>157360.48410331746</v>
      </c>
      <c r="O943" s="37">
        <v>532553.94582676655</v>
      </c>
      <c r="P943" s="68">
        <v>1</v>
      </c>
    </row>
    <row r="944" spans="1:16" x14ac:dyDescent="0.2">
      <c r="A944" s="10">
        <v>942</v>
      </c>
      <c r="B944" s="40">
        <v>0.18918848098694763</v>
      </c>
      <c r="C944" s="12">
        <v>4.9510704147717641</v>
      </c>
      <c r="D944" s="40">
        <v>0.52085062971382468</v>
      </c>
      <c r="E944" s="40">
        <v>1.4662284316352924E-2</v>
      </c>
      <c r="F944" s="37">
        <v>13.535206371290045</v>
      </c>
      <c r="G944" s="12">
        <v>10.575887080931524</v>
      </c>
      <c r="H944" s="37">
        <v>209818.82605138776</v>
      </c>
      <c r="I944" s="37">
        <v>58229.909609595437</v>
      </c>
      <c r="J944" s="37">
        <v>366425.14554648934</v>
      </c>
      <c r="K944" s="37">
        <v>101787.36423988</v>
      </c>
      <c r="L944" s="37">
        <v>118603.03874822319</v>
      </c>
      <c r="M944" s="37">
        <v>57989.110086463181</v>
      </c>
      <c r="N944" s="37">
        <v>136247.77839832031</v>
      </c>
      <c r="O944" s="37">
        <v>975842.77036662132</v>
      </c>
      <c r="P944" s="68">
        <v>1</v>
      </c>
    </row>
    <row r="945" spans="1:16" x14ac:dyDescent="0.2">
      <c r="A945" s="10">
        <v>943</v>
      </c>
      <c r="B945" s="40">
        <v>8.9345542755509363E-2</v>
      </c>
      <c r="C945" s="12">
        <v>6.8873318459239226</v>
      </c>
      <c r="D945" s="40">
        <v>0.78294628803187938</v>
      </c>
      <c r="E945" s="40">
        <v>2.0546282111830502E-2</v>
      </c>
      <c r="F945" s="37">
        <v>17.940157068556886</v>
      </c>
      <c r="G945" s="12">
        <v>16.969316824958259</v>
      </c>
      <c r="H945" s="37">
        <v>221983.23766018666</v>
      </c>
      <c r="I945" s="37">
        <v>30849.090585117665</v>
      </c>
      <c r="J945" s="37">
        <v>262756.74621415557</v>
      </c>
      <c r="K945" s="37">
        <v>98107.513145572826</v>
      </c>
      <c r="L945" s="37">
        <v>117123.67723627581</v>
      </c>
      <c r="M945" s="37">
        <v>161904.22770422726</v>
      </c>
      <c r="N945" s="37">
        <v>218613.50264475</v>
      </c>
      <c r="O945" s="37">
        <v>1564936.5883590481</v>
      </c>
      <c r="P945" s="68">
        <v>1</v>
      </c>
    </row>
    <row r="946" spans="1:16" x14ac:dyDescent="0.2">
      <c r="A946" s="10">
        <v>944</v>
      </c>
      <c r="B946" s="40">
        <v>0.15494011289655793</v>
      </c>
      <c r="C946" s="12">
        <v>2.3930847936686819</v>
      </c>
      <c r="D946" s="40">
        <v>0.57852086708049644</v>
      </c>
      <c r="E946" s="40">
        <v>1.9019006264147022E-2</v>
      </c>
      <c r="F946" s="37">
        <v>10.878384022761701</v>
      </c>
      <c r="G946" s="12">
        <v>20.463519835136282</v>
      </c>
      <c r="H946" s="37">
        <v>32786.42048138276</v>
      </c>
      <c r="I946" s="37">
        <v>48186.373905305649</v>
      </c>
      <c r="J946" s="37">
        <v>208984.11292976944</v>
      </c>
      <c r="K946" s="37">
        <v>99011.870319417794</v>
      </c>
      <c r="L946" s="37">
        <v>52147.058182369699</v>
      </c>
      <c r="M946" s="37">
        <v>67148.75546280673</v>
      </c>
      <c r="N946" s="37">
        <v>263628.86577848217</v>
      </c>
      <c r="O946" s="37">
        <v>813292.88761341339</v>
      </c>
      <c r="P946" s="68">
        <v>1</v>
      </c>
    </row>
    <row r="947" spans="1:16" x14ac:dyDescent="0.2">
      <c r="A947" s="10">
        <v>945</v>
      </c>
      <c r="B947" s="40">
        <v>0.20195320903924552</v>
      </c>
      <c r="C947" s="12">
        <v>4.0024089194585724</v>
      </c>
      <c r="D947" s="40">
        <v>0.43392586867371741</v>
      </c>
      <c r="E947" s="40">
        <v>1.9947593765002901E-2</v>
      </c>
      <c r="F947" s="37">
        <v>12.049961834776003</v>
      </c>
      <c r="G947" s="12">
        <v>7.6361649536257072</v>
      </c>
      <c r="H947" s="37">
        <v>123582.22481135737</v>
      </c>
      <c r="I947" s="37">
        <v>36890.797733953914</v>
      </c>
      <c r="J947" s="37">
        <v>520785.45699338726</v>
      </c>
      <c r="K947" s="37">
        <v>89135.626656004606</v>
      </c>
      <c r="L947" s="37">
        <v>85266.136937793795</v>
      </c>
      <c r="M947" s="37">
        <v>58513.821170016643</v>
      </c>
      <c r="N947" s="37">
        <v>98375.720396116027</v>
      </c>
      <c r="O947" s="37">
        <v>357508.33348700951</v>
      </c>
      <c r="P947" s="68">
        <v>1</v>
      </c>
    </row>
    <row r="948" spans="1:16" x14ac:dyDescent="0.2">
      <c r="A948" s="10">
        <v>946</v>
      </c>
      <c r="B948" s="40">
        <v>0.16619072076038288</v>
      </c>
      <c r="C948" s="12">
        <v>7.8584170822873967</v>
      </c>
      <c r="D948" s="40">
        <v>0.37567303026616788</v>
      </c>
      <c r="E948" s="40">
        <v>2.789925338713654E-2</v>
      </c>
      <c r="F948" s="37">
        <v>20.267144979360978</v>
      </c>
      <c r="G948" s="12">
        <v>22.029929562964043</v>
      </c>
      <c r="H948" s="37">
        <v>92393.479993409652</v>
      </c>
      <c r="I948" s="37">
        <v>20557.924307673376</v>
      </c>
      <c r="J948" s="37">
        <v>354921.03222902602</v>
      </c>
      <c r="K948" s="37">
        <v>126498.39205377677</v>
      </c>
      <c r="L948" s="37">
        <v>119272.60206199324</v>
      </c>
      <c r="M948" s="37">
        <v>119168.61869859455</v>
      </c>
      <c r="N948" s="37">
        <v>283808.71866882255</v>
      </c>
      <c r="O948" s="37">
        <v>1070279.9694883937</v>
      </c>
      <c r="P948" s="68">
        <v>1</v>
      </c>
    </row>
    <row r="949" spans="1:16" x14ac:dyDescent="0.2">
      <c r="A949" s="10">
        <v>947</v>
      </c>
      <c r="B949" s="40">
        <v>7.0012409988007757E-2</v>
      </c>
      <c r="C949" s="12">
        <v>8.3525100048192158</v>
      </c>
      <c r="D949" s="40">
        <v>0.7478041048252011</v>
      </c>
      <c r="E949" s="40">
        <v>3.2433529410520079E-2</v>
      </c>
      <c r="F949" s="37">
        <v>9.7030125451501874</v>
      </c>
      <c r="G949" s="12">
        <v>19.934599051075573</v>
      </c>
      <c r="H949" s="37">
        <v>160169.36723747745</v>
      </c>
      <c r="I949" s="37">
        <v>8302.4323017563238</v>
      </c>
      <c r="J949" s="37">
        <v>288650.27654709585</v>
      </c>
      <c r="K949" s="37">
        <v>102969.26258631267</v>
      </c>
      <c r="L949" s="37">
        <v>106308.67521065661</v>
      </c>
      <c r="M949" s="37">
        <v>132024.75817258554</v>
      </c>
      <c r="N949" s="37">
        <v>256814.84807712998</v>
      </c>
      <c r="O949" s="37">
        <v>1282089.7896990913</v>
      </c>
      <c r="P949" s="68">
        <v>1</v>
      </c>
    </row>
    <row r="950" spans="1:16" x14ac:dyDescent="0.2">
      <c r="A950" s="10">
        <v>948</v>
      </c>
      <c r="B950" s="40">
        <v>0.18404458595096121</v>
      </c>
      <c r="C950" s="12">
        <v>3.4282009172987147</v>
      </c>
      <c r="D950" s="40">
        <v>0.71004116320097954</v>
      </c>
      <c r="E950" s="40">
        <v>4.7763261313731433E-3</v>
      </c>
      <c r="F950" s="37">
        <v>17.421591807400144</v>
      </c>
      <c r="G950" s="12">
        <v>15.677175946552824</v>
      </c>
      <c r="H950" s="37">
        <v>10555.432903145111</v>
      </c>
      <c r="I950" s="37">
        <v>56569.731000335509</v>
      </c>
      <c r="J950" s="37">
        <v>192101.97856732793</v>
      </c>
      <c r="K950" s="37">
        <v>129423.03858827446</v>
      </c>
      <c r="L950" s="37">
        <v>108908.47314175573</v>
      </c>
      <c r="M950" s="37">
        <v>33146.071721096036</v>
      </c>
      <c r="N950" s="37">
        <v>201967.01968656699</v>
      </c>
      <c r="O950" s="37">
        <v>597185.52935685392</v>
      </c>
      <c r="P950" s="68">
        <v>1</v>
      </c>
    </row>
    <row r="951" spans="1:16" x14ac:dyDescent="0.2">
      <c r="A951" s="10">
        <v>949</v>
      </c>
      <c r="B951" s="40">
        <v>0.16827764441526066</v>
      </c>
      <c r="C951" s="12">
        <v>7.2929125163685775</v>
      </c>
      <c r="D951" s="40">
        <v>0.45593287514593106</v>
      </c>
      <c r="E951" s="40">
        <v>2.6033748937021404E-2</v>
      </c>
      <c r="F951" s="37">
        <v>17.296368986379683</v>
      </c>
      <c r="G951" s="12">
        <v>14.244387109800194</v>
      </c>
      <c r="H951" s="37">
        <v>128174.53906837093</v>
      </c>
      <c r="I951" s="37">
        <v>21862.887006772224</v>
      </c>
      <c r="J951" s="37">
        <v>279918.33044552675</v>
      </c>
      <c r="K951" s="37">
        <v>99611.006679435202</v>
      </c>
      <c r="L951" s="37">
        <v>136024.50862943829</v>
      </c>
      <c r="M951" s="37">
        <v>115175.28460225795</v>
      </c>
      <c r="N951" s="37">
        <v>183508.58736523162</v>
      </c>
      <c r="O951" s="37">
        <v>1079253.2659419901</v>
      </c>
      <c r="P951" s="68">
        <v>1</v>
      </c>
    </row>
    <row r="952" spans="1:16" x14ac:dyDescent="0.2">
      <c r="A952" s="10">
        <v>950</v>
      </c>
      <c r="B952" s="40">
        <v>8.9514350145380492E-2</v>
      </c>
      <c r="C952" s="12">
        <v>8.7702074271619992</v>
      </c>
      <c r="D952" s="40">
        <v>0.54788656121401569</v>
      </c>
      <c r="E952" s="40">
        <v>2.5518615614388385E-2</v>
      </c>
      <c r="F952" s="37">
        <v>13.654876507087426</v>
      </c>
      <c r="G952" s="12">
        <v>10.455653184884801</v>
      </c>
      <c r="H952" s="37">
        <v>67932.783670671226</v>
      </c>
      <c r="I952" s="37">
        <v>42391.39718500137</v>
      </c>
      <c r="J952" s="37">
        <v>281043.50056961388</v>
      </c>
      <c r="K952" s="37">
        <v>89129.856454151784</v>
      </c>
      <c r="L952" s="37">
        <v>104563.95603406359</v>
      </c>
      <c r="M952" s="37">
        <v>107103.15565955971</v>
      </c>
      <c r="N952" s="37">
        <v>134698.82074595685</v>
      </c>
      <c r="O952" s="37">
        <v>748726.90771053475</v>
      </c>
      <c r="P952" s="68">
        <v>1</v>
      </c>
    </row>
    <row r="953" spans="1:16" x14ac:dyDescent="0.2">
      <c r="A953" s="10">
        <v>951</v>
      </c>
      <c r="B953" s="40">
        <v>0.10775258613675222</v>
      </c>
      <c r="C953" s="12">
        <v>1.6449329443380614</v>
      </c>
      <c r="D953" s="40">
        <v>0.60822752614750875</v>
      </c>
      <c r="E953" s="40">
        <v>2.3143152528451116E-2</v>
      </c>
      <c r="F953" s="37">
        <v>14.077365773818807</v>
      </c>
      <c r="G953" s="12">
        <v>1.4325526118222822</v>
      </c>
      <c r="H953" s="37">
        <v>71959.105816217925</v>
      </c>
      <c r="I953" s="37">
        <v>57923.944492675189</v>
      </c>
      <c r="J953" s="37">
        <v>381440.80574802757</v>
      </c>
      <c r="K953" s="37">
        <v>90182.950125064701</v>
      </c>
      <c r="L953" s="37">
        <v>26207.814210442786</v>
      </c>
      <c r="M953" s="37">
        <v>111167.21239150509</v>
      </c>
      <c r="N953" s="37">
        <v>18455.389066266926</v>
      </c>
      <c r="O953" s="37">
        <v>166364.71836017957</v>
      </c>
      <c r="P953" s="68">
        <v>1</v>
      </c>
    </row>
    <row r="954" spans="1:16" x14ac:dyDescent="0.2">
      <c r="A954" s="10">
        <v>952</v>
      </c>
      <c r="B954" s="40">
        <v>0.16429391267262433</v>
      </c>
      <c r="C954" s="12">
        <v>3.4331396083307832</v>
      </c>
      <c r="D954" s="40">
        <v>0.30380841872622422</v>
      </c>
      <c r="E954" s="40">
        <v>3.6696538875879266E-2</v>
      </c>
      <c r="F954" s="37">
        <v>19.147347478625449</v>
      </c>
      <c r="G954" s="12">
        <v>5.877417998728161</v>
      </c>
      <c r="H954" s="37">
        <v>74104.2745793715</v>
      </c>
      <c r="I954" s="37">
        <v>42751.089035728881</v>
      </c>
      <c r="J954" s="37">
        <v>483799.07445811166</v>
      </c>
      <c r="K954" s="37">
        <v>115662.08764790736</v>
      </c>
      <c r="L954" s="37">
        <v>41658.302632355182</v>
      </c>
      <c r="M954" s="37">
        <v>119756.82118927249</v>
      </c>
      <c r="N954" s="37">
        <v>75718.01201327506</v>
      </c>
      <c r="O954" s="37">
        <v>183905.0143750956</v>
      </c>
      <c r="P954" s="68">
        <v>1</v>
      </c>
    </row>
    <row r="955" spans="1:16" x14ac:dyDescent="0.2">
      <c r="A955" s="10">
        <v>953</v>
      </c>
      <c r="B955" s="40">
        <v>0.14496079611875595</v>
      </c>
      <c r="C955" s="12">
        <v>4.5666830608599449</v>
      </c>
      <c r="D955" s="40">
        <v>0.39022451199356206</v>
      </c>
      <c r="E955" s="40">
        <v>1.363519784520982E-2</v>
      </c>
      <c r="F955" s="37">
        <v>15.688280893267352</v>
      </c>
      <c r="G955" s="12">
        <v>26.160927139940625</v>
      </c>
      <c r="H955" s="37">
        <v>158484.65649979102</v>
      </c>
      <c r="I955" s="37">
        <v>12841.152416702374</v>
      </c>
      <c r="J955" s="37">
        <v>216583.44777016627</v>
      </c>
      <c r="K955" s="37">
        <v>87742.445352044189</v>
      </c>
      <c r="L955" s="37">
        <v>62799.301426996084</v>
      </c>
      <c r="M955" s="37">
        <v>46829.34448985511</v>
      </c>
      <c r="N955" s="37">
        <v>337027.82342332689</v>
      </c>
      <c r="O955" s="37">
        <v>1268956.0768489134</v>
      </c>
      <c r="P955" s="68">
        <v>1</v>
      </c>
    </row>
    <row r="956" spans="1:16" x14ac:dyDescent="0.2">
      <c r="A956" s="10">
        <v>954</v>
      </c>
      <c r="B956" s="40">
        <v>0.10189361501571291</v>
      </c>
      <c r="C956" s="12">
        <v>6.3983749960421274</v>
      </c>
      <c r="D956" s="40">
        <v>0.70186468994416062</v>
      </c>
      <c r="E956" s="40">
        <v>2.402970603205206E-2</v>
      </c>
      <c r="F956" s="37">
        <v>19.79352290479239</v>
      </c>
      <c r="G956" s="12">
        <v>15.063515434430462</v>
      </c>
      <c r="H956" s="37">
        <v>185293.3314541709</v>
      </c>
      <c r="I956" s="37">
        <v>34025.812893042435</v>
      </c>
      <c r="J956" s="37">
        <v>343463.12879132462</v>
      </c>
      <c r="K956" s="37">
        <v>110157.87947540973</v>
      </c>
      <c r="L956" s="37">
        <v>111239.46303416922</v>
      </c>
      <c r="M956" s="37">
        <v>187280.12127044564</v>
      </c>
      <c r="N956" s="37">
        <v>194061.31108476117</v>
      </c>
      <c r="O956" s="37">
        <v>1342399.9603712661</v>
      </c>
      <c r="P956" s="68">
        <v>1</v>
      </c>
    </row>
    <row r="957" spans="1:16" x14ac:dyDescent="0.2">
      <c r="A957" s="10">
        <v>955</v>
      </c>
      <c r="B957" s="40">
        <v>0.11764910112773745</v>
      </c>
      <c r="C957" s="12">
        <v>9.0862754600728195</v>
      </c>
      <c r="D957" s="40">
        <v>0.47265361666167727</v>
      </c>
      <c r="E957" s="40">
        <v>1.9612691227202189E-2</v>
      </c>
      <c r="F957" s="37">
        <v>19.701534686488692</v>
      </c>
      <c r="G957" s="12">
        <v>12.811605438425108</v>
      </c>
      <c r="H957" s="37">
        <v>148119.47897969623</v>
      </c>
      <c r="I957" s="37">
        <v>65014.696250104673</v>
      </c>
      <c r="J957" s="37">
        <v>244133.13478752063</v>
      </c>
      <c r="K957" s="37">
        <v>170376.77944878387</v>
      </c>
      <c r="L957" s="37">
        <v>122830.53037177831</v>
      </c>
      <c r="M957" s="37">
        <v>102458.25760539941</v>
      </c>
      <c r="N957" s="37">
        <v>165050.24735452369</v>
      </c>
      <c r="O957" s="37">
        <v>969245.84291959368</v>
      </c>
      <c r="P957" s="68">
        <v>1</v>
      </c>
    </row>
    <row r="958" spans="1:16" x14ac:dyDescent="0.2">
      <c r="A958" s="10">
        <v>956</v>
      </c>
      <c r="B958" s="40">
        <v>0.16111441714666122</v>
      </c>
      <c r="C958" s="12">
        <v>5.8113396611713037</v>
      </c>
      <c r="D958" s="40">
        <v>0.70738803586788912</v>
      </c>
      <c r="E958" s="40">
        <v>2.9034746329595611E-2</v>
      </c>
      <c r="F958" s="37">
        <v>14.407939761377278</v>
      </c>
      <c r="G958" s="12">
        <v>21.919769659750873</v>
      </c>
      <c r="H958" s="37">
        <v>74171.914939350856</v>
      </c>
      <c r="I958" s="37">
        <v>39658.065742456121</v>
      </c>
      <c r="J958" s="37">
        <v>343602.55145434348</v>
      </c>
      <c r="K958" s="37">
        <v>143988.14069044904</v>
      </c>
      <c r="L958" s="37">
        <v>161011.61426360518</v>
      </c>
      <c r="M958" s="37">
        <v>166013.8656704055</v>
      </c>
      <c r="N958" s="37">
        <v>282389.54295651475</v>
      </c>
      <c r="O958" s="37">
        <v>1279264.8970435699</v>
      </c>
      <c r="P958" s="68">
        <v>1</v>
      </c>
    </row>
    <row r="959" spans="1:16" x14ac:dyDescent="0.2">
      <c r="A959" s="10">
        <v>957</v>
      </c>
      <c r="B959" s="40">
        <v>0.15310560803127471</v>
      </c>
      <c r="C959" s="12">
        <v>4.6665853842247786</v>
      </c>
      <c r="D959" s="40">
        <v>0.49920393257378259</v>
      </c>
      <c r="E959" s="40">
        <v>2.9783026719436719E-2</v>
      </c>
      <c r="F959" s="37">
        <v>22.805559690886923</v>
      </c>
      <c r="G959" s="12">
        <v>21.303063843326253</v>
      </c>
      <c r="H959" s="37">
        <v>84775.535768864822</v>
      </c>
      <c r="I959" s="37">
        <v>20376.587807041229</v>
      </c>
      <c r="J959" s="37">
        <v>382240.02797889645</v>
      </c>
      <c r="K959" s="37">
        <v>142515.18031222117</v>
      </c>
      <c r="L959" s="37">
        <v>86707.595421221355</v>
      </c>
      <c r="M959" s="37">
        <v>190219.17602439731</v>
      </c>
      <c r="N959" s="37">
        <v>274444.60209527251</v>
      </c>
      <c r="O959" s="37">
        <v>1057824.6808779838</v>
      </c>
      <c r="P959" s="68">
        <v>1</v>
      </c>
    </row>
    <row r="960" spans="1:16" x14ac:dyDescent="0.2">
      <c r="A960" s="10">
        <v>958</v>
      </c>
      <c r="B960" s="40">
        <v>0.13965072715425034</v>
      </c>
      <c r="C960" s="12">
        <v>5.2578102154361712</v>
      </c>
      <c r="D960" s="40">
        <v>0.6856372817903803</v>
      </c>
      <c r="E960" s="40">
        <v>2.0889872400232871E-2</v>
      </c>
      <c r="F960" s="37">
        <v>16.155061160789664</v>
      </c>
      <c r="G960" s="12">
        <v>18.052832928515869</v>
      </c>
      <c r="H960" s="37">
        <v>32403.492930775854</v>
      </c>
      <c r="I960" s="37">
        <v>11375.452497541468</v>
      </c>
      <c r="J960" s="37">
        <v>400459.27347057156</v>
      </c>
      <c r="K960" s="37">
        <v>162888.32392962696</v>
      </c>
      <c r="L960" s="37">
        <v>122385.89306393228</v>
      </c>
      <c r="M960" s="37">
        <v>129809.22295107483</v>
      </c>
      <c r="N960" s="37">
        <v>232572.29974978924</v>
      </c>
      <c r="O960" s="37">
        <v>623981.80609511491</v>
      </c>
      <c r="P960" s="68">
        <v>1</v>
      </c>
    </row>
    <row r="961" spans="1:16" x14ac:dyDescent="0.2">
      <c r="A961" s="10">
        <v>959</v>
      </c>
      <c r="B961" s="40">
        <v>0.16899875931954492</v>
      </c>
      <c r="C961" s="12">
        <v>6.5371048120797912</v>
      </c>
      <c r="D961" s="40">
        <v>0.63100319954045392</v>
      </c>
      <c r="E961" s="40">
        <v>2.0512668147340221E-2</v>
      </c>
      <c r="F961" s="37">
        <v>15.419994495810908</v>
      </c>
      <c r="G961" s="12">
        <v>16.641995187041118</v>
      </c>
      <c r="H961" s="37">
        <v>188000.42763937422</v>
      </c>
      <c r="I961" s="37">
        <v>10087.366014884123</v>
      </c>
      <c r="J961" s="37">
        <v>220437.62406169024</v>
      </c>
      <c r="K961" s="37">
        <v>67636.066334654373</v>
      </c>
      <c r="L961" s="37">
        <v>169468.64438857755</v>
      </c>
      <c r="M961" s="37">
        <v>111970.77034453403</v>
      </c>
      <c r="N961" s="37">
        <v>214396.66053527643</v>
      </c>
      <c r="O961" s="37">
        <v>1534193.4443639773</v>
      </c>
      <c r="P961" s="68">
        <v>1</v>
      </c>
    </row>
    <row r="962" spans="1:16" x14ac:dyDescent="0.2">
      <c r="A962" s="10">
        <v>960</v>
      </c>
      <c r="B962" s="40">
        <v>0.17229478452100089</v>
      </c>
      <c r="C962" s="12">
        <v>7.5363342085529439</v>
      </c>
      <c r="D962" s="40">
        <v>0.6319559008566773</v>
      </c>
      <c r="E962" s="40">
        <v>3.0526320106757619E-2</v>
      </c>
      <c r="F962" s="37">
        <v>18.399634289475244</v>
      </c>
      <c r="G962" s="12">
        <v>7.9183013606005543</v>
      </c>
      <c r="H962" s="37">
        <v>191048.44217955635</v>
      </c>
      <c r="I962" s="37">
        <v>28629.067495070489</v>
      </c>
      <c r="J962" s="37">
        <v>360370.5830061122</v>
      </c>
      <c r="K962" s="37">
        <v>123629.37734160594</v>
      </c>
      <c r="L962" s="37">
        <v>199483.91538436216</v>
      </c>
      <c r="M962" s="37">
        <v>199130.20941290539</v>
      </c>
      <c r="N962" s="37">
        <v>102010.44704944006</v>
      </c>
      <c r="O962" s="37">
        <v>1311289.7305255672</v>
      </c>
      <c r="P962" s="68">
        <v>1</v>
      </c>
    </row>
    <row r="963" spans="1:16" x14ac:dyDescent="0.2">
      <c r="A963" s="10">
        <v>961</v>
      </c>
      <c r="B963" s="40">
        <v>0.16108814858959458</v>
      </c>
      <c r="C963" s="12">
        <v>3.3447492791595379</v>
      </c>
      <c r="D963" s="40">
        <v>0.43584738889154434</v>
      </c>
      <c r="E963" s="40">
        <v>2.418599014177282E-2</v>
      </c>
      <c r="F963" s="37">
        <v>16.359150370026384</v>
      </c>
      <c r="G963" s="12">
        <v>10.441022800650037</v>
      </c>
      <c r="H963" s="37">
        <v>142956.62062889372</v>
      </c>
      <c r="I963" s="37">
        <v>39817.913098212244</v>
      </c>
      <c r="J963" s="37">
        <v>470704.71231463231</v>
      </c>
      <c r="K963" s="37">
        <v>159857.28143770836</v>
      </c>
      <c r="L963" s="37">
        <v>57088.737261843627</v>
      </c>
      <c r="M963" s="37">
        <v>96744.391282421318</v>
      </c>
      <c r="N963" s="37">
        <v>134510.33940781036</v>
      </c>
      <c r="O963" s="37">
        <v>401334.8322196966</v>
      </c>
      <c r="P963" s="68">
        <v>1</v>
      </c>
    </row>
    <row r="964" spans="1:16" x14ac:dyDescent="0.2">
      <c r="A964" s="10">
        <v>962</v>
      </c>
      <c r="B964" s="40">
        <v>0.140830536058067</v>
      </c>
      <c r="C964" s="12">
        <v>8.468699374097147</v>
      </c>
      <c r="D964" s="40">
        <v>0.7862323359483816</v>
      </c>
      <c r="E964" s="40">
        <v>3.3103492883810176E-2</v>
      </c>
      <c r="F964" s="37">
        <v>12.157317677698341</v>
      </c>
      <c r="G964" s="12">
        <v>4.0554716818580916</v>
      </c>
      <c r="H964" s="37">
        <v>91686.069136529026</v>
      </c>
      <c r="I964" s="37">
        <v>38103.862123793617</v>
      </c>
      <c r="J964" s="37">
        <v>574263.82164400257</v>
      </c>
      <c r="K964" s="37">
        <v>126920.73984579717</v>
      </c>
      <c r="L964" s="37">
        <v>227957.18204090217</v>
      </c>
      <c r="M964" s="37">
        <v>177512.61383161921</v>
      </c>
      <c r="N964" s="37">
        <v>52246.114466059153</v>
      </c>
      <c r="O964" s="37">
        <v>716128.43228537648</v>
      </c>
      <c r="P964" s="68">
        <v>1</v>
      </c>
    </row>
    <row r="965" spans="1:16" x14ac:dyDescent="0.2">
      <c r="A965" s="10">
        <v>963</v>
      </c>
      <c r="B965" s="40">
        <v>4.5356078421969384E-2</v>
      </c>
      <c r="C965" s="12">
        <v>6.4203388281867131</v>
      </c>
      <c r="D965" s="40">
        <v>0.73752878786428999</v>
      </c>
      <c r="E965" s="40">
        <v>1.9514393983300266E-2</v>
      </c>
      <c r="F965" s="37">
        <v>17.273029234301092</v>
      </c>
      <c r="G965" s="12">
        <v>17.379990872352117</v>
      </c>
      <c r="H965" s="37">
        <v>27616.359450599481</v>
      </c>
      <c r="I965" s="37">
        <v>17538.829091078074</v>
      </c>
      <c r="J965" s="37">
        <v>234599.75398460744</v>
      </c>
      <c r="K965" s="37">
        <v>67941.257081586475</v>
      </c>
      <c r="L965" s="37">
        <v>52210.908713628618</v>
      </c>
      <c r="M965" s="37">
        <v>139466.30201622646</v>
      </c>
      <c r="N965" s="37">
        <v>223904.16300969894</v>
      </c>
      <c r="O965" s="37">
        <v>865870.09899198299</v>
      </c>
      <c r="P965" s="68">
        <v>1</v>
      </c>
    </row>
    <row r="966" spans="1:16" x14ac:dyDescent="0.2">
      <c r="A966" s="10">
        <v>964</v>
      </c>
      <c r="B966" s="40">
        <v>6.9329105260572343E-2</v>
      </c>
      <c r="C966" s="12">
        <v>6.3511177719928336</v>
      </c>
      <c r="D966" s="40">
        <v>0.67285982350418361</v>
      </c>
      <c r="E966" s="40">
        <v>2.8469837717417E-3</v>
      </c>
      <c r="F966" s="37">
        <v>18.203203055071892</v>
      </c>
      <c r="G966" s="12">
        <v>4.7381180489958714</v>
      </c>
      <c r="H966" s="37">
        <v>176609.79228710578</v>
      </c>
      <c r="I966" s="37">
        <v>15571.648994184905</v>
      </c>
      <c r="J966" s="37">
        <v>419934.43806108576</v>
      </c>
      <c r="K966" s="37">
        <v>132665.67218827226</v>
      </c>
      <c r="L966" s="37">
        <v>72024.323600655232</v>
      </c>
      <c r="M966" s="37">
        <v>19562.490073729838</v>
      </c>
      <c r="N966" s="37">
        <v>61040.558869867447</v>
      </c>
      <c r="O966" s="37">
        <v>174413.63279709523</v>
      </c>
      <c r="P966" s="68">
        <v>1</v>
      </c>
    </row>
    <row r="967" spans="1:16" x14ac:dyDescent="0.2">
      <c r="A967" s="10">
        <v>965</v>
      </c>
      <c r="B967" s="40">
        <v>9.0518641566553287E-2</v>
      </c>
      <c r="C967" s="12">
        <v>7.0356451912247842</v>
      </c>
      <c r="D967" s="40">
        <v>0.52736970219142143</v>
      </c>
      <c r="E967" s="40">
        <v>3.5542878033062719E-2</v>
      </c>
      <c r="F967" s="37">
        <v>12.061745865230765</v>
      </c>
      <c r="G967" s="12">
        <v>16.604370987040198</v>
      </c>
      <c r="H967" s="37">
        <v>81330.65781303338</v>
      </c>
      <c r="I967" s="37">
        <v>47610.597965515786</v>
      </c>
      <c r="J967" s="37">
        <v>241155.42170220678</v>
      </c>
      <c r="K967" s="37">
        <v>137058.50533783674</v>
      </c>
      <c r="L967" s="37">
        <v>81648.077407227058</v>
      </c>
      <c r="M967" s="37">
        <v>126836.62364045542</v>
      </c>
      <c r="N967" s="37">
        <v>213911.9528578106</v>
      </c>
      <c r="O967" s="37">
        <v>919505.07794500247</v>
      </c>
      <c r="P967" s="68">
        <v>1</v>
      </c>
    </row>
    <row r="968" spans="1:16" x14ac:dyDescent="0.2">
      <c r="A968" s="10">
        <v>966</v>
      </c>
      <c r="B968" s="40">
        <v>0.11167171161491041</v>
      </c>
      <c r="C968" s="12">
        <v>6.6533033143188689</v>
      </c>
      <c r="D968" s="40">
        <v>0.66338706426059435</v>
      </c>
      <c r="E968" s="40">
        <v>4.4754578089797166E-2</v>
      </c>
      <c r="F968" s="37">
        <v>14.233401853330918</v>
      </c>
      <c r="G968" s="12">
        <v>15.03079839410594</v>
      </c>
      <c r="H968" s="37">
        <v>90126.241137063713</v>
      </c>
      <c r="I968" s="37">
        <v>58833.511109073188</v>
      </c>
      <c r="J968" s="37">
        <v>451665.35926420364</v>
      </c>
      <c r="K968" s="37">
        <v>141424.39967334041</v>
      </c>
      <c r="L968" s="37">
        <v>119821.93362195705</v>
      </c>
      <c r="M968" s="37">
        <v>237071.80646711582</v>
      </c>
      <c r="N968" s="37">
        <v>193639.82170747558</v>
      </c>
      <c r="O968" s="37">
        <v>1111841.1491312874</v>
      </c>
      <c r="P968" s="68">
        <v>1</v>
      </c>
    </row>
    <row r="969" spans="1:16" x14ac:dyDescent="0.2">
      <c r="A969" s="10">
        <v>967</v>
      </c>
      <c r="B969" s="40">
        <v>0.10439787263055109</v>
      </c>
      <c r="C969" s="12">
        <v>3.1243006447722221</v>
      </c>
      <c r="D969" s="40">
        <v>0.46932188667439562</v>
      </c>
      <c r="E969" s="40">
        <v>2.2318516362343985E-2</v>
      </c>
      <c r="F969" s="37">
        <v>19.16214521536412</v>
      </c>
      <c r="G969" s="12">
        <v>2.1427909599550694</v>
      </c>
      <c r="H969" s="37">
        <v>102462.42154691007</v>
      </c>
      <c r="I969" s="37">
        <v>58973.585227110263</v>
      </c>
      <c r="J969" s="37">
        <v>460475.84525263699</v>
      </c>
      <c r="K969" s="37">
        <v>89163.757349227424</v>
      </c>
      <c r="L969" s="37">
        <v>37213.807328059498</v>
      </c>
      <c r="M969" s="37">
        <v>112602.22912091529</v>
      </c>
      <c r="N969" s="37">
        <v>27605.297374276364</v>
      </c>
      <c r="O969" s="37">
        <v>239074.931471925</v>
      </c>
      <c r="P969" s="68">
        <v>1</v>
      </c>
    </row>
    <row r="970" spans="1:16" x14ac:dyDescent="0.2">
      <c r="A970" s="10">
        <v>968</v>
      </c>
      <c r="B970" s="40">
        <v>0.18366482972288564</v>
      </c>
      <c r="C970" s="12">
        <v>7.0552753363596814</v>
      </c>
      <c r="D970" s="40">
        <v>0.52229773672102064</v>
      </c>
      <c r="E970" s="40">
        <v>2.1168711925292086E-2</v>
      </c>
      <c r="F970" s="37">
        <v>20.582975687627723</v>
      </c>
      <c r="G970" s="12">
        <v>4.1224979545081561</v>
      </c>
      <c r="H970" s="37">
        <v>57288.63348946652</v>
      </c>
      <c r="I970" s="37">
        <v>52622.783203283841</v>
      </c>
      <c r="J970" s="37">
        <v>270709.0206001256</v>
      </c>
      <c r="K970" s="37">
        <v>84028.21013248479</v>
      </c>
      <c r="L970" s="37">
        <v>164530.69831755865</v>
      </c>
      <c r="M970" s="37">
        <v>127669.59179186383</v>
      </c>
      <c r="N970" s="37">
        <v>53109.605223194492</v>
      </c>
      <c r="O970" s="37">
        <v>769239.30072302371</v>
      </c>
      <c r="P970" s="68">
        <v>1</v>
      </c>
    </row>
    <row r="971" spans="1:16" x14ac:dyDescent="0.2">
      <c r="A971" s="10">
        <v>969</v>
      </c>
      <c r="B971" s="40">
        <v>0.14863895515969439</v>
      </c>
      <c r="C971" s="12">
        <v>3.4318054816256236</v>
      </c>
      <c r="D971" s="40">
        <v>0.56032093939838146</v>
      </c>
      <c r="E971" s="40">
        <v>2.1030571532485179E-2</v>
      </c>
      <c r="F971" s="37">
        <v>20.033549309144373</v>
      </c>
      <c r="G971" s="12">
        <v>20.262764223450269</v>
      </c>
      <c r="H971" s="37">
        <v>40909.234996897583</v>
      </c>
      <c r="I971" s="37">
        <v>34814.596096328933</v>
      </c>
      <c r="J971" s="37">
        <v>313698.72548270138</v>
      </c>
      <c r="K971" s="37">
        <v>78873.940152761512</v>
      </c>
      <c r="L971" s="37">
        <v>69483.388491180158</v>
      </c>
      <c r="M971" s="37">
        <v>132437.98336761849</v>
      </c>
      <c r="N971" s="37">
        <v>261042.55733136076</v>
      </c>
      <c r="O971" s="37">
        <v>974532.67733043456</v>
      </c>
      <c r="P971" s="68">
        <v>1</v>
      </c>
    </row>
    <row r="972" spans="1:16" x14ac:dyDescent="0.2">
      <c r="A972" s="10">
        <v>970</v>
      </c>
      <c r="B972" s="40">
        <v>8.1673528676628526E-2</v>
      </c>
      <c r="C972" s="12">
        <v>7.3938794693384038</v>
      </c>
      <c r="D972" s="40">
        <v>0.60075847759015732</v>
      </c>
      <c r="E972" s="40">
        <v>5.1512455150088034E-3</v>
      </c>
      <c r="F972" s="37">
        <v>15.76541423811968</v>
      </c>
      <c r="G972" s="12">
        <v>7.6613406206583168</v>
      </c>
      <c r="H972" s="37">
        <v>92730.310557351535</v>
      </c>
      <c r="I972" s="37">
        <v>38590.730894203341</v>
      </c>
      <c r="J972" s="37">
        <v>335070.4767800619</v>
      </c>
      <c r="K972" s="37">
        <v>81802.464359565376</v>
      </c>
      <c r="L972" s="37">
        <v>88194.687111212814</v>
      </c>
      <c r="M972" s="37">
        <v>27370.597350923013</v>
      </c>
      <c r="N972" s="37">
        <v>98700.055241660419</v>
      </c>
      <c r="O972" s="37">
        <v>403956.29948526132</v>
      </c>
      <c r="P972" s="68">
        <v>1</v>
      </c>
    </row>
    <row r="973" spans="1:16" x14ac:dyDescent="0.2">
      <c r="A973" s="10">
        <v>971</v>
      </c>
      <c r="B973" s="40">
        <v>0.21135348887963243</v>
      </c>
      <c r="C973" s="12">
        <v>5.1433499496655362</v>
      </c>
      <c r="D973" s="40">
        <v>0.71715377853257722</v>
      </c>
      <c r="E973" s="40">
        <v>2.5232469979225281E-2</v>
      </c>
      <c r="F973" s="37">
        <v>18.843747086862241</v>
      </c>
      <c r="G973" s="12">
        <v>12.182950312915761</v>
      </c>
      <c r="H973" s="37">
        <v>97407.148987120338</v>
      </c>
      <c r="I973" s="37">
        <v>44147.567996899372</v>
      </c>
      <c r="J973" s="37">
        <v>307463.00118243817</v>
      </c>
      <c r="K973" s="37">
        <v>81717.659728719998</v>
      </c>
      <c r="L973" s="37">
        <v>189520.68445128668</v>
      </c>
      <c r="M973" s="37">
        <v>191296.07302807926</v>
      </c>
      <c r="N973" s="37">
        <v>156951.36509775306</v>
      </c>
      <c r="O973" s="37">
        <v>1366809.7706216194</v>
      </c>
      <c r="P973" s="68">
        <v>1</v>
      </c>
    </row>
    <row r="974" spans="1:16" x14ac:dyDescent="0.2">
      <c r="A974" s="10">
        <v>972</v>
      </c>
      <c r="B974" s="40">
        <v>0.14628528663960644</v>
      </c>
      <c r="C974" s="12">
        <v>3.4210125349871756</v>
      </c>
      <c r="D974" s="40">
        <v>0.4096418176500658</v>
      </c>
      <c r="E974" s="40">
        <v>2.0216301244830481E-2</v>
      </c>
      <c r="F974" s="37">
        <v>14.632920488712074</v>
      </c>
      <c r="G974" s="12">
        <v>12.395186572533603</v>
      </c>
      <c r="H974" s="37">
        <v>116048.07055055955</v>
      </c>
      <c r="I974" s="37">
        <v>32889.101894845509</v>
      </c>
      <c r="J974" s="37">
        <v>301305.04389729677</v>
      </c>
      <c r="K974" s="37">
        <v>157291.68913689989</v>
      </c>
      <c r="L974" s="37">
        <v>49836.602382328841</v>
      </c>
      <c r="M974" s="37">
        <v>67983.532874658355</v>
      </c>
      <c r="N974" s="37">
        <v>159685.57723969599</v>
      </c>
      <c r="O974" s="37">
        <v>452758.89972765034</v>
      </c>
      <c r="P974" s="68">
        <v>1</v>
      </c>
    </row>
    <row r="975" spans="1:16" x14ac:dyDescent="0.2">
      <c r="A975" s="10">
        <v>973</v>
      </c>
      <c r="B975" s="40">
        <v>0.14175446122647184</v>
      </c>
      <c r="C975" s="12">
        <v>4.6393269799785788</v>
      </c>
      <c r="D975" s="40">
        <v>0.58502030834961727</v>
      </c>
      <c r="E975" s="40">
        <v>3.7260243245684194E-2</v>
      </c>
      <c r="F975" s="37">
        <v>20.52040327215721</v>
      </c>
      <c r="G975" s="12">
        <v>18.461688119708711</v>
      </c>
      <c r="H975" s="37">
        <v>175254.31454534456</v>
      </c>
      <c r="I975" s="37">
        <v>8144.370346224694</v>
      </c>
      <c r="J975" s="37">
        <v>336215.73186668206</v>
      </c>
      <c r="K975" s="37">
        <v>102205.27783028629</v>
      </c>
      <c r="L975" s="37">
        <v>93530.119736581997</v>
      </c>
      <c r="M975" s="37">
        <v>250939.62896885059</v>
      </c>
      <c r="N975" s="37">
        <v>237839.52802675177</v>
      </c>
      <c r="O975" s="37">
        <v>1522677.9239845537</v>
      </c>
      <c r="P975" s="68">
        <v>1</v>
      </c>
    </row>
    <row r="976" spans="1:16" x14ac:dyDescent="0.2">
      <c r="A976" s="10">
        <v>974</v>
      </c>
      <c r="B976" s="40">
        <v>0.14997747730951799</v>
      </c>
      <c r="C976" s="12">
        <v>3.699728707984542</v>
      </c>
      <c r="D976" s="40">
        <v>0.52521451754620496</v>
      </c>
      <c r="E976" s="40">
        <v>2.6324054674349163E-2</v>
      </c>
      <c r="F976" s="37">
        <v>21.808647346407923</v>
      </c>
      <c r="G976" s="12">
        <v>24.831189727110939</v>
      </c>
      <c r="H976" s="37">
        <v>57559.700049283281</v>
      </c>
      <c r="I976" s="37">
        <v>64375.324624176137</v>
      </c>
      <c r="J976" s="37">
        <v>398568.81780467776</v>
      </c>
      <c r="K976" s="37">
        <v>123883.79905789834</v>
      </c>
      <c r="L976" s="37">
        <v>70847.001703549569</v>
      </c>
      <c r="M976" s="37">
        <v>169155.05003375452</v>
      </c>
      <c r="N976" s="37">
        <v>319896.98919970571</v>
      </c>
      <c r="O976" s="37">
        <v>1164605.2824796345</v>
      </c>
      <c r="P976" s="68">
        <v>1</v>
      </c>
    </row>
    <row r="977" spans="1:16" x14ac:dyDescent="0.2">
      <c r="A977" s="10">
        <v>975</v>
      </c>
      <c r="B977" s="40">
        <v>0.12559432871124573</v>
      </c>
      <c r="C977" s="12">
        <v>6.9538078866755626</v>
      </c>
      <c r="D977" s="40">
        <v>0.83448303628015918</v>
      </c>
      <c r="E977" s="40">
        <v>3.056027295962432E-2</v>
      </c>
      <c r="F977" s="37">
        <v>26.974705518083983</v>
      </c>
      <c r="G977" s="12">
        <v>14.324946164559391</v>
      </c>
      <c r="H977" s="37">
        <v>116819.59571974882</v>
      </c>
      <c r="I977" s="37">
        <v>13893.795795779202</v>
      </c>
      <c r="J977" s="37">
        <v>305964.5314733563</v>
      </c>
      <c r="K977" s="37">
        <v>125920.28252512468</v>
      </c>
      <c r="L977" s="37">
        <v>177173.620256708</v>
      </c>
      <c r="M977" s="37">
        <v>385920.79939114698</v>
      </c>
      <c r="N977" s="37">
        <v>184546.41919501725</v>
      </c>
      <c r="O977" s="37">
        <v>1802082.2424712027</v>
      </c>
      <c r="P977" s="68">
        <v>1</v>
      </c>
    </row>
    <row r="978" spans="1:16" x14ac:dyDescent="0.2">
      <c r="A978" s="10">
        <v>976</v>
      </c>
      <c r="B978" s="40">
        <v>0.13785532027232894</v>
      </c>
      <c r="C978" s="12">
        <v>2.1161455624366194</v>
      </c>
      <c r="D978" s="40">
        <v>0.57231554795005735</v>
      </c>
      <c r="E978" s="40">
        <v>4.1413505269808068E-2</v>
      </c>
      <c r="F978" s="37">
        <v>19.29938323520787</v>
      </c>
      <c r="G978" s="12">
        <v>2.3951696758054415</v>
      </c>
      <c r="H978" s="37">
        <v>92309.816173756029</v>
      </c>
      <c r="I978" s="37">
        <v>55876.569663213893</v>
      </c>
      <c r="J978" s="37">
        <v>262352.70602628565</v>
      </c>
      <c r="K978" s="37">
        <v>102591.66593538437</v>
      </c>
      <c r="L978" s="37">
        <v>40587.6067208639</v>
      </c>
      <c r="M978" s="37">
        <v>256618.34372669196</v>
      </c>
      <c r="N978" s="37">
        <v>30856.659561343648</v>
      </c>
      <c r="O978" s="37">
        <v>784499.48764038249</v>
      </c>
      <c r="P978" s="68">
        <v>1</v>
      </c>
    </row>
    <row r="979" spans="1:16" x14ac:dyDescent="0.2">
      <c r="A979" s="10">
        <v>977</v>
      </c>
      <c r="B979" s="40">
        <v>0.17050952009936668</v>
      </c>
      <c r="C979" s="12">
        <v>6.8845054201091855</v>
      </c>
      <c r="D979" s="40">
        <v>0.61331167820316912</v>
      </c>
      <c r="E979" s="40">
        <v>3.8842094346877132E-2</v>
      </c>
      <c r="F979" s="37">
        <v>9.2733653871386394</v>
      </c>
      <c r="G979" s="12">
        <v>2.575638228677291</v>
      </c>
      <c r="H979" s="37">
        <v>121576.38275039596</v>
      </c>
      <c r="I979" s="37">
        <v>14373.309098276459</v>
      </c>
      <c r="J979" s="37">
        <v>550610.68880418362</v>
      </c>
      <c r="K979" s="37">
        <v>85463.373506709031</v>
      </c>
      <c r="L979" s="37">
        <v>175021.51631313807</v>
      </c>
      <c r="M979" s="37">
        <v>123933.28950547767</v>
      </c>
      <c r="N979" s="37">
        <v>33181.612467079809</v>
      </c>
      <c r="O979" s="37">
        <v>521359.3198702503</v>
      </c>
      <c r="P979" s="68">
        <v>1</v>
      </c>
    </row>
    <row r="980" spans="1:16" x14ac:dyDescent="0.2">
      <c r="A980" s="10">
        <v>978</v>
      </c>
      <c r="B980" s="40">
        <v>0.15274658310746314</v>
      </c>
      <c r="C980" s="12">
        <v>8.8007941640727196</v>
      </c>
      <c r="D980" s="40">
        <v>0.78739273439946178</v>
      </c>
      <c r="E980" s="40">
        <v>2.7033661282236745E-2</v>
      </c>
      <c r="F980" s="37">
        <v>23.20017539367954</v>
      </c>
      <c r="G980" s="12">
        <v>15.361804560427631</v>
      </c>
      <c r="H980" s="37">
        <v>40047.474976035126</v>
      </c>
      <c r="I980" s="37">
        <v>33828.796284327269</v>
      </c>
      <c r="J980" s="37">
        <v>325479.44269550877</v>
      </c>
      <c r="K980" s="37">
        <v>144473.61313782094</v>
      </c>
      <c r="L980" s="37">
        <v>257320.03409911782</v>
      </c>
      <c r="M980" s="37">
        <v>277047.52273298101</v>
      </c>
      <c r="N980" s="37">
        <v>197904.13111739632</v>
      </c>
      <c r="O980" s="37">
        <v>1528291.874581767</v>
      </c>
      <c r="P980" s="68">
        <v>1</v>
      </c>
    </row>
    <row r="981" spans="1:16" x14ac:dyDescent="0.2">
      <c r="A981" s="10">
        <v>979</v>
      </c>
      <c r="B981" s="40">
        <v>0.15271850959013616</v>
      </c>
      <c r="C981" s="12">
        <v>3.9020861966984262</v>
      </c>
      <c r="D981" s="40">
        <v>0.48783331166186422</v>
      </c>
      <c r="E981" s="40">
        <v>3.0357068880226531E-2</v>
      </c>
      <c r="F981" s="37">
        <v>22.415790686579591</v>
      </c>
      <c r="G981" s="12">
        <v>13.054773608880467</v>
      </c>
      <c r="H981" s="37">
        <v>122391.15747579501</v>
      </c>
      <c r="I981" s="37">
        <v>47273.921069116222</v>
      </c>
      <c r="J981" s="37">
        <v>471665.34298697271</v>
      </c>
      <c r="K981" s="37">
        <v>195935.15611409751</v>
      </c>
      <c r="L981" s="37">
        <v>70672.23369678967</v>
      </c>
      <c r="M981" s="37">
        <v>186231.04634781621</v>
      </c>
      <c r="N981" s="37">
        <v>168182.95128263792</v>
      </c>
      <c r="O981" s="37">
        <v>645672.74196734675</v>
      </c>
      <c r="P981" s="68">
        <v>1</v>
      </c>
    </row>
    <row r="982" spans="1:16" x14ac:dyDescent="0.2">
      <c r="A982" s="10">
        <v>980</v>
      </c>
      <c r="B982" s="40">
        <v>0.2206104924735523</v>
      </c>
      <c r="C982" s="12">
        <v>1.9538454480838117</v>
      </c>
      <c r="D982" s="40">
        <v>0.38795233909709148</v>
      </c>
      <c r="E982" s="40">
        <v>3.691053746879909E-2</v>
      </c>
      <c r="F982" s="37">
        <v>22.92218198152657</v>
      </c>
      <c r="G982" s="12">
        <v>23.098794195489258</v>
      </c>
      <c r="H982" s="37">
        <v>66914.891671454796</v>
      </c>
      <c r="I982" s="37">
        <v>39823.262517273739</v>
      </c>
      <c r="J982" s="37">
        <v>428538.42440033413</v>
      </c>
      <c r="K982" s="37">
        <v>168084.87849011528</v>
      </c>
      <c r="L982" s="37">
        <v>40652.155281817861</v>
      </c>
      <c r="M982" s="37">
        <v>184141.39629502533</v>
      </c>
      <c r="N982" s="37">
        <v>297578.76277724269</v>
      </c>
      <c r="O982" s="37">
        <v>863087.91783884529</v>
      </c>
      <c r="P982" s="68">
        <v>1</v>
      </c>
    </row>
    <row r="983" spans="1:16" x14ac:dyDescent="0.2">
      <c r="A983" s="10">
        <v>981</v>
      </c>
      <c r="B983" s="40">
        <v>8.271602570433656E-2</v>
      </c>
      <c r="C983" s="12">
        <v>6.4611471668282086</v>
      </c>
      <c r="D983" s="40">
        <v>0.63835591086611987</v>
      </c>
      <c r="E983" s="40">
        <v>2.7919610127614024E-2</v>
      </c>
      <c r="F983" s="37">
        <v>20.011670747809699</v>
      </c>
      <c r="G983" s="12">
        <v>7.8389084854272832</v>
      </c>
      <c r="H983" s="37">
        <v>204625.93207650399</v>
      </c>
      <c r="I983" s="37">
        <v>25548.639755679931</v>
      </c>
      <c r="J983" s="37">
        <v>291646.10507613193</v>
      </c>
      <c r="K983" s="37">
        <v>81265.255675579625</v>
      </c>
      <c r="L983" s="37">
        <v>82937.512621830145</v>
      </c>
      <c r="M983" s="37">
        <v>200088.58563066201</v>
      </c>
      <c r="N983" s="37">
        <v>100987.63895965659</v>
      </c>
      <c r="O983" s="37">
        <v>1201410.8292231862</v>
      </c>
      <c r="P983" s="68">
        <v>1</v>
      </c>
    </row>
    <row r="984" spans="1:16" x14ac:dyDescent="0.2">
      <c r="A984" s="10">
        <v>982</v>
      </c>
      <c r="B984" s="40">
        <v>0.1527933936374839</v>
      </c>
      <c r="C984" s="12">
        <v>3.0873118023922337</v>
      </c>
      <c r="D984" s="40">
        <v>0.62371267930604768</v>
      </c>
      <c r="E984" s="40">
        <v>1.1087765767610109E-2</v>
      </c>
      <c r="F984" s="37">
        <v>16.057010196022244</v>
      </c>
      <c r="G984" s="12">
        <v>13.404508534294298</v>
      </c>
      <c r="H984" s="37">
        <v>53110.724453297291</v>
      </c>
      <c r="I984" s="37">
        <v>35741.117593432682</v>
      </c>
      <c r="J984" s="37">
        <v>412271.30657133384</v>
      </c>
      <c r="K984" s="37">
        <v>194002.81754770907</v>
      </c>
      <c r="L984" s="37">
        <v>71525.099804921483</v>
      </c>
      <c r="M984" s="37">
        <v>62295.981206919692</v>
      </c>
      <c r="N984" s="37">
        <v>172688.54086120398</v>
      </c>
      <c r="O984" s="37">
        <v>151862.52353136102</v>
      </c>
      <c r="P984" s="68">
        <v>1</v>
      </c>
    </row>
    <row r="985" spans="1:16" x14ac:dyDescent="0.2">
      <c r="A985" s="10">
        <v>983</v>
      </c>
      <c r="B985" s="40">
        <v>9.5075484473174432E-2</v>
      </c>
      <c r="C985" s="12">
        <v>5.6418421275268766</v>
      </c>
      <c r="D985" s="40">
        <v>0.65030049958146174</v>
      </c>
      <c r="E985" s="40">
        <v>2.2534920094080708E-2</v>
      </c>
      <c r="F985" s="37">
        <v>9.2903658446422384</v>
      </c>
      <c r="G985" s="12">
        <v>28.137038071352254</v>
      </c>
      <c r="H985" s="37">
        <v>157405.68483763616</v>
      </c>
      <c r="I985" s="37">
        <v>24699.499354983935</v>
      </c>
      <c r="J985" s="37">
        <v>360444.7726292836</v>
      </c>
      <c r="K985" s="37">
        <v>112056.89858842261</v>
      </c>
      <c r="L985" s="37">
        <v>84799.324682369668</v>
      </c>
      <c r="M985" s="37">
        <v>76378.242080365642</v>
      </c>
      <c r="N985" s="37">
        <v>362485.80365828186</v>
      </c>
      <c r="O985" s="37">
        <v>1302919.7588904435</v>
      </c>
      <c r="P985" s="68">
        <v>1</v>
      </c>
    </row>
    <row r="986" spans="1:16" x14ac:dyDescent="0.2">
      <c r="A986" s="10">
        <v>984</v>
      </c>
      <c r="B986" s="40">
        <v>0.18272013893338038</v>
      </c>
      <c r="C986" s="12">
        <v>3.0848291245117294</v>
      </c>
      <c r="D986" s="40">
        <v>0.70934369400453123</v>
      </c>
      <c r="E986" s="40">
        <v>3.966155940470583E-2</v>
      </c>
      <c r="F986" s="37">
        <v>11.069490269574011</v>
      </c>
      <c r="G986" s="12">
        <v>7.9610964421022423</v>
      </c>
      <c r="H986" s="37">
        <v>61545.872297653346</v>
      </c>
      <c r="I986" s="37">
        <v>5970.8499658161491</v>
      </c>
      <c r="J986" s="37">
        <v>273454.69320149854</v>
      </c>
      <c r="K986" s="37">
        <v>140781.0981684259</v>
      </c>
      <c r="L986" s="37">
        <v>97199.285186001944</v>
      </c>
      <c r="M986" s="37">
        <v>174711.24267935861</v>
      </c>
      <c r="N986" s="37">
        <v>102561.77052106572</v>
      </c>
      <c r="O986" s="37">
        <v>570420.56136676017</v>
      </c>
      <c r="P986" s="68">
        <v>1</v>
      </c>
    </row>
    <row r="987" spans="1:16" x14ac:dyDescent="0.2">
      <c r="A987" s="10">
        <v>985</v>
      </c>
      <c r="B987" s="40">
        <v>0.19209706477142319</v>
      </c>
      <c r="C987" s="12">
        <v>3.4855551608260766</v>
      </c>
      <c r="D987" s="40">
        <v>0.77338104601859348</v>
      </c>
      <c r="E987" s="40">
        <v>3.2305474593732592E-2</v>
      </c>
      <c r="F987" s="37">
        <v>18.81347209331814</v>
      </c>
      <c r="G987" s="12">
        <v>13.875998264998572</v>
      </c>
      <c r="H987" s="37">
        <v>61913.536691552494</v>
      </c>
      <c r="I987" s="37">
        <v>10300.297764632851</v>
      </c>
      <c r="J987" s="37">
        <v>389590.03905929328</v>
      </c>
      <c r="K987" s="37">
        <v>154487.86870331201</v>
      </c>
      <c r="L987" s="37">
        <v>125885.30682129474</v>
      </c>
      <c r="M987" s="37">
        <v>263697.08881643484</v>
      </c>
      <c r="N987" s="37">
        <v>178762.68176820216</v>
      </c>
      <c r="O987" s="37">
        <v>972204.57080569072</v>
      </c>
      <c r="P987" s="68">
        <v>1</v>
      </c>
    </row>
    <row r="988" spans="1:16" x14ac:dyDescent="0.2">
      <c r="A988" s="10">
        <v>986</v>
      </c>
      <c r="B988" s="40">
        <v>0.22881208652985141</v>
      </c>
      <c r="C988" s="12">
        <v>1.4553232412146051</v>
      </c>
      <c r="D988" s="40">
        <v>0.58083925614394771</v>
      </c>
      <c r="E988" s="40">
        <v>2.7454453501111042E-2</v>
      </c>
      <c r="F988" s="37">
        <v>15.771301616902692</v>
      </c>
      <c r="G988" s="12">
        <v>14.094414080297739</v>
      </c>
      <c r="H988" s="37">
        <v>114314.97245220674</v>
      </c>
      <c r="I988" s="37">
        <v>26478.317149566061</v>
      </c>
      <c r="J988" s="37">
        <v>295839.89187390707</v>
      </c>
      <c r="K988" s="37">
        <v>104315.16230695574</v>
      </c>
      <c r="L988" s="37">
        <v>47020.064068608357</v>
      </c>
      <c r="M988" s="37">
        <v>141092.2090537755</v>
      </c>
      <c r="N988" s="37">
        <v>181576.50432264534</v>
      </c>
      <c r="O988" s="37">
        <v>842092.328868479</v>
      </c>
      <c r="P988" s="68">
        <v>1</v>
      </c>
    </row>
    <row r="989" spans="1:16" x14ac:dyDescent="0.2">
      <c r="A989" s="10">
        <v>987</v>
      </c>
      <c r="B989" s="40">
        <v>0.10757166848454743</v>
      </c>
      <c r="C989" s="12">
        <v>6.9852044114160794</v>
      </c>
      <c r="D989" s="40">
        <v>0.63649176551309183</v>
      </c>
      <c r="E989" s="40">
        <v>1.1746214422043029E-2</v>
      </c>
      <c r="F989" s="37">
        <v>16.821274408920729</v>
      </c>
      <c r="G989" s="12">
        <v>19.537210820747596</v>
      </c>
      <c r="H989" s="37">
        <v>121448.0367101546</v>
      </c>
      <c r="I989" s="37">
        <v>59302.709967724135</v>
      </c>
      <c r="J989" s="37">
        <v>412587.35582890303</v>
      </c>
      <c r="K989" s="37">
        <v>185640.37003245865</v>
      </c>
      <c r="L989" s="37">
        <v>116267.58273724839</v>
      </c>
      <c r="M989" s="37">
        <v>70553.139095825973</v>
      </c>
      <c r="N989" s="37">
        <v>251695.3471662846</v>
      </c>
      <c r="O989" s="37">
        <v>802276.53019165364</v>
      </c>
      <c r="P989" s="68">
        <v>1</v>
      </c>
    </row>
    <row r="990" spans="1:16" x14ac:dyDescent="0.2">
      <c r="A990" s="10">
        <v>988</v>
      </c>
      <c r="B990" s="40">
        <v>6.4734601726505525E-2</v>
      </c>
      <c r="C990" s="12">
        <v>6.4303895126521766</v>
      </c>
      <c r="D990" s="40">
        <v>0.67065134703800866</v>
      </c>
      <c r="E990" s="40">
        <v>9.3980021146001045E-3</v>
      </c>
      <c r="F990" s="37">
        <v>6.7878215057089832</v>
      </c>
      <c r="G990" s="12">
        <v>13.715969129865002</v>
      </c>
      <c r="H990" s="37">
        <v>198114.94128074995</v>
      </c>
      <c r="I990" s="37">
        <v>64339.620745645814</v>
      </c>
      <c r="J990" s="37">
        <v>364186.27781893051</v>
      </c>
      <c r="K990" s="37">
        <v>105511.9862799539</v>
      </c>
      <c r="L990" s="37">
        <v>67867.115592737813</v>
      </c>
      <c r="M990" s="37">
        <v>24001.008186211206</v>
      </c>
      <c r="N990" s="37">
        <v>176701.04722406395</v>
      </c>
      <c r="O990" s="37">
        <v>827943.16768750676</v>
      </c>
      <c r="P990" s="68">
        <v>1</v>
      </c>
    </row>
    <row r="991" spans="1:16" x14ac:dyDescent="0.2">
      <c r="A991" s="10">
        <v>989</v>
      </c>
      <c r="B991" s="40">
        <v>0.14813082532172528</v>
      </c>
      <c r="C991" s="12">
        <v>5.5906688994607157</v>
      </c>
      <c r="D991" s="40">
        <v>0.46517644671062663</v>
      </c>
      <c r="E991" s="40">
        <v>2.4028416227448147E-2</v>
      </c>
      <c r="F991" s="37">
        <v>9.2546320012375425</v>
      </c>
      <c r="G991" s="12">
        <v>16.934439017219816</v>
      </c>
      <c r="H991" s="37">
        <v>90949.467863164871</v>
      </c>
      <c r="I991" s="37">
        <v>38366.247299575603</v>
      </c>
      <c r="J991" s="37">
        <v>302734.67981989094</v>
      </c>
      <c r="K991" s="37">
        <v>170318.74799130269</v>
      </c>
      <c r="L991" s="37">
        <v>93651.72075868558</v>
      </c>
      <c r="M991" s="37">
        <v>58032.161854648693</v>
      </c>
      <c r="N991" s="37">
        <v>218164.17638177064</v>
      </c>
      <c r="O991" s="37">
        <v>618569.70647781296</v>
      </c>
      <c r="P991" s="68">
        <v>1</v>
      </c>
    </row>
    <row r="992" spans="1:16" x14ac:dyDescent="0.2">
      <c r="A992" s="10">
        <v>990</v>
      </c>
      <c r="B992" s="40">
        <v>0.1605239696224165</v>
      </c>
      <c r="C992" s="12">
        <v>5.9984261850969078</v>
      </c>
      <c r="D992" s="40">
        <v>0.61265941284382908</v>
      </c>
      <c r="E992" s="40">
        <v>2.7060259940649388E-2</v>
      </c>
      <c r="F992" s="37">
        <v>22.326209895256994</v>
      </c>
      <c r="G992" s="12">
        <v>12.182716175549661</v>
      </c>
      <c r="H992" s="37">
        <v>108962.84362503779</v>
      </c>
      <c r="I992" s="37">
        <v>34866.250324339439</v>
      </c>
      <c r="J992" s="37">
        <v>226807.7174446492</v>
      </c>
      <c r="K992" s="37">
        <v>90514.398673669988</v>
      </c>
      <c r="L992" s="37">
        <v>143411.88683687299</v>
      </c>
      <c r="M992" s="37">
        <v>207650.41804816033</v>
      </c>
      <c r="N992" s="37">
        <v>156948.34873650345</v>
      </c>
      <c r="O992" s="37">
        <v>1345822.138350128</v>
      </c>
      <c r="P992" s="68">
        <v>1</v>
      </c>
    </row>
    <row r="993" spans="1:16" x14ac:dyDescent="0.2">
      <c r="A993" s="10">
        <v>991</v>
      </c>
      <c r="B993" s="40">
        <v>0.20931376958938858</v>
      </c>
      <c r="C993" s="12">
        <v>2.2941218250671609</v>
      </c>
      <c r="D993" s="40">
        <v>0.34827960707997474</v>
      </c>
      <c r="E993" s="40">
        <v>1.4570967864057446E-2</v>
      </c>
      <c r="F993" s="37">
        <v>19.203009897991933</v>
      </c>
      <c r="G993" s="12">
        <v>12.296279041226345</v>
      </c>
      <c r="H993" s="37">
        <v>60480.988640196214</v>
      </c>
      <c r="I993" s="37">
        <v>28043.290045900358</v>
      </c>
      <c r="J993" s="37">
        <v>250258.75903398159</v>
      </c>
      <c r="K993" s="37">
        <v>99552.036743311604</v>
      </c>
      <c r="L993" s="37">
        <v>40656.608807637494</v>
      </c>
      <c r="M993" s="37">
        <v>54670.429263913189</v>
      </c>
      <c r="N993" s="37">
        <v>158411.36437184367</v>
      </c>
      <c r="O993" s="37">
        <v>429728.35793972097</v>
      </c>
      <c r="P993" s="68">
        <v>1</v>
      </c>
    </row>
    <row r="994" spans="1:16" x14ac:dyDescent="0.2">
      <c r="A994" s="10">
        <v>992</v>
      </c>
      <c r="B994" s="40">
        <v>0.20254980425624022</v>
      </c>
      <c r="C994" s="12">
        <v>3.6353087466697089</v>
      </c>
      <c r="D994" s="40">
        <v>0.42985392450394305</v>
      </c>
      <c r="E994" s="40">
        <v>4.0683008111309003E-2</v>
      </c>
      <c r="F994" s="37">
        <v>16.478908885428286</v>
      </c>
      <c r="G994" s="12">
        <v>15.019352500827727</v>
      </c>
      <c r="H994" s="37">
        <v>204831.51168406097</v>
      </c>
      <c r="I994" s="37">
        <v>17136.241401856376</v>
      </c>
      <c r="J994" s="37">
        <v>309150.1686030851</v>
      </c>
      <c r="K994" s="37">
        <v>86545.55382662933</v>
      </c>
      <c r="L994" s="37">
        <v>76945.43423189754</v>
      </c>
      <c r="M994" s="37">
        <v>161669.88814240342</v>
      </c>
      <c r="N994" s="37">
        <v>193492.36575233852</v>
      </c>
      <c r="O994" s="37">
        <v>1280862.5516710901</v>
      </c>
      <c r="P994" s="68">
        <v>1</v>
      </c>
    </row>
    <row r="995" spans="1:16" x14ac:dyDescent="0.2">
      <c r="A995" s="10">
        <v>993</v>
      </c>
      <c r="B995" s="40">
        <v>0.15709083228251033</v>
      </c>
      <c r="C995" s="12">
        <v>2.749673569990418</v>
      </c>
      <c r="D995" s="40">
        <v>0.71042756252511041</v>
      </c>
      <c r="E995" s="40">
        <v>2.24486073207774E-2</v>
      </c>
      <c r="F995" s="37">
        <v>19.508183404843528</v>
      </c>
      <c r="G995" s="12">
        <v>12.098332080332611</v>
      </c>
      <c r="H995" s="37">
        <v>190583.72352160828</v>
      </c>
      <c r="I995" s="37">
        <v>61364.506257027613</v>
      </c>
      <c r="J995" s="37">
        <v>337433.41550749284</v>
      </c>
      <c r="K995" s="37">
        <v>102150.59158402287</v>
      </c>
      <c r="L995" s="37">
        <v>74600.306511406161</v>
      </c>
      <c r="M995" s="37">
        <v>174539.11418422544</v>
      </c>
      <c r="N995" s="37">
        <v>155861.23940775459</v>
      </c>
      <c r="O995" s="37">
        <v>1216910.0139521454</v>
      </c>
      <c r="P995" s="68">
        <v>1</v>
      </c>
    </row>
    <row r="996" spans="1:16" x14ac:dyDescent="0.2">
      <c r="A996" s="10">
        <v>994</v>
      </c>
      <c r="B996" s="40">
        <v>0.20003019870631897</v>
      </c>
      <c r="C996" s="12">
        <v>3.7083229821885273</v>
      </c>
      <c r="D996" s="40">
        <v>0.68187415716059085</v>
      </c>
      <c r="E996" s="40">
        <v>1.9242705216510447E-2</v>
      </c>
      <c r="F996" s="37">
        <v>14.159683779609816</v>
      </c>
      <c r="G996" s="12">
        <v>6.3326485114757354</v>
      </c>
      <c r="H996" s="37">
        <v>118748.1310615555</v>
      </c>
      <c r="I996" s="37">
        <v>48752.186756227689</v>
      </c>
      <c r="J996" s="37">
        <v>562060.76276397996</v>
      </c>
      <c r="K996" s="37">
        <v>117318.53811788598</v>
      </c>
      <c r="L996" s="37">
        <v>122960.65833088524</v>
      </c>
      <c r="M996" s="37">
        <v>104229.49762707979</v>
      </c>
      <c r="N996" s="37">
        <v>81582.687529035407</v>
      </c>
      <c r="O996" s="37">
        <v>443599.78402635758</v>
      </c>
      <c r="P996" s="68">
        <v>1</v>
      </c>
    </row>
    <row r="997" spans="1:16" x14ac:dyDescent="0.2">
      <c r="A997" s="10">
        <v>995</v>
      </c>
      <c r="B997" s="40">
        <v>0.1036739534830209</v>
      </c>
      <c r="C997" s="12">
        <v>6.8422641038747631</v>
      </c>
      <c r="D997" s="40">
        <v>0.56699426144766774</v>
      </c>
      <c r="E997" s="40">
        <v>3.1516883969274975E-2</v>
      </c>
      <c r="F997" s="37">
        <v>28.724821761137825</v>
      </c>
      <c r="G997" s="12">
        <v>10.80584035656965</v>
      </c>
      <c r="H997" s="37">
        <v>69845.614582050242</v>
      </c>
      <c r="I997" s="37">
        <v>61105.22467044559</v>
      </c>
      <c r="J997" s="37">
        <v>291610.95553605695</v>
      </c>
      <c r="K997" s="37">
        <v>84335.760193180744</v>
      </c>
      <c r="L997" s="37">
        <v>97777.062700819486</v>
      </c>
      <c r="M997" s="37">
        <v>287969.18068948417</v>
      </c>
      <c r="N997" s="37">
        <v>139210.23655444046</v>
      </c>
      <c r="O997" s="37">
        <v>1309725.0614081849</v>
      </c>
      <c r="P997" s="68">
        <v>1</v>
      </c>
    </row>
    <row r="998" spans="1:16" x14ac:dyDescent="0.2">
      <c r="A998" s="10">
        <v>996</v>
      </c>
      <c r="B998" s="40">
        <v>0.20031324512596851</v>
      </c>
      <c r="C998" s="12">
        <v>4.6056236723459296</v>
      </c>
      <c r="D998" s="40">
        <v>0.59153098336095866</v>
      </c>
      <c r="E998" s="40">
        <v>1.72117312444586E-2</v>
      </c>
      <c r="F998" s="37">
        <v>16.531029364442873</v>
      </c>
      <c r="G998" s="12">
        <v>18.771790152297918</v>
      </c>
      <c r="H998" s="37">
        <v>148454.12008585053</v>
      </c>
      <c r="I998" s="37">
        <v>31224.305764877885</v>
      </c>
      <c r="J998" s="37">
        <v>211641.05861221018</v>
      </c>
      <c r="K998" s="37">
        <v>128606.52403809586</v>
      </c>
      <c r="L998" s="37">
        <v>132667.46845338988</v>
      </c>
      <c r="M998" s="37">
        <v>94421.018884489211</v>
      </c>
      <c r="N998" s="37">
        <v>241834.5321993343</v>
      </c>
      <c r="O998" s="37">
        <v>1245195.9429288043</v>
      </c>
      <c r="P998" s="68">
        <v>1</v>
      </c>
    </row>
    <row r="999" spans="1:16" x14ac:dyDescent="0.2">
      <c r="A999" s="10">
        <v>997</v>
      </c>
      <c r="B999" s="40">
        <v>0.15858740223599629</v>
      </c>
      <c r="C999" s="12">
        <v>3.5003609063494756</v>
      </c>
      <c r="D999" s="40">
        <v>0.4134853948833398</v>
      </c>
      <c r="E999" s="40">
        <v>3.0373932866836317E-2</v>
      </c>
      <c r="F999" s="37">
        <v>10.938932610207802</v>
      </c>
      <c r="G999" s="12">
        <v>12.744978187021857</v>
      </c>
      <c r="H999" s="37">
        <v>112281.66667411939</v>
      </c>
      <c r="I999" s="37">
        <v>63678.238551575007</v>
      </c>
      <c r="J999" s="37">
        <v>545814.64005401812</v>
      </c>
      <c r="K999" s="37">
        <v>127107.41746795338</v>
      </c>
      <c r="L999" s="37">
        <v>55799.526482521796</v>
      </c>
      <c r="M999" s="37">
        <v>77073.109621896336</v>
      </c>
      <c r="N999" s="37">
        <v>164191.89713623829</v>
      </c>
      <c r="O999" s="37">
        <v>423319.27830257651</v>
      </c>
      <c r="P999" s="68">
        <v>1</v>
      </c>
    </row>
    <row r="1000" spans="1:16" x14ac:dyDescent="0.2">
      <c r="A1000" s="10">
        <v>998</v>
      </c>
      <c r="B1000" s="40">
        <v>0.10323238829997726</v>
      </c>
      <c r="C1000" s="12">
        <v>7.9695204593638778</v>
      </c>
      <c r="D1000" s="40">
        <v>0.52374065686005356</v>
      </c>
      <c r="E1000" s="40">
        <v>3.3263523790689607E-2</v>
      </c>
      <c r="F1000" s="37">
        <v>12.412275248181963</v>
      </c>
      <c r="G1000" s="12">
        <v>14.866503956771705</v>
      </c>
      <c r="H1000" s="37">
        <v>51692.427754132863</v>
      </c>
      <c r="I1000" s="37">
        <v>17580.225567679023</v>
      </c>
      <c r="J1000" s="37">
        <v>291599.09804335894</v>
      </c>
      <c r="K1000" s="37">
        <v>101231.86177171196</v>
      </c>
      <c r="L1000" s="37">
        <v>104749.81941388028</v>
      </c>
      <c r="M1000" s="37">
        <v>121311.69553849146</v>
      </c>
      <c r="N1000" s="37">
        <v>191523.23782957549</v>
      </c>
      <c r="O1000" s="37">
        <v>788783.68774226168</v>
      </c>
      <c r="P1000" s="68">
        <v>1</v>
      </c>
    </row>
    <row r="1001" spans="1:16" x14ac:dyDescent="0.2">
      <c r="A1001" s="10">
        <v>999</v>
      </c>
      <c r="B1001" s="40">
        <v>9.2088097035103386E-2</v>
      </c>
      <c r="C1001" s="12">
        <v>8.2928045150954546</v>
      </c>
      <c r="D1001" s="40">
        <v>0.55506258177933254</v>
      </c>
      <c r="E1001" s="40">
        <v>1.6980289271021673E-2</v>
      </c>
      <c r="F1001" s="37">
        <v>15.316643557168291</v>
      </c>
      <c r="G1001" s="12">
        <v>9.6187661706244842</v>
      </c>
      <c r="H1001" s="37">
        <v>66219.931843837345</v>
      </c>
      <c r="I1001" s="37">
        <v>63666.096913706249</v>
      </c>
      <c r="J1001" s="37">
        <v>291271.29048093315</v>
      </c>
      <c r="K1001" s="37">
        <v>109727.81268744855</v>
      </c>
      <c r="L1001" s="37">
        <v>103047.08416281464</v>
      </c>
      <c r="M1001" s="37">
        <v>80987.384497735911</v>
      </c>
      <c r="N1001" s="37">
        <v>123917.31413655306</v>
      </c>
      <c r="O1001" s="37">
        <v>627973.81615294737</v>
      </c>
      <c r="P1001" s="68">
        <v>1</v>
      </c>
    </row>
    <row r="1002" spans="1:16" x14ac:dyDescent="0.2">
      <c r="A1002" s="10">
        <v>1000</v>
      </c>
      <c r="B1002" s="40">
        <v>0.17205864005215779</v>
      </c>
      <c r="C1002" s="12">
        <v>4.133130628589913</v>
      </c>
      <c r="D1002" s="40">
        <v>0.71300941196240908</v>
      </c>
      <c r="E1002" s="40">
        <v>6.8926780981156859E-3</v>
      </c>
      <c r="F1002" s="37">
        <v>15.518443325517586</v>
      </c>
      <c r="G1002" s="12">
        <v>17.799338616502187</v>
      </c>
      <c r="H1002" s="37">
        <v>92621.965686519659</v>
      </c>
      <c r="I1002" s="37">
        <v>14216.506452955091</v>
      </c>
      <c r="J1002" s="37">
        <v>380475.5161326722</v>
      </c>
      <c r="K1002" s="37">
        <v>148686.05656720707</v>
      </c>
      <c r="L1002" s="37">
        <v>123264.98002538236</v>
      </c>
      <c r="M1002" s="37">
        <v>42785.651135460546</v>
      </c>
      <c r="N1002" s="37">
        <v>229306.56548237754</v>
      </c>
      <c r="O1002" s="37">
        <v>609930.08655868389</v>
      </c>
      <c r="P1002" s="68">
        <v>1</v>
      </c>
    </row>
  </sheetData>
  <mergeCells count="1">
    <mergeCell ref="A1:P1"/>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README_Control</vt:lpstr>
      <vt:lpstr>Dashboard</vt:lpstr>
      <vt:lpstr>Sources_Assumptions</vt:lpstr>
      <vt:lpstr>Case_Data</vt:lpstr>
      <vt:lpstr>MCDA_Prioritisation</vt:lpstr>
      <vt:lpstr>MCDA_Stress_Test</vt:lpstr>
      <vt:lpstr>Audit_Backlog</vt:lpstr>
      <vt:lpstr>Cost_Benefit</vt:lpstr>
      <vt:lpstr>Scenario_Uncertainty</vt:lpstr>
      <vt:lpstr>Test_Strategy</vt:lpstr>
      <vt:lpstr>Monte_Carlo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Vedant Audichya (Student)</cp:lastModifiedBy>
  <cp:revision>0</cp:revision>
  <dcterms:created xsi:type="dcterms:W3CDTF">2026-07-05T06:32:24Z</dcterms:created>
  <dcterms:modified xsi:type="dcterms:W3CDTF">2026-07-07T03:14:20Z</dcterms:modified>
  <dc:language>en-US</dc:language>
</cp:coreProperties>
</file>